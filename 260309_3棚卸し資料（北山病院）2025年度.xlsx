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8_{D2C4D6D8-59AA-4E07-86B2-87F7F4C04DB9}" xr6:coauthVersionLast="47" xr6:coauthVersionMax="47" xr10:uidLastSave="{00000000-0000-0000-0000-000000000000}"/>
  <bookViews>
    <workbookView xWindow="-108" yWindow="-108" windowWidth="23256" windowHeight="13896" tabRatio="850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元データ" sheetId="1" r:id="rId7"/>
    <sheet name="非採用match" sheetId="27" r:id="rId8"/>
    <sheet name="マスタ非採用" sheetId="25" r:id="rId9"/>
    <sheet name="Sheet3" sheetId="26" r:id="rId10"/>
    <sheet name="分類" sheetId="16" r:id="rId11"/>
    <sheet name="match_results_top5" sheetId="23" r:id="rId12"/>
    <sheet name="match_results" sheetId="21" r:id="rId13"/>
    <sheet name="match_results_2" sheetId="18" r:id="rId14"/>
    <sheet name="マスタ非採用削除" sheetId="8" r:id="rId15"/>
  </sheets>
  <definedNames>
    <definedName name="_xlnm._FilterDatabase" localSheetId="12" hidden="1">match_results!$A$1:$F$533</definedName>
    <definedName name="_xlnm._FilterDatabase" localSheetId="13" hidden="1">match_results_2!$A$1:$CE$834</definedName>
    <definedName name="_xlnm._FilterDatabase" localSheetId="11" hidden="1">match_results_top5!$A$1:$R$50</definedName>
    <definedName name="_xlnm._FilterDatabase" localSheetId="8" hidden="1">マスタ非採用!$A$4:$L$353</definedName>
    <definedName name="_xlnm._FilterDatabase" localSheetId="14" hidden="1">マスタ非採用削除!$A$4:$L$687</definedName>
    <definedName name="_xlnm._FilterDatabase" localSheetId="6" hidden="1">元データ!$A$1:$U$834</definedName>
    <definedName name="_xlnm._FilterDatabase" localSheetId="0" hidden="1">統合マスタ!$A$4:$AA$837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6" l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973" i="26"/>
  <c r="G974" i="26"/>
  <c r="G975" i="26"/>
  <c r="G976" i="26"/>
  <c r="G977" i="26"/>
  <c r="G978" i="26"/>
  <c r="G979" i="26"/>
  <c r="G980" i="26"/>
  <c r="G981" i="26"/>
  <c r="G982" i="26"/>
  <c r="G983" i="26"/>
  <c r="G984" i="26"/>
  <c r="G985" i="26"/>
  <c r="G986" i="26"/>
  <c r="G987" i="26"/>
  <c r="G988" i="26"/>
  <c r="G989" i="26"/>
  <c r="G990" i="26"/>
  <c r="G991" i="26"/>
  <c r="G992" i="26"/>
  <c r="G993" i="26"/>
  <c r="G994" i="26"/>
  <c r="G995" i="26"/>
  <c r="G996" i="26"/>
  <c r="G997" i="26"/>
  <c r="G998" i="26"/>
  <c r="G999" i="26"/>
  <c r="G1000" i="26"/>
  <c r="G1001" i="26"/>
  <c r="G1002" i="26"/>
  <c r="G1003" i="26"/>
  <c r="G1004" i="26"/>
  <c r="G1005" i="26"/>
  <c r="G1006" i="26"/>
  <c r="G1007" i="26"/>
  <c r="G1008" i="26"/>
  <c r="G1009" i="26"/>
  <c r="G1010" i="26"/>
  <c r="G1011" i="26"/>
  <c r="G1012" i="26"/>
  <c r="G1013" i="26"/>
  <c r="G1014" i="26"/>
  <c r="G1015" i="26"/>
  <c r="G1016" i="26"/>
  <c r="G1017" i="26"/>
  <c r="G1018" i="26"/>
  <c r="G1019" i="26"/>
  <c r="G1020" i="26"/>
  <c r="G1021" i="26"/>
  <c r="G1022" i="26"/>
  <c r="G1023" i="26"/>
  <c r="G1024" i="26"/>
  <c r="G1025" i="26"/>
  <c r="G1026" i="26"/>
  <c r="G1027" i="26"/>
  <c r="G1028" i="26"/>
  <c r="G1029" i="26"/>
  <c r="G1030" i="26"/>
  <c r="G1031" i="26"/>
  <c r="G1032" i="26"/>
  <c r="G1" i="26"/>
  <c r="U504" i="1"/>
  <c r="B2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1" i="26"/>
  <c r="A837" i="10"/>
  <c r="R837" i="10" s="1"/>
  <c r="C837" i="10"/>
  <c r="D837" i="10"/>
  <c r="E837" i="10"/>
  <c r="F837" i="10"/>
  <c r="G837" i="10"/>
  <c r="H837" i="10"/>
  <c r="I837" i="10"/>
  <c r="K837" i="10"/>
  <c r="L837" i="10"/>
  <c r="N837" i="10"/>
  <c r="S834" i="1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31" i="16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B27" i="23" l="1"/>
  <c r="Y837" i="10"/>
  <c r="V837" i="10"/>
  <c r="Q837" i="10"/>
  <c r="B10" i="27"/>
  <c r="P837" i="10"/>
  <c r="B19" i="23"/>
  <c r="B3" i="23"/>
  <c r="B2" i="27"/>
  <c r="B41" i="27"/>
  <c r="B33" i="27"/>
  <c r="B9" i="27"/>
  <c r="B26" i="23"/>
  <c r="B18" i="23"/>
  <c r="B10" i="23"/>
  <c r="B54" i="23"/>
  <c r="B34" i="23"/>
  <c r="B56" i="27"/>
  <c r="B48" i="27"/>
  <c r="B40" i="27"/>
  <c r="B32" i="27"/>
  <c r="B24" i="27"/>
  <c r="B16" i="27"/>
  <c r="B8" i="27"/>
  <c r="B11" i="23"/>
  <c r="B38" i="23"/>
  <c r="B49" i="27"/>
  <c r="B25" i="27"/>
  <c r="B17" i="27"/>
  <c r="B25" i="23"/>
  <c r="B17" i="23"/>
  <c r="B9" i="23"/>
  <c r="B53" i="23"/>
  <c r="B33" i="23"/>
  <c r="B55" i="27"/>
  <c r="B47" i="27"/>
  <c r="B39" i="27"/>
  <c r="B31" i="27"/>
  <c r="B23" i="27"/>
  <c r="B15" i="27"/>
  <c r="B7" i="27"/>
  <c r="B32" i="23"/>
  <c r="B24" i="23"/>
  <c r="B16" i="23"/>
  <c r="B8" i="23"/>
  <c r="B50" i="23"/>
  <c r="B54" i="27"/>
  <c r="B46" i="27"/>
  <c r="B38" i="27"/>
  <c r="B30" i="27"/>
  <c r="B22" i="27"/>
  <c r="B14" i="27"/>
  <c r="B6" i="27"/>
  <c r="B31" i="23"/>
  <c r="B23" i="23"/>
  <c r="B15" i="23"/>
  <c r="B7" i="23"/>
  <c r="B49" i="23"/>
  <c r="B53" i="27"/>
  <c r="B45" i="27"/>
  <c r="B37" i="27"/>
  <c r="B29" i="27"/>
  <c r="B21" i="27"/>
  <c r="B13" i="27"/>
  <c r="B5" i="27"/>
  <c r="B30" i="23"/>
  <c r="B22" i="23"/>
  <c r="B14" i="23"/>
  <c r="B6" i="23"/>
  <c r="B46" i="23"/>
  <c r="B52" i="27"/>
  <c r="B44" i="27"/>
  <c r="B36" i="27"/>
  <c r="B28" i="27"/>
  <c r="B20" i="27"/>
  <c r="B12" i="27"/>
  <c r="B4" i="27"/>
  <c r="B29" i="23"/>
  <c r="B21" i="23"/>
  <c r="B13" i="23"/>
  <c r="B5" i="23"/>
  <c r="B42" i="23"/>
  <c r="B51" i="27"/>
  <c r="B43" i="27"/>
  <c r="B35" i="27"/>
  <c r="B27" i="27"/>
  <c r="B19" i="27"/>
  <c r="B11" i="27"/>
  <c r="B3" i="27"/>
  <c r="B28" i="23"/>
  <c r="B20" i="23"/>
  <c r="B12" i="23"/>
  <c r="B4" i="23"/>
  <c r="B41" i="23"/>
  <c r="B2" i="23"/>
  <c r="B50" i="27"/>
  <c r="B42" i="27"/>
  <c r="B34" i="27"/>
  <c r="B26" i="27"/>
  <c r="B18" i="27"/>
  <c r="B55" i="23"/>
  <c r="B47" i="23"/>
  <c r="B39" i="23"/>
  <c r="B37" i="23"/>
  <c r="B52" i="23"/>
  <c r="B44" i="23"/>
  <c r="B36" i="23"/>
  <c r="B45" i="23"/>
  <c r="B51" i="23"/>
  <c r="B43" i="23"/>
  <c r="B35" i="23"/>
  <c r="B48" i="23"/>
  <c r="B40" i="23"/>
  <c r="O837" i="10"/>
  <c r="X837" i="10"/>
  <c r="W837" i="10"/>
  <c r="U837" i="10"/>
  <c r="T837" i="10"/>
  <c r="S837" i="10"/>
  <c r="Z837" i="10"/>
  <c r="B3" i="21"/>
  <c r="B217" i="21"/>
  <c r="B529" i="21"/>
  <c r="B473" i="21"/>
  <c r="B409" i="21"/>
  <c r="B209" i="21"/>
  <c r="B530" i="21"/>
  <c r="B522" i="21"/>
  <c r="B514" i="21"/>
  <c r="B506" i="21"/>
  <c r="B498" i="21"/>
  <c r="B490" i="21"/>
  <c r="B482" i="21"/>
  <c r="B474" i="21"/>
  <c r="B466" i="21"/>
  <c r="B458" i="21"/>
  <c r="B450" i="21"/>
  <c r="B442" i="21"/>
  <c r="B434" i="21"/>
  <c r="B426" i="21"/>
  <c r="B418" i="21"/>
  <c r="B410" i="21"/>
  <c r="B402" i="21"/>
  <c r="B394" i="21"/>
  <c r="B386" i="21"/>
  <c r="B378" i="21"/>
  <c r="B370" i="21"/>
  <c r="B362" i="21"/>
  <c r="B354" i="21"/>
  <c r="B346" i="21"/>
  <c r="B338" i="21"/>
  <c r="B330" i="21"/>
  <c r="B322" i="21"/>
  <c r="B314" i="21"/>
  <c r="B306" i="21"/>
  <c r="B298" i="21"/>
  <c r="B290" i="21"/>
  <c r="B282" i="21"/>
  <c r="B274" i="21"/>
  <c r="B266" i="21"/>
  <c r="B258" i="21"/>
  <c r="B250" i="21"/>
  <c r="B242" i="21"/>
  <c r="B234" i="21"/>
  <c r="B226" i="21"/>
  <c r="B218" i="21"/>
  <c r="B210" i="21"/>
  <c r="B202" i="21"/>
  <c r="B194" i="21"/>
  <c r="B186" i="21"/>
  <c r="B178" i="21"/>
  <c r="B170" i="21"/>
  <c r="B162" i="21"/>
  <c r="B154" i="21"/>
  <c r="B146" i="21"/>
  <c r="B138" i="21"/>
  <c r="B130" i="21"/>
  <c r="B122" i="21"/>
  <c r="B114" i="21"/>
  <c r="B106" i="21"/>
  <c r="B98" i="21"/>
  <c r="B90" i="21"/>
  <c r="B82" i="21"/>
  <c r="B74" i="21"/>
  <c r="B66" i="21"/>
  <c r="B58" i="21"/>
  <c r="B50" i="21"/>
  <c r="B42" i="21"/>
  <c r="B34" i="21"/>
  <c r="B26" i="21"/>
  <c r="B18" i="21"/>
  <c r="B10" i="21"/>
  <c r="B481" i="21"/>
  <c r="B425" i="21"/>
  <c r="B369" i="21"/>
  <c r="B329" i="21"/>
  <c r="B305" i="21"/>
  <c r="B281" i="21"/>
  <c r="B257" i="21"/>
  <c r="B233" i="21"/>
  <c r="B193" i="21"/>
  <c r="B169" i="21"/>
  <c r="B129" i="21"/>
  <c r="B105" i="21"/>
  <c r="B81" i="21"/>
  <c r="B57" i="21"/>
  <c r="B33" i="21"/>
  <c r="B9" i="21"/>
  <c r="B528" i="21"/>
  <c r="B520" i="21"/>
  <c r="B512" i="21"/>
  <c r="B504" i="21"/>
  <c r="B496" i="21"/>
  <c r="B488" i="21"/>
  <c r="B480" i="21"/>
  <c r="B472" i="21"/>
  <c r="B464" i="21"/>
  <c r="B456" i="21"/>
  <c r="B448" i="21"/>
  <c r="B440" i="21"/>
  <c r="B432" i="21"/>
  <c r="B424" i="21"/>
  <c r="B416" i="21"/>
  <c r="B408" i="21"/>
  <c r="B400" i="21"/>
  <c r="B392" i="21"/>
  <c r="B384" i="21"/>
  <c r="B376" i="21"/>
  <c r="B368" i="21"/>
  <c r="B360" i="21"/>
  <c r="B352" i="21"/>
  <c r="B344" i="21"/>
  <c r="B336" i="21"/>
  <c r="B328" i="21"/>
  <c r="B320" i="21"/>
  <c r="B312" i="21"/>
  <c r="B304" i="21"/>
  <c r="B296" i="21"/>
  <c r="B288" i="21"/>
  <c r="B280" i="21"/>
  <c r="B272" i="21"/>
  <c r="B264" i="21"/>
  <c r="B256" i="21"/>
  <c r="B248" i="21"/>
  <c r="B240" i="21"/>
  <c r="B232" i="21"/>
  <c r="B224" i="21"/>
  <c r="B216" i="21"/>
  <c r="B208" i="21"/>
  <c r="B200" i="21"/>
  <c r="B192" i="21"/>
  <c r="B184" i="21"/>
  <c r="B176" i="21"/>
  <c r="B168" i="21"/>
  <c r="B160" i="21"/>
  <c r="B152" i="21"/>
  <c r="B144" i="21"/>
  <c r="B136" i="21"/>
  <c r="B128" i="21"/>
  <c r="B120" i="21"/>
  <c r="B112" i="21"/>
  <c r="B104" i="21"/>
  <c r="B96" i="21"/>
  <c r="B88" i="21"/>
  <c r="B80" i="21"/>
  <c r="B72" i="21"/>
  <c r="B64" i="21"/>
  <c r="B56" i="21"/>
  <c r="B48" i="21"/>
  <c r="B40" i="21"/>
  <c r="B32" i="21"/>
  <c r="B24" i="21"/>
  <c r="B16" i="21"/>
  <c r="B8" i="21"/>
  <c r="B489" i="21"/>
  <c r="B433" i="21"/>
  <c r="B393" i="21"/>
  <c r="B353" i="21"/>
  <c r="B321" i="21"/>
  <c r="B297" i="21"/>
  <c r="B273" i="21"/>
  <c r="B249" i="21"/>
  <c r="B225" i="21"/>
  <c r="B185" i="21"/>
  <c r="B161" i="21"/>
  <c r="B121" i="21"/>
  <c r="B89" i="21"/>
  <c r="B65" i="21"/>
  <c r="B49" i="21"/>
  <c r="B17" i="21"/>
  <c r="B527" i="21"/>
  <c r="B519" i="21"/>
  <c r="B511" i="21"/>
  <c r="B503" i="21"/>
  <c r="B495" i="21"/>
  <c r="B487" i="21"/>
  <c r="B479" i="21"/>
  <c r="B471" i="21"/>
  <c r="B463" i="21"/>
  <c r="B455" i="21"/>
  <c r="B447" i="21"/>
  <c r="B439" i="21"/>
  <c r="B431" i="21"/>
  <c r="B423" i="21"/>
  <c r="B415" i="21"/>
  <c r="B407" i="21"/>
  <c r="B399" i="21"/>
  <c r="B391" i="21"/>
  <c r="B383" i="21"/>
  <c r="B375" i="21"/>
  <c r="B367" i="21"/>
  <c r="B359" i="21"/>
  <c r="B351" i="21"/>
  <c r="B343" i="21"/>
  <c r="B335" i="21"/>
  <c r="B327" i="21"/>
  <c r="B319" i="21"/>
  <c r="B311" i="21"/>
  <c r="B303" i="21"/>
  <c r="B295" i="21"/>
  <c r="B287" i="21"/>
  <c r="B279" i="21"/>
  <c r="B271" i="21"/>
  <c r="B263" i="21"/>
  <c r="B255" i="21"/>
  <c r="B247" i="21"/>
  <c r="B239" i="21"/>
  <c r="B231" i="21"/>
  <c r="B223" i="21"/>
  <c r="B215" i="21"/>
  <c r="B207" i="21"/>
  <c r="B199" i="21"/>
  <c r="B191" i="21"/>
  <c r="B183" i="21"/>
  <c r="B175" i="21"/>
  <c r="B167" i="21"/>
  <c r="B159" i="21"/>
  <c r="B151" i="21"/>
  <c r="B143" i="21"/>
  <c r="B135" i="21"/>
  <c r="B127" i="21"/>
  <c r="B119" i="21"/>
  <c r="B111" i="21"/>
  <c r="B103" i="21"/>
  <c r="B95" i="21"/>
  <c r="B87" i="21"/>
  <c r="B79" i="21"/>
  <c r="B71" i="21"/>
  <c r="B63" i="21"/>
  <c r="B55" i="21"/>
  <c r="B47" i="21"/>
  <c r="B39" i="21"/>
  <c r="B31" i="21"/>
  <c r="B23" i="21"/>
  <c r="B15" i="21"/>
  <c r="B7" i="21"/>
  <c r="B521" i="21"/>
  <c r="B465" i="21"/>
  <c r="B417" i="21"/>
  <c r="B361" i="21"/>
  <c r="B337" i="21"/>
  <c r="B313" i="21"/>
  <c r="B289" i="21"/>
  <c r="B265" i="21"/>
  <c r="B241" i="21"/>
  <c r="B201" i="21"/>
  <c r="B177" i="21"/>
  <c r="B137" i="21"/>
  <c r="B113" i="21"/>
  <c r="B97" i="21"/>
  <c r="B73" i="21"/>
  <c r="B41" i="21"/>
  <c r="B25" i="21"/>
  <c r="B2" i="21"/>
  <c r="B526" i="21"/>
  <c r="B518" i="21"/>
  <c r="B510" i="21"/>
  <c r="B502" i="21"/>
  <c r="B494" i="21"/>
  <c r="B486" i="21"/>
  <c r="B478" i="21"/>
  <c r="B470" i="21"/>
  <c r="B462" i="21"/>
  <c r="B454" i="21"/>
  <c r="B446" i="21"/>
  <c r="B438" i="21"/>
  <c r="B430" i="21"/>
  <c r="B422" i="21"/>
  <c r="B414" i="21"/>
  <c r="B406" i="21"/>
  <c r="B398" i="21"/>
  <c r="B390" i="21"/>
  <c r="B382" i="21"/>
  <c r="B374" i="21"/>
  <c r="B366" i="21"/>
  <c r="B358" i="21"/>
  <c r="B350" i="21"/>
  <c r="B342" i="21"/>
  <c r="B334" i="21"/>
  <c r="B326" i="21"/>
  <c r="B318" i="21"/>
  <c r="B310" i="21"/>
  <c r="B302" i="21"/>
  <c r="B294" i="21"/>
  <c r="B286" i="21"/>
  <c r="B278" i="21"/>
  <c r="B270" i="21"/>
  <c r="B262" i="21"/>
  <c r="B254" i="21"/>
  <c r="B246" i="21"/>
  <c r="B238" i="21"/>
  <c r="B230" i="21"/>
  <c r="B222" i="21"/>
  <c r="B214" i="21"/>
  <c r="B206" i="21"/>
  <c r="B198" i="21"/>
  <c r="B190" i="21"/>
  <c r="B182" i="21"/>
  <c r="B174" i="21"/>
  <c r="B166" i="21"/>
  <c r="B158" i="21"/>
  <c r="B150" i="21"/>
  <c r="B142" i="21"/>
  <c r="B134" i="21"/>
  <c r="B126" i="21"/>
  <c r="B118" i="21"/>
  <c r="B110" i="21"/>
  <c r="B102" i="21"/>
  <c r="B94" i="21"/>
  <c r="B86" i="21"/>
  <c r="B78" i="21"/>
  <c r="B70" i="21"/>
  <c r="B62" i="21"/>
  <c r="B54" i="21"/>
  <c r="B46" i="21"/>
  <c r="B38" i="21"/>
  <c r="B30" i="21"/>
  <c r="B22" i="21"/>
  <c r="B14" i="21"/>
  <c r="B6" i="21"/>
  <c r="B505" i="21"/>
  <c r="B449" i="21"/>
  <c r="B385" i="21"/>
  <c r="B153" i="21"/>
  <c r="B533" i="21"/>
  <c r="B525" i="21"/>
  <c r="B517" i="21"/>
  <c r="B509" i="21"/>
  <c r="B501" i="21"/>
  <c r="B493" i="21"/>
  <c r="B485" i="21"/>
  <c r="B477" i="21"/>
  <c r="B469" i="21"/>
  <c r="B461" i="21"/>
  <c r="B453" i="21"/>
  <c r="B445" i="21"/>
  <c r="B437" i="21"/>
  <c r="B429" i="21"/>
  <c r="B421" i="21"/>
  <c r="B413" i="21"/>
  <c r="B405" i="21"/>
  <c r="B397" i="21"/>
  <c r="B389" i="21"/>
  <c r="B381" i="21"/>
  <c r="B373" i="21"/>
  <c r="B365" i="21"/>
  <c r="B357" i="21"/>
  <c r="B349" i="21"/>
  <c r="B341" i="21"/>
  <c r="B333" i="21"/>
  <c r="B325" i="21"/>
  <c r="B317" i="21"/>
  <c r="B309" i="21"/>
  <c r="B301" i="21"/>
  <c r="B293" i="21"/>
  <c r="B285" i="21"/>
  <c r="B277" i="21"/>
  <c r="B269" i="21"/>
  <c r="B261" i="21"/>
  <c r="B253" i="21"/>
  <c r="B245" i="21"/>
  <c r="B237" i="21"/>
  <c r="B229" i="21"/>
  <c r="B221" i="21"/>
  <c r="B213" i="21"/>
  <c r="B205" i="21"/>
  <c r="B197" i="21"/>
  <c r="B189" i="21"/>
  <c r="B181" i="21"/>
  <c r="B173" i="21"/>
  <c r="B165" i="21"/>
  <c r="B157" i="21"/>
  <c r="B149" i="21"/>
  <c r="B141" i="21"/>
  <c r="B133" i="21"/>
  <c r="B125" i="21"/>
  <c r="B117" i="21"/>
  <c r="B109" i="21"/>
  <c r="B101" i="21"/>
  <c r="B93" i="21"/>
  <c r="B85" i="21"/>
  <c r="B77" i="21"/>
  <c r="B69" i="21"/>
  <c r="B61" i="21"/>
  <c r="B53" i="21"/>
  <c r="B45" i="21"/>
  <c r="B37" i="21"/>
  <c r="B29" i="21"/>
  <c r="B21" i="21"/>
  <c r="B13" i="21"/>
  <c r="B5" i="21"/>
  <c r="B513" i="21"/>
  <c r="B457" i="21"/>
  <c r="B401" i="21"/>
  <c r="B345" i="21"/>
  <c r="B145" i="21"/>
  <c r="B532" i="21"/>
  <c r="B524" i="21"/>
  <c r="B516" i="21"/>
  <c r="B508" i="21"/>
  <c r="B500" i="21"/>
  <c r="B492" i="21"/>
  <c r="B484" i="21"/>
  <c r="B476" i="21"/>
  <c r="B468" i="21"/>
  <c r="B460" i="21"/>
  <c r="B452" i="21"/>
  <c r="B444" i="21"/>
  <c r="B436" i="21"/>
  <c r="B428" i="21"/>
  <c r="B420" i="21"/>
  <c r="B412" i="21"/>
  <c r="B404" i="21"/>
  <c r="B396" i="21"/>
  <c r="B388" i="21"/>
  <c r="B380" i="21"/>
  <c r="B372" i="21"/>
  <c r="B364" i="21"/>
  <c r="B356" i="21"/>
  <c r="B348" i="21"/>
  <c r="B340" i="21"/>
  <c r="B332" i="21"/>
  <c r="B324" i="21"/>
  <c r="B316" i="21"/>
  <c r="B308" i="21"/>
  <c r="B300" i="21"/>
  <c r="B292" i="21"/>
  <c r="B284" i="21"/>
  <c r="B276" i="21"/>
  <c r="B268" i="21"/>
  <c r="B260" i="21"/>
  <c r="B252" i="21"/>
  <c r="B244" i="21"/>
  <c r="B236" i="21"/>
  <c r="B228" i="21"/>
  <c r="B220" i="21"/>
  <c r="B212" i="21"/>
  <c r="B204" i="21"/>
  <c r="B196" i="21"/>
  <c r="B188" i="21"/>
  <c r="B180" i="21"/>
  <c r="B172" i="21"/>
  <c r="B164" i="21"/>
  <c r="B156" i="21"/>
  <c r="B148" i="21"/>
  <c r="B140" i="21"/>
  <c r="B132" i="21"/>
  <c r="B124" i="21"/>
  <c r="B116" i="21"/>
  <c r="B108" i="21"/>
  <c r="B100" i="21"/>
  <c r="B92" i="21"/>
  <c r="B84" i="21"/>
  <c r="B76" i="21"/>
  <c r="B68" i="21"/>
  <c r="B60" i="21"/>
  <c r="B52" i="21"/>
  <c r="B44" i="21"/>
  <c r="B36" i="21"/>
  <c r="B28" i="21"/>
  <c r="B20" i="21"/>
  <c r="B12" i="21"/>
  <c r="B4" i="21"/>
  <c r="B497" i="21"/>
  <c r="B441" i="21"/>
  <c r="B377" i="21"/>
  <c r="B531" i="21"/>
  <c r="B523" i="21"/>
  <c r="B515" i="21"/>
  <c r="B507" i="21"/>
  <c r="B499" i="21"/>
  <c r="B491" i="21"/>
  <c r="B483" i="21"/>
  <c r="B475" i="21"/>
  <c r="B467" i="21"/>
  <c r="B459" i="21"/>
  <c r="B451" i="21"/>
  <c r="B443" i="21"/>
  <c r="B435" i="21"/>
  <c r="B427" i="21"/>
  <c r="B419" i="21"/>
  <c r="B411" i="21"/>
  <c r="B403" i="21"/>
  <c r="B395" i="21"/>
  <c r="B387" i="21"/>
  <c r="B379" i="21"/>
  <c r="B371" i="21"/>
  <c r="B363" i="21"/>
  <c r="B355" i="21"/>
  <c r="B347" i="21"/>
  <c r="B339" i="21"/>
  <c r="B331" i="21"/>
  <c r="B323" i="21"/>
  <c r="B315" i="21"/>
  <c r="B307" i="21"/>
  <c r="B299" i="21"/>
  <c r="B291" i="21"/>
  <c r="B283" i="21"/>
  <c r="B275" i="21"/>
  <c r="B267" i="21"/>
  <c r="B259" i="21"/>
  <c r="B251" i="21"/>
  <c r="B243" i="21"/>
  <c r="B235" i="21"/>
  <c r="B227" i="21"/>
  <c r="B219" i="21"/>
  <c r="B211" i="21"/>
  <c r="B203" i="21"/>
  <c r="B195" i="21"/>
  <c r="B187" i="21"/>
  <c r="B179" i="21"/>
  <c r="B171" i="21"/>
  <c r="B163" i="21"/>
  <c r="B155" i="21"/>
  <c r="B147" i="21"/>
  <c r="B139" i="21"/>
  <c r="B131" i="21"/>
  <c r="B123" i="21"/>
  <c r="B115" i="21"/>
  <c r="B107" i="21"/>
  <c r="B99" i="21"/>
  <c r="B91" i="21"/>
  <c r="B83" i="21"/>
  <c r="B75" i="21"/>
  <c r="B67" i="21"/>
  <c r="B59" i="21"/>
  <c r="B51" i="21"/>
  <c r="B43" i="21"/>
  <c r="B35" i="21"/>
  <c r="B27" i="21"/>
  <c r="B19" i="21"/>
  <c r="B11" i="2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Z834" i="10" s="1"/>
  <c r="O831" i="1"/>
  <c r="N831" i="1"/>
  <c r="O830" i="1"/>
  <c r="N830" i="1"/>
  <c r="O829" i="1"/>
  <c r="N829" i="1"/>
  <c r="P828" i="1"/>
  <c r="O828" i="1"/>
  <c r="N828" i="1"/>
  <c r="P827" i="1"/>
  <c r="A830" i="10" s="1"/>
  <c r="O827" i="1"/>
  <c r="N827" i="1"/>
  <c r="P826" i="1"/>
  <c r="A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Z822" i="10" s="1"/>
  <c r="O819" i="1"/>
  <c r="N819" i="1"/>
  <c r="A821" i="10"/>
  <c r="O818" i="1"/>
  <c r="N818" i="1"/>
  <c r="P817" i="1"/>
  <c r="A820" i="10" s="1"/>
  <c r="Z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Z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Z814" i="10" s="1"/>
  <c r="O811" i="1"/>
  <c r="N811" i="1"/>
  <c r="P810" i="1"/>
  <c r="O810" i="1"/>
  <c r="N810" i="1"/>
  <c r="A812" i="10"/>
  <c r="Z812" i="10" s="1"/>
  <c r="O809" i="1"/>
  <c r="N809" i="1"/>
  <c r="A811" i="10"/>
  <c r="O808" i="1"/>
  <c r="N808" i="1"/>
  <c r="A810" i="10"/>
  <c r="Z810" i="10" s="1"/>
  <c r="O807" i="1"/>
  <c r="N807" i="1"/>
  <c r="O806" i="1"/>
  <c r="N806" i="1"/>
  <c r="O805" i="1"/>
  <c r="N805" i="1"/>
  <c r="P804" i="1"/>
  <c r="O804" i="1"/>
  <c r="N804" i="1"/>
  <c r="P803" i="1"/>
  <c r="A806" i="10" s="1"/>
  <c r="Z806" i="10" s="1"/>
  <c r="O803" i="1"/>
  <c r="N803" i="1"/>
  <c r="P802" i="1"/>
  <c r="A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797" i="10" s="1"/>
  <c r="Z797" i="10" s="1"/>
  <c r="O794" i="1"/>
  <c r="N794" i="1"/>
  <c r="P793" i="1"/>
  <c r="A796" i="10" s="1"/>
  <c r="Z796" i="10" s="1"/>
  <c r="O793" i="1"/>
  <c r="N793" i="1"/>
  <c r="P792" i="1"/>
  <c r="Q792" i="1" s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A790" i="10" s="1"/>
  <c r="Z790" i="10" s="1"/>
  <c r="O787" i="1"/>
  <c r="N787" i="1"/>
  <c r="P786" i="1"/>
  <c r="A789" i="10" s="1"/>
  <c r="O786" i="1"/>
  <c r="N786" i="1"/>
  <c r="P785" i="1"/>
  <c r="Q785" i="1" s="1"/>
  <c r="O785" i="1"/>
  <c r="N785" i="1"/>
  <c r="P784" i="1"/>
  <c r="A787" i="10" s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Q779" i="1" s="1"/>
  <c r="O779" i="1"/>
  <c r="N779" i="1"/>
  <c r="A781" i="10"/>
  <c r="Z781" i="10" s="1"/>
  <c r="O778" i="1"/>
  <c r="N778" i="1"/>
  <c r="P777" i="1"/>
  <c r="Q777" i="1" s="1"/>
  <c r="O777" i="1"/>
  <c r="N777" i="1"/>
  <c r="P776" i="1"/>
  <c r="A779" i="10" s="1"/>
  <c r="O776" i="1"/>
  <c r="N776" i="1"/>
  <c r="P775" i="1"/>
  <c r="O775" i="1"/>
  <c r="N775" i="1"/>
  <c r="P774" i="1"/>
  <c r="O774" i="1"/>
  <c r="N774" i="1"/>
  <c r="P773" i="1"/>
  <c r="A776" i="10" s="1"/>
  <c r="Z776" i="10" s="1"/>
  <c r="O773" i="1"/>
  <c r="N773" i="1"/>
  <c r="P772" i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A766" i="10" s="1"/>
  <c r="Z766" i="10" s="1"/>
  <c r="O763" i="1"/>
  <c r="N763" i="1"/>
  <c r="P762" i="1"/>
  <c r="A765" i="10" s="1"/>
  <c r="Z765" i="10" s="1"/>
  <c r="O762" i="1"/>
  <c r="N762" i="1"/>
  <c r="P761" i="1"/>
  <c r="A764" i="10" s="1"/>
  <c r="Z764" i="10" s="1"/>
  <c r="O761" i="1"/>
  <c r="N761" i="1"/>
  <c r="Q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A758" i="10" s="1"/>
  <c r="Z758" i="10" s="1"/>
  <c r="O755" i="1"/>
  <c r="N755" i="1"/>
  <c r="P754" i="1"/>
  <c r="A757" i="10" s="1"/>
  <c r="O754" i="1"/>
  <c r="N754" i="1"/>
  <c r="P753" i="1"/>
  <c r="Q753" i="1" s="1"/>
  <c r="O753" i="1"/>
  <c r="N753" i="1"/>
  <c r="P752" i="1"/>
  <c r="A755" i="10" s="1"/>
  <c r="O752" i="1"/>
  <c r="N752" i="1"/>
  <c r="P751" i="1"/>
  <c r="O751" i="1"/>
  <c r="N751" i="1"/>
  <c r="P750" i="1"/>
  <c r="O750" i="1"/>
  <c r="N750" i="1"/>
  <c r="P749" i="1"/>
  <c r="A752" i="10" s="1"/>
  <c r="Z752" i="10" s="1"/>
  <c r="O749" i="1"/>
  <c r="N749" i="1"/>
  <c r="P748" i="1"/>
  <c r="O748" i="1"/>
  <c r="N748" i="1"/>
  <c r="P747" i="1"/>
  <c r="A750" i="10" s="1"/>
  <c r="Z750" i="10" s="1"/>
  <c r="O747" i="1"/>
  <c r="N747" i="1"/>
  <c r="P746" i="1"/>
  <c r="Q746" i="1" s="1"/>
  <c r="O746" i="1"/>
  <c r="N746" i="1"/>
  <c r="Q745" i="1"/>
  <c r="O745" i="1"/>
  <c r="N745" i="1"/>
  <c r="A747" i="10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Z742" i="10" s="1"/>
  <c r="O739" i="1"/>
  <c r="N739" i="1"/>
  <c r="P738" i="1"/>
  <c r="A741" i="10" s="1"/>
  <c r="Z741" i="10" s="1"/>
  <c r="O738" i="1"/>
  <c r="N738" i="1"/>
  <c r="P737" i="1"/>
  <c r="O737" i="1"/>
  <c r="N737" i="1"/>
  <c r="P736" i="1"/>
  <c r="Q736" i="1" s="1"/>
  <c r="O736" i="1"/>
  <c r="N736" i="1"/>
  <c r="P735" i="1"/>
  <c r="O735" i="1"/>
  <c r="N735" i="1"/>
  <c r="P734" i="1"/>
  <c r="A737" i="10" s="1"/>
  <c r="Z737" i="10" s="1"/>
  <c r="O734" i="1"/>
  <c r="N734" i="1"/>
  <c r="P733" i="1"/>
  <c r="A736" i="10" s="1"/>
  <c r="Z736" i="10" s="1"/>
  <c r="O733" i="1"/>
  <c r="N733" i="1"/>
  <c r="P732" i="1"/>
  <c r="O732" i="1"/>
  <c r="N732" i="1"/>
  <c r="Q731" i="1"/>
  <c r="O731" i="1"/>
  <c r="N731" i="1"/>
  <c r="P730" i="1"/>
  <c r="A733" i="10" s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O725" i="1"/>
  <c r="N725" i="1"/>
  <c r="P724" i="1"/>
  <c r="O724" i="1"/>
  <c r="N724" i="1"/>
  <c r="O723" i="1"/>
  <c r="N723" i="1"/>
  <c r="P722" i="1"/>
  <c r="Q722" i="1" s="1"/>
  <c r="O722" i="1"/>
  <c r="N722" i="1"/>
  <c r="O721" i="1"/>
  <c r="N721" i="1"/>
  <c r="A723" i="10"/>
  <c r="Z723" i="10" s="1"/>
  <c r="O720" i="1"/>
  <c r="N720" i="1"/>
  <c r="Q719" i="1"/>
  <c r="O719" i="1"/>
  <c r="N719" i="1"/>
  <c r="P718" i="1"/>
  <c r="O718" i="1"/>
  <c r="N718" i="1"/>
  <c r="P717" i="1"/>
  <c r="A720" i="10" s="1"/>
  <c r="Z720" i="10" s="1"/>
  <c r="O717" i="1"/>
  <c r="N717" i="1"/>
  <c r="P716" i="1"/>
  <c r="O716" i="1"/>
  <c r="N716" i="1"/>
  <c r="P715" i="1"/>
  <c r="A718" i="10" s="1"/>
  <c r="Z718" i="10" s="1"/>
  <c r="O715" i="1"/>
  <c r="N715" i="1"/>
  <c r="P714" i="1"/>
  <c r="A717" i="10" s="1"/>
  <c r="Z717" i="10" s="1"/>
  <c r="O714" i="1"/>
  <c r="N714" i="1"/>
  <c r="P713" i="1"/>
  <c r="O713" i="1"/>
  <c r="N713" i="1"/>
  <c r="P712" i="1"/>
  <c r="A715" i="10" s="1"/>
  <c r="Z715" i="10" s="1"/>
  <c r="O712" i="1"/>
  <c r="N712" i="1"/>
  <c r="P711" i="1"/>
  <c r="A714" i="10" s="1"/>
  <c r="Z714" i="10" s="1"/>
  <c r="O711" i="1"/>
  <c r="N711" i="1"/>
  <c r="P710" i="1"/>
  <c r="O710" i="1"/>
  <c r="N710" i="1"/>
  <c r="A712" i="10"/>
  <c r="O709" i="1"/>
  <c r="N709" i="1"/>
  <c r="O708" i="1"/>
  <c r="N708" i="1"/>
  <c r="P707" i="1"/>
  <c r="A710" i="10" s="1"/>
  <c r="Z710" i="10" s="1"/>
  <c r="O707" i="1"/>
  <c r="N707" i="1"/>
  <c r="P706" i="1"/>
  <c r="A709" i="10" s="1"/>
  <c r="Z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Z706" i="10" s="1"/>
  <c r="O703" i="1"/>
  <c r="N703" i="1"/>
  <c r="P702" i="1"/>
  <c r="O702" i="1"/>
  <c r="N702" i="1"/>
  <c r="P701" i="1"/>
  <c r="A704" i="10" s="1"/>
  <c r="Z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Z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Z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Z695" i="10" s="1"/>
  <c r="O692" i="1"/>
  <c r="N692" i="1"/>
  <c r="P691" i="1"/>
  <c r="O691" i="1"/>
  <c r="N691" i="1"/>
  <c r="P690" i="1"/>
  <c r="A693" i="10" s="1"/>
  <c r="Z693" i="10" s="1"/>
  <c r="O690" i="1"/>
  <c r="N690" i="1"/>
  <c r="P689" i="1"/>
  <c r="O689" i="1"/>
  <c r="N689" i="1"/>
  <c r="P688" i="1"/>
  <c r="A691" i="10" s="1"/>
  <c r="Z691" i="10" s="1"/>
  <c r="O688" i="1"/>
  <c r="N688" i="1"/>
  <c r="P687" i="1"/>
  <c r="O687" i="1"/>
  <c r="N687" i="1"/>
  <c r="P686" i="1"/>
  <c r="O686" i="1"/>
  <c r="N686" i="1"/>
  <c r="P685" i="1"/>
  <c r="A688" i="10" s="1"/>
  <c r="Z688" i="10" s="1"/>
  <c r="O685" i="1"/>
  <c r="N685" i="1"/>
  <c r="P684" i="1"/>
  <c r="A687" i="10" s="1"/>
  <c r="Z687" i="10" s="1"/>
  <c r="O684" i="1"/>
  <c r="N684" i="1"/>
  <c r="P683" i="1"/>
  <c r="A686" i="10" s="1"/>
  <c r="Z686" i="10" s="1"/>
  <c r="O683" i="1"/>
  <c r="N683" i="1"/>
  <c r="P682" i="1"/>
  <c r="A685" i="10" s="1"/>
  <c r="Z685" i="10" s="1"/>
  <c r="O682" i="1"/>
  <c r="N682" i="1"/>
  <c r="P681" i="1"/>
  <c r="O681" i="1"/>
  <c r="N681" i="1"/>
  <c r="P680" i="1"/>
  <c r="A683" i="10" s="1"/>
  <c r="Z683" i="10" s="1"/>
  <c r="O680" i="1"/>
  <c r="N680" i="1"/>
  <c r="P679" i="1"/>
  <c r="O679" i="1"/>
  <c r="N679" i="1"/>
  <c r="P678" i="1"/>
  <c r="O678" i="1"/>
  <c r="N678" i="1"/>
  <c r="P677" i="1"/>
  <c r="A680" i="10" s="1"/>
  <c r="Z680" i="10" s="1"/>
  <c r="O677" i="1"/>
  <c r="N677" i="1"/>
  <c r="P676" i="1"/>
  <c r="A679" i="10" s="1"/>
  <c r="Z679" i="10" s="1"/>
  <c r="O676" i="1"/>
  <c r="N676" i="1"/>
  <c r="P675" i="1"/>
  <c r="A678" i="10" s="1"/>
  <c r="Z678" i="10" s="1"/>
  <c r="O675" i="1"/>
  <c r="N675" i="1"/>
  <c r="Q674" i="1"/>
  <c r="O674" i="1"/>
  <c r="N674" i="1"/>
  <c r="O673" i="1"/>
  <c r="N673" i="1"/>
  <c r="P672" i="1"/>
  <c r="A675" i="10" s="1"/>
  <c r="Z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Z672" i="10" s="1"/>
  <c r="O669" i="1"/>
  <c r="N669" i="1"/>
  <c r="A671" i="10"/>
  <c r="Z671" i="10" s="1"/>
  <c r="O668" i="1"/>
  <c r="N668" i="1"/>
  <c r="P667" i="1"/>
  <c r="A670" i="10" s="1"/>
  <c r="Z670" i="10" s="1"/>
  <c r="O667" i="1"/>
  <c r="N667" i="1"/>
  <c r="P666" i="1"/>
  <c r="A669" i="10" s="1"/>
  <c r="Z669" i="10" s="1"/>
  <c r="O666" i="1"/>
  <c r="N666" i="1"/>
  <c r="P665" i="1"/>
  <c r="O665" i="1"/>
  <c r="N665" i="1"/>
  <c r="P664" i="1"/>
  <c r="A667" i="10" s="1"/>
  <c r="Z667" i="10" s="1"/>
  <c r="O664" i="1"/>
  <c r="N664" i="1"/>
  <c r="P663" i="1"/>
  <c r="O663" i="1"/>
  <c r="N663" i="1"/>
  <c r="P662" i="1"/>
  <c r="O662" i="1"/>
  <c r="N662" i="1"/>
  <c r="P661" i="1"/>
  <c r="O661" i="1"/>
  <c r="N661" i="1"/>
  <c r="P660" i="1"/>
  <c r="Q660" i="1" s="1"/>
  <c r="O660" i="1"/>
  <c r="N660" i="1"/>
  <c r="P659" i="1"/>
  <c r="A662" i="10" s="1"/>
  <c r="Z662" i="10" s="1"/>
  <c r="O659" i="1"/>
  <c r="N659" i="1"/>
  <c r="P658" i="1"/>
  <c r="Q658" i="1" s="1"/>
  <c r="O658" i="1"/>
  <c r="N658" i="1"/>
  <c r="P657" i="1"/>
  <c r="O657" i="1"/>
  <c r="N657" i="1"/>
  <c r="P656" i="1"/>
  <c r="A659" i="10" s="1"/>
  <c r="Z659" i="10" s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A653" i="10" s="1"/>
  <c r="Z653" i="10" s="1"/>
  <c r="O650" i="1"/>
  <c r="N650" i="1"/>
  <c r="P649" i="1"/>
  <c r="A652" i="10" s="1"/>
  <c r="Z652" i="10" s="1"/>
  <c r="O649" i="1"/>
  <c r="N649" i="1"/>
  <c r="P648" i="1"/>
  <c r="A651" i="10" s="1"/>
  <c r="Z651" i="10" s="1"/>
  <c r="O648" i="1"/>
  <c r="N648" i="1"/>
  <c r="O647" i="1"/>
  <c r="N647" i="1"/>
  <c r="P646" i="1"/>
  <c r="Q646" i="1" s="1"/>
  <c r="O646" i="1"/>
  <c r="N646" i="1"/>
  <c r="P645" i="1"/>
  <c r="O645" i="1"/>
  <c r="N645" i="1"/>
  <c r="P644" i="1"/>
  <c r="A647" i="10" s="1"/>
  <c r="Z647" i="10" s="1"/>
  <c r="O644" i="1"/>
  <c r="N644" i="1"/>
  <c r="P643" i="1"/>
  <c r="Q643" i="1" s="1"/>
  <c r="O643" i="1"/>
  <c r="N643" i="1"/>
  <c r="P642" i="1"/>
  <c r="A645" i="10" s="1"/>
  <c r="Z645" i="10" s="1"/>
  <c r="O642" i="1"/>
  <c r="N642" i="1"/>
  <c r="P641" i="1"/>
  <c r="A644" i="10" s="1"/>
  <c r="Z644" i="10" s="1"/>
  <c r="O641" i="1"/>
  <c r="N641" i="1"/>
  <c r="P640" i="1"/>
  <c r="A643" i="10" s="1"/>
  <c r="Z643" i="10" s="1"/>
  <c r="O640" i="1"/>
  <c r="N640" i="1"/>
  <c r="P639" i="1"/>
  <c r="A642" i="10" s="1"/>
  <c r="Z642" i="10" s="1"/>
  <c r="O639" i="1"/>
  <c r="N639" i="1"/>
  <c r="P638" i="1"/>
  <c r="O638" i="1"/>
  <c r="N638" i="1"/>
  <c r="P637" i="1"/>
  <c r="A640" i="10" s="1"/>
  <c r="Z640" i="10" s="1"/>
  <c r="O637" i="1"/>
  <c r="N637" i="1"/>
  <c r="P636" i="1"/>
  <c r="A639" i="10" s="1"/>
  <c r="Z639" i="10" s="1"/>
  <c r="O636" i="1"/>
  <c r="N636" i="1"/>
  <c r="A638" i="10"/>
  <c r="O635" i="1"/>
  <c r="N635" i="1"/>
  <c r="P634" i="1"/>
  <c r="A637" i="10" s="1"/>
  <c r="Z637" i="10" s="1"/>
  <c r="O634" i="1"/>
  <c r="N634" i="1"/>
  <c r="P633" i="1"/>
  <c r="O633" i="1"/>
  <c r="N633" i="1"/>
  <c r="P632" i="1"/>
  <c r="A635" i="10" s="1"/>
  <c r="Z635" i="10" s="1"/>
  <c r="O632" i="1"/>
  <c r="N632" i="1"/>
  <c r="P631" i="1"/>
  <c r="A634" i="10" s="1"/>
  <c r="Z634" i="10" s="1"/>
  <c r="O631" i="1"/>
  <c r="N631" i="1"/>
  <c r="P630" i="1"/>
  <c r="A633" i="10" s="1"/>
  <c r="Z633" i="10" s="1"/>
  <c r="O630" i="1"/>
  <c r="N630" i="1"/>
  <c r="P629" i="1"/>
  <c r="A632" i="10" s="1"/>
  <c r="Z632" i="10" s="1"/>
  <c r="O629" i="1"/>
  <c r="N629" i="1"/>
  <c r="P628" i="1"/>
  <c r="A631" i="10" s="1"/>
  <c r="Z631" i="10" s="1"/>
  <c r="O628" i="1"/>
  <c r="N628" i="1"/>
  <c r="Q627" i="1"/>
  <c r="O627" i="1"/>
  <c r="N627" i="1"/>
  <c r="P626" i="1"/>
  <c r="A629" i="10" s="1"/>
  <c r="Z629" i="10" s="1"/>
  <c r="O626" i="1"/>
  <c r="N626" i="1"/>
  <c r="P625" i="1"/>
  <c r="O625" i="1"/>
  <c r="N625" i="1"/>
  <c r="P624" i="1"/>
  <c r="A627" i="10" s="1"/>
  <c r="O624" i="1"/>
  <c r="N624" i="1"/>
  <c r="O623" i="1"/>
  <c r="N623" i="1"/>
  <c r="P622" i="1"/>
  <c r="O622" i="1"/>
  <c r="N622" i="1"/>
  <c r="P621" i="1"/>
  <c r="A624" i="10" s="1"/>
  <c r="Z624" i="10" s="1"/>
  <c r="O621" i="1"/>
  <c r="N621" i="1"/>
  <c r="A623" i="10"/>
  <c r="Z623" i="10" s="1"/>
  <c r="O620" i="1"/>
  <c r="N620" i="1"/>
  <c r="P619" i="1"/>
  <c r="A622" i="10" s="1"/>
  <c r="Z622" i="10" s="1"/>
  <c r="O619" i="1"/>
  <c r="N619" i="1"/>
  <c r="P618" i="1"/>
  <c r="A621" i="10" s="1"/>
  <c r="Z621" i="10" s="1"/>
  <c r="O618" i="1"/>
  <c r="N618" i="1"/>
  <c r="P617" i="1"/>
  <c r="A620" i="10" s="1"/>
  <c r="Z620" i="10" s="1"/>
  <c r="O617" i="1"/>
  <c r="N617" i="1"/>
  <c r="P616" i="1"/>
  <c r="A619" i="10" s="1"/>
  <c r="Z619" i="10" s="1"/>
  <c r="O616" i="1"/>
  <c r="N616" i="1"/>
  <c r="P615" i="1"/>
  <c r="Q615" i="1" s="1"/>
  <c r="O615" i="1"/>
  <c r="N615" i="1"/>
  <c r="P614" i="1"/>
  <c r="O614" i="1"/>
  <c r="N614" i="1"/>
  <c r="A616" i="10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Z612" i="10" s="1"/>
  <c r="O609" i="1"/>
  <c r="N609" i="1"/>
  <c r="P608" i="1"/>
  <c r="A611" i="10" s="1"/>
  <c r="Z611" i="10" s="1"/>
  <c r="O608" i="1"/>
  <c r="N608" i="1"/>
  <c r="P607" i="1"/>
  <c r="O607" i="1"/>
  <c r="N607" i="1"/>
  <c r="P606" i="1"/>
  <c r="O606" i="1"/>
  <c r="N606" i="1"/>
  <c r="P605" i="1"/>
  <c r="A608" i="10" s="1"/>
  <c r="Z608" i="10" s="1"/>
  <c r="O605" i="1"/>
  <c r="N605" i="1"/>
  <c r="P604" i="1"/>
  <c r="Q604" i="1" s="1"/>
  <c r="O604" i="1"/>
  <c r="N604" i="1"/>
  <c r="A606" i="10"/>
  <c r="Z606" i="10" s="1"/>
  <c r="O603" i="1"/>
  <c r="N603" i="1"/>
  <c r="P602" i="1"/>
  <c r="A605" i="10" s="1"/>
  <c r="Z605" i="10" s="1"/>
  <c r="O602" i="1"/>
  <c r="N602" i="1"/>
  <c r="P601" i="1"/>
  <c r="A604" i="10" s="1"/>
  <c r="Z604" i="10" s="1"/>
  <c r="O601" i="1"/>
  <c r="N601" i="1"/>
  <c r="P600" i="1"/>
  <c r="A603" i="10" s="1"/>
  <c r="Z603" i="10" s="1"/>
  <c r="O600" i="1"/>
  <c r="N600" i="1"/>
  <c r="P599" i="1"/>
  <c r="O599" i="1"/>
  <c r="N599" i="1"/>
  <c r="P598" i="1"/>
  <c r="O598" i="1"/>
  <c r="N598" i="1"/>
  <c r="P597" i="1"/>
  <c r="O597" i="1"/>
  <c r="N597" i="1"/>
  <c r="P596" i="1"/>
  <c r="A599" i="10" s="1"/>
  <c r="Z599" i="10" s="1"/>
  <c r="O596" i="1"/>
  <c r="N596" i="1"/>
  <c r="P595" i="1"/>
  <c r="A598" i="10" s="1"/>
  <c r="Z598" i="10" s="1"/>
  <c r="O595" i="1"/>
  <c r="N595" i="1"/>
  <c r="P594" i="1"/>
  <c r="A597" i="10" s="1"/>
  <c r="Z597" i="10" s="1"/>
  <c r="O594" i="1"/>
  <c r="N594" i="1"/>
  <c r="P593" i="1"/>
  <c r="Q593" i="1" s="1"/>
  <c r="O593" i="1"/>
  <c r="N593" i="1"/>
  <c r="P592" i="1"/>
  <c r="A595" i="10" s="1"/>
  <c r="Z595" i="10" s="1"/>
  <c r="O592" i="1"/>
  <c r="N592" i="1"/>
  <c r="P591" i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Z590" i="10" s="1"/>
  <c r="O587" i="1"/>
  <c r="N587" i="1"/>
  <c r="P586" i="1"/>
  <c r="A589" i="10" s="1"/>
  <c r="Z589" i="10" s="1"/>
  <c r="O586" i="1"/>
  <c r="N586" i="1"/>
  <c r="P585" i="1"/>
  <c r="A588" i="10" s="1"/>
  <c r="Z588" i="10" s="1"/>
  <c r="O585" i="1"/>
  <c r="N585" i="1"/>
  <c r="P584" i="1"/>
  <c r="A587" i="10" s="1"/>
  <c r="Z587" i="10" s="1"/>
  <c r="O584" i="1"/>
  <c r="N584" i="1"/>
  <c r="P583" i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Z581" i="10" s="1"/>
  <c r="O578" i="1"/>
  <c r="N578" i="1"/>
  <c r="P577" i="1"/>
  <c r="A580" i="10" s="1"/>
  <c r="Z580" i="10" s="1"/>
  <c r="O577" i="1"/>
  <c r="N577" i="1"/>
  <c r="P576" i="1"/>
  <c r="A579" i="10" s="1"/>
  <c r="Z579" i="10" s="1"/>
  <c r="O576" i="1"/>
  <c r="N576" i="1"/>
  <c r="P575" i="1"/>
  <c r="O575" i="1"/>
  <c r="N575" i="1"/>
  <c r="P574" i="1"/>
  <c r="Q574" i="1" s="1"/>
  <c r="O574" i="1"/>
  <c r="N574" i="1"/>
  <c r="P573" i="1"/>
  <c r="A576" i="10" s="1"/>
  <c r="Z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Z573" i="10" s="1"/>
  <c r="O570" i="1"/>
  <c r="N570" i="1"/>
  <c r="P569" i="1"/>
  <c r="A572" i="10" s="1"/>
  <c r="Z572" i="10" s="1"/>
  <c r="O569" i="1"/>
  <c r="N569" i="1"/>
  <c r="P568" i="1"/>
  <c r="A571" i="10" s="1"/>
  <c r="Z571" i="10" s="1"/>
  <c r="O568" i="1"/>
  <c r="N568" i="1"/>
  <c r="O567" i="1"/>
  <c r="N567" i="1"/>
  <c r="P566" i="1"/>
  <c r="O566" i="1"/>
  <c r="N566" i="1"/>
  <c r="P565" i="1"/>
  <c r="A568" i="10" s="1"/>
  <c r="Z568" i="10" s="1"/>
  <c r="O565" i="1"/>
  <c r="N565" i="1"/>
  <c r="P564" i="1"/>
  <c r="A567" i="10" s="1"/>
  <c r="Z567" i="10" s="1"/>
  <c r="O564" i="1"/>
  <c r="N564" i="1"/>
  <c r="A566" i="10"/>
  <c r="Z566" i="10" s="1"/>
  <c r="O563" i="1"/>
  <c r="N563" i="1"/>
  <c r="P562" i="1"/>
  <c r="A565" i="10" s="1"/>
  <c r="Z565" i="10" s="1"/>
  <c r="O562" i="1"/>
  <c r="N562" i="1"/>
  <c r="P561" i="1"/>
  <c r="A564" i="10" s="1"/>
  <c r="Z564" i="10" s="1"/>
  <c r="O561" i="1"/>
  <c r="N561" i="1"/>
  <c r="P560" i="1"/>
  <c r="A563" i="10" s="1"/>
  <c r="Z563" i="10" s="1"/>
  <c r="O560" i="1"/>
  <c r="N560" i="1"/>
  <c r="P559" i="1"/>
  <c r="O559" i="1"/>
  <c r="N559" i="1"/>
  <c r="P558" i="1"/>
  <c r="A561" i="10" s="1"/>
  <c r="Z561" i="10" s="1"/>
  <c r="O558" i="1"/>
  <c r="N558" i="1"/>
  <c r="P557" i="1"/>
  <c r="A560" i="10" s="1"/>
  <c r="Z560" i="10" s="1"/>
  <c r="O557" i="1"/>
  <c r="N557" i="1"/>
  <c r="P556" i="1"/>
  <c r="A559" i="10" s="1"/>
  <c r="Z559" i="10" s="1"/>
  <c r="O556" i="1"/>
  <c r="N556" i="1"/>
  <c r="P555" i="1"/>
  <c r="A558" i="10" s="1"/>
  <c r="Z558" i="10" s="1"/>
  <c r="O555" i="1"/>
  <c r="N555" i="1"/>
  <c r="A557" i="10"/>
  <c r="Z557" i="10" s="1"/>
  <c r="O554" i="1"/>
  <c r="N554" i="1"/>
  <c r="P553" i="1"/>
  <c r="A556" i="10" s="1"/>
  <c r="Z556" i="10" s="1"/>
  <c r="O553" i="1"/>
  <c r="N553" i="1"/>
  <c r="P552" i="1"/>
  <c r="A555" i="10" s="1"/>
  <c r="Z555" i="10" s="1"/>
  <c r="O552" i="1"/>
  <c r="N552" i="1"/>
  <c r="P551" i="1"/>
  <c r="O551" i="1"/>
  <c r="N551" i="1"/>
  <c r="P550" i="1"/>
  <c r="A553" i="10" s="1"/>
  <c r="Z553" i="10" s="1"/>
  <c r="O550" i="1"/>
  <c r="N550" i="1"/>
  <c r="P549" i="1"/>
  <c r="A552" i="10" s="1"/>
  <c r="Z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Z549" i="10" s="1"/>
  <c r="O546" i="1"/>
  <c r="N546" i="1"/>
  <c r="Q545" i="1"/>
  <c r="O545" i="1"/>
  <c r="N545" i="1"/>
  <c r="P544" i="1"/>
  <c r="A547" i="10" s="1"/>
  <c r="Z547" i="10" s="1"/>
  <c r="O544" i="1"/>
  <c r="N544" i="1"/>
  <c r="O543" i="1"/>
  <c r="N543" i="1"/>
  <c r="A545" i="10"/>
  <c r="Z545" i="10" s="1"/>
  <c r="O542" i="1"/>
  <c r="N542" i="1"/>
  <c r="A544" i="10"/>
  <c r="Z544" i="10" s="1"/>
  <c r="O541" i="1"/>
  <c r="N541" i="1"/>
  <c r="A543" i="10"/>
  <c r="Z543" i="10" s="1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Z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Z532" i="10" s="1"/>
  <c r="O529" i="1"/>
  <c r="N529" i="1"/>
  <c r="P528" i="1"/>
  <c r="A531" i="10" s="1"/>
  <c r="Z531" i="10" s="1"/>
  <c r="O528" i="1"/>
  <c r="N528" i="1"/>
  <c r="P527" i="1"/>
  <c r="O527" i="1"/>
  <c r="N527" i="1"/>
  <c r="P526" i="1"/>
  <c r="O526" i="1"/>
  <c r="N526" i="1"/>
  <c r="P525" i="1"/>
  <c r="O525" i="1"/>
  <c r="N525" i="1"/>
  <c r="P524" i="1"/>
  <c r="Q524" i="1" s="1"/>
  <c r="O524" i="1"/>
  <c r="N524" i="1"/>
  <c r="P523" i="1"/>
  <c r="A526" i="10" s="1"/>
  <c r="Z526" i="10" s="1"/>
  <c r="O523" i="1"/>
  <c r="N523" i="1"/>
  <c r="P522" i="1"/>
  <c r="A525" i="10" s="1"/>
  <c r="Z525" i="10" s="1"/>
  <c r="O522" i="1"/>
  <c r="N522" i="1"/>
  <c r="P521" i="1"/>
  <c r="Q521" i="1" s="1"/>
  <c r="O521" i="1"/>
  <c r="N521" i="1"/>
  <c r="P520" i="1"/>
  <c r="A523" i="10" s="1"/>
  <c r="Z523" i="10" s="1"/>
  <c r="O520" i="1"/>
  <c r="N520" i="1"/>
  <c r="P519" i="1"/>
  <c r="O519" i="1"/>
  <c r="N519" i="1"/>
  <c r="P518" i="1"/>
  <c r="A521" i="10" s="1"/>
  <c r="Z521" i="10" s="1"/>
  <c r="O518" i="1"/>
  <c r="N518" i="1"/>
  <c r="A520" i="10"/>
  <c r="Z520" i="10" s="1"/>
  <c r="O517" i="1"/>
  <c r="N517" i="1"/>
  <c r="P516" i="1"/>
  <c r="A519" i="10" s="1"/>
  <c r="Z519" i="10" s="1"/>
  <c r="O516" i="1"/>
  <c r="N516" i="1"/>
  <c r="P515" i="1"/>
  <c r="A518" i="10" s="1"/>
  <c r="Z518" i="10" s="1"/>
  <c r="O515" i="1"/>
  <c r="N515" i="1"/>
  <c r="A517" i="10"/>
  <c r="Z517" i="10" s="1"/>
  <c r="O514" i="1"/>
  <c r="N514" i="1"/>
  <c r="P513" i="1"/>
  <c r="A516" i="10" s="1"/>
  <c r="Z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Z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Z509" i="10" s="1"/>
  <c r="O506" i="1"/>
  <c r="N506" i="1"/>
  <c r="P505" i="1"/>
  <c r="A508" i="10" s="1"/>
  <c r="Z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Z505" i="10" s="1"/>
  <c r="O502" i="1"/>
  <c r="N502" i="1"/>
  <c r="P501" i="1"/>
  <c r="A504" i="10" s="1"/>
  <c r="Z504" i="10" s="1"/>
  <c r="O501" i="1"/>
  <c r="N501" i="1"/>
  <c r="P500" i="1"/>
  <c r="A503" i="10" s="1"/>
  <c r="Z503" i="10" s="1"/>
  <c r="O500" i="1"/>
  <c r="N500" i="1"/>
  <c r="P499" i="1"/>
  <c r="A502" i="10" s="1"/>
  <c r="Z502" i="10" s="1"/>
  <c r="O499" i="1"/>
  <c r="N499" i="1"/>
  <c r="P498" i="1"/>
  <c r="Q498" i="1" s="1"/>
  <c r="O498" i="1"/>
  <c r="N498" i="1"/>
  <c r="P497" i="1"/>
  <c r="A500" i="10" s="1"/>
  <c r="Z500" i="10" s="1"/>
  <c r="O497" i="1"/>
  <c r="N497" i="1"/>
  <c r="P496" i="1"/>
  <c r="A499" i="10" s="1"/>
  <c r="Z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Z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O490" i="1"/>
  <c r="N490" i="1"/>
  <c r="P489" i="1"/>
  <c r="A492" i="10" s="1"/>
  <c r="Z492" i="10" s="1"/>
  <c r="O489" i="1"/>
  <c r="N489" i="1"/>
  <c r="P488" i="1"/>
  <c r="A491" i="10" s="1"/>
  <c r="Z491" i="10" s="1"/>
  <c r="O488" i="1"/>
  <c r="N488" i="1"/>
  <c r="P487" i="1"/>
  <c r="O487" i="1"/>
  <c r="N487" i="1"/>
  <c r="P486" i="1"/>
  <c r="A489" i="10" s="1"/>
  <c r="Z489" i="10" s="1"/>
  <c r="O486" i="1"/>
  <c r="N486" i="1"/>
  <c r="P485" i="1"/>
  <c r="A488" i="10" s="1"/>
  <c r="Z488" i="10" s="1"/>
  <c r="O485" i="1"/>
  <c r="N485" i="1"/>
  <c r="P484" i="1"/>
  <c r="A487" i="10" s="1"/>
  <c r="Z487" i="10" s="1"/>
  <c r="O484" i="1"/>
  <c r="N484" i="1"/>
  <c r="P483" i="1"/>
  <c r="A486" i="10" s="1"/>
  <c r="Z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Z483" i="10" s="1"/>
  <c r="O480" i="1"/>
  <c r="N480" i="1"/>
  <c r="P479" i="1"/>
  <c r="O479" i="1"/>
  <c r="N479" i="1"/>
  <c r="P478" i="1"/>
  <c r="O478" i="1"/>
  <c r="N478" i="1"/>
  <c r="P477" i="1"/>
  <c r="A480" i="10" s="1"/>
  <c r="Z480" i="10" s="1"/>
  <c r="O477" i="1"/>
  <c r="N477" i="1"/>
  <c r="P476" i="1"/>
  <c r="A479" i="10" s="1"/>
  <c r="Z479" i="10" s="1"/>
  <c r="O476" i="1"/>
  <c r="N476" i="1"/>
  <c r="A478" i="10"/>
  <c r="O475" i="1"/>
  <c r="N475" i="1"/>
  <c r="P474" i="1"/>
  <c r="A477" i="10" s="1"/>
  <c r="Z477" i="10" s="1"/>
  <c r="O474" i="1"/>
  <c r="N474" i="1"/>
  <c r="P473" i="1"/>
  <c r="O473" i="1"/>
  <c r="N473" i="1"/>
  <c r="P472" i="1"/>
  <c r="A475" i="10" s="1"/>
  <c r="Z475" i="10" s="1"/>
  <c r="O472" i="1"/>
  <c r="N472" i="1"/>
  <c r="P471" i="1"/>
  <c r="O471" i="1"/>
  <c r="N471" i="1"/>
  <c r="P470" i="1"/>
  <c r="A473" i="10" s="1"/>
  <c r="Z473" i="10" s="1"/>
  <c r="O470" i="1"/>
  <c r="N470" i="1"/>
  <c r="P469" i="1"/>
  <c r="A472" i="10" s="1"/>
  <c r="Z472" i="10" s="1"/>
  <c r="O469" i="1"/>
  <c r="N469" i="1"/>
  <c r="O468" i="1"/>
  <c r="N468" i="1"/>
  <c r="P467" i="1"/>
  <c r="A470" i="10" s="1"/>
  <c r="Z470" i="10" s="1"/>
  <c r="O467" i="1"/>
  <c r="N467" i="1"/>
  <c r="A469" i="10"/>
  <c r="O466" i="1"/>
  <c r="N466" i="1"/>
  <c r="P465" i="1"/>
  <c r="A468" i="10" s="1"/>
  <c r="Z468" i="10" s="1"/>
  <c r="O465" i="1"/>
  <c r="N465" i="1"/>
  <c r="P464" i="1"/>
  <c r="A467" i="10" s="1"/>
  <c r="Z467" i="10" s="1"/>
  <c r="O464" i="1"/>
  <c r="N464" i="1"/>
  <c r="P463" i="1"/>
  <c r="O463" i="1"/>
  <c r="N463" i="1"/>
  <c r="P462" i="1"/>
  <c r="A465" i="10" s="1"/>
  <c r="Z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Z461" i="10" s="1"/>
  <c r="O458" i="1"/>
  <c r="N458" i="1"/>
  <c r="P457" i="1"/>
  <c r="A460" i="10" s="1"/>
  <c r="Z460" i="10" s="1"/>
  <c r="O457" i="1"/>
  <c r="N457" i="1"/>
  <c r="P456" i="1"/>
  <c r="A459" i="10" s="1"/>
  <c r="Z459" i="10" s="1"/>
  <c r="O456" i="1"/>
  <c r="N456" i="1"/>
  <c r="P455" i="1"/>
  <c r="Q455" i="1" s="1"/>
  <c r="O455" i="1"/>
  <c r="N455" i="1"/>
  <c r="P454" i="1"/>
  <c r="A457" i="10" s="1"/>
  <c r="Z457" i="10" s="1"/>
  <c r="O454" i="1"/>
  <c r="N454" i="1"/>
  <c r="P453" i="1"/>
  <c r="A456" i="10" s="1"/>
  <c r="Z456" i="10" s="1"/>
  <c r="O453" i="1"/>
  <c r="N453" i="1"/>
  <c r="P452" i="1"/>
  <c r="O452" i="1"/>
  <c r="N452" i="1"/>
  <c r="O451" i="1"/>
  <c r="N451" i="1"/>
  <c r="P450" i="1"/>
  <c r="A453" i="10" s="1"/>
  <c r="Z453" i="10" s="1"/>
  <c r="O450" i="1"/>
  <c r="N450" i="1"/>
  <c r="O449" i="1"/>
  <c r="N449" i="1"/>
  <c r="P448" i="1"/>
  <c r="A451" i="10" s="1"/>
  <c r="Z451" i="10" s="1"/>
  <c r="O448" i="1"/>
  <c r="N448" i="1"/>
  <c r="P447" i="1"/>
  <c r="O447" i="1"/>
  <c r="N447" i="1"/>
  <c r="P446" i="1"/>
  <c r="Q446" i="1" s="1"/>
  <c r="O446" i="1"/>
  <c r="N446" i="1"/>
  <c r="A448" i="10"/>
  <c r="Z448" i="10" s="1"/>
  <c r="O445" i="1"/>
  <c r="N445" i="1"/>
  <c r="P444" i="1"/>
  <c r="Q444" i="1" s="1"/>
  <c r="O444" i="1"/>
  <c r="N444" i="1"/>
  <c r="A446" i="10"/>
  <c r="O443" i="1"/>
  <c r="N443" i="1"/>
  <c r="P442" i="1"/>
  <c r="A445" i="10" s="1"/>
  <c r="Z445" i="10" s="1"/>
  <c r="O442" i="1"/>
  <c r="N442" i="1"/>
  <c r="P441" i="1"/>
  <c r="O441" i="1"/>
  <c r="N441" i="1"/>
  <c r="P440" i="1"/>
  <c r="A443" i="10" s="1"/>
  <c r="Z443" i="10" s="1"/>
  <c r="O440" i="1"/>
  <c r="N440" i="1"/>
  <c r="Q439" i="1"/>
  <c r="O439" i="1"/>
  <c r="N439" i="1"/>
  <c r="P438" i="1"/>
  <c r="A441" i="10" s="1"/>
  <c r="Z441" i="10" s="1"/>
  <c r="O438" i="1"/>
  <c r="N438" i="1"/>
  <c r="P437" i="1"/>
  <c r="A440" i="10" s="1"/>
  <c r="Z440" i="10" s="1"/>
  <c r="O437" i="1"/>
  <c r="N437" i="1"/>
  <c r="P436" i="1"/>
  <c r="Q436" i="1" s="1"/>
  <c r="O436" i="1"/>
  <c r="N436" i="1"/>
  <c r="P435" i="1"/>
  <c r="A438" i="10" s="1"/>
  <c r="Z438" i="10" s="1"/>
  <c r="O435" i="1"/>
  <c r="N435" i="1"/>
  <c r="P434" i="1"/>
  <c r="A437" i="10" s="1"/>
  <c r="Z437" i="10" s="1"/>
  <c r="O434" i="1"/>
  <c r="N434" i="1"/>
  <c r="P433" i="1"/>
  <c r="O433" i="1"/>
  <c r="N433" i="1"/>
  <c r="P432" i="1"/>
  <c r="A435" i="10" s="1"/>
  <c r="Z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Z432" i="10" s="1"/>
  <c r="O429" i="1"/>
  <c r="N429" i="1"/>
  <c r="P428" i="1"/>
  <c r="A431" i="10" s="1"/>
  <c r="Z431" i="10" s="1"/>
  <c r="O428" i="1"/>
  <c r="N428" i="1"/>
  <c r="P427" i="1"/>
  <c r="Q427" i="1" s="1"/>
  <c r="O427" i="1"/>
  <c r="N427" i="1"/>
  <c r="P426" i="1"/>
  <c r="A429" i="10" s="1"/>
  <c r="Z429" i="10" s="1"/>
  <c r="O426" i="1"/>
  <c r="N426" i="1"/>
  <c r="O425" i="1"/>
  <c r="N425" i="1"/>
  <c r="A427" i="10"/>
  <c r="Z427" i="10" s="1"/>
  <c r="O424" i="1"/>
  <c r="N424" i="1"/>
  <c r="P423" i="1"/>
  <c r="A426" i="10" s="1"/>
  <c r="Z426" i="10" s="1"/>
  <c r="O423" i="1"/>
  <c r="N423" i="1"/>
  <c r="P422" i="1"/>
  <c r="Q422" i="1" s="1"/>
  <c r="O422" i="1"/>
  <c r="N422" i="1"/>
  <c r="P421" i="1"/>
  <c r="A424" i="10" s="1"/>
  <c r="Z424" i="10" s="1"/>
  <c r="O421" i="1"/>
  <c r="N421" i="1"/>
  <c r="P420" i="1"/>
  <c r="Q420" i="1" s="1"/>
  <c r="O420" i="1"/>
  <c r="N420" i="1"/>
  <c r="P419" i="1"/>
  <c r="A422" i="10" s="1"/>
  <c r="Z422" i="10" s="1"/>
  <c r="O419" i="1"/>
  <c r="N419" i="1"/>
  <c r="P418" i="1"/>
  <c r="A421" i="10" s="1"/>
  <c r="Z421" i="10" s="1"/>
  <c r="O418" i="1"/>
  <c r="N418" i="1"/>
  <c r="P417" i="1"/>
  <c r="O417" i="1"/>
  <c r="N417" i="1"/>
  <c r="P416" i="1"/>
  <c r="A419" i="10" s="1"/>
  <c r="Z419" i="10" s="1"/>
  <c r="O416" i="1"/>
  <c r="N416" i="1"/>
  <c r="P415" i="1"/>
  <c r="A418" i="10" s="1"/>
  <c r="Z418" i="10" s="1"/>
  <c r="O415" i="1"/>
  <c r="N415" i="1"/>
  <c r="P414" i="1"/>
  <c r="Q414" i="1" s="1"/>
  <c r="O414" i="1"/>
  <c r="N414" i="1"/>
  <c r="P413" i="1"/>
  <c r="A416" i="10" s="1"/>
  <c r="Z416" i="10" s="1"/>
  <c r="O413" i="1"/>
  <c r="N413" i="1"/>
  <c r="A415" i="10"/>
  <c r="Z415" i="10" s="1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Z411" i="10" s="1"/>
  <c r="O408" i="1"/>
  <c r="N408" i="1"/>
  <c r="P407" i="1"/>
  <c r="Q407" i="1" s="1"/>
  <c r="O407" i="1"/>
  <c r="N407" i="1"/>
  <c r="P406" i="1"/>
  <c r="A409" i="10" s="1"/>
  <c r="Z409" i="10" s="1"/>
  <c r="O406" i="1"/>
  <c r="N406" i="1"/>
  <c r="P405" i="1"/>
  <c r="A408" i="10" s="1"/>
  <c r="Z408" i="10" s="1"/>
  <c r="O405" i="1"/>
  <c r="N405" i="1"/>
  <c r="P404" i="1"/>
  <c r="Q404" i="1" s="1"/>
  <c r="O404" i="1"/>
  <c r="N404" i="1"/>
  <c r="P403" i="1"/>
  <c r="A406" i="10" s="1"/>
  <c r="Z406" i="10" s="1"/>
  <c r="O403" i="1"/>
  <c r="N403" i="1"/>
  <c r="P402" i="1"/>
  <c r="A405" i="10" s="1"/>
  <c r="Z405" i="10" s="1"/>
  <c r="O402" i="1"/>
  <c r="N402" i="1"/>
  <c r="P401" i="1"/>
  <c r="O401" i="1"/>
  <c r="N401" i="1"/>
  <c r="P400" i="1"/>
  <c r="A403" i="10" s="1"/>
  <c r="Z403" i="10" s="1"/>
  <c r="O400" i="1"/>
  <c r="N400" i="1"/>
  <c r="P399" i="1"/>
  <c r="A402" i="10" s="1"/>
  <c r="Z402" i="10" s="1"/>
  <c r="O399" i="1"/>
  <c r="N399" i="1"/>
  <c r="P398" i="1"/>
  <c r="A401" i="10" s="1"/>
  <c r="Z401" i="10" s="1"/>
  <c r="O398" i="1"/>
  <c r="N398" i="1"/>
  <c r="P397" i="1"/>
  <c r="O397" i="1"/>
  <c r="N397" i="1"/>
  <c r="P396" i="1"/>
  <c r="O396" i="1"/>
  <c r="N396" i="1"/>
  <c r="P395" i="1"/>
  <c r="A398" i="10" s="1"/>
  <c r="Z398" i="10" s="1"/>
  <c r="O395" i="1"/>
  <c r="N395" i="1"/>
  <c r="P394" i="1"/>
  <c r="A397" i="10" s="1"/>
  <c r="Z397" i="10" s="1"/>
  <c r="O394" i="1"/>
  <c r="N394" i="1"/>
  <c r="P393" i="1"/>
  <c r="O393" i="1"/>
  <c r="N393" i="1"/>
  <c r="P392" i="1"/>
  <c r="A395" i="10" s="1"/>
  <c r="Z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Z389" i="10" s="1"/>
  <c r="O386" i="1"/>
  <c r="N386" i="1"/>
  <c r="P385" i="1"/>
  <c r="O385" i="1"/>
  <c r="N385" i="1"/>
  <c r="P384" i="1"/>
  <c r="A387" i="10" s="1"/>
  <c r="Z387" i="10" s="1"/>
  <c r="O384" i="1"/>
  <c r="N384" i="1"/>
  <c r="P383" i="1"/>
  <c r="A386" i="10" s="1"/>
  <c r="Z386" i="10" s="1"/>
  <c r="O383" i="1"/>
  <c r="N383" i="1"/>
  <c r="P382" i="1"/>
  <c r="Q382" i="1" s="1"/>
  <c r="O382" i="1"/>
  <c r="N382" i="1"/>
  <c r="P381" i="1"/>
  <c r="A384" i="10" s="1"/>
  <c r="Z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Z381" i="10" s="1"/>
  <c r="O378" i="1"/>
  <c r="N378" i="1"/>
  <c r="P377" i="1"/>
  <c r="O377" i="1"/>
  <c r="N377" i="1"/>
  <c r="P376" i="1"/>
  <c r="A379" i="10" s="1"/>
  <c r="Z379" i="10" s="1"/>
  <c r="O376" i="1"/>
  <c r="N376" i="1"/>
  <c r="P375" i="1"/>
  <c r="A378" i="10" s="1"/>
  <c r="Z378" i="10" s="1"/>
  <c r="O375" i="1"/>
  <c r="N375" i="1"/>
  <c r="P374" i="1"/>
  <c r="A377" i="10" s="1"/>
  <c r="Z377" i="10" s="1"/>
  <c r="O374" i="1"/>
  <c r="N374" i="1"/>
  <c r="P373" i="1"/>
  <c r="A376" i="10" s="1"/>
  <c r="Z376" i="10" s="1"/>
  <c r="O373" i="1"/>
  <c r="N373" i="1"/>
  <c r="P372" i="1"/>
  <c r="A375" i="10" s="1"/>
  <c r="Z375" i="10" s="1"/>
  <c r="O372" i="1"/>
  <c r="N372" i="1"/>
  <c r="A374" i="10"/>
  <c r="Z374" i="10" s="1"/>
  <c r="O371" i="1"/>
  <c r="N371" i="1"/>
  <c r="P370" i="1"/>
  <c r="A373" i="10" s="1"/>
  <c r="Z373" i="10" s="1"/>
  <c r="O370" i="1"/>
  <c r="N370" i="1"/>
  <c r="P369" i="1"/>
  <c r="O369" i="1"/>
  <c r="N369" i="1"/>
  <c r="P368" i="1"/>
  <c r="A371" i="10" s="1"/>
  <c r="Z371" i="10" s="1"/>
  <c r="O368" i="1"/>
  <c r="N368" i="1"/>
  <c r="P367" i="1"/>
  <c r="Q367" i="1" s="1"/>
  <c r="O367" i="1"/>
  <c r="N367" i="1"/>
  <c r="P366" i="1"/>
  <c r="Q366" i="1" s="1"/>
  <c r="O366" i="1"/>
  <c r="N366" i="1"/>
  <c r="P365" i="1"/>
  <c r="A368" i="10" s="1"/>
  <c r="Z368" i="10" s="1"/>
  <c r="O365" i="1"/>
  <c r="N365" i="1"/>
  <c r="P364" i="1"/>
  <c r="Q364" i="1" s="1"/>
  <c r="O364" i="1"/>
  <c r="N364" i="1"/>
  <c r="A366" i="10"/>
  <c r="Z366" i="10" s="1"/>
  <c r="O363" i="1"/>
  <c r="N363" i="1"/>
  <c r="P362" i="1"/>
  <c r="A365" i="10" s="1"/>
  <c r="Z365" i="10" s="1"/>
  <c r="O362" i="1"/>
  <c r="N362" i="1"/>
  <c r="P361" i="1"/>
  <c r="O361" i="1"/>
  <c r="N361" i="1"/>
  <c r="P360" i="1"/>
  <c r="A363" i="10" s="1"/>
  <c r="Z363" i="10" s="1"/>
  <c r="O360" i="1"/>
  <c r="N360" i="1"/>
  <c r="P359" i="1"/>
  <c r="A362" i="10" s="1"/>
  <c r="Z362" i="10" s="1"/>
  <c r="O359" i="1"/>
  <c r="N359" i="1"/>
  <c r="P358" i="1"/>
  <c r="A361" i="10" s="1"/>
  <c r="Z361" i="10" s="1"/>
  <c r="O358" i="1"/>
  <c r="N358" i="1"/>
  <c r="P357" i="1"/>
  <c r="A360" i="10" s="1"/>
  <c r="Z360" i="10" s="1"/>
  <c r="O357" i="1"/>
  <c r="N357" i="1"/>
  <c r="P356" i="1"/>
  <c r="A359" i="10" s="1"/>
  <c r="Z359" i="10" s="1"/>
  <c r="O356" i="1"/>
  <c r="N356" i="1"/>
  <c r="P355" i="1"/>
  <c r="Q355" i="1" s="1"/>
  <c r="O355" i="1"/>
  <c r="N355" i="1"/>
  <c r="P354" i="1"/>
  <c r="A357" i="10" s="1"/>
  <c r="Z357" i="10" s="1"/>
  <c r="O354" i="1"/>
  <c r="N354" i="1"/>
  <c r="P353" i="1"/>
  <c r="O353" i="1"/>
  <c r="N353" i="1"/>
  <c r="P352" i="1"/>
  <c r="A355" i="10" s="1"/>
  <c r="Z355" i="10" s="1"/>
  <c r="O352" i="1"/>
  <c r="N352" i="1"/>
  <c r="O351" i="1"/>
  <c r="N351" i="1"/>
  <c r="O350" i="1"/>
  <c r="N350" i="1"/>
  <c r="P349" i="1"/>
  <c r="A352" i="10" s="1"/>
  <c r="Z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Z347" i="10" s="1"/>
  <c r="O344" i="1"/>
  <c r="N344" i="1"/>
  <c r="P343" i="1"/>
  <c r="O343" i="1"/>
  <c r="N343" i="1"/>
  <c r="P342" i="1"/>
  <c r="A345" i="10" s="1"/>
  <c r="Z345" i="10" s="1"/>
  <c r="O342" i="1"/>
  <c r="N342" i="1"/>
  <c r="P341" i="1"/>
  <c r="A344" i="10" s="1"/>
  <c r="Z344" i="10" s="1"/>
  <c r="O341" i="1"/>
  <c r="N341" i="1"/>
  <c r="P340" i="1"/>
  <c r="A343" i="10" s="1"/>
  <c r="Z343" i="10" s="1"/>
  <c r="O340" i="1"/>
  <c r="N340" i="1"/>
  <c r="P339" i="1"/>
  <c r="A342" i="10" s="1"/>
  <c r="Z342" i="10" s="1"/>
  <c r="O339" i="1"/>
  <c r="N339" i="1"/>
  <c r="P338" i="1"/>
  <c r="A341" i="10" s="1"/>
  <c r="Z341" i="10" s="1"/>
  <c r="O338" i="1"/>
  <c r="N338" i="1"/>
  <c r="P337" i="1"/>
  <c r="A340" i="10" s="1"/>
  <c r="Z340" i="10" s="1"/>
  <c r="O337" i="1"/>
  <c r="N337" i="1"/>
  <c r="P336" i="1"/>
  <c r="A339" i="10" s="1"/>
  <c r="Z339" i="10" s="1"/>
  <c r="O336" i="1"/>
  <c r="N336" i="1"/>
  <c r="P335" i="1"/>
  <c r="O335" i="1"/>
  <c r="N335" i="1"/>
  <c r="P334" i="1"/>
  <c r="O334" i="1"/>
  <c r="N334" i="1"/>
  <c r="P333" i="1"/>
  <c r="A336" i="10" s="1"/>
  <c r="Z336" i="10" s="1"/>
  <c r="O333" i="1"/>
  <c r="N333" i="1"/>
  <c r="P332" i="1"/>
  <c r="O332" i="1"/>
  <c r="N332" i="1"/>
  <c r="P331" i="1"/>
  <c r="A334" i="10" s="1"/>
  <c r="Z334" i="10" s="1"/>
  <c r="O331" i="1"/>
  <c r="N331" i="1"/>
  <c r="P330" i="1"/>
  <c r="A333" i="10" s="1"/>
  <c r="Z333" i="10" s="1"/>
  <c r="O330" i="1"/>
  <c r="N330" i="1"/>
  <c r="P329" i="1"/>
  <c r="A332" i="10" s="1"/>
  <c r="Z332" i="10" s="1"/>
  <c r="O329" i="1"/>
  <c r="N329" i="1"/>
  <c r="P328" i="1"/>
  <c r="A331" i="10" s="1"/>
  <c r="Z331" i="10" s="1"/>
  <c r="O328" i="1"/>
  <c r="N328" i="1"/>
  <c r="P327" i="1"/>
  <c r="Q327" i="1" s="1"/>
  <c r="O327" i="1"/>
  <c r="N327" i="1"/>
  <c r="P326" i="1"/>
  <c r="A329" i="10" s="1"/>
  <c r="Z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Z326" i="10" s="1"/>
  <c r="O323" i="1"/>
  <c r="N323" i="1"/>
  <c r="P322" i="1"/>
  <c r="Q322" i="1" s="1"/>
  <c r="O322" i="1"/>
  <c r="N322" i="1"/>
  <c r="P321" i="1"/>
  <c r="A324" i="10" s="1"/>
  <c r="Z324" i="10" s="1"/>
  <c r="O321" i="1"/>
  <c r="N321" i="1"/>
  <c r="P320" i="1"/>
  <c r="A323" i="10" s="1"/>
  <c r="Z323" i="10" s="1"/>
  <c r="O320" i="1"/>
  <c r="N320" i="1"/>
  <c r="P319" i="1"/>
  <c r="A322" i="10" s="1"/>
  <c r="Z322" i="10" s="1"/>
  <c r="O319" i="1"/>
  <c r="N319" i="1"/>
  <c r="P318" i="1"/>
  <c r="A321" i="10" s="1"/>
  <c r="Z321" i="10" s="1"/>
  <c r="O318" i="1"/>
  <c r="N318" i="1"/>
  <c r="P317" i="1"/>
  <c r="A320" i="10" s="1"/>
  <c r="Z320" i="10" s="1"/>
  <c r="O317" i="1"/>
  <c r="N317" i="1"/>
  <c r="P316" i="1"/>
  <c r="O316" i="1"/>
  <c r="N316" i="1"/>
  <c r="P315" i="1"/>
  <c r="A318" i="10" s="1"/>
  <c r="Z318" i="10" s="1"/>
  <c r="O315" i="1"/>
  <c r="N315" i="1"/>
  <c r="P314" i="1"/>
  <c r="A317" i="10" s="1"/>
  <c r="Z317" i="10" s="1"/>
  <c r="O314" i="1"/>
  <c r="N314" i="1"/>
  <c r="O313" i="1"/>
  <c r="N313" i="1"/>
  <c r="P312" i="1"/>
  <c r="A315" i="10" s="1"/>
  <c r="Z315" i="10" s="1"/>
  <c r="O312" i="1"/>
  <c r="N312" i="1"/>
  <c r="P311" i="1"/>
  <c r="Q311" i="1" s="1"/>
  <c r="O311" i="1"/>
  <c r="N311" i="1"/>
  <c r="P310" i="1"/>
  <c r="A313" i="10" s="1"/>
  <c r="Z313" i="10" s="1"/>
  <c r="O310" i="1"/>
  <c r="N310" i="1"/>
  <c r="A312" i="10"/>
  <c r="O309" i="1"/>
  <c r="N309" i="1"/>
  <c r="P308" i="1"/>
  <c r="O308" i="1"/>
  <c r="N308" i="1"/>
  <c r="P307" i="1"/>
  <c r="Q307" i="1" s="1"/>
  <c r="O307" i="1"/>
  <c r="N307" i="1"/>
  <c r="P306" i="1"/>
  <c r="A309" i="10" s="1"/>
  <c r="Z309" i="10" s="1"/>
  <c r="O306" i="1"/>
  <c r="N306" i="1"/>
  <c r="P305" i="1"/>
  <c r="O305" i="1"/>
  <c r="N305" i="1"/>
  <c r="P304" i="1"/>
  <c r="A307" i="10" s="1"/>
  <c r="Z307" i="10" s="1"/>
  <c r="O304" i="1"/>
  <c r="N304" i="1"/>
  <c r="P303" i="1"/>
  <c r="A306" i="10" s="1"/>
  <c r="Z306" i="10" s="1"/>
  <c r="O303" i="1"/>
  <c r="N303" i="1"/>
  <c r="P302" i="1"/>
  <c r="Q302" i="1" s="1"/>
  <c r="O302" i="1"/>
  <c r="N302" i="1"/>
  <c r="P301" i="1"/>
  <c r="A304" i="10" s="1"/>
  <c r="Z304" i="10" s="1"/>
  <c r="O301" i="1"/>
  <c r="N301" i="1"/>
  <c r="P300" i="1"/>
  <c r="A303" i="10" s="1"/>
  <c r="Z303" i="10" s="1"/>
  <c r="O300" i="1"/>
  <c r="N300" i="1"/>
  <c r="P299" i="1"/>
  <c r="A302" i="10" s="1"/>
  <c r="Z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Z299" i="10" s="1"/>
  <c r="O296" i="1"/>
  <c r="N296" i="1"/>
  <c r="P295" i="1"/>
  <c r="A298" i="10" s="1"/>
  <c r="Z298" i="10" s="1"/>
  <c r="O295" i="1"/>
  <c r="N295" i="1"/>
  <c r="P294" i="1"/>
  <c r="A297" i="10" s="1"/>
  <c r="Z297" i="10" s="1"/>
  <c r="O294" i="1"/>
  <c r="N294" i="1"/>
  <c r="P293" i="1"/>
  <c r="A296" i="10" s="1"/>
  <c r="Z296" i="10" s="1"/>
  <c r="O293" i="1"/>
  <c r="N293" i="1"/>
  <c r="P292" i="1"/>
  <c r="Q292" i="1" s="1"/>
  <c r="O292" i="1"/>
  <c r="N292" i="1"/>
  <c r="P291" i="1"/>
  <c r="A294" i="10" s="1"/>
  <c r="Z294" i="10" s="1"/>
  <c r="O291" i="1"/>
  <c r="N291" i="1"/>
  <c r="P290" i="1"/>
  <c r="A293" i="10" s="1"/>
  <c r="Z293" i="10" s="1"/>
  <c r="O290" i="1"/>
  <c r="N290" i="1"/>
  <c r="P289" i="1"/>
  <c r="O289" i="1"/>
  <c r="N289" i="1"/>
  <c r="P288" i="1"/>
  <c r="A291" i="10" s="1"/>
  <c r="Z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Z288" i="10" s="1"/>
  <c r="O285" i="1"/>
  <c r="N285" i="1"/>
  <c r="O284" i="1"/>
  <c r="N284" i="1"/>
  <c r="A286" i="10"/>
  <c r="Z286" i="10" s="1"/>
  <c r="O283" i="1"/>
  <c r="N283" i="1"/>
  <c r="P282" i="1"/>
  <c r="A285" i="10" s="1"/>
  <c r="Z285" i="10" s="1"/>
  <c r="O282" i="1"/>
  <c r="N282" i="1"/>
  <c r="P281" i="1"/>
  <c r="A284" i="10" s="1"/>
  <c r="Z284" i="10" s="1"/>
  <c r="O281" i="1"/>
  <c r="N281" i="1"/>
  <c r="P280" i="1"/>
  <c r="A283" i="10" s="1"/>
  <c r="Z283" i="10" s="1"/>
  <c r="O280" i="1"/>
  <c r="N280" i="1"/>
  <c r="P279" i="1"/>
  <c r="Q279" i="1" s="1"/>
  <c r="O279" i="1"/>
  <c r="N279" i="1"/>
  <c r="P278" i="1"/>
  <c r="A281" i="10" s="1"/>
  <c r="Z281" i="10" s="1"/>
  <c r="O278" i="1"/>
  <c r="N278" i="1"/>
  <c r="A280" i="10"/>
  <c r="Z280" i="10" s="1"/>
  <c r="O277" i="1"/>
  <c r="N277" i="1"/>
  <c r="P276" i="1"/>
  <c r="A279" i="10" s="1"/>
  <c r="Z279" i="10" s="1"/>
  <c r="O276" i="1"/>
  <c r="N276" i="1"/>
  <c r="A278" i="10"/>
  <c r="Z278" i="10" s="1"/>
  <c r="O275" i="1"/>
  <c r="N275" i="1"/>
  <c r="P274" i="1"/>
  <c r="A277" i="10" s="1"/>
  <c r="Z277" i="10" s="1"/>
  <c r="O274" i="1"/>
  <c r="N274" i="1"/>
  <c r="P273" i="1"/>
  <c r="O273" i="1"/>
  <c r="N273" i="1"/>
  <c r="P272" i="1"/>
  <c r="A275" i="10" s="1"/>
  <c r="Z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O268" i="1"/>
  <c r="N268" i="1"/>
  <c r="P267" i="1"/>
  <c r="Q267" i="1" s="1"/>
  <c r="O267" i="1"/>
  <c r="N267" i="1"/>
  <c r="P266" i="1"/>
  <c r="A269" i="10" s="1"/>
  <c r="Z269" i="10" s="1"/>
  <c r="O266" i="1"/>
  <c r="N266" i="1"/>
  <c r="P265" i="1"/>
  <c r="A268" i="10" s="1"/>
  <c r="Z268" i="10" s="1"/>
  <c r="O265" i="1"/>
  <c r="N265" i="1"/>
  <c r="P264" i="1"/>
  <c r="A267" i="10" s="1"/>
  <c r="Z267" i="10" s="1"/>
  <c r="O264" i="1"/>
  <c r="N264" i="1"/>
  <c r="P263" i="1"/>
  <c r="A266" i="10" s="1"/>
  <c r="Z266" i="10" s="1"/>
  <c r="O263" i="1"/>
  <c r="N263" i="1"/>
  <c r="P262" i="1"/>
  <c r="A265" i="10" s="1"/>
  <c r="Z265" i="10" s="1"/>
  <c r="O262" i="1"/>
  <c r="N262" i="1"/>
  <c r="P261" i="1"/>
  <c r="Q261" i="1" s="1"/>
  <c r="O261" i="1"/>
  <c r="N261" i="1"/>
  <c r="P260" i="1"/>
  <c r="A263" i="10" s="1"/>
  <c r="Z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Z260" i="10" s="1"/>
  <c r="O257" i="1"/>
  <c r="N257" i="1"/>
  <c r="P256" i="1"/>
  <c r="A259" i="10" s="1"/>
  <c r="Z259" i="10" s="1"/>
  <c r="O256" i="1"/>
  <c r="N256" i="1"/>
  <c r="P255" i="1"/>
  <c r="A258" i="10" s="1"/>
  <c r="Z258" i="10" s="1"/>
  <c r="O255" i="1"/>
  <c r="N255" i="1"/>
  <c r="P254" i="1"/>
  <c r="Q254" i="1" s="1"/>
  <c r="O254" i="1"/>
  <c r="N254" i="1"/>
  <c r="A256" i="10"/>
  <c r="Z256" i="10" s="1"/>
  <c r="O253" i="1"/>
  <c r="N253" i="1"/>
  <c r="P252" i="1"/>
  <c r="Q252" i="1" s="1"/>
  <c r="O252" i="1"/>
  <c r="N252" i="1"/>
  <c r="P251" i="1"/>
  <c r="A254" i="10" s="1"/>
  <c r="Z254" i="10" s="1"/>
  <c r="O251" i="1"/>
  <c r="N251" i="1"/>
  <c r="P250" i="1"/>
  <c r="A253" i="10" s="1"/>
  <c r="Z253" i="10" s="1"/>
  <c r="O250" i="1"/>
  <c r="N250" i="1"/>
  <c r="P249" i="1"/>
  <c r="A252" i="10" s="1"/>
  <c r="Z252" i="10" s="1"/>
  <c r="O249" i="1"/>
  <c r="N249" i="1"/>
  <c r="P248" i="1"/>
  <c r="A251" i="10" s="1"/>
  <c r="Z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Z248" i="10" s="1"/>
  <c r="O245" i="1"/>
  <c r="N245" i="1"/>
  <c r="P244" i="1"/>
  <c r="Q244" i="1" s="1"/>
  <c r="O244" i="1"/>
  <c r="N244" i="1"/>
  <c r="P243" i="1"/>
  <c r="A246" i="10" s="1"/>
  <c r="Z246" i="10" s="1"/>
  <c r="O243" i="1"/>
  <c r="N243" i="1"/>
  <c r="A245" i="10"/>
  <c r="Z245" i="10" s="1"/>
  <c r="O242" i="1"/>
  <c r="N242" i="1"/>
  <c r="P241" i="1"/>
  <c r="A244" i="10" s="1"/>
  <c r="Z244" i="10" s="1"/>
  <c r="O241" i="1"/>
  <c r="N241" i="1"/>
  <c r="P240" i="1"/>
  <c r="A243" i="10" s="1"/>
  <c r="Z243" i="10" s="1"/>
  <c r="O240" i="1"/>
  <c r="N240" i="1"/>
  <c r="P239" i="1"/>
  <c r="A242" i="10" s="1"/>
  <c r="Z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Z239" i="10" s="1"/>
  <c r="O236" i="1"/>
  <c r="N236" i="1"/>
  <c r="P235" i="1"/>
  <c r="Q235" i="1" s="1"/>
  <c r="O235" i="1"/>
  <c r="N235" i="1"/>
  <c r="A237" i="10"/>
  <c r="Z237" i="10" s="1"/>
  <c r="O234" i="1"/>
  <c r="N234" i="1"/>
  <c r="O233" i="1"/>
  <c r="N233" i="1"/>
  <c r="P232" i="1"/>
  <c r="A235" i="10" s="1"/>
  <c r="Z235" i="10" s="1"/>
  <c r="O232" i="1"/>
  <c r="N232" i="1"/>
  <c r="P231" i="1"/>
  <c r="Q231" i="1" s="1"/>
  <c r="O231" i="1"/>
  <c r="N231" i="1"/>
  <c r="O230" i="1"/>
  <c r="N230" i="1"/>
  <c r="P229" i="1"/>
  <c r="A232" i="10" s="1"/>
  <c r="Z232" i="10" s="1"/>
  <c r="O229" i="1"/>
  <c r="N229" i="1"/>
  <c r="P228" i="1"/>
  <c r="A231" i="10" s="1"/>
  <c r="Z231" i="10" s="1"/>
  <c r="O228" i="1"/>
  <c r="N228" i="1"/>
  <c r="A230" i="10"/>
  <c r="Z230" i="10" s="1"/>
  <c r="O227" i="1"/>
  <c r="N227" i="1"/>
  <c r="P226" i="1"/>
  <c r="A229" i="10" s="1"/>
  <c r="Z229" i="10" s="1"/>
  <c r="O226" i="1"/>
  <c r="N226" i="1"/>
  <c r="P225" i="1"/>
  <c r="O225" i="1"/>
  <c r="N225" i="1"/>
  <c r="P224" i="1"/>
  <c r="A227" i="10" s="1"/>
  <c r="Z227" i="10" s="1"/>
  <c r="O224" i="1"/>
  <c r="N224" i="1"/>
  <c r="P223" i="1"/>
  <c r="O223" i="1"/>
  <c r="N223" i="1"/>
  <c r="P222" i="1"/>
  <c r="A225" i="10" s="1"/>
  <c r="Z225" i="10" s="1"/>
  <c r="O222" i="1"/>
  <c r="N222" i="1"/>
  <c r="P221" i="1"/>
  <c r="A224" i="10" s="1"/>
  <c r="Z224" i="10" s="1"/>
  <c r="O221" i="1"/>
  <c r="N221" i="1"/>
  <c r="P220" i="1"/>
  <c r="A223" i="10" s="1"/>
  <c r="Z223" i="10" s="1"/>
  <c r="O220" i="1"/>
  <c r="N220" i="1"/>
  <c r="P219" i="1"/>
  <c r="A222" i="10" s="1"/>
  <c r="Z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Z219" i="10" s="1"/>
  <c r="O216" i="1"/>
  <c r="N216" i="1"/>
  <c r="P215" i="1"/>
  <c r="Q215" i="1" s="1"/>
  <c r="O215" i="1"/>
  <c r="N215" i="1"/>
  <c r="P214" i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Z213" i="10" s="1"/>
  <c r="O210" i="1"/>
  <c r="N210" i="1"/>
  <c r="P209" i="1"/>
  <c r="O209" i="1"/>
  <c r="N209" i="1"/>
  <c r="P208" i="1"/>
  <c r="A211" i="10" s="1"/>
  <c r="Z211" i="10" s="1"/>
  <c r="O208" i="1"/>
  <c r="N208" i="1"/>
  <c r="P207" i="1"/>
  <c r="A210" i="10" s="1"/>
  <c r="Z210" i="10" s="1"/>
  <c r="O207" i="1"/>
  <c r="N207" i="1"/>
  <c r="P206" i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Z206" i="10" s="1"/>
  <c r="O203" i="1"/>
  <c r="N203" i="1"/>
  <c r="P202" i="1"/>
  <c r="A205" i="10" s="1"/>
  <c r="Z205" i="10" s="1"/>
  <c r="O202" i="1"/>
  <c r="N202" i="1"/>
  <c r="A204" i="10"/>
  <c r="Z204" i="10" s="1"/>
  <c r="O201" i="1"/>
  <c r="N201" i="1"/>
  <c r="P200" i="1"/>
  <c r="A203" i="10" s="1"/>
  <c r="Z203" i="10" s="1"/>
  <c r="O200" i="1"/>
  <c r="N200" i="1"/>
  <c r="P199" i="1"/>
  <c r="O199" i="1"/>
  <c r="N199" i="1"/>
  <c r="P198" i="1"/>
  <c r="A201" i="10" s="1"/>
  <c r="Z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Z197" i="10" s="1"/>
  <c r="O194" i="1"/>
  <c r="N194" i="1"/>
  <c r="P193" i="1"/>
  <c r="O193" i="1"/>
  <c r="N193" i="1"/>
  <c r="P192" i="1"/>
  <c r="A195" i="10" s="1"/>
  <c r="Z195" i="10" s="1"/>
  <c r="O192" i="1"/>
  <c r="N192" i="1"/>
  <c r="P191" i="1"/>
  <c r="A194" i="10" s="1"/>
  <c r="Z194" i="10" s="1"/>
  <c r="O191" i="1"/>
  <c r="N191" i="1"/>
  <c r="P190" i="1"/>
  <c r="O190" i="1"/>
  <c r="N190" i="1"/>
  <c r="P189" i="1"/>
  <c r="A192" i="10" s="1"/>
  <c r="Z192" i="10" s="1"/>
  <c r="O189" i="1"/>
  <c r="N189" i="1"/>
  <c r="A191" i="10"/>
  <c r="Z191" i="10" s="1"/>
  <c r="O188" i="1"/>
  <c r="N188" i="1"/>
  <c r="P187" i="1"/>
  <c r="A190" i="10" s="1"/>
  <c r="Z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Z187" i="10" s="1"/>
  <c r="O184" i="1"/>
  <c r="N184" i="1"/>
  <c r="Q183" i="1"/>
  <c r="O183" i="1"/>
  <c r="N183" i="1"/>
  <c r="P182" i="1"/>
  <c r="A185" i="10" s="1"/>
  <c r="Z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Z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Z179" i="10" s="1"/>
  <c r="O176" i="1"/>
  <c r="N176" i="1"/>
  <c r="P175" i="1"/>
  <c r="O175" i="1"/>
  <c r="N175" i="1"/>
  <c r="P174" i="1"/>
  <c r="A177" i="10" s="1"/>
  <c r="Z177" i="10" s="1"/>
  <c r="O174" i="1"/>
  <c r="N174" i="1"/>
  <c r="P173" i="1"/>
  <c r="A176" i="10" s="1"/>
  <c r="Z176" i="10" s="1"/>
  <c r="O173" i="1"/>
  <c r="N173" i="1"/>
  <c r="P172" i="1"/>
  <c r="Q172" i="1" s="1"/>
  <c r="O172" i="1"/>
  <c r="N172" i="1"/>
  <c r="P171" i="1"/>
  <c r="A174" i="10" s="1"/>
  <c r="Z174" i="10" s="1"/>
  <c r="O171" i="1"/>
  <c r="N171" i="1"/>
  <c r="P170" i="1"/>
  <c r="A173" i="10" s="1"/>
  <c r="Z173" i="10" s="1"/>
  <c r="O170" i="1"/>
  <c r="N170" i="1"/>
  <c r="P169" i="1"/>
  <c r="A172" i="10" s="1"/>
  <c r="Z172" i="10" s="1"/>
  <c r="O169" i="1"/>
  <c r="N169" i="1"/>
  <c r="P168" i="1"/>
  <c r="A171" i="10" s="1"/>
  <c r="Z171" i="10" s="1"/>
  <c r="O168" i="1"/>
  <c r="N168" i="1"/>
  <c r="P167" i="1"/>
  <c r="A170" i="10" s="1"/>
  <c r="Z170" i="10" s="1"/>
  <c r="O167" i="1"/>
  <c r="N167" i="1"/>
  <c r="P166" i="1"/>
  <c r="O166" i="1"/>
  <c r="N166" i="1"/>
  <c r="P165" i="1"/>
  <c r="A168" i="10" s="1"/>
  <c r="Z168" i="10" s="1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Z165" i="10" s="1"/>
  <c r="O162" i="1"/>
  <c r="N162" i="1"/>
  <c r="P161" i="1"/>
  <c r="O161" i="1"/>
  <c r="N161" i="1"/>
  <c r="P160" i="1"/>
  <c r="A163" i="10" s="1"/>
  <c r="Z163" i="10" s="1"/>
  <c r="O160" i="1"/>
  <c r="N160" i="1"/>
  <c r="P159" i="1"/>
  <c r="Q159" i="1" s="1"/>
  <c r="O159" i="1"/>
  <c r="N159" i="1"/>
  <c r="P158" i="1"/>
  <c r="A161" i="10" s="1"/>
  <c r="Z161" i="10" s="1"/>
  <c r="O158" i="1"/>
  <c r="N158" i="1"/>
  <c r="P157" i="1"/>
  <c r="A160" i="10" s="1"/>
  <c r="Z160" i="10" s="1"/>
  <c r="O157" i="1"/>
  <c r="N157" i="1"/>
  <c r="P156" i="1"/>
  <c r="O156" i="1"/>
  <c r="N156" i="1"/>
  <c r="P155" i="1"/>
  <c r="A158" i="10" s="1"/>
  <c r="Z158" i="10" s="1"/>
  <c r="O155" i="1"/>
  <c r="N155" i="1"/>
  <c r="P154" i="1"/>
  <c r="Q154" i="1" s="1"/>
  <c r="O154" i="1"/>
  <c r="N154" i="1"/>
  <c r="O153" i="1"/>
  <c r="N153" i="1"/>
  <c r="P152" i="1"/>
  <c r="A155" i="10" s="1"/>
  <c r="Z155" i="10" s="1"/>
  <c r="O152" i="1"/>
  <c r="N152" i="1"/>
  <c r="Q151" i="1"/>
  <c r="O151" i="1"/>
  <c r="N151" i="1"/>
  <c r="P150" i="1"/>
  <c r="A153" i="10" s="1"/>
  <c r="Z153" i="10" s="1"/>
  <c r="O150" i="1"/>
  <c r="N150" i="1"/>
  <c r="P149" i="1"/>
  <c r="Q149" i="1" s="1"/>
  <c r="O149" i="1"/>
  <c r="N149" i="1"/>
  <c r="P148" i="1"/>
  <c r="A151" i="10" s="1"/>
  <c r="Z151" i="10" s="1"/>
  <c r="O148" i="1"/>
  <c r="N148" i="1"/>
  <c r="P147" i="1"/>
  <c r="A150" i="10" s="1"/>
  <c r="Z150" i="10" s="1"/>
  <c r="O147" i="1"/>
  <c r="N147" i="1"/>
  <c r="P146" i="1"/>
  <c r="A149" i="10" s="1"/>
  <c r="Z149" i="10" s="1"/>
  <c r="O146" i="1"/>
  <c r="N146" i="1"/>
  <c r="P145" i="1"/>
  <c r="O145" i="1"/>
  <c r="N145" i="1"/>
  <c r="P144" i="1"/>
  <c r="A147" i="10" s="1"/>
  <c r="Z147" i="10" s="1"/>
  <c r="O144" i="1"/>
  <c r="N144" i="1"/>
  <c r="P143" i="1"/>
  <c r="O143" i="1"/>
  <c r="N143" i="1"/>
  <c r="P142" i="1"/>
  <c r="A145" i="10" s="1"/>
  <c r="Z145" i="10" s="1"/>
  <c r="O142" i="1"/>
  <c r="N142" i="1"/>
  <c r="P141" i="1"/>
  <c r="Q141" i="1" s="1"/>
  <c r="O141" i="1"/>
  <c r="N141" i="1"/>
  <c r="P140" i="1"/>
  <c r="A143" i="10" s="1"/>
  <c r="Z143" i="10" s="1"/>
  <c r="O140" i="1"/>
  <c r="N140" i="1"/>
  <c r="P139" i="1"/>
  <c r="A142" i="10" s="1"/>
  <c r="Z142" i="10" s="1"/>
  <c r="O139" i="1"/>
  <c r="N139" i="1"/>
  <c r="P138" i="1"/>
  <c r="A141" i="10" s="1"/>
  <c r="Z141" i="10" s="1"/>
  <c r="O138" i="1"/>
  <c r="N138" i="1"/>
  <c r="P137" i="1"/>
  <c r="O137" i="1"/>
  <c r="N137" i="1"/>
  <c r="P136" i="1"/>
  <c r="A139" i="10" s="1"/>
  <c r="Z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Z134" i="10" s="1"/>
  <c r="O131" i="1"/>
  <c r="N131" i="1"/>
  <c r="P130" i="1"/>
  <c r="A133" i="10" s="1"/>
  <c r="Z133" i="10" s="1"/>
  <c r="O130" i="1"/>
  <c r="N130" i="1"/>
  <c r="P129" i="1"/>
  <c r="A132" i="10" s="1"/>
  <c r="Z132" i="10" s="1"/>
  <c r="O129" i="1"/>
  <c r="N129" i="1"/>
  <c r="P128" i="1"/>
  <c r="A131" i="10" s="1"/>
  <c r="Z131" i="10" s="1"/>
  <c r="O128" i="1"/>
  <c r="N128" i="1"/>
  <c r="P127" i="1"/>
  <c r="A130" i="10" s="1"/>
  <c r="Z130" i="10" s="1"/>
  <c r="O127" i="1"/>
  <c r="N127" i="1"/>
  <c r="P126" i="1"/>
  <c r="O126" i="1"/>
  <c r="N126" i="1"/>
  <c r="P125" i="1"/>
  <c r="A128" i="10" s="1"/>
  <c r="Z128" i="10" s="1"/>
  <c r="O125" i="1"/>
  <c r="N125" i="1"/>
  <c r="P124" i="1"/>
  <c r="A127" i="10" s="1"/>
  <c r="Z127" i="10" s="1"/>
  <c r="O124" i="1"/>
  <c r="N124" i="1"/>
  <c r="P123" i="1"/>
  <c r="Q123" i="1" s="1"/>
  <c r="O123" i="1"/>
  <c r="N123" i="1"/>
  <c r="P122" i="1"/>
  <c r="A125" i="10" s="1"/>
  <c r="Z125" i="10" s="1"/>
  <c r="O122" i="1"/>
  <c r="N122" i="1"/>
  <c r="Q121" i="1"/>
  <c r="O121" i="1"/>
  <c r="N121" i="1"/>
  <c r="P120" i="1"/>
  <c r="A123" i="10" s="1"/>
  <c r="Z123" i="10" s="1"/>
  <c r="O120" i="1"/>
  <c r="N120" i="1"/>
  <c r="P119" i="1"/>
  <c r="A122" i="10" s="1"/>
  <c r="Z122" i="10" s="1"/>
  <c r="O119" i="1"/>
  <c r="N119" i="1"/>
  <c r="O118" i="1"/>
  <c r="N118" i="1"/>
  <c r="A120" i="10"/>
  <c r="O117" i="1"/>
  <c r="N117" i="1"/>
  <c r="P116" i="1"/>
  <c r="A119" i="10" s="1"/>
  <c r="Z119" i="10" s="1"/>
  <c r="O116" i="1"/>
  <c r="N116" i="1"/>
  <c r="P115" i="1"/>
  <c r="A118" i="10" s="1"/>
  <c r="Z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Z115" i="10" s="1"/>
  <c r="O112" i="1"/>
  <c r="N112" i="1"/>
  <c r="P111" i="1"/>
  <c r="A114" i="10" s="1"/>
  <c r="Z114" i="10" s="1"/>
  <c r="O111" i="1"/>
  <c r="N111" i="1"/>
  <c r="P110" i="1"/>
  <c r="A113" i="10" s="1"/>
  <c r="Z113" i="10" s="1"/>
  <c r="O110" i="1"/>
  <c r="N110" i="1"/>
  <c r="P109" i="1"/>
  <c r="A112" i="10" s="1"/>
  <c r="Z112" i="10" s="1"/>
  <c r="O109" i="1"/>
  <c r="N109" i="1"/>
  <c r="P108" i="1"/>
  <c r="Q108" i="1" s="1"/>
  <c r="O108" i="1"/>
  <c r="N108" i="1"/>
  <c r="P107" i="1"/>
  <c r="A110" i="10" s="1"/>
  <c r="Z110" i="10" s="1"/>
  <c r="O107" i="1"/>
  <c r="N107" i="1"/>
  <c r="P106" i="1"/>
  <c r="A109" i="10" s="1"/>
  <c r="Z109" i="10" s="1"/>
  <c r="O106" i="1"/>
  <c r="N106" i="1"/>
  <c r="A108" i="10"/>
  <c r="Z108" i="10" s="1"/>
  <c r="O105" i="1"/>
  <c r="N105" i="1"/>
  <c r="A107" i="10"/>
  <c r="Z107" i="10" s="1"/>
  <c r="O104" i="1"/>
  <c r="N104" i="1"/>
  <c r="O103" i="1"/>
  <c r="N103" i="1"/>
  <c r="P102" i="1"/>
  <c r="A105" i="10" s="1"/>
  <c r="Z105" i="10" s="1"/>
  <c r="O102" i="1"/>
  <c r="N102" i="1"/>
  <c r="A104" i="10"/>
  <c r="Z104" i="10" s="1"/>
  <c r="O101" i="1"/>
  <c r="N101" i="1"/>
  <c r="P100" i="1"/>
  <c r="A103" i="10" s="1"/>
  <c r="Z103" i="10" s="1"/>
  <c r="O100" i="1"/>
  <c r="N100" i="1"/>
  <c r="P99" i="1"/>
  <c r="A102" i="10" s="1"/>
  <c r="Z102" i="10" s="1"/>
  <c r="O99" i="1"/>
  <c r="N99" i="1"/>
  <c r="P98" i="1"/>
  <c r="A101" i="10" s="1"/>
  <c r="Z101" i="10" s="1"/>
  <c r="O98" i="1"/>
  <c r="N98" i="1"/>
  <c r="P97" i="1"/>
  <c r="A100" i="10" s="1"/>
  <c r="Z100" i="10" s="1"/>
  <c r="O97" i="1"/>
  <c r="N97" i="1"/>
  <c r="P96" i="1"/>
  <c r="A99" i="10" s="1"/>
  <c r="Z99" i="10" s="1"/>
  <c r="O96" i="1"/>
  <c r="N96" i="1"/>
  <c r="O95" i="1"/>
  <c r="N95" i="1"/>
  <c r="A97" i="10"/>
  <c r="Z97" i="10" s="1"/>
  <c r="O94" i="1"/>
  <c r="N94" i="1"/>
  <c r="P93" i="1"/>
  <c r="A96" i="10" s="1"/>
  <c r="Z96" i="10" s="1"/>
  <c r="O93" i="1"/>
  <c r="N93" i="1"/>
  <c r="P92" i="1"/>
  <c r="Q92" i="1" s="1"/>
  <c r="O92" i="1"/>
  <c r="N92" i="1"/>
  <c r="P91" i="1"/>
  <c r="O91" i="1"/>
  <c r="N91" i="1"/>
  <c r="P90" i="1"/>
  <c r="A93" i="10" s="1"/>
  <c r="Z93" i="10" s="1"/>
  <c r="O90" i="1"/>
  <c r="N90" i="1"/>
  <c r="P89" i="1"/>
  <c r="A92" i="10" s="1"/>
  <c r="Z92" i="10" s="1"/>
  <c r="O89" i="1"/>
  <c r="N89" i="1"/>
  <c r="P88" i="1"/>
  <c r="A91" i="10" s="1"/>
  <c r="Z91" i="10" s="1"/>
  <c r="O88" i="1"/>
  <c r="N88" i="1"/>
  <c r="P87" i="1"/>
  <c r="A90" i="10" s="1"/>
  <c r="Z90" i="10" s="1"/>
  <c r="O87" i="1"/>
  <c r="N87" i="1"/>
  <c r="P86" i="1"/>
  <c r="O86" i="1"/>
  <c r="N86" i="1"/>
  <c r="P85" i="1"/>
  <c r="Q85" i="1" s="1"/>
  <c r="O85" i="1"/>
  <c r="N85" i="1"/>
  <c r="P84" i="1"/>
  <c r="A87" i="10" s="1"/>
  <c r="Z87" i="10" s="1"/>
  <c r="O84" i="1"/>
  <c r="N84" i="1"/>
  <c r="P83" i="1"/>
  <c r="A86" i="10" s="1"/>
  <c r="Z86" i="10" s="1"/>
  <c r="O83" i="1"/>
  <c r="N83" i="1"/>
  <c r="P82" i="1"/>
  <c r="Q82" i="1" s="1"/>
  <c r="O82" i="1"/>
  <c r="N82" i="1"/>
  <c r="P81" i="1"/>
  <c r="A84" i="10" s="1"/>
  <c r="Z84" i="10" s="1"/>
  <c r="O81" i="1"/>
  <c r="N81" i="1"/>
  <c r="P80" i="1"/>
  <c r="A83" i="10" s="1"/>
  <c r="Z83" i="10" s="1"/>
  <c r="O80" i="1"/>
  <c r="N80" i="1"/>
  <c r="P79" i="1"/>
  <c r="A82" i="10" s="1"/>
  <c r="Z82" i="10" s="1"/>
  <c r="O79" i="1"/>
  <c r="N79" i="1"/>
  <c r="P78" i="1"/>
  <c r="A81" i="10" s="1"/>
  <c r="Z81" i="10" s="1"/>
  <c r="O78" i="1"/>
  <c r="N78" i="1"/>
  <c r="Q77" i="1"/>
  <c r="O77" i="1"/>
  <c r="N77" i="1"/>
  <c r="P76" i="1"/>
  <c r="A79" i="10" s="1"/>
  <c r="Z79" i="10" s="1"/>
  <c r="O76" i="1"/>
  <c r="N76" i="1"/>
  <c r="P75" i="1"/>
  <c r="A78" i="10" s="1"/>
  <c r="Z78" i="10" s="1"/>
  <c r="O75" i="1"/>
  <c r="N75" i="1"/>
  <c r="A77" i="10"/>
  <c r="Z77" i="10" s="1"/>
  <c r="O74" i="1"/>
  <c r="N74" i="1"/>
  <c r="A76" i="10"/>
  <c r="Z76" i="10" s="1"/>
  <c r="O73" i="1"/>
  <c r="N73" i="1"/>
  <c r="A75" i="10"/>
  <c r="Z75" i="10" s="1"/>
  <c r="O72" i="1"/>
  <c r="N72" i="1"/>
  <c r="P71" i="1"/>
  <c r="O71" i="1"/>
  <c r="N71" i="1"/>
  <c r="P70" i="1"/>
  <c r="A73" i="10" s="1"/>
  <c r="Z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Z68" i="10" s="1"/>
  <c r="O65" i="1"/>
  <c r="N65" i="1"/>
  <c r="A67" i="10"/>
  <c r="Z67" i="10" s="1"/>
  <c r="O64" i="1"/>
  <c r="N64" i="1"/>
  <c r="P63" i="1"/>
  <c r="A66" i="10" s="1"/>
  <c r="Z66" i="10" s="1"/>
  <c r="O63" i="1"/>
  <c r="N63" i="1"/>
  <c r="P62" i="1"/>
  <c r="A65" i="10" s="1"/>
  <c r="Z65" i="10" s="1"/>
  <c r="O62" i="1"/>
  <c r="N62" i="1"/>
  <c r="P61" i="1"/>
  <c r="A64" i="10" s="1"/>
  <c r="Z64" i="10" s="1"/>
  <c r="O61" i="1"/>
  <c r="N61" i="1"/>
  <c r="P60" i="1"/>
  <c r="A63" i="10" s="1"/>
  <c r="Z63" i="10" s="1"/>
  <c r="O60" i="1"/>
  <c r="N60" i="1"/>
  <c r="P59" i="1"/>
  <c r="A62" i="10" s="1"/>
  <c r="Z62" i="10" s="1"/>
  <c r="O59" i="1"/>
  <c r="N59" i="1"/>
  <c r="P58" i="1"/>
  <c r="A61" i="10" s="1"/>
  <c r="Z61" i="10" s="1"/>
  <c r="O58" i="1"/>
  <c r="N58" i="1"/>
  <c r="P57" i="1"/>
  <c r="A60" i="10" s="1"/>
  <c r="Z60" i="10" s="1"/>
  <c r="O57" i="1"/>
  <c r="N57" i="1"/>
  <c r="P56" i="1"/>
  <c r="A59" i="10" s="1"/>
  <c r="Z59" i="10" s="1"/>
  <c r="O56" i="1"/>
  <c r="N56" i="1"/>
  <c r="O55" i="1"/>
  <c r="N55" i="1"/>
  <c r="P54" i="1"/>
  <c r="O54" i="1"/>
  <c r="N54" i="1"/>
  <c r="P53" i="1"/>
  <c r="A56" i="10" s="1"/>
  <c r="Z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O49" i="1"/>
  <c r="N49" i="1"/>
  <c r="P48" i="1"/>
  <c r="A51" i="10" s="1"/>
  <c r="Z51" i="10" s="1"/>
  <c r="O48" i="1"/>
  <c r="N48" i="1"/>
  <c r="P47" i="1"/>
  <c r="A50" i="10" s="1"/>
  <c r="Z50" i="10" s="1"/>
  <c r="O47" i="1"/>
  <c r="N47" i="1"/>
  <c r="P46" i="1"/>
  <c r="A49" i="10" s="1"/>
  <c r="Z49" i="10" s="1"/>
  <c r="O46" i="1"/>
  <c r="N46" i="1"/>
  <c r="P45" i="1"/>
  <c r="Q45" i="1" s="1"/>
  <c r="O45" i="1"/>
  <c r="N45" i="1"/>
  <c r="P44" i="1"/>
  <c r="A47" i="10" s="1"/>
  <c r="Z47" i="10" s="1"/>
  <c r="O44" i="1"/>
  <c r="N44" i="1"/>
  <c r="A46" i="10"/>
  <c r="Z46" i="10" s="1"/>
  <c r="O43" i="1"/>
  <c r="N43" i="1"/>
  <c r="Q42" i="1"/>
  <c r="O42" i="1"/>
  <c r="N42" i="1"/>
  <c r="P41" i="1"/>
  <c r="O41" i="1"/>
  <c r="N41" i="1"/>
  <c r="P40" i="1"/>
  <c r="A43" i="10" s="1"/>
  <c r="Z43" i="10" s="1"/>
  <c r="O40" i="1"/>
  <c r="N40" i="1"/>
  <c r="P39" i="1"/>
  <c r="A42" i="10" s="1"/>
  <c r="Z42" i="10" s="1"/>
  <c r="O39" i="1"/>
  <c r="N39" i="1"/>
  <c r="P38" i="1"/>
  <c r="A41" i="10" s="1"/>
  <c r="Z41" i="10" s="1"/>
  <c r="O38" i="1"/>
  <c r="N38" i="1"/>
  <c r="P37" i="1"/>
  <c r="A40" i="10" s="1"/>
  <c r="Z40" i="10" s="1"/>
  <c r="O37" i="1"/>
  <c r="N37" i="1"/>
  <c r="P36" i="1"/>
  <c r="Q36" i="1" s="1"/>
  <c r="O36" i="1"/>
  <c r="N36" i="1"/>
  <c r="P35" i="1"/>
  <c r="A38" i="10" s="1"/>
  <c r="Z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Z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Z29" i="10" s="1"/>
  <c r="O26" i="1"/>
  <c r="N26" i="1"/>
  <c r="Q25" i="1"/>
  <c r="O25" i="1"/>
  <c r="N25" i="1"/>
  <c r="P24" i="1"/>
  <c r="A27" i="10" s="1"/>
  <c r="Z27" i="10" s="1"/>
  <c r="O24" i="1"/>
  <c r="N24" i="1"/>
  <c r="P23" i="1"/>
  <c r="A26" i="10" s="1"/>
  <c r="Z26" i="10" s="1"/>
  <c r="O23" i="1"/>
  <c r="N23" i="1"/>
  <c r="P22" i="1"/>
  <c r="A25" i="10" s="1"/>
  <c r="Z25" i="10" s="1"/>
  <c r="O22" i="1"/>
  <c r="N22" i="1"/>
  <c r="A24" i="10"/>
  <c r="Z24" i="10" s="1"/>
  <c r="O21" i="1"/>
  <c r="N21" i="1"/>
  <c r="P20" i="1"/>
  <c r="A23" i="10" s="1"/>
  <c r="Z23" i="10" s="1"/>
  <c r="O20" i="1"/>
  <c r="N20" i="1"/>
  <c r="P19" i="1"/>
  <c r="A22" i="10" s="1"/>
  <c r="Z22" i="10" s="1"/>
  <c r="O19" i="1"/>
  <c r="N19" i="1"/>
  <c r="P18" i="1"/>
  <c r="A21" i="10" s="1"/>
  <c r="Z21" i="10" s="1"/>
  <c r="O18" i="1"/>
  <c r="N18" i="1"/>
  <c r="O17" i="1"/>
  <c r="N17" i="1"/>
  <c r="P16" i="1"/>
  <c r="A19" i="10" s="1"/>
  <c r="Z19" i="10" s="1"/>
  <c r="O16" i="1"/>
  <c r="N16" i="1"/>
  <c r="P15" i="1"/>
  <c r="A18" i="10" s="1"/>
  <c r="Z18" i="10" s="1"/>
  <c r="O15" i="1"/>
  <c r="N15" i="1"/>
  <c r="P14" i="1"/>
  <c r="A17" i="10" s="1"/>
  <c r="Z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Z11" i="10" s="1"/>
  <c r="O8" i="1"/>
  <c r="N8" i="1"/>
  <c r="O7" i="1"/>
  <c r="N7" i="1"/>
  <c r="P6" i="1"/>
  <c r="A9" i="10" s="1"/>
  <c r="Z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O2" i="1"/>
  <c r="N2" i="1"/>
  <c r="A8" i="10"/>
  <c r="Z8" i="10" s="1"/>
  <c r="A10" i="10"/>
  <c r="A13" i="10"/>
  <c r="A14" i="10"/>
  <c r="Z14" i="10" s="1"/>
  <c r="A15" i="10"/>
  <c r="A16" i="10"/>
  <c r="A20" i="10"/>
  <c r="A30" i="10"/>
  <c r="A33" i="10"/>
  <c r="Z33" i="10" s="1"/>
  <c r="A44" i="10"/>
  <c r="Z44" i="10" s="1"/>
  <c r="A52" i="10"/>
  <c r="Z52" i="10" s="1"/>
  <c r="A54" i="10"/>
  <c r="Z54" i="10" s="1"/>
  <c r="A57" i="10"/>
  <c r="Z57" i="10" s="1"/>
  <c r="A58" i="10"/>
  <c r="Z58" i="10" s="1"/>
  <c r="A74" i="10"/>
  <c r="Z74" i="10" s="1"/>
  <c r="A89" i="10"/>
  <c r="Z89" i="10" s="1"/>
  <c r="A94" i="10"/>
  <c r="Z94" i="10" s="1"/>
  <c r="A98" i="10"/>
  <c r="Z98" i="10" s="1"/>
  <c r="A106" i="10"/>
  <c r="Z106" i="10" s="1"/>
  <c r="A116" i="10"/>
  <c r="Z116" i="10" s="1"/>
  <c r="A121" i="10"/>
  <c r="A124" i="10"/>
  <c r="Z124" i="10" s="1"/>
  <c r="A129" i="10"/>
  <c r="Z129" i="10" s="1"/>
  <c r="A137" i="10"/>
  <c r="Z137" i="10" s="1"/>
  <c r="A138" i="10"/>
  <c r="A140" i="10"/>
  <c r="Z140" i="10" s="1"/>
  <c r="A146" i="10"/>
  <c r="Z146" i="10" s="1"/>
  <c r="A148" i="10"/>
  <c r="Z148" i="10" s="1"/>
  <c r="A156" i="10"/>
  <c r="Z156" i="10" s="1"/>
  <c r="A159" i="10"/>
  <c r="Z159" i="10" s="1"/>
  <c r="A164" i="10"/>
  <c r="Z164" i="10" s="1"/>
  <c r="A169" i="10"/>
  <c r="Z169" i="10" s="1"/>
  <c r="A175" i="10"/>
  <c r="Z175" i="10" s="1"/>
  <c r="A178" i="10"/>
  <c r="Z178" i="10" s="1"/>
  <c r="A180" i="10"/>
  <c r="Z180" i="10" s="1"/>
  <c r="A188" i="10"/>
  <c r="Z188" i="10" s="1"/>
  <c r="A193" i="10"/>
  <c r="Z193" i="10" s="1"/>
  <c r="A196" i="10"/>
  <c r="Z196" i="10" s="1"/>
  <c r="A200" i="10"/>
  <c r="Z200" i="10" s="1"/>
  <c r="A202" i="10"/>
  <c r="Z202" i="10" s="1"/>
  <c r="A209" i="10"/>
  <c r="Z209" i="10" s="1"/>
  <c r="A212" i="10"/>
  <c r="Z212" i="10" s="1"/>
  <c r="A217" i="10"/>
  <c r="Z217" i="10" s="1"/>
  <c r="A218" i="10"/>
  <c r="Z218" i="10" s="1"/>
  <c r="A220" i="10"/>
  <c r="Z220" i="10" s="1"/>
  <c r="A226" i="10"/>
  <c r="Z226" i="10" s="1"/>
  <c r="A228" i="10"/>
  <c r="Z228" i="10" s="1"/>
  <c r="A233" i="10"/>
  <c r="Z233" i="10" s="1"/>
  <c r="A236" i="10"/>
  <c r="Z236" i="10" s="1"/>
  <c r="A241" i="10"/>
  <c r="Z241" i="10" s="1"/>
  <c r="A247" i="10"/>
  <c r="Z247" i="10" s="1"/>
  <c r="A250" i="10"/>
  <c r="Z250" i="10" s="1"/>
  <c r="A255" i="10"/>
  <c r="Z255" i="10" s="1"/>
  <c r="A257" i="10"/>
  <c r="Z257" i="10" s="1"/>
  <c r="A264" i="10"/>
  <c r="Z264" i="10" s="1"/>
  <c r="A271" i="10"/>
  <c r="Z271" i="10" s="1"/>
  <c r="A272" i="10"/>
  <c r="Z272" i="10" s="1"/>
  <c r="A276" i="10"/>
  <c r="Z276" i="10" s="1"/>
  <c r="A287" i="10"/>
  <c r="Z287" i="10" s="1"/>
  <c r="A289" i="10"/>
  <c r="Z289" i="10" s="1"/>
  <c r="A292" i="10"/>
  <c r="Z292" i="10" s="1"/>
  <c r="A295" i="10"/>
  <c r="Z295" i="10" s="1"/>
  <c r="A300" i="10"/>
  <c r="Z300" i="10" s="1"/>
  <c r="A308" i="10"/>
  <c r="Z308" i="10" s="1"/>
  <c r="A310" i="10"/>
  <c r="Z310" i="10" s="1"/>
  <c r="A311" i="10"/>
  <c r="Z311" i="10" s="1"/>
  <c r="A314" i="10"/>
  <c r="Z314" i="10" s="1"/>
  <c r="A316" i="10"/>
  <c r="A319" i="10"/>
  <c r="Z319" i="10" s="1"/>
  <c r="A327" i="10"/>
  <c r="Z327" i="10" s="1"/>
  <c r="A330" i="10"/>
  <c r="Z330" i="10" s="1"/>
  <c r="A335" i="10"/>
  <c r="Z335" i="10" s="1"/>
  <c r="A337" i="10"/>
  <c r="Z337" i="10" s="1"/>
  <c r="A338" i="10"/>
  <c r="Z338" i="10" s="1"/>
  <c r="A346" i="10"/>
  <c r="Z346" i="10" s="1"/>
  <c r="A348" i="10"/>
  <c r="A350" i="10"/>
  <c r="A353" i="10"/>
  <c r="A354" i="10"/>
  <c r="A356" i="10"/>
  <c r="Z356" i="10" s="1"/>
  <c r="A364" i="10"/>
  <c r="Z364" i="10" s="1"/>
  <c r="A367" i="10"/>
  <c r="Z367" i="10" s="1"/>
  <c r="A370" i="10"/>
  <c r="Z370" i="10" s="1"/>
  <c r="A372" i="10"/>
  <c r="Z372" i="10" s="1"/>
  <c r="A380" i="10"/>
  <c r="Z380" i="10" s="1"/>
  <c r="A388" i="10"/>
  <c r="Z388" i="10" s="1"/>
  <c r="A394" i="10"/>
  <c r="Z394" i="10" s="1"/>
  <c r="A396" i="10"/>
  <c r="Z396" i="10" s="1"/>
  <c r="A399" i="10"/>
  <c r="Z399" i="10" s="1"/>
  <c r="A400" i="10"/>
  <c r="Z400" i="10" s="1"/>
  <c r="A404" i="10"/>
  <c r="Z404" i="10" s="1"/>
  <c r="A407" i="10"/>
  <c r="Z407" i="10" s="1"/>
  <c r="A410" i="10"/>
  <c r="Z410" i="10" s="1"/>
  <c r="A412" i="10"/>
  <c r="Z412" i="10" s="1"/>
  <c r="A420" i="10"/>
  <c r="Z420" i="10" s="1"/>
  <c r="A428" i="10"/>
  <c r="Z428" i="10" s="1"/>
  <c r="A434" i="10"/>
  <c r="Z434" i="10" s="1"/>
  <c r="A436" i="10"/>
  <c r="Z436" i="10" s="1"/>
  <c r="A439" i="10"/>
  <c r="Z439" i="10" s="1"/>
  <c r="A442" i="10"/>
  <c r="Z442" i="10" s="1"/>
  <c r="A444" i="10"/>
  <c r="Z444" i="10" s="1"/>
  <c r="A450" i="10"/>
  <c r="Z450" i="10" s="1"/>
  <c r="A452" i="10"/>
  <c r="Z452" i="10" s="1"/>
  <c r="A454" i="10"/>
  <c r="A455" i="10"/>
  <c r="Z455" i="10" s="1"/>
  <c r="A463" i="10"/>
  <c r="Z463" i="10" s="1"/>
  <c r="A466" i="10"/>
  <c r="Z466" i="10" s="1"/>
  <c r="A471" i="10"/>
  <c r="A474" i="10"/>
  <c r="Z474" i="10" s="1"/>
  <c r="A476" i="10"/>
  <c r="Z476" i="10" s="1"/>
  <c r="A481" i="10"/>
  <c r="Z481" i="10" s="1"/>
  <c r="A482" i="10"/>
  <c r="Z482" i="10" s="1"/>
  <c r="A490" i="10"/>
  <c r="Z490" i="10" s="1"/>
  <c r="A493" i="10"/>
  <c r="Z493" i="10" s="1"/>
  <c r="A497" i="10"/>
  <c r="Z497" i="10" s="1"/>
  <c r="A498" i="10"/>
  <c r="Z498" i="10" s="1"/>
  <c r="A506" i="10"/>
  <c r="Z506" i="10" s="1"/>
  <c r="A514" i="10"/>
  <c r="Z514" i="10" s="1"/>
  <c r="A522" i="10"/>
  <c r="Z522" i="10" s="1"/>
  <c r="A524" i="10"/>
  <c r="Z524" i="10" s="1"/>
  <c r="A528" i="10"/>
  <c r="Z528" i="10" s="1"/>
  <c r="A529" i="10"/>
  <c r="Z529" i="10" s="1"/>
  <c r="A530" i="10"/>
  <c r="Z530" i="10" s="1"/>
  <c r="A536" i="10"/>
  <c r="Z536" i="10" s="1"/>
  <c r="A537" i="10"/>
  <c r="Z537" i="10" s="1"/>
  <c r="A538" i="10"/>
  <c r="Z538" i="10" s="1"/>
  <c r="A542" i="10"/>
  <c r="Z542" i="10" s="1"/>
  <c r="A546" i="10"/>
  <c r="Z546" i="10" s="1"/>
  <c r="A554" i="10"/>
  <c r="Z554" i="10" s="1"/>
  <c r="A562" i="10"/>
  <c r="Z562" i="10" s="1"/>
  <c r="A569" i="10"/>
  <c r="Z569" i="10" s="1"/>
  <c r="A570" i="10"/>
  <c r="Z570" i="10" s="1"/>
  <c r="A574" i="10"/>
  <c r="Z574" i="10" s="1"/>
  <c r="A577" i="10"/>
  <c r="Z577" i="10" s="1"/>
  <c r="A578" i="10"/>
  <c r="Z578" i="10" s="1"/>
  <c r="A584" i="10"/>
  <c r="Z584" i="10" s="1"/>
  <c r="A585" i="10"/>
  <c r="Z585" i="10" s="1"/>
  <c r="A586" i="10"/>
  <c r="Z586" i="10" s="1"/>
  <c r="A592" i="10"/>
  <c r="Z592" i="10" s="1"/>
  <c r="A594" i="10"/>
  <c r="Z594" i="10" s="1"/>
  <c r="A600" i="10"/>
  <c r="Z600" i="10" s="1"/>
  <c r="A601" i="10"/>
  <c r="Z601" i="10" s="1"/>
  <c r="A602" i="10"/>
  <c r="Z602" i="10" s="1"/>
  <c r="A609" i="10"/>
  <c r="Z609" i="10" s="1"/>
  <c r="A610" i="10"/>
  <c r="Z610" i="10" s="1"/>
  <c r="A615" i="10"/>
  <c r="A617" i="10"/>
  <c r="Z617" i="10" s="1"/>
  <c r="A625" i="10"/>
  <c r="Z625" i="10" s="1"/>
  <c r="A626" i="10"/>
  <c r="A628" i="10"/>
  <c r="Z628" i="10" s="1"/>
  <c r="A636" i="10"/>
  <c r="Z636" i="10" s="1"/>
  <c r="A641" i="10"/>
  <c r="Z641" i="10" s="1"/>
  <c r="A648" i="10"/>
  <c r="Z648" i="10" s="1"/>
  <c r="A649" i="10"/>
  <c r="Z649" i="10" s="1"/>
  <c r="A650" i="10"/>
  <c r="Z650" i="10" s="1"/>
  <c r="A654" i="10"/>
  <c r="Z654" i="10" s="1"/>
  <c r="A655" i="10"/>
  <c r="Z655" i="10" s="1"/>
  <c r="A656" i="10"/>
  <c r="Z656" i="10" s="1"/>
  <c r="A657" i="10"/>
  <c r="Z657" i="10" s="1"/>
  <c r="A658" i="10"/>
  <c r="Z658" i="10" s="1"/>
  <c r="A660" i="10"/>
  <c r="Z660" i="10" s="1"/>
  <c r="A663" i="10"/>
  <c r="Z663" i="10" s="1"/>
  <c r="A664" i="10"/>
  <c r="Z664" i="10" s="1"/>
  <c r="A665" i="10"/>
  <c r="Z665" i="10" s="1"/>
  <c r="A666" i="10"/>
  <c r="Z666" i="10" s="1"/>
  <c r="A668" i="10"/>
  <c r="Z668" i="10" s="1"/>
  <c r="A673" i="10"/>
  <c r="Z673" i="10" s="1"/>
  <c r="A674" i="10"/>
  <c r="Z674" i="10" s="1"/>
  <c r="A676" i="10"/>
  <c r="A681" i="10"/>
  <c r="A682" i="10"/>
  <c r="Z682" i="10" s="1"/>
  <c r="A684" i="10"/>
  <c r="Z684" i="10" s="1"/>
  <c r="A689" i="10"/>
  <c r="Z689" i="10" s="1"/>
  <c r="A690" i="10"/>
  <c r="Z690" i="10" s="1"/>
  <c r="A692" i="10"/>
  <c r="Z692" i="10" s="1"/>
  <c r="A694" i="10"/>
  <c r="Z694" i="10" s="1"/>
  <c r="A697" i="10"/>
  <c r="Z697" i="10" s="1"/>
  <c r="A700" i="10"/>
  <c r="Z700" i="10" s="1"/>
  <c r="A705" i="10"/>
  <c r="Z705" i="10" s="1"/>
  <c r="A708" i="10"/>
  <c r="Z708" i="10" s="1"/>
  <c r="A711" i="10"/>
  <c r="A713" i="10"/>
  <c r="Z713" i="10" s="1"/>
  <c r="A716" i="10"/>
  <c r="Z716" i="10" s="1"/>
  <c r="A719" i="10"/>
  <c r="Z719" i="10" s="1"/>
  <c r="A721" i="10"/>
  <c r="Z721" i="10" s="1"/>
  <c r="A722" i="10"/>
  <c r="Z722" i="10" s="1"/>
  <c r="A724" i="10"/>
  <c r="Z724" i="10" s="1"/>
  <c r="A726" i="10"/>
  <c r="A727" i="10"/>
  <c r="Z727" i="10" s="1"/>
  <c r="A730" i="10"/>
  <c r="A732" i="10"/>
  <c r="A735" i="10"/>
  <c r="Z735" i="10" s="1"/>
  <c r="A738" i="10"/>
  <c r="A740" i="10"/>
  <c r="Z740" i="10" s="1"/>
  <c r="A743" i="10"/>
  <c r="A745" i="10"/>
  <c r="A746" i="10"/>
  <c r="A748" i="10"/>
  <c r="Z748" i="10" s="1"/>
  <c r="A749" i="10"/>
  <c r="Z749" i="10" s="1"/>
  <c r="A751" i="10"/>
  <c r="A753" i="10"/>
  <c r="A754" i="10"/>
  <c r="Z754" i="10" s="1"/>
  <c r="A759" i="10"/>
  <c r="Z759" i="10" s="1"/>
  <c r="A760" i="10"/>
  <c r="Z760" i="10" s="1"/>
  <c r="A761" i="10"/>
  <c r="A762" i="10"/>
  <c r="A767" i="10"/>
  <c r="Z767" i="10" s="1"/>
  <c r="A768" i="10"/>
  <c r="A769" i="10"/>
  <c r="A770" i="10"/>
  <c r="Z770" i="10" s="1"/>
  <c r="A772" i="10"/>
  <c r="Z772" i="10" s="1"/>
  <c r="A773" i="10"/>
  <c r="A775" i="10"/>
  <c r="A777" i="10"/>
  <c r="Z777" i="10" s="1"/>
  <c r="A778" i="10"/>
  <c r="A780" i="10"/>
  <c r="A783" i="10"/>
  <c r="Z783" i="10" s="1"/>
  <c r="A784" i="10"/>
  <c r="A785" i="10"/>
  <c r="A786" i="10"/>
  <c r="Z786" i="10" s="1"/>
  <c r="A791" i="10"/>
  <c r="A792" i="10"/>
  <c r="Z792" i="10" s="1"/>
  <c r="A793" i="10"/>
  <c r="Z793" i="10" s="1"/>
  <c r="A794" i="10"/>
  <c r="Z794" i="10" s="1"/>
  <c r="A799" i="10"/>
  <c r="A800" i="10"/>
  <c r="A801" i="10"/>
  <c r="A807" i="10"/>
  <c r="Z807" i="10" s="1"/>
  <c r="A808" i="10"/>
  <c r="Z808" i="10" s="1"/>
  <c r="A809" i="10"/>
  <c r="A813" i="10"/>
  <c r="A815" i="10"/>
  <c r="A818" i="10"/>
  <c r="Z818" i="10" s="1"/>
  <c r="A823" i="10"/>
  <c r="A824" i="10"/>
  <c r="A825" i="10"/>
  <c r="Z825" i="10" s="1"/>
  <c r="A828" i="10"/>
  <c r="A831" i="10"/>
  <c r="Z831" i="10" s="1"/>
  <c r="A832" i="10"/>
  <c r="Z832" i="10" s="1"/>
  <c r="A833" i="10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8" i="15"/>
  <c r="B7" i="15"/>
  <c r="B6" i="15"/>
  <c r="B2" i="15" a="1"/>
  <c r="B2" i="15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6" i="14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8" i="12"/>
  <c r="B6" i="12"/>
  <c r="B7" i="12" s="1"/>
  <c r="B2" i="12" a="1"/>
  <c r="B2" i="12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6" i="11"/>
  <c r="B2" i="11" a="1"/>
  <c r="B2" i="11" s="1"/>
  <c r="Q9" i="1"/>
  <c r="Q11" i="1"/>
  <c r="Q19" i="1"/>
  <c r="Q27" i="1"/>
  <c r="Q35" i="1"/>
  <c r="Q41" i="1"/>
  <c r="Q49" i="1"/>
  <c r="Q51" i="1"/>
  <c r="Q57" i="1"/>
  <c r="Q73" i="1"/>
  <c r="Q89" i="1"/>
  <c r="Q91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3" i="1"/>
  <c r="Q249" i="1"/>
  <c r="Q259" i="1"/>
  <c r="Q265" i="1"/>
  <c r="Q281" i="1"/>
  <c r="Q289" i="1"/>
  <c r="Q297" i="1"/>
  <c r="Q299" i="1"/>
  <c r="Q305" i="1"/>
  <c r="Q313" i="1"/>
  <c r="Q329" i="1"/>
  <c r="Q339" i="1"/>
  <c r="Q343" i="1"/>
  <c r="Q345" i="1"/>
  <c r="Q351" i="1"/>
  <c r="Q353" i="1"/>
  <c r="Q361" i="1"/>
  <c r="Q369" i="1"/>
  <c r="Q375" i="1"/>
  <c r="Q377" i="1"/>
  <c r="Q393" i="1"/>
  <c r="Q409" i="1"/>
  <c r="Q411" i="1"/>
  <c r="Q417" i="1"/>
  <c r="Q425" i="1"/>
  <c r="Q433" i="1"/>
  <c r="Q441" i="1"/>
  <c r="Q451" i="1"/>
  <c r="Q471" i="1"/>
  <c r="Q473" i="1"/>
  <c r="Q479" i="1"/>
  <c r="Q483" i="1"/>
  <c r="Q489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07" i="1"/>
  <c r="Q617" i="1"/>
  <c r="Q625" i="1"/>
  <c r="Q633" i="1"/>
  <c r="Q649" i="1"/>
  <c r="Q651" i="1"/>
  <c r="Q663" i="1"/>
  <c r="Q665" i="1"/>
  <c r="Q667" i="1"/>
  <c r="Q673" i="1"/>
  <c r="Q681" i="1"/>
  <c r="Q689" i="1"/>
  <c r="Q691" i="1"/>
  <c r="Q697" i="1"/>
  <c r="Q705" i="1"/>
  <c r="Q713" i="1"/>
  <c r="Q721" i="1"/>
  <c r="Q723" i="1"/>
  <c r="Q729" i="1"/>
  <c r="Q737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6" i="1"/>
  <c r="Q7" i="1"/>
  <c r="Q10" i="1"/>
  <c r="Q12" i="1"/>
  <c r="Q15" i="1"/>
  <c r="Q17" i="1"/>
  <c r="Q20" i="1"/>
  <c r="Q21" i="1"/>
  <c r="Q26" i="1"/>
  <c r="Q30" i="1"/>
  <c r="Q31" i="1"/>
  <c r="Q38" i="1"/>
  <c r="Q39" i="1"/>
  <c r="Q40" i="1"/>
  <c r="Q54" i="1"/>
  <c r="Q55" i="1"/>
  <c r="Q62" i="1"/>
  <c r="Q63" i="1"/>
  <c r="Q65" i="1"/>
  <c r="Q70" i="1"/>
  <c r="Q71" i="1"/>
  <c r="Q78" i="1"/>
  <c r="Q79" i="1"/>
  <c r="Q86" i="1"/>
  <c r="Q87" i="1"/>
  <c r="Q93" i="1"/>
  <c r="Q94" i="1"/>
  <c r="Q95" i="1"/>
  <c r="Q103" i="1"/>
  <c r="Q106" i="1"/>
  <c r="Q111" i="1"/>
  <c r="Q112" i="1"/>
  <c r="Q118" i="1"/>
  <c r="Q122" i="1"/>
  <c r="Q124" i="1"/>
  <c r="Q126" i="1"/>
  <c r="Q130" i="1"/>
  <c r="Q134" i="1"/>
  <c r="Q135" i="1"/>
  <c r="Q142" i="1"/>
  <c r="Q143" i="1"/>
  <c r="Q145" i="1"/>
  <c r="Q150" i="1"/>
  <c r="Q156" i="1"/>
  <c r="Q157" i="1"/>
  <c r="Q158" i="1"/>
  <c r="Q166" i="1"/>
  <c r="Q167" i="1"/>
  <c r="Q174" i="1"/>
  <c r="Q175" i="1"/>
  <c r="Q182" i="1"/>
  <c r="Q188" i="1"/>
  <c r="Q190" i="1"/>
  <c r="Q191" i="1"/>
  <c r="Q193" i="1"/>
  <c r="Q198" i="1"/>
  <c r="Q199" i="1"/>
  <c r="Q200" i="1"/>
  <c r="Q206" i="1"/>
  <c r="Q207" i="1"/>
  <c r="Q209" i="1"/>
  <c r="Q214" i="1"/>
  <c r="Q221" i="1"/>
  <c r="Q222" i="1"/>
  <c r="Q230" i="1"/>
  <c r="Q245" i="1"/>
  <c r="Q257" i="1"/>
  <c r="Q262" i="1"/>
  <c r="Q268" i="1"/>
  <c r="Q269" i="1"/>
  <c r="Q273" i="1"/>
  <c r="Q277" i="1"/>
  <c r="Q284" i="1"/>
  <c r="Q285" i="1"/>
  <c r="Q293" i="1"/>
  <c r="Q301" i="1"/>
  <c r="Q303" i="1"/>
  <c r="Q308" i="1"/>
  <c r="Q309" i="1"/>
  <c r="Q310" i="1"/>
  <c r="Q316" i="1"/>
  <c r="Q318" i="1"/>
  <c r="Q319" i="1"/>
  <c r="Q320" i="1"/>
  <c r="Q321" i="1"/>
  <c r="Q324" i="1"/>
  <c r="Q332" i="1"/>
  <c r="Q334" i="1"/>
  <c r="Q335" i="1"/>
  <c r="Q340" i="1"/>
  <c r="Q342" i="1"/>
  <c r="Q350" i="1"/>
  <c r="Q352" i="1"/>
  <c r="Q357" i="1"/>
  <c r="Q365" i="1"/>
  <c r="Q372" i="1"/>
  <c r="Q373" i="1"/>
  <c r="Q376" i="1"/>
  <c r="Q381" i="1"/>
  <c r="Q383" i="1"/>
  <c r="Q385" i="1"/>
  <c r="Q389" i="1"/>
  <c r="Q394" i="1"/>
  <c r="Q396" i="1"/>
  <c r="Q397" i="1"/>
  <c r="Q399" i="1"/>
  <c r="Q401" i="1"/>
  <c r="Q402" i="1"/>
  <c r="Q405" i="1"/>
  <c r="Q413" i="1"/>
  <c r="Q418" i="1"/>
  <c r="Q421" i="1"/>
  <c r="Q423" i="1"/>
  <c r="Q428" i="1"/>
  <c r="Q429" i="1"/>
  <c r="Q437" i="1"/>
  <c r="Q440" i="1"/>
  <c r="Q445" i="1"/>
  <c r="Q447" i="1"/>
  <c r="Q449" i="1"/>
  <c r="Q450" i="1"/>
  <c r="Q452" i="1"/>
  <c r="Q454" i="1"/>
  <c r="Q460" i="1"/>
  <c r="Q463" i="1"/>
  <c r="Q466" i="1"/>
  <c r="Q468" i="1"/>
  <c r="Q470" i="1"/>
  <c r="Q477" i="1"/>
  <c r="Q478" i="1"/>
  <c r="Q485" i="1"/>
  <c r="Q486" i="1"/>
  <c r="Q487" i="1"/>
  <c r="Q490" i="1"/>
  <c r="Q493" i="1"/>
  <c r="Q495" i="1"/>
  <c r="Q501" i="1"/>
  <c r="Q506" i="1"/>
  <c r="Q509" i="1"/>
  <c r="Q511" i="1"/>
  <c r="Q514" i="1"/>
  <c r="Q517" i="1"/>
  <c r="Q518" i="1"/>
  <c r="Q519" i="1"/>
  <c r="Q525" i="1"/>
  <c r="Q526" i="1"/>
  <c r="Q527" i="1"/>
  <c r="Q536" i="1"/>
  <c r="Q538" i="1"/>
  <c r="Q541" i="1"/>
  <c r="Q542" i="1"/>
  <c r="Q550" i="1"/>
  <c r="Q551" i="1"/>
  <c r="Q556" i="1"/>
  <c r="Q557" i="1"/>
  <c r="Q558" i="1"/>
  <c r="Q559" i="1"/>
  <c r="Q566" i="1"/>
  <c r="Q573" i="1"/>
  <c r="Q575" i="1"/>
  <c r="Q581" i="1"/>
  <c r="Q582" i="1"/>
  <c r="Q583" i="1"/>
  <c r="Q589" i="1"/>
  <c r="Q590" i="1"/>
  <c r="Q591" i="1"/>
  <c r="Q597" i="1"/>
  <c r="Q598" i="1"/>
  <c r="Q602" i="1"/>
  <c r="Q605" i="1"/>
  <c r="Q606" i="1"/>
  <c r="Q612" i="1"/>
  <c r="Q613" i="1"/>
  <c r="Q614" i="1"/>
  <c r="Q618" i="1"/>
  <c r="Q620" i="1"/>
  <c r="Q622" i="1"/>
  <c r="Q623" i="1"/>
  <c r="Q628" i="1"/>
  <c r="Q629" i="1"/>
  <c r="Q636" i="1"/>
  <c r="Q637" i="1"/>
  <c r="Q638" i="1"/>
  <c r="Q641" i="1"/>
  <c r="Q644" i="1"/>
  <c r="Q645" i="1"/>
  <c r="Q647" i="1"/>
  <c r="Q652" i="1"/>
  <c r="Q653" i="1"/>
  <c r="Q654" i="1"/>
  <c r="Q655" i="1"/>
  <c r="Q657" i="1"/>
  <c r="Q661" i="1"/>
  <c r="Q662" i="1"/>
  <c r="Q669" i="1"/>
  <c r="Q670" i="1"/>
  <c r="Q676" i="1"/>
  <c r="Q678" i="1"/>
  <c r="Q679" i="1"/>
  <c r="Q680" i="1"/>
  <c r="Q686" i="1"/>
  <c r="Q687" i="1"/>
  <c r="Q693" i="1"/>
  <c r="Q694" i="1"/>
  <c r="Q695" i="1"/>
  <c r="Q702" i="1"/>
  <c r="Q703" i="1"/>
  <c r="Q708" i="1"/>
  <c r="Q709" i="1"/>
  <c r="Q710" i="1"/>
  <c r="Q714" i="1"/>
  <c r="Q716" i="1"/>
  <c r="Q718" i="1"/>
  <c r="Q724" i="1"/>
  <c r="Q727" i="1"/>
  <c r="Q730" i="1"/>
  <c r="Q732" i="1"/>
  <c r="Q735" i="1"/>
  <c r="Q738" i="1"/>
  <c r="Q740" i="1"/>
  <c r="Q743" i="1"/>
  <c r="Q744" i="1"/>
  <c r="Q748" i="1"/>
  <c r="Q749" i="1"/>
  <c r="Q750" i="1"/>
  <c r="Q751" i="1"/>
  <c r="Q754" i="1"/>
  <c r="Q756" i="1"/>
  <c r="Q757" i="1"/>
  <c r="Q758" i="1"/>
  <c r="Q759" i="1"/>
  <c r="Q762" i="1"/>
  <c r="Q764" i="1"/>
  <c r="Q765" i="1"/>
  <c r="Q766" i="1"/>
  <c r="Q767" i="1"/>
  <c r="Q770" i="1"/>
  <c r="Q772" i="1"/>
  <c r="Q774" i="1"/>
  <c r="Q775" i="1"/>
  <c r="Q778" i="1"/>
  <c r="Q780" i="1"/>
  <c r="Q781" i="1"/>
  <c r="Q782" i="1"/>
  <c r="Q783" i="1"/>
  <c r="Q786" i="1"/>
  <c r="Q788" i="1"/>
  <c r="Q789" i="1"/>
  <c r="Q790" i="1"/>
  <c r="Q791" i="1"/>
  <c r="Q794" i="1"/>
  <c r="Q796" i="1"/>
  <c r="Q797" i="1"/>
  <c r="Q798" i="1"/>
  <c r="Q802" i="1"/>
  <c r="Q804" i="1"/>
  <c r="Q805" i="1"/>
  <c r="Q806" i="1"/>
  <c r="Q807" i="1"/>
  <c r="Q808" i="1"/>
  <c r="Q810" i="1"/>
  <c r="Q814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K834" i="1" l="1"/>
  <c r="J837" i="10"/>
  <c r="Q725" i="1"/>
  <c r="Q453" i="1"/>
  <c r="Q569" i="1"/>
  <c r="Q419" i="1"/>
  <c r="A756" i="10"/>
  <c r="Z756" i="10" s="1"/>
  <c r="A744" i="10"/>
  <c r="W744" i="10" s="1"/>
  <c r="A548" i="10"/>
  <c r="Z548" i="10" s="1"/>
  <c r="A351" i="10"/>
  <c r="Z351" i="10" s="1"/>
  <c r="A274" i="10"/>
  <c r="Z274" i="10" s="1"/>
  <c r="A199" i="10"/>
  <c r="Z199" i="10" s="1"/>
  <c r="A39" i="10"/>
  <c r="Z39" i="10" s="1"/>
  <c r="Q560" i="1"/>
  <c r="Q472" i="1"/>
  <c r="Q349" i="1"/>
  <c r="Q330" i="1"/>
  <c r="Q239" i="1"/>
  <c r="Q140" i="1"/>
  <c r="Q609" i="1"/>
  <c r="Q363" i="1"/>
  <c r="A596" i="10"/>
  <c r="Z596" i="10" s="1"/>
  <c r="Q692" i="1"/>
  <c r="Q677" i="1"/>
  <c r="Q639" i="1"/>
  <c r="Q434" i="1"/>
  <c r="Q386" i="1"/>
  <c r="Q370" i="1"/>
  <c r="Q263" i="1"/>
  <c r="Q14" i="1"/>
  <c r="A816" i="10"/>
  <c r="Z816" i="10" s="1"/>
  <c r="A290" i="10"/>
  <c r="Z290" i="10" s="1"/>
  <c r="A273" i="10"/>
  <c r="Z273" i="10" s="1"/>
  <c r="A234" i="10"/>
  <c r="Z234" i="10" s="1"/>
  <c r="A215" i="10"/>
  <c r="Z215" i="10" s="1"/>
  <c r="A198" i="10"/>
  <c r="Z198" i="10" s="1"/>
  <c r="A126" i="10"/>
  <c r="Z126" i="10" s="1"/>
  <c r="A36" i="10"/>
  <c r="Z36" i="10" s="1"/>
  <c r="Q776" i="1"/>
  <c r="Q529" i="1"/>
  <c r="Q513" i="1"/>
  <c r="Q362" i="1"/>
  <c r="Q228" i="1"/>
  <c r="Q110" i="1"/>
  <c r="Q601" i="1"/>
  <c r="A703" i="10"/>
  <c r="Z703" i="10" s="1"/>
  <c r="A464" i="10"/>
  <c r="Z464" i="10" s="1"/>
  <c r="A325" i="10"/>
  <c r="Z325" i="10" s="1"/>
  <c r="A249" i="10"/>
  <c r="Z249" i="10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Z484" i="10" s="1"/>
  <c r="A305" i="10"/>
  <c r="Z305" i="10" s="1"/>
  <c r="A207" i="10"/>
  <c r="Z207" i="10" s="1"/>
  <c r="A167" i="10"/>
  <c r="Z167" i="10" s="1"/>
  <c r="A7" i="10"/>
  <c r="Z7" i="10" s="1"/>
  <c r="Q278" i="1"/>
  <c r="Q553" i="1"/>
  <c r="Q505" i="1"/>
  <c r="A540" i="10"/>
  <c r="Z540" i="10" s="1"/>
  <c r="Q712" i="1"/>
  <c r="Q684" i="1"/>
  <c r="Q630" i="1"/>
  <c r="Q592" i="1"/>
  <c r="Q378" i="1"/>
  <c r="Q354" i="1"/>
  <c r="Q295" i="1"/>
  <c r="Q44" i="1"/>
  <c r="Q155" i="1"/>
  <c r="A282" i="10"/>
  <c r="Z282" i="10" s="1"/>
  <c r="A6" i="10"/>
  <c r="Z6" i="10" s="1"/>
  <c r="Q711" i="1"/>
  <c r="Q442" i="1"/>
  <c r="Q294" i="1"/>
  <c r="Q220" i="1"/>
  <c r="Q619" i="1"/>
  <c r="Q585" i="1"/>
  <c r="Q497" i="1"/>
  <c r="A382" i="10"/>
  <c r="Z382" i="10" s="1"/>
  <c r="A183" i="10"/>
  <c r="Z183" i="10" s="1"/>
  <c r="Q274" i="1"/>
  <c r="Q234" i="1"/>
  <c r="A385" i="10"/>
  <c r="Z385" i="10" s="1"/>
  <c r="A95" i="10"/>
  <c r="Z95" i="10" s="1"/>
  <c r="Q290" i="1"/>
  <c r="Q787" i="1"/>
  <c r="Q119" i="1"/>
  <c r="A804" i="10"/>
  <c r="U804" i="10" s="1"/>
  <c r="A607" i="10"/>
  <c r="Z607" i="10" s="1"/>
  <c r="A425" i="10"/>
  <c r="Z425" i="10" s="1"/>
  <c r="A162" i="10"/>
  <c r="Z162" i="10" s="1"/>
  <c r="Q250" i="1"/>
  <c r="Q564" i="1"/>
  <c r="Q398" i="1"/>
  <c r="Q76" i="1"/>
  <c r="A583" i="10"/>
  <c r="Z583" i="10" s="1"/>
  <c r="A111" i="10"/>
  <c r="Z111" i="10" s="1"/>
  <c r="Q476" i="1"/>
  <c r="Q358" i="1"/>
  <c r="Q266" i="1"/>
  <c r="Q46" i="1"/>
  <c r="A618" i="10"/>
  <c r="Z618" i="10" s="1"/>
  <c r="A328" i="10"/>
  <c r="Z328" i="10" s="1"/>
  <c r="Q666" i="1"/>
  <c r="A511" i="10"/>
  <c r="Z511" i="10" s="1"/>
  <c r="A154" i="10"/>
  <c r="Z154" i="10" s="1"/>
  <c r="A135" i="10"/>
  <c r="Z135" i="10" s="1"/>
  <c r="A71" i="10"/>
  <c r="Z71" i="10" s="1"/>
  <c r="Q406" i="1"/>
  <c r="Q374" i="1"/>
  <c r="A551" i="10"/>
  <c r="Z551" i="10" s="1"/>
  <c r="T762" i="10"/>
  <c r="Z762" i="10"/>
  <c r="N454" i="10"/>
  <c r="Z454" i="10"/>
  <c r="R446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R353" i="10"/>
  <c r="Z353" i="10"/>
  <c r="N316" i="10"/>
  <c r="Z316" i="10"/>
  <c r="R121" i="10"/>
  <c r="Z121" i="10"/>
  <c r="R16" i="10"/>
  <c r="Z16" i="10"/>
  <c r="R312" i="10"/>
  <c r="Z312" i="10"/>
  <c r="R824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R616" i="10"/>
  <c r="Z616" i="10"/>
  <c r="O627" i="10"/>
  <c r="Z627" i="10"/>
  <c r="N354" i="10"/>
  <c r="Z354" i="10"/>
  <c r="N20" i="10"/>
  <c r="Z20" i="10"/>
  <c r="R833" i="10"/>
  <c r="Z833" i="10"/>
  <c r="R800" i="10"/>
  <c r="Z800" i="10"/>
  <c r="T784" i="10"/>
  <c r="Z784" i="10"/>
  <c r="R711" i="10"/>
  <c r="Z711" i="10"/>
  <c r="N350" i="10"/>
  <c r="Z350" i="10"/>
  <c r="N138" i="10"/>
  <c r="Z138" i="10"/>
  <c r="Y5" i="10"/>
  <c r="Z5" i="10"/>
  <c r="N120" i="10"/>
  <c r="Z120" i="10"/>
  <c r="R469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Z815" i="10"/>
  <c r="P799" i="10"/>
  <c r="Z799" i="10"/>
  <c r="P769" i="10"/>
  <c r="Z769" i="10"/>
  <c r="X743" i="10"/>
  <c r="Z743" i="10"/>
  <c r="R726" i="10"/>
  <c r="Z726" i="10"/>
  <c r="R348" i="10"/>
  <c r="Z348" i="10"/>
  <c r="R13" i="10"/>
  <c r="Z13" i="10"/>
  <c r="N813" i="10"/>
  <c r="Z813" i="10"/>
  <c r="T780" i="10"/>
  <c r="Z780" i="10"/>
  <c r="T768" i="10"/>
  <c r="Z768" i="10"/>
  <c r="P753" i="10"/>
  <c r="Z753" i="10"/>
  <c r="N10" i="10"/>
  <c r="Z10" i="10"/>
  <c r="R478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R30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R801" i="10"/>
  <c r="V800" i="10"/>
  <c r="N800" i="10"/>
  <c r="R746" i="10"/>
  <c r="V726" i="10"/>
  <c r="N726" i="10"/>
  <c r="R712" i="10"/>
  <c r="V711" i="10"/>
  <c r="N711" i="10"/>
  <c r="R626" i="10"/>
  <c r="V616" i="10"/>
  <c r="N616" i="10"/>
  <c r="R615" i="10"/>
  <c r="V478" i="10"/>
  <c r="N478" i="10"/>
  <c r="R471" i="10"/>
  <c r="V469" i="10"/>
  <c r="N469" i="10"/>
  <c r="R454" i="10"/>
  <c r="V446" i="10"/>
  <c r="N446" i="10"/>
  <c r="R354" i="10"/>
  <c r="V353" i="10"/>
  <c r="N353" i="10"/>
  <c r="R350" i="10"/>
  <c r="V348" i="10"/>
  <c r="N348" i="10"/>
  <c r="R316" i="10"/>
  <c r="V312" i="10"/>
  <c r="N312" i="10"/>
  <c r="R138" i="10"/>
  <c r="V121" i="10"/>
  <c r="N121" i="10"/>
  <c r="R120" i="10"/>
  <c r="V30" i="10"/>
  <c r="N30" i="10"/>
  <c r="R20" i="10"/>
  <c r="V16" i="10"/>
  <c r="N16" i="10"/>
  <c r="R15" i="10"/>
  <c r="V13" i="10"/>
  <c r="N13" i="10"/>
  <c r="R10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V746" i="10"/>
  <c r="V712" i="10"/>
  <c r="V626" i="10"/>
  <c r="V615" i="10"/>
  <c r="V471" i="10"/>
  <c r="V454" i="10"/>
  <c r="V354" i="10"/>
  <c r="V350" i="10"/>
  <c r="V316" i="10"/>
  <c r="V138" i="10"/>
  <c r="V120" i="10"/>
  <c r="V20" i="10"/>
  <c r="V15" i="10"/>
  <c r="V10" i="10"/>
  <c r="U127" i="10"/>
  <c r="N127" i="10"/>
  <c r="V127" i="10"/>
  <c r="P127" i="10"/>
  <c r="X127" i="10"/>
  <c r="O127" i="10"/>
  <c r="Q127" i="10"/>
  <c r="R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R47" i="10"/>
  <c r="U47" i="10"/>
  <c r="X47" i="10"/>
  <c r="Y47" i="10"/>
  <c r="R336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R361" i="10"/>
  <c r="S377" i="10"/>
  <c r="T377" i="10"/>
  <c r="U377" i="10"/>
  <c r="N377" i="10"/>
  <c r="V377" i="10"/>
  <c r="O377" i="10"/>
  <c r="W377" i="10"/>
  <c r="P377" i="10"/>
  <c r="X377" i="10"/>
  <c r="Q377" i="10"/>
  <c r="Y377" i="10"/>
  <c r="R377" i="10"/>
  <c r="S401" i="10"/>
  <c r="T401" i="10"/>
  <c r="U401" i="10"/>
  <c r="N401" i="10"/>
  <c r="V401" i="10"/>
  <c r="O401" i="10"/>
  <c r="W401" i="10"/>
  <c r="P401" i="10"/>
  <c r="X401" i="10"/>
  <c r="Q401" i="10"/>
  <c r="Y401" i="10"/>
  <c r="R401" i="10"/>
  <c r="S409" i="10"/>
  <c r="T409" i="10"/>
  <c r="U409" i="10"/>
  <c r="N409" i="10"/>
  <c r="V409" i="10"/>
  <c r="O409" i="10"/>
  <c r="W409" i="10"/>
  <c r="P409" i="10"/>
  <c r="X409" i="10"/>
  <c r="Q409" i="10"/>
  <c r="Y409" i="10"/>
  <c r="R409" i="10"/>
  <c r="U441" i="10"/>
  <c r="N441" i="10"/>
  <c r="V441" i="10"/>
  <c r="O441" i="10"/>
  <c r="W441" i="10"/>
  <c r="P441" i="10"/>
  <c r="X441" i="10"/>
  <c r="Q441" i="10"/>
  <c r="Y441" i="10"/>
  <c r="R441" i="10"/>
  <c r="S441" i="10"/>
  <c r="T441" i="10"/>
  <c r="Q468" i="10"/>
  <c r="Y468" i="10"/>
  <c r="R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R479" i="10"/>
  <c r="S479" i="10"/>
  <c r="T479" i="10"/>
  <c r="U487" i="10"/>
  <c r="N487" i="10"/>
  <c r="V487" i="10"/>
  <c r="O487" i="10"/>
  <c r="W487" i="10"/>
  <c r="P487" i="10"/>
  <c r="X487" i="10"/>
  <c r="Q487" i="10"/>
  <c r="Y487" i="10"/>
  <c r="R487" i="10"/>
  <c r="S487" i="10"/>
  <c r="T487" i="10"/>
  <c r="U503" i="10"/>
  <c r="N503" i="10"/>
  <c r="V503" i="10"/>
  <c r="O503" i="10"/>
  <c r="W503" i="10"/>
  <c r="P503" i="10"/>
  <c r="X503" i="10"/>
  <c r="Q503" i="10"/>
  <c r="Y503" i="10"/>
  <c r="R503" i="10"/>
  <c r="S503" i="10"/>
  <c r="T503" i="10"/>
  <c r="U519" i="10"/>
  <c r="N519" i="10"/>
  <c r="V519" i="10"/>
  <c r="O519" i="10"/>
  <c r="W519" i="10"/>
  <c r="P519" i="10"/>
  <c r="X519" i="10"/>
  <c r="Q519" i="10"/>
  <c r="Y519" i="10"/>
  <c r="R519" i="10"/>
  <c r="S519" i="10"/>
  <c r="T519" i="10"/>
  <c r="S543" i="10"/>
  <c r="T543" i="10"/>
  <c r="U543" i="10"/>
  <c r="N543" i="10"/>
  <c r="V543" i="10"/>
  <c r="O543" i="10"/>
  <c r="W543" i="10"/>
  <c r="P543" i="10"/>
  <c r="X543" i="10"/>
  <c r="Q543" i="10"/>
  <c r="Y543" i="10"/>
  <c r="R543" i="10"/>
  <c r="S559" i="10"/>
  <c r="T559" i="10"/>
  <c r="U559" i="10"/>
  <c r="N559" i="10"/>
  <c r="V559" i="10"/>
  <c r="O559" i="10"/>
  <c r="W559" i="10"/>
  <c r="P559" i="10"/>
  <c r="X559" i="10"/>
  <c r="Q559" i="10"/>
  <c r="Y559" i="10"/>
  <c r="R559" i="10"/>
  <c r="S567" i="10"/>
  <c r="T567" i="10"/>
  <c r="U567" i="10"/>
  <c r="N567" i="10"/>
  <c r="V567" i="10"/>
  <c r="O567" i="10"/>
  <c r="W567" i="10"/>
  <c r="P567" i="10"/>
  <c r="X567" i="10"/>
  <c r="Q567" i="10"/>
  <c r="Y567" i="10"/>
  <c r="R567" i="10"/>
  <c r="S599" i="10"/>
  <c r="T599" i="10"/>
  <c r="U599" i="10"/>
  <c r="N599" i="10"/>
  <c r="V599" i="10"/>
  <c r="O599" i="10"/>
  <c r="W599" i="10"/>
  <c r="P599" i="10"/>
  <c r="X599" i="10"/>
  <c r="Q599" i="10"/>
  <c r="Y599" i="10"/>
  <c r="R599" i="10"/>
  <c r="N645" i="10"/>
  <c r="V645" i="10"/>
  <c r="O645" i="10"/>
  <c r="W645" i="10"/>
  <c r="P645" i="10"/>
  <c r="X645" i="10"/>
  <c r="Q645" i="10"/>
  <c r="Y645" i="10"/>
  <c r="R645" i="10"/>
  <c r="S645" i="10"/>
  <c r="T645" i="10"/>
  <c r="U645" i="10"/>
  <c r="N709" i="10"/>
  <c r="V709" i="10"/>
  <c r="O709" i="10"/>
  <c r="W709" i="10"/>
  <c r="P709" i="10"/>
  <c r="X709" i="10"/>
  <c r="Q709" i="10"/>
  <c r="Y709" i="10"/>
  <c r="R709" i="10"/>
  <c r="S709" i="10"/>
  <c r="T709" i="10"/>
  <c r="U709" i="10"/>
  <c r="U812" i="10"/>
  <c r="N812" i="10"/>
  <c r="V812" i="10"/>
  <c r="O812" i="10"/>
  <c r="W812" i="10"/>
  <c r="P812" i="10"/>
  <c r="X812" i="10"/>
  <c r="Q812" i="10"/>
  <c r="Y812" i="10"/>
  <c r="S812" i="10"/>
  <c r="R812" i="10"/>
  <c r="T812" i="10"/>
  <c r="U820" i="10"/>
  <c r="N820" i="10"/>
  <c r="V820" i="10"/>
  <c r="O820" i="10"/>
  <c r="W820" i="10"/>
  <c r="P820" i="10"/>
  <c r="X820" i="10"/>
  <c r="Q820" i="10"/>
  <c r="Y820" i="10"/>
  <c r="S820" i="10"/>
  <c r="R820" i="10"/>
  <c r="T820" i="10"/>
  <c r="R68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R588" i="10"/>
  <c r="S588" i="10"/>
  <c r="T588" i="10"/>
  <c r="U588" i="10"/>
  <c r="N588" i="10"/>
  <c r="V588" i="10"/>
  <c r="R5" i="10"/>
  <c r="N5" i="10"/>
  <c r="S5" i="10"/>
  <c r="W5" i="10"/>
  <c r="T5" i="10"/>
  <c r="O5" i="10"/>
  <c r="U5" i="10"/>
  <c r="V5" i="10"/>
  <c r="P5" i="10"/>
  <c r="X5" i="10"/>
  <c r="Q5" i="10"/>
  <c r="S17" i="10"/>
  <c r="T17" i="10"/>
  <c r="N17" i="10"/>
  <c r="V17" i="10"/>
  <c r="O17" i="10"/>
  <c r="W17" i="10"/>
  <c r="P17" i="10"/>
  <c r="Q17" i="10"/>
  <c r="R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R63" i="10"/>
  <c r="T63" i="10"/>
  <c r="X63" i="10"/>
  <c r="N79" i="10"/>
  <c r="V79" i="10"/>
  <c r="P79" i="10"/>
  <c r="X79" i="10"/>
  <c r="Q79" i="10"/>
  <c r="Y79" i="10"/>
  <c r="S79" i="10"/>
  <c r="R79" i="10"/>
  <c r="T79" i="10"/>
  <c r="U79" i="10"/>
  <c r="W79" i="10"/>
  <c r="O79" i="10"/>
  <c r="N87" i="10"/>
  <c r="V87" i="10"/>
  <c r="P87" i="10"/>
  <c r="X87" i="10"/>
  <c r="Q87" i="10"/>
  <c r="Y87" i="10"/>
  <c r="S87" i="10"/>
  <c r="R87" i="10"/>
  <c r="T87" i="10"/>
  <c r="U87" i="10"/>
  <c r="W87" i="10"/>
  <c r="O87" i="10"/>
  <c r="U103" i="10"/>
  <c r="N103" i="10"/>
  <c r="V103" i="10"/>
  <c r="O103" i="10"/>
  <c r="W103" i="10"/>
  <c r="P103" i="10"/>
  <c r="X103" i="10"/>
  <c r="R103" i="10"/>
  <c r="S103" i="10"/>
  <c r="Q103" i="10"/>
  <c r="T103" i="10"/>
  <c r="Y103" i="10"/>
  <c r="U119" i="10"/>
  <c r="N119" i="10"/>
  <c r="V119" i="10"/>
  <c r="O119" i="10"/>
  <c r="W119" i="10"/>
  <c r="P119" i="10"/>
  <c r="X119" i="10"/>
  <c r="R119" i="10"/>
  <c r="Q119" i="10"/>
  <c r="S119" i="10"/>
  <c r="T119" i="10"/>
  <c r="Y119" i="10"/>
  <c r="O130" i="10"/>
  <c r="W130" i="10"/>
  <c r="P130" i="10"/>
  <c r="X130" i="10"/>
  <c r="Q130" i="10"/>
  <c r="Y130" i="10"/>
  <c r="R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R149" i="10"/>
  <c r="T253" i="10"/>
  <c r="U253" i="10"/>
  <c r="N253" i="10"/>
  <c r="V253" i="10"/>
  <c r="O253" i="10"/>
  <c r="W253" i="10"/>
  <c r="P253" i="10"/>
  <c r="X253" i="10"/>
  <c r="Q253" i="10"/>
  <c r="Y253" i="10"/>
  <c r="R253" i="10"/>
  <c r="S253" i="10"/>
  <c r="T269" i="10"/>
  <c r="U269" i="10"/>
  <c r="O269" i="10"/>
  <c r="W269" i="10"/>
  <c r="Q269" i="10"/>
  <c r="R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R293" i="10"/>
  <c r="S293" i="10"/>
  <c r="T293" i="10"/>
  <c r="U293" i="10"/>
  <c r="R84" i="10"/>
  <c r="T84" i="10"/>
  <c r="U84" i="10"/>
  <c r="O84" i="10"/>
  <c r="W84" i="10"/>
  <c r="V84" i="10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R604" i="10"/>
  <c r="S604" i="10"/>
  <c r="T604" i="10"/>
  <c r="U604" i="10"/>
  <c r="N604" i="10"/>
  <c r="V604" i="10"/>
  <c r="R698" i="10"/>
  <c r="S698" i="10"/>
  <c r="T698" i="10"/>
  <c r="U698" i="10"/>
  <c r="N698" i="10"/>
  <c r="V698" i="10"/>
  <c r="O698" i="10"/>
  <c r="W698" i="10"/>
  <c r="P698" i="10"/>
  <c r="X698" i="10"/>
  <c r="Q698" i="10"/>
  <c r="Y698" i="10"/>
  <c r="R706" i="10"/>
  <c r="S706" i="10"/>
  <c r="T706" i="10"/>
  <c r="U706" i="10"/>
  <c r="N706" i="10"/>
  <c r="V706" i="10"/>
  <c r="O706" i="10"/>
  <c r="W706" i="10"/>
  <c r="P706" i="10"/>
  <c r="X706" i="10"/>
  <c r="Q706" i="10"/>
  <c r="Y706" i="10"/>
  <c r="O26" i="10"/>
  <c r="W26" i="10"/>
  <c r="P26" i="10"/>
  <c r="X26" i="10"/>
  <c r="R26" i="10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R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R359" i="10"/>
  <c r="S375" i="10"/>
  <c r="T375" i="10"/>
  <c r="U375" i="10"/>
  <c r="N375" i="10"/>
  <c r="V375" i="10"/>
  <c r="O375" i="10"/>
  <c r="W375" i="10"/>
  <c r="P375" i="10"/>
  <c r="X375" i="10"/>
  <c r="Q375" i="10"/>
  <c r="Y375" i="10"/>
  <c r="R375" i="10"/>
  <c r="S415" i="10"/>
  <c r="T415" i="10"/>
  <c r="U415" i="10"/>
  <c r="N415" i="10"/>
  <c r="V415" i="10"/>
  <c r="O415" i="10"/>
  <c r="W415" i="10"/>
  <c r="P415" i="10"/>
  <c r="X415" i="10"/>
  <c r="Q415" i="10"/>
  <c r="Y415" i="10"/>
  <c r="R415" i="10"/>
  <c r="S431" i="10"/>
  <c r="T431" i="10"/>
  <c r="N431" i="10"/>
  <c r="V431" i="10"/>
  <c r="P431" i="10"/>
  <c r="X431" i="10"/>
  <c r="Q431" i="10"/>
  <c r="Y431" i="10"/>
  <c r="R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R557" i="10"/>
  <c r="S597" i="10"/>
  <c r="T597" i="10"/>
  <c r="U597" i="10"/>
  <c r="N597" i="10"/>
  <c r="V597" i="10"/>
  <c r="O597" i="10"/>
  <c r="W597" i="10"/>
  <c r="P597" i="10"/>
  <c r="X597" i="10"/>
  <c r="Q597" i="10"/>
  <c r="Y597" i="10"/>
  <c r="R597" i="10"/>
  <c r="O737" i="10"/>
  <c r="Q737" i="10"/>
  <c r="Y737" i="10"/>
  <c r="R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R764" i="10"/>
  <c r="S764" i="10"/>
  <c r="T764" i="10"/>
  <c r="U796" i="10"/>
  <c r="N796" i="10"/>
  <c r="V796" i="10"/>
  <c r="O796" i="10"/>
  <c r="W796" i="10"/>
  <c r="P796" i="10"/>
  <c r="X796" i="10"/>
  <c r="Q796" i="10"/>
  <c r="Y796" i="10"/>
  <c r="R796" i="10"/>
  <c r="S796" i="10"/>
  <c r="T796" i="10"/>
  <c r="U810" i="10"/>
  <c r="N810" i="10"/>
  <c r="V810" i="10"/>
  <c r="O810" i="10"/>
  <c r="W810" i="10"/>
  <c r="P810" i="10"/>
  <c r="X810" i="10"/>
  <c r="Q810" i="10"/>
  <c r="Y810" i="10"/>
  <c r="S810" i="10"/>
  <c r="R810" i="10"/>
  <c r="T810" i="10"/>
  <c r="U834" i="10"/>
  <c r="P834" i="10"/>
  <c r="X834" i="10"/>
  <c r="S834" i="10"/>
  <c r="O834" i="10"/>
  <c r="Q834" i="10"/>
  <c r="R834" i="10"/>
  <c r="T834" i="10"/>
  <c r="V834" i="10"/>
  <c r="W834" i="10"/>
  <c r="Y834" i="10"/>
  <c r="N834" i="10"/>
  <c r="O170" i="10"/>
  <c r="W170" i="10"/>
  <c r="R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R278" i="10"/>
  <c r="S278" i="10"/>
  <c r="T278" i="10"/>
  <c r="U278" i="10"/>
  <c r="V278" i="10"/>
  <c r="N321" i="10"/>
  <c r="V321" i="10"/>
  <c r="O321" i="10"/>
  <c r="W321" i="10"/>
  <c r="P321" i="10"/>
  <c r="X321" i="10"/>
  <c r="Q321" i="10"/>
  <c r="Y321" i="10"/>
  <c r="R321" i="10"/>
  <c r="S321" i="10"/>
  <c r="T321" i="10"/>
  <c r="U321" i="10"/>
  <c r="N329" i="10"/>
  <c r="V329" i="10"/>
  <c r="O329" i="10"/>
  <c r="W329" i="10"/>
  <c r="X329" i="10"/>
  <c r="Y329" i="10"/>
  <c r="P329" i="10"/>
  <c r="Q329" i="10"/>
  <c r="R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R345" i="10"/>
  <c r="O362" i="10"/>
  <c r="W362" i="10"/>
  <c r="P362" i="10"/>
  <c r="X362" i="10"/>
  <c r="Q362" i="10"/>
  <c r="Y362" i="10"/>
  <c r="R362" i="10"/>
  <c r="S362" i="10"/>
  <c r="T362" i="10"/>
  <c r="U362" i="10"/>
  <c r="N362" i="10"/>
  <c r="V362" i="10"/>
  <c r="O378" i="10"/>
  <c r="W378" i="10"/>
  <c r="P378" i="10"/>
  <c r="X378" i="10"/>
  <c r="Q378" i="10"/>
  <c r="Y378" i="10"/>
  <c r="R378" i="10"/>
  <c r="S378" i="10"/>
  <c r="T378" i="10"/>
  <c r="U378" i="10"/>
  <c r="N378" i="10"/>
  <c r="V378" i="10"/>
  <c r="O386" i="10"/>
  <c r="W386" i="10"/>
  <c r="P386" i="10"/>
  <c r="X386" i="10"/>
  <c r="Q386" i="10"/>
  <c r="Y386" i="10"/>
  <c r="R386" i="10"/>
  <c r="S386" i="10"/>
  <c r="T386" i="10"/>
  <c r="U386" i="10"/>
  <c r="N386" i="10"/>
  <c r="V386" i="10"/>
  <c r="O402" i="10"/>
  <c r="W402" i="10"/>
  <c r="P402" i="10"/>
  <c r="X402" i="10"/>
  <c r="Q402" i="10"/>
  <c r="Y402" i="10"/>
  <c r="R402" i="10"/>
  <c r="S402" i="10"/>
  <c r="T402" i="10"/>
  <c r="U402" i="10"/>
  <c r="N402" i="10"/>
  <c r="V402" i="10"/>
  <c r="O418" i="10"/>
  <c r="W418" i="10"/>
  <c r="P418" i="10"/>
  <c r="X418" i="10"/>
  <c r="Q418" i="10"/>
  <c r="Y418" i="10"/>
  <c r="R418" i="10"/>
  <c r="S418" i="10"/>
  <c r="T418" i="10"/>
  <c r="U418" i="10"/>
  <c r="N418" i="10"/>
  <c r="V418" i="10"/>
  <c r="O426" i="10"/>
  <c r="W426" i="10"/>
  <c r="P426" i="10"/>
  <c r="X426" i="10"/>
  <c r="Q426" i="10"/>
  <c r="Y426" i="10"/>
  <c r="R426" i="10"/>
  <c r="S426" i="10"/>
  <c r="T426" i="10"/>
  <c r="U426" i="10"/>
  <c r="N426" i="10"/>
  <c r="V426" i="10"/>
  <c r="Q472" i="10"/>
  <c r="Y472" i="10"/>
  <c r="R472" i="10"/>
  <c r="S472" i="10"/>
  <c r="T472" i="10"/>
  <c r="U472" i="10"/>
  <c r="N472" i="10"/>
  <c r="V472" i="10"/>
  <c r="O472" i="10"/>
  <c r="W472" i="10"/>
  <c r="P472" i="10"/>
  <c r="X472" i="10"/>
  <c r="Q520" i="10"/>
  <c r="Y520" i="10"/>
  <c r="R520" i="10"/>
  <c r="S520" i="10"/>
  <c r="T520" i="10"/>
  <c r="U520" i="10"/>
  <c r="N520" i="10"/>
  <c r="V520" i="10"/>
  <c r="O520" i="10"/>
  <c r="W520" i="10"/>
  <c r="P520" i="10"/>
  <c r="X520" i="10"/>
  <c r="P258" i="10"/>
  <c r="X258" i="10"/>
  <c r="Q258" i="10"/>
  <c r="Y258" i="10"/>
  <c r="R258" i="10"/>
  <c r="S258" i="10"/>
  <c r="T258" i="10"/>
  <c r="U258" i="10"/>
  <c r="N258" i="10"/>
  <c r="V258" i="10"/>
  <c r="O258" i="10"/>
  <c r="W258" i="10"/>
  <c r="P266" i="10"/>
  <c r="X266" i="10"/>
  <c r="Q266" i="10"/>
  <c r="Y266" i="10"/>
  <c r="S266" i="10"/>
  <c r="U266" i="10"/>
  <c r="V266" i="10"/>
  <c r="W266" i="10"/>
  <c r="N266" i="10"/>
  <c r="O266" i="10"/>
  <c r="R266" i="10"/>
  <c r="T266" i="10"/>
  <c r="R298" i="10"/>
  <c r="S298" i="10"/>
  <c r="T298" i="10"/>
  <c r="U298" i="10"/>
  <c r="N298" i="10"/>
  <c r="V298" i="10"/>
  <c r="O298" i="10"/>
  <c r="W298" i="10"/>
  <c r="P298" i="10"/>
  <c r="X298" i="10"/>
  <c r="Q298" i="10"/>
  <c r="Y298" i="10"/>
  <c r="U465" i="10"/>
  <c r="N465" i="10"/>
  <c r="V465" i="10"/>
  <c r="O465" i="10"/>
  <c r="W465" i="10"/>
  <c r="P465" i="10"/>
  <c r="X465" i="10"/>
  <c r="Q465" i="10"/>
  <c r="Y465" i="10"/>
  <c r="R465" i="10"/>
  <c r="S465" i="10"/>
  <c r="T465" i="10"/>
  <c r="S623" i="10"/>
  <c r="T623" i="10"/>
  <c r="U623" i="10"/>
  <c r="N623" i="10"/>
  <c r="V623" i="10"/>
  <c r="O623" i="10"/>
  <c r="W623" i="10"/>
  <c r="P623" i="10"/>
  <c r="X623" i="10"/>
  <c r="Q623" i="10"/>
  <c r="Y623" i="10"/>
  <c r="R623" i="10"/>
  <c r="O580" i="10"/>
  <c r="W580" i="10"/>
  <c r="P580" i="10"/>
  <c r="X580" i="10"/>
  <c r="Q580" i="10"/>
  <c r="Y580" i="10"/>
  <c r="R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R194" i="10"/>
  <c r="S194" i="10"/>
  <c r="W194" i="10"/>
  <c r="O194" i="10"/>
  <c r="Q210" i="10"/>
  <c r="Y210" i="10"/>
  <c r="T210" i="10"/>
  <c r="U210" i="10"/>
  <c r="N210" i="10"/>
  <c r="V210" i="10"/>
  <c r="P210" i="10"/>
  <c r="X210" i="10"/>
  <c r="R210" i="10"/>
  <c r="S210" i="10"/>
  <c r="W210" i="10"/>
  <c r="O210" i="10"/>
  <c r="R306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R457" i="10"/>
  <c r="S457" i="10"/>
  <c r="T457" i="10"/>
  <c r="Q817" i="10"/>
  <c r="Y817" i="10"/>
  <c r="R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R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R41" i="10"/>
  <c r="X41" i="10"/>
  <c r="Y41" i="10"/>
  <c r="P41" i="10"/>
  <c r="Q41" i="10"/>
  <c r="U41" i="10"/>
  <c r="S49" i="10"/>
  <c r="T49" i="10"/>
  <c r="N49" i="10"/>
  <c r="V49" i="10"/>
  <c r="O49" i="10"/>
  <c r="W49" i="10"/>
  <c r="R49" i="10"/>
  <c r="X49" i="10"/>
  <c r="Y49" i="10"/>
  <c r="P49" i="10"/>
  <c r="Q49" i="10"/>
  <c r="U49" i="10"/>
  <c r="S65" i="10"/>
  <c r="N65" i="10"/>
  <c r="V65" i="10"/>
  <c r="O65" i="10"/>
  <c r="W65" i="10"/>
  <c r="X65" i="10"/>
  <c r="P65" i="10"/>
  <c r="R65" i="10"/>
  <c r="Q65" i="10"/>
  <c r="T65" i="10"/>
  <c r="U65" i="10"/>
  <c r="Y65" i="10"/>
  <c r="N73" i="10"/>
  <c r="V73" i="10"/>
  <c r="P73" i="10"/>
  <c r="X73" i="10"/>
  <c r="Q73" i="10"/>
  <c r="Y73" i="10"/>
  <c r="S73" i="10"/>
  <c r="O73" i="10"/>
  <c r="T73" i="10"/>
  <c r="U73" i="10"/>
  <c r="R73" i="10"/>
  <c r="W73" i="10"/>
  <c r="U97" i="10"/>
  <c r="N97" i="10"/>
  <c r="V97" i="10"/>
  <c r="O97" i="10"/>
  <c r="W97" i="10"/>
  <c r="P97" i="10"/>
  <c r="X97" i="10"/>
  <c r="R97" i="10"/>
  <c r="S97" i="10"/>
  <c r="T97" i="10"/>
  <c r="Y97" i="10"/>
  <c r="Q97" i="10"/>
  <c r="U105" i="10"/>
  <c r="N105" i="10"/>
  <c r="V105" i="10"/>
  <c r="O105" i="10"/>
  <c r="W105" i="10"/>
  <c r="P105" i="10"/>
  <c r="X105" i="10"/>
  <c r="R105" i="10"/>
  <c r="S105" i="10"/>
  <c r="T105" i="10"/>
  <c r="Y105" i="10"/>
  <c r="Q105" i="10"/>
  <c r="U113" i="10"/>
  <c r="N113" i="10"/>
  <c r="V113" i="10"/>
  <c r="O113" i="10"/>
  <c r="W113" i="10"/>
  <c r="P113" i="10"/>
  <c r="X113" i="10"/>
  <c r="R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R143" i="10"/>
  <c r="S151" i="10"/>
  <c r="T151" i="10"/>
  <c r="U151" i="10"/>
  <c r="N151" i="10"/>
  <c r="V151" i="10"/>
  <c r="O151" i="10"/>
  <c r="W151" i="10"/>
  <c r="P151" i="10"/>
  <c r="X151" i="10"/>
  <c r="Q151" i="10"/>
  <c r="Y151" i="10"/>
  <c r="R151" i="10"/>
  <c r="U191" i="10"/>
  <c r="P191" i="10"/>
  <c r="X191" i="10"/>
  <c r="Q191" i="10"/>
  <c r="Y191" i="10"/>
  <c r="R191" i="10"/>
  <c r="T191" i="10"/>
  <c r="N191" i="10"/>
  <c r="O191" i="10"/>
  <c r="S191" i="10"/>
  <c r="V191" i="10"/>
  <c r="W191" i="10"/>
  <c r="U223" i="10"/>
  <c r="P223" i="10"/>
  <c r="X223" i="10"/>
  <c r="R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R231" i="10"/>
  <c r="S231" i="10"/>
  <c r="T239" i="10"/>
  <c r="U239" i="10"/>
  <c r="N239" i="10"/>
  <c r="V239" i="10"/>
  <c r="O239" i="10"/>
  <c r="W239" i="10"/>
  <c r="P239" i="10"/>
  <c r="X239" i="10"/>
  <c r="Q239" i="10"/>
  <c r="Y239" i="10"/>
  <c r="R239" i="10"/>
  <c r="S239" i="10"/>
  <c r="T263" i="10"/>
  <c r="U263" i="10"/>
  <c r="N263" i="10"/>
  <c r="V263" i="10"/>
  <c r="O263" i="10"/>
  <c r="W263" i="10"/>
  <c r="P263" i="10"/>
  <c r="X263" i="10"/>
  <c r="Q263" i="10"/>
  <c r="Y263" i="10"/>
  <c r="R263" i="10"/>
  <c r="S263" i="10"/>
  <c r="U279" i="10"/>
  <c r="V279" i="10"/>
  <c r="N279" i="10"/>
  <c r="W279" i="10"/>
  <c r="O279" i="10"/>
  <c r="X279" i="10"/>
  <c r="P279" i="10"/>
  <c r="Y279" i="10"/>
  <c r="Q279" i="10"/>
  <c r="R279" i="10"/>
  <c r="S279" i="10"/>
  <c r="T279" i="10"/>
  <c r="N303" i="10"/>
  <c r="V303" i="10"/>
  <c r="O303" i="10"/>
  <c r="W303" i="10"/>
  <c r="P303" i="10"/>
  <c r="X303" i="10"/>
  <c r="Q303" i="10"/>
  <c r="Y303" i="10"/>
  <c r="R303" i="10"/>
  <c r="S303" i="10"/>
  <c r="T303" i="10"/>
  <c r="U303" i="10"/>
  <c r="R322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N473" i="10"/>
  <c r="V473" i="10"/>
  <c r="O473" i="10"/>
  <c r="W473" i="10"/>
  <c r="P473" i="10"/>
  <c r="X473" i="10"/>
  <c r="Q473" i="10"/>
  <c r="Y473" i="10"/>
  <c r="R473" i="10"/>
  <c r="S473" i="10"/>
  <c r="T473" i="10"/>
  <c r="U489" i="10"/>
  <c r="N489" i="10"/>
  <c r="V489" i="10"/>
  <c r="O489" i="10"/>
  <c r="W489" i="10"/>
  <c r="P489" i="10"/>
  <c r="X489" i="10"/>
  <c r="Q489" i="10"/>
  <c r="Y489" i="10"/>
  <c r="R489" i="10"/>
  <c r="S489" i="10"/>
  <c r="T489" i="10"/>
  <c r="U505" i="10"/>
  <c r="N505" i="10"/>
  <c r="V505" i="10"/>
  <c r="O505" i="10"/>
  <c r="W505" i="10"/>
  <c r="P505" i="10"/>
  <c r="X505" i="10"/>
  <c r="Q505" i="10"/>
  <c r="Y505" i="10"/>
  <c r="R505" i="10"/>
  <c r="S505" i="10"/>
  <c r="T505" i="10"/>
  <c r="U521" i="10"/>
  <c r="N521" i="10"/>
  <c r="V521" i="10"/>
  <c r="O521" i="10"/>
  <c r="W521" i="10"/>
  <c r="P521" i="10"/>
  <c r="X521" i="10"/>
  <c r="Q521" i="10"/>
  <c r="Y521" i="10"/>
  <c r="R521" i="10"/>
  <c r="S521" i="10"/>
  <c r="T521" i="10"/>
  <c r="S545" i="10"/>
  <c r="T545" i="10"/>
  <c r="U545" i="10"/>
  <c r="N545" i="10"/>
  <c r="V545" i="10"/>
  <c r="O545" i="10"/>
  <c r="W545" i="10"/>
  <c r="P545" i="10"/>
  <c r="X545" i="10"/>
  <c r="Q545" i="10"/>
  <c r="Y545" i="10"/>
  <c r="R545" i="10"/>
  <c r="S553" i="10"/>
  <c r="T553" i="10"/>
  <c r="U553" i="10"/>
  <c r="N553" i="10"/>
  <c r="V553" i="10"/>
  <c r="O553" i="10"/>
  <c r="W553" i="10"/>
  <c r="P553" i="10"/>
  <c r="X553" i="10"/>
  <c r="Q553" i="10"/>
  <c r="Y553" i="10"/>
  <c r="R553" i="10"/>
  <c r="S561" i="10"/>
  <c r="T561" i="10"/>
  <c r="U561" i="10"/>
  <c r="N561" i="10"/>
  <c r="V561" i="10"/>
  <c r="O561" i="10"/>
  <c r="W561" i="10"/>
  <c r="P561" i="10"/>
  <c r="X561" i="10"/>
  <c r="Q561" i="10"/>
  <c r="Y561" i="10"/>
  <c r="R561" i="10"/>
  <c r="S593" i="10"/>
  <c r="T593" i="10"/>
  <c r="U593" i="10"/>
  <c r="N593" i="10"/>
  <c r="V593" i="10"/>
  <c r="O593" i="10"/>
  <c r="W593" i="10"/>
  <c r="P593" i="10"/>
  <c r="X593" i="10"/>
  <c r="Q593" i="10"/>
  <c r="Y593" i="10"/>
  <c r="R593" i="10"/>
  <c r="S631" i="10"/>
  <c r="T631" i="10"/>
  <c r="N631" i="10"/>
  <c r="V631" i="10"/>
  <c r="P631" i="10"/>
  <c r="X631" i="10"/>
  <c r="Y631" i="10"/>
  <c r="O631" i="10"/>
  <c r="Q631" i="10"/>
  <c r="R631" i="10"/>
  <c r="U631" i="10"/>
  <c r="W631" i="10"/>
  <c r="T639" i="10"/>
  <c r="N639" i="10"/>
  <c r="V639" i="10"/>
  <c r="Q639" i="10"/>
  <c r="R639" i="10"/>
  <c r="S639" i="10"/>
  <c r="U639" i="10"/>
  <c r="W639" i="10"/>
  <c r="X639" i="10"/>
  <c r="O639" i="10"/>
  <c r="Y639" i="10"/>
  <c r="P639" i="10"/>
  <c r="N647" i="10"/>
  <c r="V647" i="10"/>
  <c r="O647" i="10"/>
  <c r="W647" i="10"/>
  <c r="P647" i="10"/>
  <c r="X647" i="10"/>
  <c r="Q647" i="10"/>
  <c r="Y647" i="10"/>
  <c r="R647" i="10"/>
  <c r="S647" i="10"/>
  <c r="T647" i="10"/>
  <c r="U647" i="10"/>
  <c r="N671" i="10"/>
  <c r="V671" i="10"/>
  <c r="O671" i="10"/>
  <c r="W671" i="10"/>
  <c r="P671" i="10"/>
  <c r="X671" i="10"/>
  <c r="Q671" i="10"/>
  <c r="Y671" i="10"/>
  <c r="R671" i="10"/>
  <c r="S671" i="10"/>
  <c r="T671" i="10"/>
  <c r="U671" i="10"/>
  <c r="N687" i="10"/>
  <c r="V687" i="10"/>
  <c r="O687" i="10"/>
  <c r="W687" i="10"/>
  <c r="P687" i="10"/>
  <c r="X687" i="10"/>
  <c r="Q687" i="10"/>
  <c r="Y687" i="10"/>
  <c r="R687" i="10"/>
  <c r="S687" i="10"/>
  <c r="T687" i="10"/>
  <c r="U687" i="10"/>
  <c r="R714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R752" i="10"/>
  <c r="S752" i="10"/>
  <c r="T752" i="10"/>
  <c r="U776" i="10"/>
  <c r="N776" i="10"/>
  <c r="V776" i="10"/>
  <c r="O776" i="10"/>
  <c r="W776" i="10"/>
  <c r="P776" i="10"/>
  <c r="X776" i="10"/>
  <c r="Q776" i="10"/>
  <c r="Y776" i="10"/>
  <c r="R776" i="10"/>
  <c r="S776" i="10"/>
  <c r="T776" i="10"/>
  <c r="U832" i="10"/>
  <c r="P832" i="10"/>
  <c r="X832" i="10"/>
  <c r="S832" i="10"/>
  <c r="U818" i="10"/>
  <c r="N818" i="10"/>
  <c r="V818" i="10"/>
  <c r="O818" i="10"/>
  <c r="W818" i="10"/>
  <c r="P818" i="10"/>
  <c r="X818" i="10"/>
  <c r="Q818" i="10"/>
  <c r="Y818" i="10"/>
  <c r="S818" i="10"/>
  <c r="U808" i="10"/>
  <c r="N808" i="10"/>
  <c r="V808" i="10"/>
  <c r="O808" i="10"/>
  <c r="W808" i="10"/>
  <c r="P808" i="10"/>
  <c r="X808" i="10"/>
  <c r="Q808" i="10"/>
  <c r="Y808" i="10"/>
  <c r="S808" i="10"/>
  <c r="U794" i="10"/>
  <c r="N794" i="10"/>
  <c r="V794" i="10"/>
  <c r="O794" i="10"/>
  <c r="W794" i="10"/>
  <c r="P794" i="10"/>
  <c r="X794" i="10"/>
  <c r="Q794" i="10"/>
  <c r="Y794" i="10"/>
  <c r="R794" i="10"/>
  <c r="S794" i="10"/>
  <c r="Q783" i="10"/>
  <c r="Y783" i="10"/>
  <c r="R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R772" i="10"/>
  <c r="S772" i="10"/>
  <c r="U760" i="10"/>
  <c r="N760" i="10"/>
  <c r="V760" i="10"/>
  <c r="O760" i="10"/>
  <c r="W760" i="10"/>
  <c r="P760" i="10"/>
  <c r="X760" i="10"/>
  <c r="Q760" i="10"/>
  <c r="Y760" i="10"/>
  <c r="R760" i="10"/>
  <c r="S760" i="10"/>
  <c r="U748" i="10"/>
  <c r="N748" i="10"/>
  <c r="V748" i="10"/>
  <c r="O748" i="10"/>
  <c r="W748" i="10"/>
  <c r="P748" i="10"/>
  <c r="X748" i="10"/>
  <c r="Q748" i="10"/>
  <c r="Y748" i="10"/>
  <c r="R748" i="10"/>
  <c r="S748" i="10"/>
  <c r="R736" i="10"/>
  <c r="S736" i="10"/>
  <c r="T736" i="10"/>
  <c r="U736" i="10"/>
  <c r="V736" i="10"/>
  <c r="W736" i="10"/>
  <c r="N736" i="10"/>
  <c r="X736" i="10"/>
  <c r="O736" i="10"/>
  <c r="Y736" i="10"/>
  <c r="P736" i="10"/>
  <c r="R722" i="10"/>
  <c r="S722" i="10"/>
  <c r="T722" i="10"/>
  <c r="U722" i="10"/>
  <c r="N722" i="10"/>
  <c r="V722" i="10"/>
  <c r="O722" i="10"/>
  <c r="W722" i="10"/>
  <c r="P722" i="10"/>
  <c r="X722" i="10"/>
  <c r="Q722" i="10"/>
  <c r="Y722" i="10"/>
  <c r="R708" i="10"/>
  <c r="S708" i="10"/>
  <c r="T708" i="10"/>
  <c r="U708" i="10"/>
  <c r="N708" i="10"/>
  <c r="V708" i="10"/>
  <c r="O708" i="10"/>
  <c r="W708" i="10"/>
  <c r="P708" i="10"/>
  <c r="X708" i="10"/>
  <c r="Y708" i="10"/>
  <c r="R694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R679" i="10"/>
  <c r="S679" i="10"/>
  <c r="T679" i="10"/>
  <c r="U679" i="10"/>
  <c r="N665" i="10"/>
  <c r="V665" i="10"/>
  <c r="O665" i="10"/>
  <c r="W665" i="10"/>
  <c r="P665" i="10"/>
  <c r="X665" i="10"/>
  <c r="Q665" i="10"/>
  <c r="Y665" i="10"/>
  <c r="R665" i="10"/>
  <c r="S665" i="10"/>
  <c r="T665" i="10"/>
  <c r="R654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R641" i="10"/>
  <c r="S641" i="10"/>
  <c r="T641" i="10"/>
  <c r="U641" i="10"/>
  <c r="S625" i="10"/>
  <c r="T625" i="10"/>
  <c r="N625" i="10"/>
  <c r="V625" i="10"/>
  <c r="P625" i="10"/>
  <c r="X625" i="10"/>
  <c r="Q625" i="10"/>
  <c r="Y625" i="10"/>
  <c r="R625" i="10"/>
  <c r="U625" i="10"/>
  <c r="W625" i="10"/>
  <c r="O625" i="10"/>
  <c r="S607" i="10"/>
  <c r="T607" i="10"/>
  <c r="U607" i="10"/>
  <c r="V607" i="10"/>
  <c r="O607" i="10"/>
  <c r="W607" i="10"/>
  <c r="P607" i="10"/>
  <c r="X607" i="10"/>
  <c r="Q607" i="10"/>
  <c r="Y607" i="10"/>
  <c r="O594" i="10"/>
  <c r="W594" i="10"/>
  <c r="P594" i="10"/>
  <c r="X594" i="10"/>
  <c r="Q594" i="10"/>
  <c r="Y594" i="10"/>
  <c r="R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R569" i="10"/>
  <c r="O554" i="10"/>
  <c r="W554" i="10"/>
  <c r="P554" i="10"/>
  <c r="X554" i="10"/>
  <c r="Q554" i="10"/>
  <c r="Y554" i="10"/>
  <c r="R554" i="10"/>
  <c r="S554" i="10"/>
  <c r="T554" i="10"/>
  <c r="U554" i="10"/>
  <c r="V554" i="10"/>
  <c r="N554" i="10"/>
  <c r="P540" i="10"/>
  <c r="Q540" i="10"/>
  <c r="Q528" i="10"/>
  <c r="Y528" i="10"/>
  <c r="R528" i="10"/>
  <c r="S528" i="10"/>
  <c r="T528" i="10"/>
  <c r="N528" i="10"/>
  <c r="V528" i="10"/>
  <c r="O528" i="10"/>
  <c r="W528" i="10"/>
  <c r="P528" i="10"/>
  <c r="U528" i="10"/>
  <c r="X528" i="10"/>
  <c r="Q514" i="10"/>
  <c r="Y514" i="10"/>
  <c r="R514" i="10"/>
  <c r="S514" i="10"/>
  <c r="T514" i="10"/>
  <c r="U514" i="10"/>
  <c r="N514" i="10"/>
  <c r="V514" i="10"/>
  <c r="O514" i="10"/>
  <c r="W514" i="10"/>
  <c r="P514" i="10"/>
  <c r="X514" i="10"/>
  <c r="U497" i="10"/>
  <c r="N497" i="10"/>
  <c r="V497" i="10"/>
  <c r="O497" i="10"/>
  <c r="W497" i="10"/>
  <c r="P497" i="10"/>
  <c r="X497" i="10"/>
  <c r="Q497" i="10"/>
  <c r="Y497" i="10"/>
  <c r="R497" i="10"/>
  <c r="S497" i="10"/>
  <c r="T497" i="10"/>
  <c r="U481" i="10"/>
  <c r="N481" i="10"/>
  <c r="V481" i="10"/>
  <c r="O481" i="10"/>
  <c r="W481" i="10"/>
  <c r="P481" i="10"/>
  <c r="X481" i="10"/>
  <c r="Q481" i="10"/>
  <c r="Y481" i="10"/>
  <c r="R481" i="10"/>
  <c r="S481" i="10"/>
  <c r="T481" i="10"/>
  <c r="Q466" i="10"/>
  <c r="Y466" i="10"/>
  <c r="R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R439" i="10"/>
  <c r="S439" i="10"/>
  <c r="T439" i="10"/>
  <c r="S425" i="10"/>
  <c r="W425" i="10"/>
  <c r="X425" i="10"/>
  <c r="O410" i="10"/>
  <c r="W410" i="10"/>
  <c r="P410" i="10"/>
  <c r="X410" i="10"/>
  <c r="Q410" i="10"/>
  <c r="Y410" i="10"/>
  <c r="R410" i="10"/>
  <c r="S410" i="10"/>
  <c r="T410" i="10"/>
  <c r="U410" i="10"/>
  <c r="N410" i="10"/>
  <c r="V410" i="10"/>
  <c r="S399" i="10"/>
  <c r="T399" i="10"/>
  <c r="U399" i="10"/>
  <c r="N399" i="10"/>
  <c r="V399" i="10"/>
  <c r="O399" i="10"/>
  <c r="W399" i="10"/>
  <c r="P399" i="10"/>
  <c r="X399" i="10"/>
  <c r="Q399" i="10"/>
  <c r="Y399" i="10"/>
  <c r="R399" i="10"/>
  <c r="O370" i="10"/>
  <c r="W370" i="10"/>
  <c r="P370" i="10"/>
  <c r="X370" i="10"/>
  <c r="Q370" i="10"/>
  <c r="Y370" i="10"/>
  <c r="R370" i="10"/>
  <c r="S370" i="10"/>
  <c r="T370" i="10"/>
  <c r="U370" i="10"/>
  <c r="N370" i="10"/>
  <c r="V370" i="10"/>
  <c r="O356" i="10"/>
  <c r="W356" i="10"/>
  <c r="P356" i="10"/>
  <c r="X356" i="10"/>
  <c r="Q356" i="10"/>
  <c r="Y356" i="10"/>
  <c r="R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R343" i="10"/>
  <c r="R314" i="10"/>
  <c r="S314" i="10"/>
  <c r="T314" i="10"/>
  <c r="U314" i="10"/>
  <c r="N314" i="10"/>
  <c r="V314" i="10"/>
  <c r="O314" i="10"/>
  <c r="W314" i="10"/>
  <c r="P314" i="10"/>
  <c r="X314" i="10"/>
  <c r="Q314" i="10"/>
  <c r="Y314" i="10"/>
  <c r="R300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O287" i="10"/>
  <c r="W287" i="10"/>
  <c r="P287" i="10"/>
  <c r="X287" i="10"/>
  <c r="Q287" i="10"/>
  <c r="Y287" i="10"/>
  <c r="R287" i="10"/>
  <c r="S287" i="10"/>
  <c r="T287" i="10"/>
  <c r="U287" i="10"/>
  <c r="P260" i="10"/>
  <c r="X260" i="10"/>
  <c r="Q260" i="10"/>
  <c r="Y260" i="10"/>
  <c r="R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R247" i="10"/>
  <c r="S247" i="10"/>
  <c r="U233" i="10"/>
  <c r="P233" i="10"/>
  <c r="X233" i="10"/>
  <c r="R233" i="10"/>
  <c r="S233" i="10"/>
  <c r="T233" i="10"/>
  <c r="V233" i="10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O218" i="10"/>
  <c r="R218" i="10"/>
  <c r="S218" i="10"/>
  <c r="W218" i="10"/>
  <c r="U201" i="10"/>
  <c r="P201" i="10"/>
  <c r="X201" i="10"/>
  <c r="Q201" i="10"/>
  <c r="Y201" i="10"/>
  <c r="R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R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R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R159" i="10"/>
  <c r="S145" i="10"/>
  <c r="T145" i="10"/>
  <c r="U145" i="10"/>
  <c r="N145" i="10"/>
  <c r="V145" i="10"/>
  <c r="O145" i="10"/>
  <c r="W145" i="10"/>
  <c r="P145" i="10"/>
  <c r="X145" i="10"/>
  <c r="Q145" i="10"/>
  <c r="Y145" i="10"/>
  <c r="R145" i="10"/>
  <c r="U129" i="10"/>
  <c r="N129" i="10"/>
  <c r="P129" i="10"/>
  <c r="X129" i="10"/>
  <c r="Q129" i="10"/>
  <c r="R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R111" i="10"/>
  <c r="S111" i="10"/>
  <c r="T111" i="10"/>
  <c r="Y111" i="10"/>
  <c r="R74" i="10"/>
  <c r="T74" i="10"/>
  <c r="U74" i="10"/>
  <c r="O74" i="10"/>
  <c r="W74" i="10"/>
  <c r="N74" i="10"/>
  <c r="P74" i="10"/>
  <c r="Q74" i="10"/>
  <c r="S74" i="10"/>
  <c r="X74" i="10"/>
  <c r="Y74" i="10"/>
  <c r="V74" i="10"/>
  <c r="S57" i="10"/>
  <c r="T57" i="10"/>
  <c r="N57" i="10"/>
  <c r="V57" i="10"/>
  <c r="O57" i="10"/>
  <c r="W57" i="10"/>
  <c r="R57" i="10"/>
  <c r="X57" i="10"/>
  <c r="Y57" i="10"/>
  <c r="P57" i="10"/>
  <c r="Q57" i="10"/>
  <c r="U57" i="10"/>
  <c r="S25" i="10"/>
  <c r="T25" i="10"/>
  <c r="N25" i="10"/>
  <c r="V25" i="10"/>
  <c r="O25" i="10"/>
  <c r="W25" i="10"/>
  <c r="P25" i="10"/>
  <c r="R25" i="10"/>
  <c r="U25" i="10"/>
  <c r="X25" i="10"/>
  <c r="Y25" i="10"/>
  <c r="Q25" i="10"/>
  <c r="Q122" i="10"/>
  <c r="Y122" i="10"/>
  <c r="R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R141" i="10"/>
  <c r="S165" i="10"/>
  <c r="T165" i="10"/>
  <c r="U165" i="10"/>
  <c r="N165" i="10"/>
  <c r="V165" i="10"/>
  <c r="O165" i="10"/>
  <c r="W165" i="10"/>
  <c r="P165" i="10"/>
  <c r="X165" i="10"/>
  <c r="Q165" i="10"/>
  <c r="Y165" i="10"/>
  <c r="R165" i="10"/>
  <c r="S173" i="10"/>
  <c r="N173" i="10"/>
  <c r="V173" i="10"/>
  <c r="T173" i="10"/>
  <c r="W173" i="10"/>
  <c r="X173" i="10"/>
  <c r="O173" i="10"/>
  <c r="Y173" i="10"/>
  <c r="P173" i="10"/>
  <c r="R173" i="10"/>
  <c r="Q173" i="10"/>
  <c r="U173" i="10"/>
  <c r="U197" i="10"/>
  <c r="P197" i="10"/>
  <c r="X197" i="10"/>
  <c r="Q197" i="10"/>
  <c r="Y197" i="10"/>
  <c r="R197" i="10"/>
  <c r="T197" i="10"/>
  <c r="W197" i="10"/>
  <c r="N197" i="10"/>
  <c r="O197" i="10"/>
  <c r="S197" i="10"/>
  <c r="V197" i="10"/>
  <c r="U205" i="10"/>
  <c r="P205" i="10"/>
  <c r="X205" i="10"/>
  <c r="Q205" i="10"/>
  <c r="Y205" i="10"/>
  <c r="R205" i="10"/>
  <c r="T205" i="10"/>
  <c r="N205" i="10"/>
  <c r="O205" i="10"/>
  <c r="S205" i="10"/>
  <c r="V205" i="10"/>
  <c r="W205" i="10"/>
  <c r="U213" i="10"/>
  <c r="P213" i="10"/>
  <c r="X213" i="10"/>
  <c r="Q213" i="10"/>
  <c r="Y213" i="10"/>
  <c r="R213" i="10"/>
  <c r="T213" i="10"/>
  <c r="W213" i="10"/>
  <c r="N213" i="10"/>
  <c r="O213" i="10"/>
  <c r="S213" i="10"/>
  <c r="V213" i="10"/>
  <c r="U229" i="10"/>
  <c r="P229" i="10"/>
  <c r="X229" i="10"/>
  <c r="R229" i="10"/>
  <c r="T229" i="10"/>
  <c r="V229" i="10"/>
  <c r="W229" i="10"/>
  <c r="Y229" i="10"/>
  <c r="N229" i="10"/>
  <c r="O229" i="10"/>
  <c r="Q229" i="10"/>
  <c r="S229" i="10"/>
  <c r="U237" i="10"/>
  <c r="Q237" i="10"/>
  <c r="R237" i="10"/>
  <c r="S237" i="10"/>
  <c r="T237" i="10"/>
  <c r="V237" i="10"/>
  <c r="N237" i="10"/>
  <c r="W237" i="10"/>
  <c r="O237" i="10"/>
  <c r="X237" i="10"/>
  <c r="P237" i="10"/>
  <c r="Y237" i="10"/>
  <c r="T245" i="10"/>
  <c r="U245" i="10"/>
  <c r="N245" i="10"/>
  <c r="V245" i="10"/>
  <c r="O245" i="10"/>
  <c r="W245" i="10"/>
  <c r="P245" i="10"/>
  <c r="X245" i="10"/>
  <c r="Q245" i="10"/>
  <c r="Y245" i="10"/>
  <c r="R245" i="10"/>
  <c r="S245" i="10"/>
  <c r="T277" i="10"/>
  <c r="U277" i="10"/>
  <c r="O277" i="10"/>
  <c r="Y277" i="10"/>
  <c r="P277" i="10"/>
  <c r="Q277" i="10"/>
  <c r="R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R285" i="10"/>
  <c r="S285" i="10"/>
  <c r="T285" i="10"/>
  <c r="U285" i="10"/>
  <c r="N309" i="10"/>
  <c r="V309" i="10"/>
  <c r="O309" i="10"/>
  <c r="W309" i="10"/>
  <c r="P309" i="10"/>
  <c r="X309" i="10"/>
  <c r="Q309" i="10"/>
  <c r="Y309" i="10"/>
  <c r="R309" i="10"/>
  <c r="S309" i="10"/>
  <c r="T309" i="10"/>
  <c r="U309" i="10"/>
  <c r="R320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R344" i="10"/>
  <c r="S344" i="10"/>
  <c r="T344" i="10"/>
  <c r="U344" i="10"/>
  <c r="N344" i="10"/>
  <c r="V344" i="10"/>
  <c r="Q460" i="10"/>
  <c r="Y460" i="10"/>
  <c r="R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R629" i="10"/>
  <c r="U629" i="10"/>
  <c r="W629" i="10"/>
  <c r="Y629" i="10"/>
  <c r="S637" i="10"/>
  <c r="T637" i="10"/>
  <c r="N637" i="10"/>
  <c r="V637" i="10"/>
  <c r="P637" i="10"/>
  <c r="Q637" i="10"/>
  <c r="R637" i="10"/>
  <c r="U637" i="10"/>
  <c r="W637" i="10"/>
  <c r="X637" i="10"/>
  <c r="Y637" i="10"/>
  <c r="O637" i="10"/>
  <c r="N653" i="10"/>
  <c r="V653" i="10"/>
  <c r="O653" i="10"/>
  <c r="W653" i="10"/>
  <c r="P653" i="10"/>
  <c r="X653" i="10"/>
  <c r="Q653" i="10"/>
  <c r="Y653" i="10"/>
  <c r="R653" i="10"/>
  <c r="S653" i="10"/>
  <c r="T653" i="10"/>
  <c r="U653" i="10"/>
  <c r="N669" i="10"/>
  <c r="V669" i="10"/>
  <c r="O669" i="10"/>
  <c r="W669" i="10"/>
  <c r="P669" i="10"/>
  <c r="X669" i="10"/>
  <c r="Q669" i="10"/>
  <c r="Y669" i="10"/>
  <c r="R669" i="10"/>
  <c r="S669" i="10"/>
  <c r="T669" i="10"/>
  <c r="U669" i="10"/>
  <c r="N685" i="10"/>
  <c r="V685" i="10"/>
  <c r="O685" i="10"/>
  <c r="W685" i="10"/>
  <c r="P685" i="10"/>
  <c r="X685" i="10"/>
  <c r="Q685" i="10"/>
  <c r="Y685" i="10"/>
  <c r="R685" i="10"/>
  <c r="S685" i="10"/>
  <c r="T685" i="10"/>
  <c r="U685" i="10"/>
  <c r="N693" i="10"/>
  <c r="V693" i="10"/>
  <c r="O693" i="10"/>
  <c r="W693" i="10"/>
  <c r="P693" i="10"/>
  <c r="X693" i="10"/>
  <c r="Q693" i="10"/>
  <c r="Y693" i="10"/>
  <c r="R693" i="10"/>
  <c r="S693" i="10"/>
  <c r="T693" i="10"/>
  <c r="U693" i="10"/>
  <c r="N701" i="10"/>
  <c r="V701" i="10"/>
  <c r="O701" i="10"/>
  <c r="W701" i="10"/>
  <c r="P701" i="10"/>
  <c r="X701" i="10"/>
  <c r="Q701" i="10"/>
  <c r="Y701" i="10"/>
  <c r="R701" i="10"/>
  <c r="S701" i="10"/>
  <c r="T701" i="10"/>
  <c r="U701" i="10"/>
  <c r="R720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V750" i="10"/>
  <c r="O750" i="10"/>
  <c r="W750" i="10"/>
  <c r="P750" i="10"/>
  <c r="X750" i="10"/>
  <c r="Q750" i="10"/>
  <c r="Y750" i="10"/>
  <c r="R750" i="10"/>
  <c r="S750" i="10"/>
  <c r="U758" i="10"/>
  <c r="N758" i="10"/>
  <c r="V758" i="10"/>
  <c r="O758" i="10"/>
  <c r="W758" i="10"/>
  <c r="P758" i="10"/>
  <c r="X758" i="10"/>
  <c r="Q758" i="10"/>
  <c r="Y758" i="10"/>
  <c r="R758" i="10"/>
  <c r="S758" i="10"/>
  <c r="U766" i="10"/>
  <c r="N766" i="10"/>
  <c r="V766" i="10"/>
  <c r="O766" i="10"/>
  <c r="W766" i="10"/>
  <c r="P766" i="10"/>
  <c r="X766" i="10"/>
  <c r="Q766" i="10"/>
  <c r="Y766" i="10"/>
  <c r="R766" i="10"/>
  <c r="S766" i="10"/>
  <c r="U790" i="10"/>
  <c r="N790" i="10"/>
  <c r="V790" i="10"/>
  <c r="O790" i="10"/>
  <c r="W790" i="10"/>
  <c r="P790" i="10"/>
  <c r="X790" i="10"/>
  <c r="Q790" i="10"/>
  <c r="Y790" i="10"/>
  <c r="R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R807" i="10"/>
  <c r="S807" i="10"/>
  <c r="T807" i="10"/>
  <c r="U807" i="10"/>
  <c r="O807" i="10"/>
  <c r="W807" i="10"/>
  <c r="Q793" i="10"/>
  <c r="Y793" i="10"/>
  <c r="R793" i="10"/>
  <c r="S793" i="10"/>
  <c r="T793" i="10"/>
  <c r="U793" i="10"/>
  <c r="N793" i="10"/>
  <c r="V793" i="10"/>
  <c r="O793" i="10"/>
  <c r="W793" i="10"/>
  <c r="A782" i="10"/>
  <c r="Z782" i="10" s="1"/>
  <c r="U770" i="10"/>
  <c r="N770" i="10"/>
  <c r="V770" i="10"/>
  <c r="O770" i="10"/>
  <c r="W770" i="10"/>
  <c r="P770" i="10"/>
  <c r="X770" i="10"/>
  <c r="Q770" i="10"/>
  <c r="Y770" i="10"/>
  <c r="R770" i="10"/>
  <c r="S770" i="10"/>
  <c r="Q759" i="10"/>
  <c r="Y759" i="10"/>
  <c r="R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R735" i="10"/>
  <c r="N721" i="10"/>
  <c r="V721" i="10"/>
  <c r="O721" i="10"/>
  <c r="W721" i="10"/>
  <c r="P721" i="10"/>
  <c r="X721" i="10"/>
  <c r="Q721" i="10"/>
  <c r="Y721" i="10"/>
  <c r="R721" i="10"/>
  <c r="S721" i="10"/>
  <c r="T721" i="10"/>
  <c r="U721" i="10"/>
  <c r="R692" i="10"/>
  <c r="S692" i="10"/>
  <c r="T692" i="10"/>
  <c r="U692" i="10"/>
  <c r="N692" i="10"/>
  <c r="V692" i="10"/>
  <c r="O692" i="10"/>
  <c r="W692" i="10"/>
  <c r="P692" i="10"/>
  <c r="X692" i="10"/>
  <c r="Y692" i="10"/>
  <c r="A677" i="10"/>
  <c r="Z677" i="10" s="1"/>
  <c r="R664" i="10"/>
  <c r="S664" i="10"/>
  <c r="T664" i="10"/>
  <c r="U664" i="10"/>
  <c r="N664" i="10"/>
  <c r="V664" i="10"/>
  <c r="O664" i="10"/>
  <c r="W664" i="10"/>
  <c r="P664" i="10"/>
  <c r="X664" i="10"/>
  <c r="Q664" i="10"/>
  <c r="Y664" i="10"/>
  <c r="R652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R538" i="10"/>
  <c r="T538" i="10"/>
  <c r="N538" i="10"/>
  <c r="V538" i="10"/>
  <c r="O538" i="10"/>
  <c r="P538" i="10"/>
  <c r="S538" i="10"/>
  <c r="U538" i="10"/>
  <c r="W538" i="10"/>
  <c r="X538" i="10"/>
  <c r="A527" i="10"/>
  <c r="Z527" i="10" s="1"/>
  <c r="A513" i="10"/>
  <c r="Z513" i="10" s="1"/>
  <c r="A495" i="10"/>
  <c r="Z495" i="10" s="1"/>
  <c r="Q452" i="10"/>
  <c r="Y452" i="10"/>
  <c r="R452" i="10"/>
  <c r="S452" i="10"/>
  <c r="T452" i="10"/>
  <c r="U452" i="10"/>
  <c r="N452" i="10"/>
  <c r="V452" i="10"/>
  <c r="O452" i="10"/>
  <c r="W452" i="10"/>
  <c r="P452" i="10"/>
  <c r="X452" i="10"/>
  <c r="T437" i="10"/>
  <c r="N437" i="10"/>
  <c r="P437" i="10"/>
  <c r="X437" i="10"/>
  <c r="R437" i="10"/>
  <c r="S437" i="10"/>
  <c r="U437" i="10"/>
  <c r="V437" i="10"/>
  <c r="W437" i="10"/>
  <c r="Y437" i="10"/>
  <c r="O437" i="10"/>
  <c r="Q437" i="10"/>
  <c r="A423" i="10"/>
  <c r="Z423" i="10" s="1"/>
  <c r="O396" i="10"/>
  <c r="W396" i="10"/>
  <c r="P396" i="10"/>
  <c r="X396" i="10"/>
  <c r="Q396" i="10"/>
  <c r="Y396" i="10"/>
  <c r="R396" i="10"/>
  <c r="S396" i="10"/>
  <c r="T396" i="10"/>
  <c r="U396" i="10"/>
  <c r="N396" i="10"/>
  <c r="V396" i="10"/>
  <c r="A383" i="10"/>
  <c r="Z383" i="10" s="1"/>
  <c r="A369" i="10"/>
  <c r="Z369" i="10" s="1"/>
  <c r="O340" i="10"/>
  <c r="W340" i="10"/>
  <c r="P340" i="10"/>
  <c r="X340" i="10"/>
  <c r="Q340" i="10"/>
  <c r="Y340" i="10"/>
  <c r="R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R327" i="10"/>
  <c r="S327" i="10"/>
  <c r="T327" i="10"/>
  <c r="U327" i="10"/>
  <c r="X327" i="10"/>
  <c r="N313" i="10"/>
  <c r="V313" i="10"/>
  <c r="O313" i="10"/>
  <c r="W313" i="10"/>
  <c r="P313" i="10"/>
  <c r="X313" i="10"/>
  <c r="Q313" i="10"/>
  <c r="Y313" i="10"/>
  <c r="R313" i="10"/>
  <c r="S313" i="10"/>
  <c r="T313" i="10"/>
  <c r="U313" i="10"/>
  <c r="R284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W272" i="10"/>
  <c r="N272" i="10"/>
  <c r="O272" i="10"/>
  <c r="R272" i="10"/>
  <c r="P244" i="10"/>
  <c r="X244" i="10"/>
  <c r="Q244" i="10"/>
  <c r="Y244" i="10"/>
  <c r="R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R217" i="10"/>
  <c r="T217" i="10"/>
  <c r="S217" i="10"/>
  <c r="V217" i="10"/>
  <c r="W217" i="10"/>
  <c r="N217" i="10"/>
  <c r="O217" i="10"/>
  <c r="Q200" i="10"/>
  <c r="Y200" i="10"/>
  <c r="T200" i="10"/>
  <c r="U200" i="10"/>
  <c r="N200" i="10"/>
  <c r="V200" i="10"/>
  <c r="P200" i="10"/>
  <c r="X200" i="10"/>
  <c r="O200" i="10"/>
  <c r="R200" i="10"/>
  <c r="S200" i="10"/>
  <c r="W200" i="10"/>
  <c r="A186" i="10"/>
  <c r="Z186" i="10" s="1"/>
  <c r="O156" i="10"/>
  <c r="W156" i="10"/>
  <c r="P156" i="10"/>
  <c r="X156" i="10"/>
  <c r="Q156" i="10"/>
  <c r="Y156" i="10"/>
  <c r="R156" i="10"/>
  <c r="S156" i="10"/>
  <c r="T156" i="10"/>
  <c r="U156" i="10"/>
  <c r="N156" i="10"/>
  <c r="V156" i="10"/>
  <c r="R94" i="10"/>
  <c r="T94" i="10"/>
  <c r="U94" i="10"/>
  <c r="O94" i="10"/>
  <c r="W94" i="10"/>
  <c r="N94" i="10"/>
  <c r="P94" i="10"/>
  <c r="Q94" i="10"/>
  <c r="S94" i="10"/>
  <c r="X94" i="10"/>
  <c r="Y94" i="10"/>
  <c r="V94" i="10"/>
  <c r="A55" i="10"/>
  <c r="Z55" i="10" s="1"/>
  <c r="A37" i="10"/>
  <c r="Z37" i="10" s="1"/>
  <c r="O8" i="10"/>
  <c r="W8" i="10"/>
  <c r="P8" i="10"/>
  <c r="X8" i="10"/>
  <c r="R8" i="10"/>
  <c r="S8" i="10"/>
  <c r="V8" i="10"/>
  <c r="Y8" i="10"/>
  <c r="N8" i="10"/>
  <c r="Q8" i="10"/>
  <c r="T8" i="10"/>
  <c r="U8" i="10"/>
  <c r="S11" i="10"/>
  <c r="T11" i="10"/>
  <c r="N11" i="10"/>
  <c r="V11" i="10"/>
  <c r="O11" i="10"/>
  <c r="W11" i="10"/>
  <c r="X11" i="10"/>
  <c r="Y11" i="10"/>
  <c r="P11" i="10"/>
  <c r="Q11" i="10"/>
  <c r="R11" i="10"/>
  <c r="U11" i="10"/>
  <c r="S23" i="10"/>
  <c r="T23" i="10"/>
  <c r="N23" i="10"/>
  <c r="V23" i="10"/>
  <c r="O23" i="10"/>
  <c r="W23" i="10"/>
  <c r="X23" i="10"/>
  <c r="P23" i="10"/>
  <c r="Q23" i="10"/>
  <c r="R23" i="10"/>
  <c r="U23" i="10"/>
  <c r="Y23" i="10"/>
  <c r="O34" i="10"/>
  <c r="W34" i="10"/>
  <c r="P34" i="10"/>
  <c r="X34" i="10"/>
  <c r="R34" i="10"/>
  <c r="S34" i="10"/>
  <c r="V34" i="10"/>
  <c r="N34" i="10"/>
  <c r="Q34" i="10"/>
  <c r="T34" i="10"/>
  <c r="U34" i="10"/>
  <c r="Y34" i="10"/>
  <c r="O42" i="10"/>
  <c r="W42" i="10"/>
  <c r="P42" i="10"/>
  <c r="X42" i="10"/>
  <c r="R42" i="10"/>
  <c r="S42" i="10"/>
  <c r="V42" i="10"/>
  <c r="N42" i="10"/>
  <c r="Q42" i="10"/>
  <c r="T42" i="10"/>
  <c r="U42" i="10"/>
  <c r="Y42" i="10"/>
  <c r="O50" i="10"/>
  <c r="W50" i="10"/>
  <c r="P50" i="10"/>
  <c r="X50" i="10"/>
  <c r="R50" i="10"/>
  <c r="S50" i="10"/>
  <c r="V50" i="10"/>
  <c r="Q50" i="10"/>
  <c r="N50" i="10"/>
  <c r="T50" i="10"/>
  <c r="U50" i="10"/>
  <c r="Y50" i="10"/>
  <c r="O66" i="10"/>
  <c r="W66" i="10"/>
  <c r="R66" i="10"/>
  <c r="S66" i="10"/>
  <c r="X66" i="10"/>
  <c r="N66" i="10"/>
  <c r="P66" i="10"/>
  <c r="T66" i="10"/>
  <c r="Q66" i="10"/>
  <c r="U66" i="10"/>
  <c r="V66" i="10"/>
  <c r="Y66" i="10"/>
  <c r="R82" i="10"/>
  <c r="T82" i="10"/>
  <c r="U82" i="10"/>
  <c r="O82" i="10"/>
  <c r="W82" i="10"/>
  <c r="N82" i="10"/>
  <c r="P82" i="10"/>
  <c r="Q82" i="10"/>
  <c r="S82" i="10"/>
  <c r="X82" i="10"/>
  <c r="Y82" i="10"/>
  <c r="V82" i="10"/>
  <c r="R90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R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R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R133" i="10"/>
  <c r="O160" i="10"/>
  <c r="W160" i="10"/>
  <c r="P160" i="10"/>
  <c r="X160" i="10"/>
  <c r="Q160" i="10"/>
  <c r="Y160" i="10"/>
  <c r="R160" i="10"/>
  <c r="S160" i="10"/>
  <c r="T160" i="10"/>
  <c r="U160" i="10"/>
  <c r="V160" i="10"/>
  <c r="N160" i="10"/>
  <c r="O168" i="10"/>
  <c r="W168" i="10"/>
  <c r="R168" i="10"/>
  <c r="S168" i="10"/>
  <c r="T168" i="10"/>
  <c r="U168" i="10"/>
  <c r="P168" i="10"/>
  <c r="Q168" i="10"/>
  <c r="V168" i="10"/>
  <c r="X168" i="10"/>
  <c r="Y168" i="10"/>
  <c r="N168" i="10"/>
  <c r="O176" i="10"/>
  <c r="W176" i="10"/>
  <c r="R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R192" i="10"/>
  <c r="Q224" i="10"/>
  <c r="Y224" i="10"/>
  <c r="T224" i="10"/>
  <c r="N224" i="10"/>
  <c r="V224" i="10"/>
  <c r="P224" i="10"/>
  <c r="R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R232" i="10"/>
  <c r="P248" i="10"/>
  <c r="X248" i="10"/>
  <c r="Q248" i="10"/>
  <c r="Y248" i="10"/>
  <c r="R248" i="10"/>
  <c r="S248" i="10"/>
  <c r="T248" i="10"/>
  <c r="U248" i="10"/>
  <c r="N248" i="10"/>
  <c r="V248" i="10"/>
  <c r="O248" i="10"/>
  <c r="W248" i="10"/>
  <c r="P256" i="10"/>
  <c r="X256" i="10"/>
  <c r="Q256" i="10"/>
  <c r="Y256" i="10"/>
  <c r="R256" i="10"/>
  <c r="S256" i="10"/>
  <c r="T256" i="10"/>
  <c r="U256" i="10"/>
  <c r="N256" i="10"/>
  <c r="V256" i="10"/>
  <c r="O256" i="10"/>
  <c r="W256" i="10"/>
  <c r="R280" i="10"/>
  <c r="S280" i="10"/>
  <c r="T280" i="10"/>
  <c r="U280" i="10"/>
  <c r="N280" i="10"/>
  <c r="V280" i="10"/>
  <c r="O280" i="10"/>
  <c r="W280" i="10"/>
  <c r="P280" i="10"/>
  <c r="X280" i="10"/>
  <c r="Q280" i="10"/>
  <c r="Y280" i="10"/>
  <c r="R288" i="10"/>
  <c r="S288" i="10"/>
  <c r="T288" i="10"/>
  <c r="U288" i="10"/>
  <c r="N288" i="10"/>
  <c r="V288" i="10"/>
  <c r="O288" i="10"/>
  <c r="W288" i="10"/>
  <c r="P288" i="10"/>
  <c r="X288" i="10"/>
  <c r="Q288" i="10"/>
  <c r="Y288" i="10"/>
  <c r="R296" i="10"/>
  <c r="S296" i="10"/>
  <c r="T296" i="10"/>
  <c r="U296" i="10"/>
  <c r="N296" i="10"/>
  <c r="V296" i="10"/>
  <c r="O296" i="10"/>
  <c r="W296" i="10"/>
  <c r="P296" i="10"/>
  <c r="X296" i="10"/>
  <c r="Q296" i="10"/>
  <c r="Y296" i="10"/>
  <c r="R304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R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R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R339" i="10"/>
  <c r="S347" i="10"/>
  <c r="T347" i="10"/>
  <c r="U347" i="10"/>
  <c r="N347" i="10"/>
  <c r="V347" i="10"/>
  <c r="O347" i="10"/>
  <c r="W347" i="10"/>
  <c r="P347" i="10"/>
  <c r="X347" i="10"/>
  <c r="Q347" i="10"/>
  <c r="Y347" i="10"/>
  <c r="R347" i="10"/>
  <c r="S621" i="10"/>
  <c r="T621" i="10"/>
  <c r="U621" i="10"/>
  <c r="N621" i="10"/>
  <c r="V621" i="10"/>
  <c r="O621" i="10"/>
  <c r="W621" i="10"/>
  <c r="P621" i="10"/>
  <c r="X621" i="10"/>
  <c r="Q621" i="10"/>
  <c r="Y621" i="10"/>
  <c r="R621" i="10"/>
  <c r="O632" i="10"/>
  <c r="W632" i="10"/>
  <c r="P632" i="10"/>
  <c r="X632" i="10"/>
  <c r="R632" i="10"/>
  <c r="T632" i="10"/>
  <c r="N632" i="10"/>
  <c r="Q632" i="10"/>
  <c r="S632" i="10"/>
  <c r="U632" i="10"/>
  <c r="V632" i="10"/>
  <c r="Y632" i="10"/>
  <c r="P640" i="10"/>
  <c r="R640" i="10"/>
  <c r="O640" i="10"/>
  <c r="Y640" i="10"/>
  <c r="Q640" i="10"/>
  <c r="S640" i="10"/>
  <c r="T640" i="10"/>
  <c r="U640" i="10"/>
  <c r="V640" i="10"/>
  <c r="W640" i="10"/>
  <c r="N640" i="10"/>
  <c r="X640" i="10"/>
  <c r="R672" i="10"/>
  <c r="S672" i="10"/>
  <c r="T672" i="10"/>
  <c r="U672" i="10"/>
  <c r="N672" i="10"/>
  <c r="V672" i="10"/>
  <c r="O672" i="10"/>
  <c r="W672" i="10"/>
  <c r="P672" i="10"/>
  <c r="X672" i="10"/>
  <c r="Q672" i="10"/>
  <c r="Y672" i="10"/>
  <c r="R680" i="10"/>
  <c r="S680" i="10"/>
  <c r="T680" i="10"/>
  <c r="U680" i="10"/>
  <c r="N680" i="10"/>
  <c r="V680" i="10"/>
  <c r="O680" i="10"/>
  <c r="W680" i="10"/>
  <c r="P680" i="10"/>
  <c r="X680" i="10"/>
  <c r="Q680" i="10"/>
  <c r="Y680" i="10"/>
  <c r="R688" i="10"/>
  <c r="S688" i="10"/>
  <c r="T688" i="10"/>
  <c r="U688" i="10"/>
  <c r="N688" i="10"/>
  <c r="V688" i="10"/>
  <c r="O688" i="10"/>
  <c r="W688" i="10"/>
  <c r="P688" i="10"/>
  <c r="X688" i="10"/>
  <c r="Q688" i="10"/>
  <c r="Y688" i="10"/>
  <c r="R696" i="10"/>
  <c r="S696" i="10"/>
  <c r="T696" i="10"/>
  <c r="U696" i="10"/>
  <c r="N696" i="10"/>
  <c r="V696" i="10"/>
  <c r="O696" i="10"/>
  <c r="W696" i="10"/>
  <c r="P696" i="10"/>
  <c r="X696" i="10"/>
  <c r="Q696" i="10"/>
  <c r="Y696" i="10"/>
  <c r="R704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R715" i="10"/>
  <c r="S715" i="10"/>
  <c r="T715" i="10"/>
  <c r="N723" i="10"/>
  <c r="V723" i="10"/>
  <c r="O723" i="10"/>
  <c r="W723" i="10"/>
  <c r="P723" i="10"/>
  <c r="X723" i="10"/>
  <c r="Q723" i="10"/>
  <c r="Y723" i="10"/>
  <c r="R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R742" i="10"/>
  <c r="S742" i="10"/>
  <c r="Y832" i="10"/>
  <c r="X831" i="10"/>
  <c r="T830" i="10"/>
  <c r="P829" i="10"/>
  <c r="V821" i="10"/>
  <c r="V813" i="10"/>
  <c r="R808" i="10"/>
  <c r="V805" i="10"/>
  <c r="X785" i="10"/>
  <c r="X769" i="10"/>
  <c r="P759" i="10"/>
  <c r="X753" i="10"/>
  <c r="T748" i="10"/>
  <c r="X833" i="10"/>
  <c r="W832" i="10"/>
  <c r="V831" i="10"/>
  <c r="R830" i="10"/>
  <c r="X823" i="10"/>
  <c r="T818" i="10"/>
  <c r="X815" i="10"/>
  <c r="P813" i="10"/>
  <c r="X807" i="10"/>
  <c r="T790" i="10"/>
  <c r="X779" i="10"/>
  <c r="T758" i="10"/>
  <c r="X747" i="10"/>
  <c r="Y720" i="10"/>
  <c r="R690" i="10"/>
  <c r="S690" i="10"/>
  <c r="T690" i="10"/>
  <c r="U690" i="10"/>
  <c r="N690" i="10"/>
  <c r="V690" i="10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R578" i="10"/>
  <c r="S578" i="10"/>
  <c r="T578" i="10"/>
  <c r="U578" i="10"/>
  <c r="N578" i="10"/>
  <c r="V578" i="10"/>
  <c r="Q524" i="10"/>
  <c r="Y524" i="10"/>
  <c r="R524" i="10"/>
  <c r="S524" i="10"/>
  <c r="T524" i="10"/>
  <c r="U524" i="10"/>
  <c r="N524" i="10"/>
  <c r="V524" i="10"/>
  <c r="O524" i="10"/>
  <c r="W524" i="10"/>
  <c r="P524" i="10"/>
  <c r="X524" i="10"/>
  <c r="Q476" i="10"/>
  <c r="Y476" i="10"/>
  <c r="R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R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R367" i="10"/>
  <c r="Q228" i="10"/>
  <c r="Y228" i="10"/>
  <c r="T228" i="10"/>
  <c r="N228" i="10"/>
  <c r="V228" i="10"/>
  <c r="S228" i="10"/>
  <c r="U228" i="10"/>
  <c r="W228" i="10"/>
  <c r="X228" i="10"/>
  <c r="O228" i="10"/>
  <c r="P228" i="10"/>
  <c r="R228" i="10"/>
  <c r="S169" i="10"/>
  <c r="N169" i="10"/>
  <c r="V169" i="10"/>
  <c r="O169" i="10"/>
  <c r="W169" i="10"/>
  <c r="Q169" i="10"/>
  <c r="Y169" i="10"/>
  <c r="R169" i="10"/>
  <c r="U169" i="10"/>
  <c r="X169" i="10"/>
  <c r="P169" i="10"/>
  <c r="T169" i="10"/>
  <c r="U101" i="10"/>
  <c r="N101" i="10"/>
  <c r="V101" i="10"/>
  <c r="O101" i="10"/>
  <c r="W101" i="10"/>
  <c r="P101" i="10"/>
  <c r="X101" i="10"/>
  <c r="R101" i="10"/>
  <c r="S101" i="10"/>
  <c r="Q101" i="10"/>
  <c r="T101" i="10"/>
  <c r="Y101" i="10"/>
  <c r="U187" i="10"/>
  <c r="P187" i="10"/>
  <c r="X187" i="10"/>
  <c r="Q187" i="10"/>
  <c r="Y187" i="10"/>
  <c r="R187" i="10"/>
  <c r="T187" i="10"/>
  <c r="O187" i="10"/>
  <c r="S187" i="10"/>
  <c r="V187" i="10"/>
  <c r="W187" i="10"/>
  <c r="N187" i="10"/>
  <c r="U203" i="10"/>
  <c r="P203" i="10"/>
  <c r="X203" i="10"/>
  <c r="Q203" i="10"/>
  <c r="Y203" i="10"/>
  <c r="R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R235" i="10"/>
  <c r="S235" i="10"/>
  <c r="T235" i="10"/>
  <c r="V235" i="10"/>
  <c r="N315" i="10"/>
  <c r="V315" i="10"/>
  <c r="O315" i="10"/>
  <c r="W315" i="10"/>
  <c r="P315" i="10"/>
  <c r="X315" i="10"/>
  <c r="Q315" i="10"/>
  <c r="Y315" i="10"/>
  <c r="R315" i="10"/>
  <c r="S315" i="10"/>
  <c r="T315" i="10"/>
  <c r="U315" i="10"/>
  <c r="R334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O485" i="10"/>
  <c r="W485" i="10"/>
  <c r="P485" i="10"/>
  <c r="X485" i="10"/>
  <c r="Q485" i="10"/>
  <c r="Y485" i="10"/>
  <c r="R485" i="10"/>
  <c r="S485" i="10"/>
  <c r="T485" i="10"/>
  <c r="U517" i="10"/>
  <c r="N517" i="10"/>
  <c r="V517" i="10"/>
  <c r="O517" i="10"/>
  <c r="W517" i="10"/>
  <c r="P517" i="10"/>
  <c r="X517" i="10"/>
  <c r="Q517" i="10"/>
  <c r="Y517" i="10"/>
  <c r="R517" i="10"/>
  <c r="S517" i="10"/>
  <c r="T517" i="10"/>
  <c r="S635" i="10"/>
  <c r="T635" i="10"/>
  <c r="N635" i="10"/>
  <c r="V635" i="10"/>
  <c r="P635" i="10"/>
  <c r="X635" i="10"/>
  <c r="Y635" i="10"/>
  <c r="O635" i="10"/>
  <c r="Q635" i="10"/>
  <c r="R635" i="10"/>
  <c r="U635" i="10"/>
  <c r="W635" i="10"/>
  <c r="N675" i="10"/>
  <c r="V675" i="10"/>
  <c r="O675" i="10"/>
  <c r="W675" i="10"/>
  <c r="P675" i="10"/>
  <c r="X675" i="10"/>
  <c r="Q675" i="10"/>
  <c r="Y675" i="10"/>
  <c r="R675" i="10"/>
  <c r="S675" i="10"/>
  <c r="T675" i="10"/>
  <c r="U675" i="10"/>
  <c r="R718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N689" i="10"/>
  <c r="V689" i="10"/>
  <c r="O689" i="10"/>
  <c r="W689" i="10"/>
  <c r="P689" i="10"/>
  <c r="X689" i="10"/>
  <c r="Q689" i="10"/>
  <c r="Y689" i="10"/>
  <c r="R689" i="10"/>
  <c r="S689" i="10"/>
  <c r="T689" i="10"/>
  <c r="U689" i="10"/>
  <c r="S21" i="10"/>
  <c r="T21" i="10"/>
  <c r="N21" i="10"/>
  <c r="V21" i="10"/>
  <c r="O21" i="10"/>
  <c r="W21" i="10"/>
  <c r="P21" i="10"/>
  <c r="R21" i="10"/>
  <c r="U21" i="10"/>
  <c r="X21" i="10"/>
  <c r="Y21" i="10"/>
  <c r="Q21" i="10"/>
  <c r="O32" i="10"/>
  <c r="W32" i="10"/>
  <c r="P32" i="10"/>
  <c r="X32" i="10"/>
  <c r="R32" i="10"/>
  <c r="S32" i="10"/>
  <c r="N32" i="10"/>
  <c r="T32" i="10"/>
  <c r="U32" i="10"/>
  <c r="V32" i="10"/>
  <c r="Y32" i="10"/>
  <c r="Q32" i="10"/>
  <c r="O40" i="10"/>
  <c r="W40" i="10"/>
  <c r="P40" i="10"/>
  <c r="X40" i="10"/>
  <c r="R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R123" i="10"/>
  <c r="S123" i="10"/>
  <c r="T123" i="10"/>
  <c r="Y123" i="10"/>
  <c r="Q123" i="10"/>
  <c r="O158" i="10"/>
  <c r="W158" i="10"/>
  <c r="P158" i="10"/>
  <c r="X158" i="10"/>
  <c r="Q158" i="10"/>
  <c r="Y158" i="10"/>
  <c r="R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R182" i="10"/>
  <c r="Q222" i="10"/>
  <c r="Y222" i="10"/>
  <c r="T222" i="10"/>
  <c r="N222" i="10"/>
  <c r="V222" i="10"/>
  <c r="O222" i="10"/>
  <c r="P222" i="10"/>
  <c r="R222" i="10"/>
  <c r="S222" i="10"/>
  <c r="U222" i="10"/>
  <c r="W222" i="10"/>
  <c r="X222" i="10"/>
  <c r="P254" i="10"/>
  <c r="X254" i="10"/>
  <c r="Q254" i="10"/>
  <c r="Y254" i="10"/>
  <c r="R254" i="10"/>
  <c r="S254" i="10"/>
  <c r="T254" i="10"/>
  <c r="U254" i="10"/>
  <c r="N254" i="10"/>
  <c r="V254" i="10"/>
  <c r="W254" i="10"/>
  <c r="O254" i="10"/>
  <c r="R286" i="10"/>
  <c r="S286" i="10"/>
  <c r="T286" i="10"/>
  <c r="U286" i="10"/>
  <c r="N286" i="10"/>
  <c r="V286" i="10"/>
  <c r="O286" i="10"/>
  <c r="W286" i="10"/>
  <c r="P286" i="10"/>
  <c r="X286" i="10"/>
  <c r="Q286" i="10"/>
  <c r="Y286" i="10"/>
  <c r="Q480" i="10"/>
  <c r="Y480" i="10"/>
  <c r="R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R552" i="10"/>
  <c r="S552" i="10"/>
  <c r="T552" i="10"/>
  <c r="U552" i="10"/>
  <c r="N552" i="10"/>
  <c r="V552" i="10"/>
  <c r="O560" i="10"/>
  <c r="W560" i="10"/>
  <c r="P560" i="10"/>
  <c r="X560" i="10"/>
  <c r="Q560" i="10"/>
  <c r="Y560" i="10"/>
  <c r="R560" i="10"/>
  <c r="S560" i="10"/>
  <c r="T560" i="10"/>
  <c r="U560" i="10"/>
  <c r="N560" i="10"/>
  <c r="V560" i="10"/>
  <c r="O576" i="10"/>
  <c r="W576" i="10"/>
  <c r="P576" i="10"/>
  <c r="X576" i="10"/>
  <c r="Q576" i="10"/>
  <c r="Y576" i="10"/>
  <c r="R576" i="10"/>
  <c r="S576" i="10"/>
  <c r="T576" i="10"/>
  <c r="U576" i="10"/>
  <c r="N576" i="10"/>
  <c r="V576" i="10"/>
  <c r="O608" i="10"/>
  <c r="W608" i="10"/>
  <c r="P608" i="10"/>
  <c r="X608" i="10"/>
  <c r="Q608" i="10"/>
  <c r="Y608" i="10"/>
  <c r="R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R619" i="10"/>
  <c r="O638" i="10"/>
  <c r="W638" i="10"/>
  <c r="P638" i="10"/>
  <c r="X638" i="10"/>
  <c r="R638" i="10"/>
  <c r="Q638" i="10"/>
  <c r="S638" i="10"/>
  <c r="T638" i="10"/>
  <c r="U638" i="10"/>
  <c r="V638" i="10"/>
  <c r="Y638" i="10"/>
  <c r="R662" i="10"/>
  <c r="S662" i="10"/>
  <c r="T662" i="10"/>
  <c r="U662" i="10"/>
  <c r="N662" i="10"/>
  <c r="V662" i="10"/>
  <c r="O662" i="10"/>
  <c r="W662" i="10"/>
  <c r="P662" i="10"/>
  <c r="X662" i="10"/>
  <c r="Q662" i="10"/>
  <c r="Y662" i="10"/>
  <c r="R670" i="10"/>
  <c r="S670" i="10"/>
  <c r="T670" i="10"/>
  <c r="U670" i="10"/>
  <c r="N670" i="10"/>
  <c r="V670" i="10"/>
  <c r="O670" i="10"/>
  <c r="W670" i="10"/>
  <c r="P670" i="10"/>
  <c r="X670" i="10"/>
  <c r="Q670" i="10"/>
  <c r="R678" i="10"/>
  <c r="S678" i="10"/>
  <c r="T678" i="10"/>
  <c r="U678" i="10"/>
  <c r="N678" i="10"/>
  <c r="V678" i="10"/>
  <c r="O678" i="10"/>
  <c r="W678" i="10"/>
  <c r="P678" i="10"/>
  <c r="X678" i="10"/>
  <c r="Q678" i="10"/>
  <c r="Y678" i="10"/>
  <c r="R686" i="10"/>
  <c r="S686" i="10"/>
  <c r="T686" i="10"/>
  <c r="U686" i="10"/>
  <c r="N686" i="10"/>
  <c r="V686" i="10"/>
  <c r="O686" i="10"/>
  <c r="W686" i="10"/>
  <c r="P686" i="10"/>
  <c r="X686" i="10"/>
  <c r="Q686" i="10"/>
  <c r="R710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R805" i="10"/>
  <c r="S805" i="10"/>
  <c r="T805" i="10"/>
  <c r="U805" i="10"/>
  <c r="O805" i="10"/>
  <c r="W805" i="10"/>
  <c r="Q821" i="10"/>
  <c r="Y821" i="10"/>
  <c r="R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V832" i="10"/>
  <c r="U831" i="10"/>
  <c r="Q830" i="10"/>
  <c r="Y828" i="10"/>
  <c r="V823" i="10"/>
  <c r="N821" i="10"/>
  <c r="R818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R780" i="10"/>
  <c r="S780" i="10"/>
  <c r="N719" i="10"/>
  <c r="V719" i="10"/>
  <c r="O719" i="10"/>
  <c r="W719" i="10"/>
  <c r="P719" i="10"/>
  <c r="X719" i="10"/>
  <c r="Q719" i="10"/>
  <c r="Y719" i="10"/>
  <c r="R719" i="10"/>
  <c r="S719" i="10"/>
  <c r="T719" i="10"/>
  <c r="U719" i="10"/>
  <c r="R650" i="10"/>
  <c r="S650" i="10"/>
  <c r="T650" i="10"/>
  <c r="U650" i="10"/>
  <c r="N650" i="10"/>
  <c r="V650" i="10"/>
  <c r="O650" i="10"/>
  <c r="W650" i="10"/>
  <c r="P650" i="10"/>
  <c r="X650" i="10"/>
  <c r="Q650" i="10"/>
  <c r="Y650" i="10"/>
  <c r="U511" i="10"/>
  <c r="N511" i="10"/>
  <c r="V511" i="10"/>
  <c r="O511" i="10"/>
  <c r="W511" i="10"/>
  <c r="P511" i="10"/>
  <c r="X511" i="10"/>
  <c r="Q511" i="10"/>
  <c r="Y511" i="10"/>
  <c r="R511" i="10"/>
  <c r="S511" i="10"/>
  <c r="T511" i="10"/>
  <c r="P436" i="10"/>
  <c r="X436" i="10"/>
  <c r="R436" i="10"/>
  <c r="T436" i="10"/>
  <c r="Q436" i="10"/>
  <c r="S436" i="10"/>
  <c r="U436" i="10"/>
  <c r="V436" i="10"/>
  <c r="W436" i="10"/>
  <c r="Y436" i="10"/>
  <c r="N436" i="10"/>
  <c r="O436" i="10"/>
  <c r="T257" i="10"/>
  <c r="U257" i="10"/>
  <c r="N257" i="10"/>
  <c r="V257" i="10"/>
  <c r="O257" i="10"/>
  <c r="W257" i="10"/>
  <c r="P257" i="10"/>
  <c r="X257" i="10"/>
  <c r="Q257" i="10"/>
  <c r="Y257" i="10"/>
  <c r="R257" i="10"/>
  <c r="S257" i="10"/>
  <c r="O154" i="10"/>
  <c r="R154" i="10"/>
  <c r="T154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R139" i="10"/>
  <c r="S163" i="10"/>
  <c r="T163" i="10"/>
  <c r="U163" i="10"/>
  <c r="N163" i="10"/>
  <c r="V163" i="10"/>
  <c r="O163" i="10"/>
  <c r="W163" i="10"/>
  <c r="P163" i="10"/>
  <c r="X163" i="10"/>
  <c r="Q163" i="10"/>
  <c r="Y163" i="10"/>
  <c r="R163" i="10"/>
  <c r="U227" i="10"/>
  <c r="P227" i="10"/>
  <c r="X227" i="10"/>
  <c r="R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R243" i="10"/>
  <c r="S243" i="10"/>
  <c r="T267" i="10"/>
  <c r="U267" i="10"/>
  <c r="O267" i="10"/>
  <c r="W267" i="10"/>
  <c r="Q267" i="10"/>
  <c r="Y267" i="10"/>
  <c r="N267" i="10"/>
  <c r="P267" i="10"/>
  <c r="R267" i="10"/>
  <c r="S267" i="10"/>
  <c r="V267" i="10"/>
  <c r="X267" i="10"/>
  <c r="N299" i="10"/>
  <c r="V299" i="10"/>
  <c r="O299" i="10"/>
  <c r="W299" i="10"/>
  <c r="P299" i="10"/>
  <c r="X299" i="10"/>
  <c r="Q299" i="10"/>
  <c r="Y299" i="10"/>
  <c r="R299" i="10"/>
  <c r="S299" i="10"/>
  <c r="T299" i="10"/>
  <c r="U299" i="10"/>
  <c r="R326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R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R477" i="10"/>
  <c r="S477" i="10"/>
  <c r="T477" i="10"/>
  <c r="U525" i="10"/>
  <c r="N525" i="10"/>
  <c r="V525" i="10"/>
  <c r="O525" i="10"/>
  <c r="W525" i="10"/>
  <c r="P525" i="10"/>
  <c r="X525" i="10"/>
  <c r="Q525" i="10"/>
  <c r="Y525" i="10"/>
  <c r="R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R549" i="10"/>
  <c r="N643" i="10"/>
  <c r="V643" i="10"/>
  <c r="O643" i="10"/>
  <c r="W643" i="10"/>
  <c r="P643" i="10"/>
  <c r="X643" i="10"/>
  <c r="Q643" i="10"/>
  <c r="Y643" i="10"/>
  <c r="R643" i="10"/>
  <c r="S643" i="10"/>
  <c r="T643" i="10"/>
  <c r="U643" i="10"/>
  <c r="Q717" i="1"/>
  <c r="Q562" i="1"/>
  <c r="Q341" i="1"/>
  <c r="Q146" i="1"/>
  <c r="Q809" i="1"/>
  <c r="Q755" i="1"/>
  <c r="Q815" i="10"/>
  <c r="Y815" i="10"/>
  <c r="R815" i="10"/>
  <c r="S815" i="10"/>
  <c r="T815" i="10"/>
  <c r="U815" i="10"/>
  <c r="O815" i="10"/>
  <c r="W815" i="10"/>
  <c r="Q791" i="10"/>
  <c r="Y791" i="10"/>
  <c r="R791" i="10"/>
  <c r="S791" i="10"/>
  <c r="T791" i="10"/>
  <c r="U791" i="10"/>
  <c r="N791" i="10"/>
  <c r="V791" i="10"/>
  <c r="O791" i="10"/>
  <c r="W791" i="10"/>
  <c r="U768" i="10"/>
  <c r="N768" i="10"/>
  <c r="V768" i="10"/>
  <c r="O768" i="10"/>
  <c r="W768" i="10"/>
  <c r="P768" i="10"/>
  <c r="X768" i="10"/>
  <c r="Q768" i="10"/>
  <c r="Y768" i="10"/>
  <c r="R768" i="10"/>
  <c r="S768" i="10"/>
  <c r="R716" i="10"/>
  <c r="S716" i="10"/>
  <c r="T716" i="10"/>
  <c r="U716" i="10"/>
  <c r="N716" i="10"/>
  <c r="V716" i="10"/>
  <c r="O716" i="10"/>
  <c r="W716" i="10"/>
  <c r="P716" i="10"/>
  <c r="X716" i="10"/>
  <c r="Q716" i="10"/>
  <c r="Y716" i="10"/>
  <c r="R674" i="10"/>
  <c r="S674" i="10"/>
  <c r="T674" i="10"/>
  <c r="U674" i="10"/>
  <c r="N674" i="10"/>
  <c r="V674" i="10"/>
  <c r="O674" i="10"/>
  <c r="W674" i="10"/>
  <c r="P674" i="10"/>
  <c r="X674" i="10"/>
  <c r="Q674" i="10"/>
  <c r="Y674" i="10"/>
  <c r="N649" i="10"/>
  <c r="V649" i="10"/>
  <c r="O649" i="10"/>
  <c r="W649" i="10"/>
  <c r="P649" i="10"/>
  <c r="X649" i="10"/>
  <c r="Q649" i="10"/>
  <c r="Y649" i="10"/>
  <c r="R649" i="10"/>
  <c r="S649" i="10"/>
  <c r="T649" i="10"/>
  <c r="S617" i="10"/>
  <c r="T617" i="10"/>
  <c r="U617" i="10"/>
  <c r="N617" i="10"/>
  <c r="V617" i="10"/>
  <c r="O617" i="10"/>
  <c r="W617" i="10"/>
  <c r="P617" i="10"/>
  <c r="X617" i="10"/>
  <c r="Q617" i="10"/>
  <c r="Y617" i="10"/>
  <c r="R617" i="10"/>
  <c r="A591" i="10"/>
  <c r="Z591" i="10" s="1"/>
  <c r="S577" i="10"/>
  <c r="T577" i="10"/>
  <c r="U577" i="10"/>
  <c r="N577" i="10"/>
  <c r="V577" i="10"/>
  <c r="O577" i="10"/>
  <c r="W577" i="10"/>
  <c r="P577" i="10"/>
  <c r="X577" i="10"/>
  <c r="Q577" i="10"/>
  <c r="Y577" i="10"/>
  <c r="R577" i="10"/>
  <c r="Q536" i="10"/>
  <c r="Y536" i="10"/>
  <c r="R536" i="10"/>
  <c r="T536" i="10"/>
  <c r="N536" i="10"/>
  <c r="V536" i="10"/>
  <c r="O536" i="10"/>
  <c r="W536" i="10"/>
  <c r="X536" i="10"/>
  <c r="P536" i="10"/>
  <c r="S536" i="10"/>
  <c r="U536" i="10"/>
  <c r="Q508" i="10"/>
  <c r="Y508" i="10"/>
  <c r="R508" i="10"/>
  <c r="S508" i="10"/>
  <c r="T508" i="10"/>
  <c r="U508" i="10"/>
  <c r="N508" i="10"/>
  <c r="V508" i="10"/>
  <c r="O508" i="10"/>
  <c r="W508" i="10"/>
  <c r="P508" i="10"/>
  <c r="X508" i="10"/>
  <c r="Q490" i="10"/>
  <c r="Y490" i="10"/>
  <c r="R490" i="10"/>
  <c r="S490" i="10"/>
  <c r="T490" i="10"/>
  <c r="U490" i="10"/>
  <c r="N490" i="10"/>
  <c r="V490" i="10"/>
  <c r="O490" i="10"/>
  <c r="W490" i="10"/>
  <c r="P490" i="10"/>
  <c r="X490" i="10"/>
  <c r="A449" i="10"/>
  <c r="Z449" i="10" s="1"/>
  <c r="O434" i="10"/>
  <c r="W434" i="10"/>
  <c r="P434" i="10"/>
  <c r="X434" i="10"/>
  <c r="R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R405" i="10"/>
  <c r="O380" i="10"/>
  <c r="W380" i="10"/>
  <c r="P380" i="10"/>
  <c r="X380" i="10"/>
  <c r="Q380" i="10"/>
  <c r="Y380" i="10"/>
  <c r="R380" i="10"/>
  <c r="S380" i="10"/>
  <c r="T380" i="10"/>
  <c r="U380" i="10"/>
  <c r="N380" i="10"/>
  <c r="V380" i="10"/>
  <c r="R324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R295" i="10"/>
  <c r="S295" i="10"/>
  <c r="T295" i="10"/>
  <c r="U295" i="10"/>
  <c r="N281" i="10"/>
  <c r="V281" i="10"/>
  <c r="O281" i="10"/>
  <c r="W281" i="10"/>
  <c r="P281" i="10"/>
  <c r="X281" i="10"/>
  <c r="Q281" i="10"/>
  <c r="Y281" i="10"/>
  <c r="R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R255" i="10"/>
  <c r="S255" i="10"/>
  <c r="Q226" i="10"/>
  <c r="Y226" i="10"/>
  <c r="T226" i="10"/>
  <c r="N226" i="10"/>
  <c r="V226" i="10"/>
  <c r="R226" i="10"/>
  <c r="S226" i="10"/>
  <c r="U226" i="10"/>
  <c r="W226" i="10"/>
  <c r="X226" i="10"/>
  <c r="O226" i="10"/>
  <c r="P226" i="10"/>
  <c r="Q198" i="10"/>
  <c r="Y198" i="10"/>
  <c r="T198" i="10"/>
  <c r="U198" i="10"/>
  <c r="N198" i="10"/>
  <c r="V198" i="10"/>
  <c r="P198" i="10"/>
  <c r="X198" i="10"/>
  <c r="O198" i="10"/>
  <c r="R198" i="10"/>
  <c r="S198" i="10"/>
  <c r="W198" i="10"/>
  <c r="S153" i="10"/>
  <c r="T153" i="10"/>
  <c r="U153" i="10"/>
  <c r="N153" i="10"/>
  <c r="V153" i="10"/>
  <c r="O153" i="10"/>
  <c r="W153" i="10"/>
  <c r="P153" i="10"/>
  <c r="X153" i="10"/>
  <c r="Q153" i="10"/>
  <c r="Y153" i="10"/>
  <c r="R153" i="10"/>
  <c r="Q106" i="10"/>
  <c r="Y106" i="10"/>
  <c r="R106" i="10"/>
  <c r="S106" i="10"/>
  <c r="T106" i="10"/>
  <c r="N106" i="10"/>
  <c r="V106" i="10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R89" i="10"/>
  <c r="W89" i="10"/>
  <c r="O52" i="10"/>
  <c r="W52" i="10"/>
  <c r="P52" i="10"/>
  <c r="X52" i="10"/>
  <c r="R52" i="10"/>
  <c r="S52" i="10"/>
  <c r="N52" i="10"/>
  <c r="T52" i="10"/>
  <c r="U52" i="10"/>
  <c r="Y52" i="10"/>
  <c r="V52" i="10"/>
  <c r="Q52" i="10"/>
  <c r="O18" i="10"/>
  <c r="W18" i="10"/>
  <c r="P18" i="10"/>
  <c r="X18" i="10"/>
  <c r="R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R29" i="10"/>
  <c r="U29" i="10"/>
  <c r="X29" i="10"/>
  <c r="Y29" i="10"/>
  <c r="Q29" i="10"/>
  <c r="Q104" i="10"/>
  <c r="Y104" i="10"/>
  <c r="R104" i="10"/>
  <c r="S104" i="10"/>
  <c r="T104" i="10"/>
  <c r="N104" i="10"/>
  <c r="V104" i="10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R131" i="10"/>
  <c r="Q190" i="10"/>
  <c r="Y190" i="10"/>
  <c r="T190" i="10"/>
  <c r="U190" i="10"/>
  <c r="N190" i="10"/>
  <c r="V190" i="10"/>
  <c r="P190" i="10"/>
  <c r="X190" i="10"/>
  <c r="W190" i="10"/>
  <c r="O190" i="10"/>
  <c r="R190" i="10"/>
  <c r="S190" i="10"/>
  <c r="Q206" i="10"/>
  <c r="Y206" i="10"/>
  <c r="T206" i="10"/>
  <c r="U206" i="10"/>
  <c r="N206" i="10"/>
  <c r="V206" i="10"/>
  <c r="P206" i="10"/>
  <c r="X206" i="10"/>
  <c r="W206" i="10"/>
  <c r="O206" i="10"/>
  <c r="R206" i="10"/>
  <c r="S206" i="10"/>
  <c r="Q230" i="10"/>
  <c r="Y230" i="10"/>
  <c r="T230" i="10"/>
  <c r="N230" i="10"/>
  <c r="V230" i="10"/>
  <c r="U230" i="10"/>
  <c r="W230" i="10"/>
  <c r="X230" i="10"/>
  <c r="O230" i="10"/>
  <c r="P230" i="10"/>
  <c r="R230" i="10"/>
  <c r="S230" i="10"/>
  <c r="U461" i="10"/>
  <c r="N461" i="10"/>
  <c r="V461" i="10"/>
  <c r="O461" i="10"/>
  <c r="W461" i="10"/>
  <c r="P461" i="10"/>
  <c r="X461" i="10"/>
  <c r="Q461" i="10"/>
  <c r="Y461" i="10"/>
  <c r="R461" i="10"/>
  <c r="S461" i="10"/>
  <c r="T461" i="10"/>
  <c r="Q504" i="10"/>
  <c r="Y504" i="10"/>
  <c r="R504" i="10"/>
  <c r="S504" i="10"/>
  <c r="T504" i="10"/>
  <c r="U504" i="10"/>
  <c r="N504" i="10"/>
  <c r="V504" i="10"/>
  <c r="O504" i="10"/>
  <c r="W504" i="10"/>
  <c r="P504" i="10"/>
  <c r="X504" i="10"/>
  <c r="Q512" i="10"/>
  <c r="Y512" i="10"/>
  <c r="R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R544" i="10"/>
  <c r="S544" i="10"/>
  <c r="T544" i="10"/>
  <c r="U544" i="10"/>
  <c r="N544" i="10"/>
  <c r="V544" i="10"/>
  <c r="O568" i="10"/>
  <c r="W568" i="10"/>
  <c r="P568" i="10"/>
  <c r="X568" i="10"/>
  <c r="Q568" i="10"/>
  <c r="Y568" i="10"/>
  <c r="R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R825" i="10"/>
  <c r="S825" i="10"/>
  <c r="T825" i="10"/>
  <c r="U825" i="10"/>
  <c r="O825" i="10"/>
  <c r="W825" i="10"/>
  <c r="Q813" i="10"/>
  <c r="Y813" i="10"/>
  <c r="R813" i="10"/>
  <c r="S813" i="10"/>
  <c r="T813" i="10"/>
  <c r="U813" i="10"/>
  <c r="O813" i="10"/>
  <c r="W813" i="10"/>
  <c r="A788" i="10"/>
  <c r="Z788" i="10" s="1"/>
  <c r="Q777" i="10"/>
  <c r="Y777" i="10"/>
  <c r="R777" i="10"/>
  <c r="S777" i="10"/>
  <c r="T777" i="10"/>
  <c r="U777" i="10"/>
  <c r="N777" i="10"/>
  <c r="V777" i="10"/>
  <c r="O777" i="10"/>
  <c r="W777" i="10"/>
  <c r="Q767" i="10"/>
  <c r="Y767" i="10"/>
  <c r="R767" i="10"/>
  <c r="S767" i="10"/>
  <c r="T767" i="10"/>
  <c r="U767" i="10"/>
  <c r="N767" i="10"/>
  <c r="V767" i="10"/>
  <c r="O767" i="10"/>
  <c r="W767" i="10"/>
  <c r="Q753" i="10"/>
  <c r="Y753" i="10"/>
  <c r="R753" i="10"/>
  <c r="S753" i="10"/>
  <c r="T753" i="10"/>
  <c r="U753" i="10"/>
  <c r="N753" i="10"/>
  <c r="V753" i="10"/>
  <c r="O753" i="10"/>
  <c r="W753" i="10"/>
  <c r="Q743" i="10"/>
  <c r="Y743" i="10"/>
  <c r="R743" i="10"/>
  <c r="S743" i="10"/>
  <c r="T743" i="10"/>
  <c r="U743" i="10"/>
  <c r="N743" i="10"/>
  <c r="V743" i="10"/>
  <c r="O743" i="10"/>
  <c r="W743" i="10"/>
  <c r="A729" i="10"/>
  <c r="Z729" i="10" s="1"/>
  <c r="R700" i="10"/>
  <c r="S700" i="10"/>
  <c r="T700" i="10"/>
  <c r="U700" i="10"/>
  <c r="N700" i="10"/>
  <c r="V700" i="10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R673" i="10"/>
  <c r="S673" i="10"/>
  <c r="T673" i="10"/>
  <c r="U673" i="10"/>
  <c r="R658" i="10"/>
  <c r="S658" i="10"/>
  <c r="T658" i="10"/>
  <c r="U658" i="10"/>
  <c r="N658" i="10"/>
  <c r="V658" i="10"/>
  <c r="O658" i="10"/>
  <c r="W658" i="10"/>
  <c r="P658" i="10"/>
  <c r="X658" i="10"/>
  <c r="Q658" i="10"/>
  <c r="Y658" i="10"/>
  <c r="R64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R633" i="10"/>
  <c r="U633" i="10"/>
  <c r="W633" i="10"/>
  <c r="Y633" i="10"/>
  <c r="O633" i="10"/>
  <c r="O600" i="10"/>
  <c r="W600" i="10"/>
  <c r="P600" i="10"/>
  <c r="X600" i="10"/>
  <c r="Q600" i="10"/>
  <c r="Y600" i="10"/>
  <c r="R600" i="10"/>
  <c r="S600" i="10"/>
  <c r="T600" i="10"/>
  <c r="U600" i="10"/>
  <c r="N600" i="10"/>
  <c r="V600" i="10"/>
  <c r="A575" i="10"/>
  <c r="Z575" i="10" s="1"/>
  <c r="O546" i="10"/>
  <c r="W546" i="10"/>
  <c r="P546" i="10"/>
  <c r="X546" i="10"/>
  <c r="Q546" i="10"/>
  <c r="Y546" i="10"/>
  <c r="R546" i="10"/>
  <c r="S546" i="10"/>
  <c r="T546" i="10"/>
  <c r="U546" i="10"/>
  <c r="N546" i="10"/>
  <c r="V546" i="10"/>
  <c r="A535" i="10"/>
  <c r="Z535" i="10" s="1"/>
  <c r="Q506" i="10"/>
  <c r="Y506" i="10"/>
  <c r="R506" i="10"/>
  <c r="S506" i="10"/>
  <c r="T506" i="10"/>
  <c r="U506" i="10"/>
  <c r="N506" i="10"/>
  <c r="V506" i="10"/>
  <c r="O506" i="10"/>
  <c r="W506" i="10"/>
  <c r="P506" i="10"/>
  <c r="X506" i="10"/>
  <c r="A458" i="10"/>
  <c r="Z458" i="10" s="1"/>
  <c r="A447" i="10"/>
  <c r="Z447" i="10" s="1"/>
  <c r="A433" i="10"/>
  <c r="Z433" i="10" s="1"/>
  <c r="O404" i="10"/>
  <c r="W404" i="10"/>
  <c r="P404" i="10"/>
  <c r="X404" i="10"/>
  <c r="Q404" i="10"/>
  <c r="Y404" i="10"/>
  <c r="R404" i="10"/>
  <c r="S404" i="10"/>
  <c r="T404" i="10"/>
  <c r="U404" i="10"/>
  <c r="N404" i="10"/>
  <c r="V404" i="10"/>
  <c r="O392" i="10"/>
  <c r="W392" i="10"/>
  <c r="P392" i="10"/>
  <c r="X392" i="10"/>
  <c r="Q392" i="10"/>
  <c r="Y392" i="10"/>
  <c r="R392" i="10"/>
  <c r="S392" i="10"/>
  <c r="T392" i="10"/>
  <c r="U392" i="10"/>
  <c r="N392" i="10"/>
  <c r="V392" i="10"/>
  <c r="O364" i="10"/>
  <c r="W364" i="10"/>
  <c r="P364" i="10"/>
  <c r="X364" i="10"/>
  <c r="Q364" i="10"/>
  <c r="Y364" i="10"/>
  <c r="R364" i="10"/>
  <c r="S364" i="10"/>
  <c r="T364" i="10"/>
  <c r="U364" i="10"/>
  <c r="N364" i="10"/>
  <c r="V364" i="10"/>
  <c r="R308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R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O196" i="10"/>
  <c r="R196" i="10"/>
  <c r="S196" i="10"/>
  <c r="W196" i="10"/>
  <c r="A181" i="10"/>
  <c r="Z181" i="10" s="1"/>
  <c r="A166" i="10"/>
  <c r="Z166" i="10" s="1"/>
  <c r="S137" i="10"/>
  <c r="T137" i="10"/>
  <c r="U137" i="10"/>
  <c r="N137" i="10"/>
  <c r="V137" i="10"/>
  <c r="O137" i="10"/>
  <c r="W137" i="10"/>
  <c r="P137" i="10"/>
  <c r="X137" i="10"/>
  <c r="Q137" i="10"/>
  <c r="Y137" i="10"/>
  <c r="R137" i="10"/>
  <c r="A31" i="10"/>
  <c r="Z31" i="10" s="1"/>
  <c r="S9" i="10"/>
  <c r="T9" i="10"/>
  <c r="N9" i="10"/>
  <c r="V9" i="10"/>
  <c r="O9" i="10"/>
  <c r="W9" i="10"/>
  <c r="P9" i="10"/>
  <c r="Q9" i="10"/>
  <c r="R9" i="10"/>
  <c r="U9" i="10"/>
  <c r="X9" i="10"/>
  <c r="Y9" i="10"/>
  <c r="O12" i="10"/>
  <c r="W12" i="10"/>
  <c r="P12" i="10"/>
  <c r="X12" i="10"/>
  <c r="R12" i="10"/>
  <c r="S12" i="10"/>
  <c r="N12" i="10"/>
  <c r="Q12" i="10"/>
  <c r="T12" i="10"/>
  <c r="U12" i="10"/>
  <c r="V12" i="10"/>
  <c r="Y12" i="10"/>
  <c r="O24" i="10"/>
  <c r="W24" i="10"/>
  <c r="P24" i="10"/>
  <c r="X24" i="10"/>
  <c r="R24" i="10"/>
  <c r="S24" i="10"/>
  <c r="N24" i="10"/>
  <c r="Q24" i="10"/>
  <c r="T24" i="10"/>
  <c r="U24" i="10"/>
  <c r="V24" i="10"/>
  <c r="Y24" i="10"/>
  <c r="S35" i="10"/>
  <c r="T35" i="10"/>
  <c r="N35" i="10"/>
  <c r="V35" i="10"/>
  <c r="O35" i="10"/>
  <c r="W35" i="10"/>
  <c r="P35" i="10"/>
  <c r="Q35" i="10"/>
  <c r="R35" i="10"/>
  <c r="U35" i="10"/>
  <c r="X35" i="10"/>
  <c r="Y35" i="10"/>
  <c r="S43" i="10"/>
  <c r="T43" i="10"/>
  <c r="N43" i="10"/>
  <c r="V43" i="10"/>
  <c r="O43" i="10"/>
  <c r="W43" i="10"/>
  <c r="P43" i="10"/>
  <c r="Q43" i="10"/>
  <c r="R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R51" i="10"/>
  <c r="X51" i="10"/>
  <c r="Y51" i="10"/>
  <c r="S59" i="10"/>
  <c r="T59" i="10"/>
  <c r="N59" i="10"/>
  <c r="V59" i="10"/>
  <c r="O59" i="10"/>
  <c r="W59" i="10"/>
  <c r="P59" i="10"/>
  <c r="Q59" i="10"/>
  <c r="U59" i="10"/>
  <c r="R59" i="10"/>
  <c r="X59" i="10"/>
  <c r="Y59" i="10"/>
  <c r="O67" i="10"/>
  <c r="W67" i="10"/>
  <c r="U67" i="10"/>
  <c r="N67" i="10"/>
  <c r="X67" i="10"/>
  <c r="P67" i="10"/>
  <c r="Y67" i="10"/>
  <c r="R67" i="10"/>
  <c r="Q67" i="10"/>
  <c r="S67" i="10"/>
  <c r="T67" i="10"/>
  <c r="V67" i="10"/>
  <c r="N75" i="10"/>
  <c r="V75" i="10"/>
  <c r="P75" i="10"/>
  <c r="X75" i="10"/>
  <c r="Q75" i="10"/>
  <c r="Y75" i="10"/>
  <c r="S75" i="10"/>
  <c r="R75" i="10"/>
  <c r="T75" i="10"/>
  <c r="U75" i="10"/>
  <c r="W75" i="10"/>
  <c r="O75" i="10"/>
  <c r="N83" i="10"/>
  <c r="V83" i="10"/>
  <c r="P83" i="10"/>
  <c r="X83" i="10"/>
  <c r="Q83" i="10"/>
  <c r="Y83" i="10"/>
  <c r="S83" i="10"/>
  <c r="R83" i="10"/>
  <c r="T83" i="10"/>
  <c r="U83" i="10"/>
  <c r="W83" i="10"/>
  <c r="O83" i="10"/>
  <c r="N91" i="10"/>
  <c r="V91" i="10"/>
  <c r="P91" i="10"/>
  <c r="X91" i="10"/>
  <c r="Q91" i="10"/>
  <c r="Y91" i="10"/>
  <c r="S91" i="10"/>
  <c r="R91" i="10"/>
  <c r="T91" i="10"/>
  <c r="U91" i="10"/>
  <c r="W91" i="10"/>
  <c r="O91" i="10"/>
  <c r="U99" i="10"/>
  <c r="N99" i="10"/>
  <c r="V99" i="10"/>
  <c r="O99" i="10"/>
  <c r="W99" i="10"/>
  <c r="P99" i="10"/>
  <c r="X99" i="10"/>
  <c r="R99" i="10"/>
  <c r="S99" i="10"/>
  <c r="Q99" i="10"/>
  <c r="T99" i="10"/>
  <c r="Y99" i="10"/>
  <c r="U107" i="10"/>
  <c r="N107" i="10"/>
  <c r="V107" i="10"/>
  <c r="O107" i="10"/>
  <c r="W107" i="10"/>
  <c r="P107" i="10"/>
  <c r="X107" i="10"/>
  <c r="R107" i="10"/>
  <c r="S107" i="10"/>
  <c r="Q107" i="10"/>
  <c r="T107" i="10"/>
  <c r="Y107" i="10"/>
  <c r="U115" i="10"/>
  <c r="N115" i="10"/>
  <c r="V115" i="10"/>
  <c r="O115" i="10"/>
  <c r="W115" i="10"/>
  <c r="P115" i="10"/>
  <c r="X115" i="10"/>
  <c r="R115" i="10"/>
  <c r="S115" i="10"/>
  <c r="Q115" i="10"/>
  <c r="T115" i="10"/>
  <c r="Y115" i="10"/>
  <c r="O134" i="10"/>
  <c r="W134" i="10"/>
  <c r="P134" i="10"/>
  <c r="X134" i="10"/>
  <c r="Q134" i="10"/>
  <c r="Y134" i="10"/>
  <c r="R134" i="10"/>
  <c r="S134" i="10"/>
  <c r="T134" i="10"/>
  <c r="U134" i="10"/>
  <c r="V134" i="10"/>
  <c r="N134" i="10"/>
  <c r="R332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R357" i="10"/>
  <c r="S373" i="10"/>
  <c r="T373" i="10"/>
  <c r="U373" i="10"/>
  <c r="N373" i="10"/>
  <c r="V373" i="10"/>
  <c r="O373" i="10"/>
  <c r="W373" i="10"/>
  <c r="P373" i="10"/>
  <c r="X373" i="10"/>
  <c r="Q373" i="10"/>
  <c r="Y373" i="10"/>
  <c r="R373" i="10"/>
  <c r="S381" i="10"/>
  <c r="T381" i="10"/>
  <c r="U381" i="10"/>
  <c r="N381" i="10"/>
  <c r="V381" i="10"/>
  <c r="O381" i="10"/>
  <c r="W381" i="10"/>
  <c r="P381" i="10"/>
  <c r="X381" i="10"/>
  <c r="Q381" i="10"/>
  <c r="Y381" i="10"/>
  <c r="R381" i="10"/>
  <c r="S389" i="10"/>
  <c r="T389" i="10"/>
  <c r="U389" i="10"/>
  <c r="N389" i="10"/>
  <c r="V389" i="10"/>
  <c r="O389" i="10"/>
  <c r="W389" i="10"/>
  <c r="P389" i="10"/>
  <c r="X389" i="10"/>
  <c r="Q389" i="10"/>
  <c r="Y389" i="10"/>
  <c r="R389" i="10"/>
  <c r="S397" i="10"/>
  <c r="T397" i="10"/>
  <c r="U397" i="10"/>
  <c r="N397" i="10"/>
  <c r="V397" i="10"/>
  <c r="O397" i="10"/>
  <c r="W397" i="10"/>
  <c r="P397" i="10"/>
  <c r="X397" i="10"/>
  <c r="Q397" i="10"/>
  <c r="Y397" i="10"/>
  <c r="R397" i="10"/>
  <c r="S421" i="10"/>
  <c r="T421" i="10"/>
  <c r="U421" i="10"/>
  <c r="N421" i="10"/>
  <c r="V421" i="10"/>
  <c r="O421" i="10"/>
  <c r="W421" i="10"/>
  <c r="P421" i="10"/>
  <c r="X421" i="10"/>
  <c r="Q421" i="10"/>
  <c r="Y421" i="10"/>
  <c r="R421" i="10"/>
  <c r="S429" i="10"/>
  <c r="T429" i="10"/>
  <c r="N429" i="10"/>
  <c r="V429" i="10"/>
  <c r="O429" i="10"/>
  <c r="W429" i="10"/>
  <c r="P429" i="10"/>
  <c r="X429" i="10"/>
  <c r="Q429" i="10"/>
  <c r="Y429" i="10"/>
  <c r="R429" i="10"/>
  <c r="U429" i="10"/>
  <c r="U445" i="10"/>
  <c r="N445" i="10"/>
  <c r="V445" i="10"/>
  <c r="O445" i="10"/>
  <c r="W445" i="10"/>
  <c r="P445" i="10"/>
  <c r="X445" i="10"/>
  <c r="Q445" i="10"/>
  <c r="Y445" i="10"/>
  <c r="R445" i="10"/>
  <c r="S445" i="10"/>
  <c r="T445" i="10"/>
  <c r="U453" i="10"/>
  <c r="N453" i="10"/>
  <c r="V453" i="10"/>
  <c r="O453" i="10"/>
  <c r="W453" i="10"/>
  <c r="P453" i="10"/>
  <c r="X453" i="10"/>
  <c r="Q453" i="10"/>
  <c r="Y453" i="10"/>
  <c r="R453" i="10"/>
  <c r="S453" i="10"/>
  <c r="T453" i="10"/>
  <c r="U475" i="10"/>
  <c r="N475" i="10"/>
  <c r="V475" i="10"/>
  <c r="O475" i="10"/>
  <c r="W475" i="10"/>
  <c r="P475" i="10"/>
  <c r="X475" i="10"/>
  <c r="Q475" i="10"/>
  <c r="Y475" i="10"/>
  <c r="R475" i="10"/>
  <c r="S475" i="10"/>
  <c r="T475" i="10"/>
  <c r="U483" i="10"/>
  <c r="N483" i="10"/>
  <c r="V483" i="10"/>
  <c r="O483" i="10"/>
  <c r="W483" i="10"/>
  <c r="P483" i="10"/>
  <c r="X483" i="10"/>
  <c r="Q483" i="10"/>
  <c r="Y483" i="10"/>
  <c r="R483" i="10"/>
  <c r="S483" i="10"/>
  <c r="T483" i="10"/>
  <c r="U491" i="10"/>
  <c r="N491" i="10"/>
  <c r="V491" i="10"/>
  <c r="O491" i="10"/>
  <c r="W491" i="10"/>
  <c r="P491" i="10"/>
  <c r="X491" i="10"/>
  <c r="Q491" i="10"/>
  <c r="Y491" i="10"/>
  <c r="R491" i="10"/>
  <c r="S491" i="10"/>
  <c r="T491" i="10"/>
  <c r="U499" i="10"/>
  <c r="N499" i="10"/>
  <c r="V499" i="10"/>
  <c r="O499" i="10"/>
  <c r="W499" i="10"/>
  <c r="P499" i="10"/>
  <c r="X499" i="10"/>
  <c r="Q499" i="10"/>
  <c r="Y499" i="10"/>
  <c r="R499" i="10"/>
  <c r="S499" i="10"/>
  <c r="T499" i="10"/>
  <c r="U507" i="10"/>
  <c r="N507" i="10"/>
  <c r="V507" i="10"/>
  <c r="O507" i="10"/>
  <c r="W507" i="10"/>
  <c r="P507" i="10"/>
  <c r="X507" i="10"/>
  <c r="Q507" i="10"/>
  <c r="Y507" i="10"/>
  <c r="R507" i="10"/>
  <c r="S507" i="10"/>
  <c r="T507" i="10"/>
  <c r="U515" i="10"/>
  <c r="N515" i="10"/>
  <c r="V515" i="10"/>
  <c r="O515" i="10"/>
  <c r="W515" i="10"/>
  <c r="P515" i="10"/>
  <c r="X515" i="10"/>
  <c r="Q515" i="10"/>
  <c r="Y515" i="10"/>
  <c r="R515" i="10"/>
  <c r="S515" i="10"/>
  <c r="T515" i="10"/>
  <c r="U523" i="10"/>
  <c r="N523" i="10"/>
  <c r="V523" i="10"/>
  <c r="O523" i="10"/>
  <c r="W523" i="10"/>
  <c r="P523" i="10"/>
  <c r="X523" i="10"/>
  <c r="Q523" i="10"/>
  <c r="Y523" i="10"/>
  <c r="R523" i="10"/>
  <c r="S523" i="10"/>
  <c r="T523" i="10"/>
  <c r="U531" i="10"/>
  <c r="N531" i="10"/>
  <c r="V531" i="10"/>
  <c r="O531" i="10"/>
  <c r="W531" i="10"/>
  <c r="P531" i="10"/>
  <c r="X531" i="10"/>
  <c r="R531" i="10"/>
  <c r="S531" i="10"/>
  <c r="Q531" i="10"/>
  <c r="T531" i="10"/>
  <c r="Y531" i="10"/>
  <c r="N539" i="10"/>
  <c r="P539" i="10"/>
  <c r="X539" i="10"/>
  <c r="R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R547" i="10"/>
  <c r="S555" i="10"/>
  <c r="T555" i="10"/>
  <c r="U555" i="10"/>
  <c r="N555" i="10"/>
  <c r="V555" i="10"/>
  <c r="O555" i="10"/>
  <c r="W555" i="10"/>
  <c r="P555" i="10"/>
  <c r="X555" i="10"/>
  <c r="Q555" i="10"/>
  <c r="Y555" i="10"/>
  <c r="R555" i="10"/>
  <c r="S563" i="10"/>
  <c r="T563" i="10"/>
  <c r="U563" i="10"/>
  <c r="N563" i="10"/>
  <c r="V563" i="10"/>
  <c r="O563" i="10"/>
  <c r="W563" i="10"/>
  <c r="P563" i="10"/>
  <c r="X563" i="10"/>
  <c r="Q563" i="10"/>
  <c r="Y563" i="10"/>
  <c r="R563" i="10"/>
  <c r="S571" i="10"/>
  <c r="T571" i="10"/>
  <c r="U571" i="10"/>
  <c r="N571" i="10"/>
  <c r="V571" i="10"/>
  <c r="O571" i="10"/>
  <c r="W571" i="10"/>
  <c r="P571" i="10"/>
  <c r="X571" i="10"/>
  <c r="Q571" i="10"/>
  <c r="Y571" i="10"/>
  <c r="R571" i="10"/>
  <c r="S579" i="10"/>
  <c r="T579" i="10"/>
  <c r="U579" i="10"/>
  <c r="N579" i="10"/>
  <c r="V579" i="10"/>
  <c r="O579" i="10"/>
  <c r="W579" i="10"/>
  <c r="P579" i="10"/>
  <c r="X579" i="10"/>
  <c r="Q579" i="10"/>
  <c r="Y579" i="10"/>
  <c r="R579" i="10"/>
  <c r="S587" i="10"/>
  <c r="T587" i="10"/>
  <c r="U587" i="10"/>
  <c r="N587" i="10"/>
  <c r="V587" i="10"/>
  <c r="O587" i="10"/>
  <c r="W587" i="10"/>
  <c r="P587" i="10"/>
  <c r="X587" i="10"/>
  <c r="Q587" i="10"/>
  <c r="Y587" i="10"/>
  <c r="R587" i="10"/>
  <c r="S595" i="10"/>
  <c r="T595" i="10"/>
  <c r="U595" i="10"/>
  <c r="N595" i="10"/>
  <c r="V595" i="10"/>
  <c r="O595" i="10"/>
  <c r="W595" i="10"/>
  <c r="P595" i="10"/>
  <c r="X595" i="10"/>
  <c r="Q595" i="10"/>
  <c r="Y595" i="10"/>
  <c r="R595" i="10"/>
  <c r="S603" i="10"/>
  <c r="T603" i="10"/>
  <c r="U603" i="10"/>
  <c r="N603" i="10"/>
  <c r="V603" i="10"/>
  <c r="O603" i="10"/>
  <c r="W603" i="10"/>
  <c r="P603" i="10"/>
  <c r="X603" i="10"/>
  <c r="Q603" i="10"/>
  <c r="Y603" i="10"/>
  <c r="R603" i="10"/>
  <c r="S611" i="10"/>
  <c r="T611" i="10"/>
  <c r="U611" i="10"/>
  <c r="N611" i="10"/>
  <c r="V611" i="10"/>
  <c r="O611" i="10"/>
  <c r="W611" i="10"/>
  <c r="P611" i="10"/>
  <c r="X611" i="10"/>
  <c r="Q611" i="10"/>
  <c r="Y611" i="10"/>
  <c r="R611" i="10"/>
  <c r="O622" i="10"/>
  <c r="W622" i="10"/>
  <c r="P622" i="10"/>
  <c r="X622" i="10"/>
  <c r="Q622" i="10"/>
  <c r="Y622" i="10"/>
  <c r="R622" i="10"/>
  <c r="S622" i="10"/>
  <c r="T622" i="10"/>
  <c r="U622" i="10"/>
  <c r="N622" i="10"/>
  <c r="V622" i="10"/>
  <c r="U833" i="10"/>
  <c r="T832" i="10"/>
  <c r="R831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O792" i="10"/>
  <c r="W792" i="10"/>
  <c r="P792" i="10"/>
  <c r="X792" i="10"/>
  <c r="Q792" i="10"/>
  <c r="Y792" i="10"/>
  <c r="R792" i="10"/>
  <c r="S792" i="10"/>
  <c r="R732" i="10"/>
  <c r="S732" i="10"/>
  <c r="O732" i="10"/>
  <c r="W732" i="10"/>
  <c r="V732" i="10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R663" i="10"/>
  <c r="S663" i="10"/>
  <c r="T663" i="10"/>
  <c r="U663" i="10"/>
  <c r="O592" i="10"/>
  <c r="W592" i="10"/>
  <c r="P592" i="10"/>
  <c r="X592" i="10"/>
  <c r="Q592" i="10"/>
  <c r="Y592" i="10"/>
  <c r="R592" i="10"/>
  <c r="S592" i="10"/>
  <c r="T592" i="10"/>
  <c r="U592" i="10"/>
  <c r="N592" i="10"/>
  <c r="V592" i="10"/>
  <c r="U537" i="10"/>
  <c r="N537" i="10"/>
  <c r="V537" i="10"/>
  <c r="P537" i="10"/>
  <c r="X537" i="10"/>
  <c r="R537" i="10"/>
  <c r="O537" i="10"/>
  <c r="Q537" i="10"/>
  <c r="S537" i="10"/>
  <c r="T537" i="10"/>
  <c r="W537" i="10"/>
  <c r="Y537" i="10"/>
  <c r="O394" i="10"/>
  <c r="W394" i="10"/>
  <c r="P394" i="10"/>
  <c r="X394" i="10"/>
  <c r="Q394" i="10"/>
  <c r="Y394" i="10"/>
  <c r="R394" i="10"/>
  <c r="S394" i="10"/>
  <c r="T394" i="10"/>
  <c r="U394" i="10"/>
  <c r="N394" i="10"/>
  <c r="V394" i="10"/>
  <c r="N311" i="10"/>
  <c r="V311" i="10"/>
  <c r="O311" i="10"/>
  <c r="W311" i="10"/>
  <c r="P311" i="10"/>
  <c r="X311" i="10"/>
  <c r="Q311" i="10"/>
  <c r="Y311" i="10"/>
  <c r="R311" i="10"/>
  <c r="S311" i="10"/>
  <c r="T311" i="10"/>
  <c r="U311" i="10"/>
  <c r="P242" i="10"/>
  <c r="X242" i="10"/>
  <c r="Q242" i="10"/>
  <c r="Y242" i="10"/>
  <c r="R242" i="10"/>
  <c r="S242" i="10"/>
  <c r="T242" i="10"/>
  <c r="U242" i="10"/>
  <c r="N242" i="10"/>
  <c r="V242" i="10"/>
  <c r="O242" i="10"/>
  <c r="W242" i="10"/>
  <c r="R9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R93" i="10"/>
  <c r="Q128" i="10"/>
  <c r="Y128" i="10"/>
  <c r="R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R171" i="10"/>
  <c r="U171" i="10"/>
  <c r="T171" i="10"/>
  <c r="X171" i="10"/>
  <c r="U211" i="10"/>
  <c r="P211" i="10"/>
  <c r="X211" i="10"/>
  <c r="Q211" i="10"/>
  <c r="Y211" i="10"/>
  <c r="R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R251" i="10"/>
  <c r="S251" i="10"/>
  <c r="T275" i="10"/>
  <c r="U275" i="10"/>
  <c r="Q275" i="10"/>
  <c r="R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R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R581" i="10"/>
  <c r="S605" i="10"/>
  <c r="T605" i="10"/>
  <c r="U605" i="10"/>
  <c r="N605" i="10"/>
  <c r="V605" i="10"/>
  <c r="O605" i="10"/>
  <c r="W605" i="10"/>
  <c r="P605" i="10"/>
  <c r="X605" i="10"/>
  <c r="Q605" i="10"/>
  <c r="Y605" i="10"/>
  <c r="R605" i="10"/>
  <c r="S627" i="10"/>
  <c r="T627" i="10"/>
  <c r="N627" i="10"/>
  <c r="V627" i="10"/>
  <c r="P627" i="10"/>
  <c r="X627" i="10"/>
  <c r="Q627" i="10"/>
  <c r="Y627" i="10"/>
  <c r="R627" i="10"/>
  <c r="U627" i="10"/>
  <c r="W627" i="10"/>
  <c r="N659" i="10"/>
  <c r="V659" i="10"/>
  <c r="O659" i="10"/>
  <c r="W659" i="10"/>
  <c r="P659" i="10"/>
  <c r="X659" i="10"/>
  <c r="Q659" i="10"/>
  <c r="Y659" i="10"/>
  <c r="R659" i="10"/>
  <c r="S659" i="10"/>
  <c r="T659" i="10"/>
  <c r="U659" i="10"/>
  <c r="Q706" i="1"/>
  <c r="Q626" i="1"/>
  <c r="Q288" i="1"/>
  <c r="Q232" i="1"/>
  <c r="Q315" i="1"/>
  <c r="A826" i="10"/>
  <c r="Z826" i="10" s="1"/>
  <c r="A802" i="10"/>
  <c r="Z802" i="10" s="1"/>
  <c r="U778" i="10"/>
  <c r="N778" i="10"/>
  <c r="V778" i="10"/>
  <c r="O778" i="10"/>
  <c r="W778" i="10"/>
  <c r="P778" i="10"/>
  <c r="X778" i="10"/>
  <c r="Q778" i="10"/>
  <c r="Y778" i="10"/>
  <c r="R778" i="10"/>
  <c r="S778" i="10"/>
  <c r="U754" i="10"/>
  <c r="N754" i="10"/>
  <c r="V754" i="10"/>
  <c r="O754" i="10"/>
  <c r="W754" i="10"/>
  <c r="P754" i="10"/>
  <c r="X754" i="10"/>
  <c r="Q754" i="10"/>
  <c r="Y754" i="10"/>
  <c r="R754" i="10"/>
  <c r="S754" i="10"/>
  <c r="R730" i="10"/>
  <c r="S730" i="10"/>
  <c r="U730" i="10"/>
  <c r="O730" i="10"/>
  <c r="W730" i="10"/>
  <c r="P730" i="10"/>
  <c r="Q730" i="10"/>
  <c r="T730" i="10"/>
  <c r="V730" i="10"/>
  <c r="X730" i="10"/>
  <c r="Y730" i="10"/>
  <c r="R66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R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R601" i="10"/>
  <c r="O562" i="10"/>
  <c r="W562" i="10"/>
  <c r="P562" i="10"/>
  <c r="X562" i="10"/>
  <c r="Q562" i="10"/>
  <c r="Y562" i="10"/>
  <c r="R562" i="10"/>
  <c r="S562" i="10"/>
  <c r="T562" i="10"/>
  <c r="U562" i="10"/>
  <c r="N562" i="10"/>
  <c r="V562" i="10"/>
  <c r="Q522" i="10"/>
  <c r="Y522" i="10"/>
  <c r="R522" i="10"/>
  <c r="S522" i="10"/>
  <c r="T522" i="10"/>
  <c r="U522" i="10"/>
  <c r="N522" i="10"/>
  <c r="V522" i="10"/>
  <c r="O522" i="10"/>
  <c r="W522" i="10"/>
  <c r="P522" i="10"/>
  <c r="X522" i="10"/>
  <c r="Q474" i="10"/>
  <c r="Y474" i="10"/>
  <c r="R474" i="10"/>
  <c r="S474" i="10"/>
  <c r="T474" i="10"/>
  <c r="U474" i="10"/>
  <c r="N474" i="10"/>
  <c r="V474" i="10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R463" i="10"/>
  <c r="S463" i="10"/>
  <c r="T463" i="10"/>
  <c r="O420" i="10"/>
  <c r="W420" i="10"/>
  <c r="P420" i="10"/>
  <c r="X420" i="10"/>
  <c r="Q420" i="10"/>
  <c r="Y420" i="10"/>
  <c r="R420" i="10"/>
  <c r="S420" i="10"/>
  <c r="T420" i="10"/>
  <c r="U420" i="10"/>
  <c r="N420" i="10"/>
  <c r="V420" i="10"/>
  <c r="A393" i="10"/>
  <c r="Z393" i="10" s="1"/>
  <c r="S365" i="10"/>
  <c r="T365" i="10"/>
  <c r="U365" i="10"/>
  <c r="N365" i="10"/>
  <c r="V365" i="10"/>
  <c r="O365" i="10"/>
  <c r="W365" i="10"/>
  <c r="P365" i="10"/>
  <c r="X365" i="10"/>
  <c r="Q365" i="10"/>
  <c r="Y365" i="10"/>
  <c r="R365" i="10"/>
  <c r="N337" i="10"/>
  <c r="V337" i="10"/>
  <c r="O337" i="10"/>
  <c r="W337" i="10"/>
  <c r="X337" i="10"/>
  <c r="Y337" i="10"/>
  <c r="P337" i="10"/>
  <c r="Q337" i="10"/>
  <c r="R337" i="10"/>
  <c r="S337" i="10"/>
  <c r="T337" i="10"/>
  <c r="U337" i="10"/>
  <c r="R310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R241" i="10"/>
  <c r="S241" i="10"/>
  <c r="Q212" i="10"/>
  <c r="Y212" i="10"/>
  <c r="T212" i="10"/>
  <c r="U212" i="10"/>
  <c r="N212" i="10"/>
  <c r="V212" i="10"/>
  <c r="P212" i="10"/>
  <c r="X212" i="10"/>
  <c r="O212" i="10"/>
  <c r="R212" i="10"/>
  <c r="S212" i="10"/>
  <c r="W212" i="10"/>
  <c r="Q124" i="10"/>
  <c r="Y124" i="10"/>
  <c r="R124" i="10"/>
  <c r="S124" i="10"/>
  <c r="T124" i="10"/>
  <c r="V124" i="10"/>
  <c r="W124" i="10"/>
  <c r="X124" i="10"/>
  <c r="N124" i="10"/>
  <c r="O124" i="10"/>
  <c r="P124" i="10"/>
  <c r="U124" i="10"/>
  <c r="A69" i="10"/>
  <c r="Z69" i="10" s="1"/>
  <c r="S33" i="10"/>
  <c r="T33" i="10"/>
  <c r="N33" i="10"/>
  <c r="V33" i="10"/>
  <c r="O33" i="10"/>
  <c r="W33" i="10"/>
  <c r="R33" i="10"/>
  <c r="X33" i="10"/>
  <c r="Y33" i="10"/>
  <c r="P33" i="10"/>
  <c r="Q33" i="10"/>
  <c r="U33" i="10"/>
  <c r="O56" i="10"/>
  <c r="W56" i="10"/>
  <c r="P56" i="10"/>
  <c r="X56" i="10"/>
  <c r="R56" i="10"/>
  <c r="S56" i="10"/>
  <c r="N56" i="10"/>
  <c r="T56" i="10"/>
  <c r="U56" i="10"/>
  <c r="Y56" i="10"/>
  <c r="Q56" i="10"/>
  <c r="V56" i="10"/>
  <c r="O64" i="10"/>
  <c r="W64" i="10"/>
  <c r="R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R96" i="10"/>
  <c r="S96" i="10"/>
  <c r="T96" i="10"/>
  <c r="V96" i="10"/>
  <c r="N96" i="10"/>
  <c r="W96" i="10"/>
  <c r="P96" i="10"/>
  <c r="U96" i="10"/>
  <c r="X96" i="10"/>
  <c r="Q112" i="10"/>
  <c r="Y112" i="10"/>
  <c r="R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R142" i="10"/>
  <c r="S142" i="10"/>
  <c r="T142" i="10"/>
  <c r="U142" i="10"/>
  <c r="N142" i="10"/>
  <c r="V142" i="10"/>
  <c r="O150" i="10"/>
  <c r="W150" i="10"/>
  <c r="P150" i="10"/>
  <c r="X150" i="10"/>
  <c r="Q150" i="10"/>
  <c r="Y150" i="10"/>
  <c r="R150" i="10"/>
  <c r="S150" i="10"/>
  <c r="T150" i="10"/>
  <c r="U150" i="10"/>
  <c r="N150" i="10"/>
  <c r="V150" i="10"/>
  <c r="O174" i="10"/>
  <c r="W174" i="10"/>
  <c r="R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R246" i="10"/>
  <c r="S246" i="10"/>
  <c r="T246" i="10"/>
  <c r="U246" i="10"/>
  <c r="N246" i="10"/>
  <c r="V246" i="10"/>
  <c r="O246" i="10"/>
  <c r="W246" i="10"/>
  <c r="P262" i="10"/>
  <c r="X262" i="10"/>
  <c r="Q262" i="10"/>
  <c r="Y262" i="10"/>
  <c r="R262" i="10"/>
  <c r="S262" i="10"/>
  <c r="T262" i="10"/>
  <c r="U262" i="10"/>
  <c r="N262" i="10"/>
  <c r="V262" i="10"/>
  <c r="O262" i="10"/>
  <c r="W262" i="10"/>
  <c r="R294" i="10"/>
  <c r="S294" i="10"/>
  <c r="T294" i="10"/>
  <c r="U294" i="10"/>
  <c r="N294" i="10"/>
  <c r="V294" i="10"/>
  <c r="O294" i="10"/>
  <c r="W294" i="10"/>
  <c r="P294" i="10"/>
  <c r="X294" i="10"/>
  <c r="Q294" i="10"/>
  <c r="Y294" i="10"/>
  <c r="R302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R488" i="10"/>
  <c r="S488" i="10"/>
  <c r="T488" i="10"/>
  <c r="U488" i="10"/>
  <c r="N488" i="10"/>
  <c r="V488" i="10"/>
  <c r="O488" i="10"/>
  <c r="W488" i="10"/>
  <c r="P488" i="10"/>
  <c r="X488" i="10"/>
  <c r="Q496" i="10"/>
  <c r="Y496" i="10"/>
  <c r="R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Z836" i="10" s="1"/>
  <c r="U824" i="10"/>
  <c r="N824" i="10"/>
  <c r="V824" i="10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R786" i="10"/>
  <c r="S786" i="10"/>
  <c r="U740" i="10"/>
  <c r="N740" i="10"/>
  <c r="V740" i="10"/>
  <c r="O740" i="10"/>
  <c r="W740" i="10"/>
  <c r="P740" i="10"/>
  <c r="X740" i="10"/>
  <c r="Q740" i="10"/>
  <c r="Y740" i="10"/>
  <c r="R740" i="10"/>
  <c r="S740" i="10"/>
  <c r="N727" i="10"/>
  <c r="V727" i="10"/>
  <c r="O727" i="10"/>
  <c r="W727" i="10"/>
  <c r="P727" i="10"/>
  <c r="X727" i="10"/>
  <c r="Q727" i="10"/>
  <c r="Y727" i="10"/>
  <c r="S727" i="10"/>
  <c r="T727" i="10"/>
  <c r="R727" i="10"/>
  <c r="U727" i="10"/>
  <c r="N713" i="10"/>
  <c r="V713" i="10"/>
  <c r="O713" i="10"/>
  <c r="W713" i="10"/>
  <c r="P713" i="10"/>
  <c r="X713" i="10"/>
  <c r="Q713" i="10"/>
  <c r="Y713" i="10"/>
  <c r="R713" i="10"/>
  <c r="S713" i="10"/>
  <c r="T713" i="10"/>
  <c r="U713" i="10"/>
  <c r="R684" i="10"/>
  <c r="S684" i="10"/>
  <c r="T684" i="10"/>
  <c r="U684" i="10"/>
  <c r="N684" i="10"/>
  <c r="V684" i="10"/>
  <c r="O684" i="10"/>
  <c r="W684" i="10"/>
  <c r="P684" i="10"/>
  <c r="X684" i="10"/>
  <c r="Q684" i="10"/>
  <c r="Y684" i="10"/>
  <c r="N657" i="10"/>
  <c r="V657" i="10"/>
  <c r="O657" i="10"/>
  <c r="W657" i="10"/>
  <c r="P657" i="10"/>
  <c r="X657" i="10"/>
  <c r="Q657" i="10"/>
  <c r="Y657" i="10"/>
  <c r="R657" i="10"/>
  <c r="S657" i="10"/>
  <c r="T657" i="10"/>
  <c r="U657" i="10"/>
  <c r="A613" i="10"/>
  <c r="Z613" i="10" s="1"/>
  <c r="O586" i="10"/>
  <c r="W586" i="10"/>
  <c r="P586" i="10"/>
  <c r="X586" i="10"/>
  <c r="Q586" i="10"/>
  <c r="Y586" i="10"/>
  <c r="R586" i="10"/>
  <c r="S586" i="10"/>
  <c r="T586" i="10"/>
  <c r="U586" i="10"/>
  <c r="V586" i="10"/>
  <c r="N586" i="10"/>
  <c r="O574" i="10"/>
  <c r="W574" i="10"/>
  <c r="P574" i="10"/>
  <c r="X574" i="10"/>
  <c r="Q574" i="10"/>
  <c r="Y574" i="10"/>
  <c r="R574" i="10"/>
  <c r="S574" i="10"/>
  <c r="T574" i="10"/>
  <c r="U574" i="10"/>
  <c r="N574" i="10"/>
  <c r="V574" i="10"/>
  <c r="A533" i="10"/>
  <c r="Z533" i="10" s="1"/>
  <c r="Q444" i="10"/>
  <c r="Y444" i="10"/>
  <c r="R444" i="10"/>
  <c r="S444" i="10"/>
  <c r="T444" i="10"/>
  <c r="U444" i="10"/>
  <c r="N444" i="10"/>
  <c r="V444" i="10"/>
  <c r="O444" i="10"/>
  <c r="W444" i="10"/>
  <c r="X444" i="10"/>
  <c r="P444" i="10"/>
  <c r="A417" i="10"/>
  <c r="Z417" i="10" s="1"/>
  <c r="A391" i="10"/>
  <c r="Z391" i="10" s="1"/>
  <c r="N335" i="10"/>
  <c r="V335" i="10"/>
  <c r="O335" i="10"/>
  <c r="W335" i="10"/>
  <c r="P335" i="10"/>
  <c r="Q335" i="10"/>
  <c r="R335" i="10"/>
  <c r="S335" i="10"/>
  <c r="T335" i="10"/>
  <c r="U335" i="10"/>
  <c r="X335" i="10"/>
  <c r="Y335" i="10"/>
  <c r="R292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R265" i="10"/>
  <c r="N265" i="10"/>
  <c r="S265" i="10"/>
  <c r="V265" i="10"/>
  <c r="X265" i="10"/>
  <c r="P252" i="10"/>
  <c r="X252" i="10"/>
  <c r="Q252" i="10"/>
  <c r="Y252" i="10"/>
  <c r="R252" i="10"/>
  <c r="S252" i="10"/>
  <c r="T252" i="10"/>
  <c r="U252" i="10"/>
  <c r="N252" i="10"/>
  <c r="V252" i="10"/>
  <c r="O252" i="10"/>
  <c r="W252" i="10"/>
  <c r="A238" i="10"/>
  <c r="Z238" i="10" s="1"/>
  <c r="U209" i="10"/>
  <c r="P209" i="10"/>
  <c r="X209" i="10"/>
  <c r="Q209" i="10"/>
  <c r="Y209" i="10"/>
  <c r="R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R180" i="10"/>
  <c r="W180" i="10"/>
  <c r="O164" i="10"/>
  <c r="W164" i="10"/>
  <c r="P164" i="10"/>
  <c r="X164" i="10"/>
  <c r="Q164" i="10"/>
  <c r="Y164" i="10"/>
  <c r="R164" i="10"/>
  <c r="S164" i="10"/>
  <c r="T164" i="10"/>
  <c r="U164" i="10"/>
  <c r="N164" i="10"/>
  <c r="V164" i="10"/>
  <c r="A136" i="10"/>
  <c r="Z136" i="10" s="1"/>
  <c r="S27" i="10"/>
  <c r="T27" i="10"/>
  <c r="N27" i="10"/>
  <c r="V27" i="10"/>
  <c r="O27" i="10"/>
  <c r="W27" i="10"/>
  <c r="X27" i="10"/>
  <c r="P27" i="10"/>
  <c r="Q27" i="10"/>
  <c r="R27" i="10"/>
  <c r="U27" i="10"/>
  <c r="Y27" i="10"/>
  <c r="O38" i="10"/>
  <c r="W38" i="10"/>
  <c r="P38" i="10"/>
  <c r="X38" i="10"/>
  <c r="R38" i="10"/>
  <c r="S38" i="10"/>
  <c r="V38" i="10"/>
  <c r="N38" i="10"/>
  <c r="Q38" i="10"/>
  <c r="T38" i="10"/>
  <c r="U38" i="10"/>
  <c r="Y38" i="10"/>
  <c r="O46" i="10"/>
  <c r="W46" i="10"/>
  <c r="P46" i="10"/>
  <c r="X46" i="10"/>
  <c r="R46" i="10"/>
  <c r="S46" i="10"/>
  <c r="V46" i="10"/>
  <c r="N46" i="10"/>
  <c r="Q46" i="10"/>
  <c r="Y46" i="10"/>
  <c r="T46" i="10"/>
  <c r="U46" i="10"/>
  <c r="O62" i="10"/>
  <c r="W62" i="10"/>
  <c r="R62" i="10"/>
  <c r="S62" i="10"/>
  <c r="U62" i="10"/>
  <c r="X62" i="10"/>
  <c r="Y62" i="10"/>
  <c r="P62" i="10"/>
  <c r="N62" i="10"/>
  <c r="Q62" i="10"/>
  <c r="T62" i="10"/>
  <c r="V62" i="10"/>
  <c r="R70" i="10"/>
  <c r="T70" i="10"/>
  <c r="U70" i="10"/>
  <c r="O70" i="10"/>
  <c r="W70" i="10"/>
  <c r="N70" i="10"/>
  <c r="P70" i="10"/>
  <c r="Q70" i="10"/>
  <c r="S70" i="10"/>
  <c r="X70" i="10"/>
  <c r="Y70" i="10"/>
  <c r="V70" i="10"/>
  <c r="R78" i="10"/>
  <c r="T78" i="10"/>
  <c r="U78" i="10"/>
  <c r="O78" i="10"/>
  <c r="W78" i="10"/>
  <c r="N78" i="10"/>
  <c r="P78" i="10"/>
  <c r="Q78" i="10"/>
  <c r="S78" i="10"/>
  <c r="X78" i="10"/>
  <c r="Y78" i="10"/>
  <c r="V78" i="10"/>
  <c r="R86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R102" i="10"/>
  <c r="S102" i="10"/>
  <c r="T102" i="10"/>
  <c r="N102" i="10"/>
  <c r="V102" i="10"/>
  <c r="O102" i="10"/>
  <c r="W102" i="10"/>
  <c r="X102" i="10"/>
  <c r="P102" i="10"/>
  <c r="U102" i="10"/>
  <c r="Q110" i="10"/>
  <c r="Y110" i="10"/>
  <c r="R110" i="10"/>
  <c r="S110" i="10"/>
  <c r="T110" i="10"/>
  <c r="N110" i="10"/>
  <c r="V110" i="10"/>
  <c r="O110" i="10"/>
  <c r="W110" i="10"/>
  <c r="X110" i="10"/>
  <c r="P110" i="10"/>
  <c r="U110" i="10"/>
  <c r="Q118" i="10"/>
  <c r="Y118" i="10"/>
  <c r="R118" i="10"/>
  <c r="S118" i="10"/>
  <c r="T118" i="10"/>
  <c r="N118" i="10"/>
  <c r="V118" i="10"/>
  <c r="P118" i="10"/>
  <c r="U118" i="10"/>
  <c r="W118" i="10"/>
  <c r="X118" i="10"/>
  <c r="O118" i="10"/>
  <c r="O172" i="10"/>
  <c r="W172" i="10"/>
  <c r="R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P204" i="10"/>
  <c r="X204" i="10"/>
  <c r="O204" i="10"/>
  <c r="R204" i="10"/>
  <c r="S204" i="10"/>
  <c r="W204" i="10"/>
  <c r="P268" i="10"/>
  <c r="X268" i="10"/>
  <c r="Q268" i="10"/>
  <c r="Y268" i="10"/>
  <c r="S268" i="10"/>
  <c r="U268" i="10"/>
  <c r="N268" i="10"/>
  <c r="O268" i="10"/>
  <c r="R268" i="10"/>
  <c r="T268" i="10"/>
  <c r="V268" i="10"/>
  <c r="W268" i="10"/>
  <c r="O360" i="10"/>
  <c r="W360" i="10"/>
  <c r="P360" i="10"/>
  <c r="X360" i="10"/>
  <c r="Q360" i="10"/>
  <c r="Y360" i="10"/>
  <c r="R360" i="10"/>
  <c r="S360" i="10"/>
  <c r="T360" i="10"/>
  <c r="U360" i="10"/>
  <c r="N360" i="10"/>
  <c r="V360" i="10"/>
  <c r="O368" i="10"/>
  <c r="W368" i="10"/>
  <c r="P368" i="10"/>
  <c r="X368" i="10"/>
  <c r="Q368" i="10"/>
  <c r="Y368" i="10"/>
  <c r="R368" i="10"/>
  <c r="S368" i="10"/>
  <c r="T368" i="10"/>
  <c r="U368" i="10"/>
  <c r="N368" i="10"/>
  <c r="V368" i="10"/>
  <c r="O376" i="10"/>
  <c r="W376" i="10"/>
  <c r="P376" i="10"/>
  <c r="X376" i="10"/>
  <c r="Q376" i="10"/>
  <c r="Y376" i="10"/>
  <c r="R376" i="10"/>
  <c r="S376" i="10"/>
  <c r="T376" i="10"/>
  <c r="U376" i="10"/>
  <c r="N376" i="10"/>
  <c r="V376" i="10"/>
  <c r="O384" i="10"/>
  <c r="W384" i="10"/>
  <c r="P384" i="10"/>
  <c r="X384" i="10"/>
  <c r="Q384" i="10"/>
  <c r="Y384" i="10"/>
  <c r="R384" i="10"/>
  <c r="S384" i="10"/>
  <c r="T384" i="10"/>
  <c r="U384" i="10"/>
  <c r="N384" i="10"/>
  <c r="V384" i="10"/>
  <c r="O408" i="10"/>
  <c r="W408" i="10"/>
  <c r="P408" i="10"/>
  <c r="X408" i="10"/>
  <c r="Q408" i="10"/>
  <c r="Y408" i="10"/>
  <c r="R408" i="10"/>
  <c r="S408" i="10"/>
  <c r="T408" i="10"/>
  <c r="U408" i="10"/>
  <c r="N408" i="10"/>
  <c r="V408" i="10"/>
  <c r="O416" i="10"/>
  <c r="W416" i="10"/>
  <c r="P416" i="10"/>
  <c r="X416" i="10"/>
  <c r="Q416" i="10"/>
  <c r="Y416" i="10"/>
  <c r="R416" i="10"/>
  <c r="S416" i="10"/>
  <c r="T416" i="10"/>
  <c r="U416" i="10"/>
  <c r="N416" i="10"/>
  <c r="V416" i="10"/>
  <c r="O424" i="10"/>
  <c r="W424" i="10"/>
  <c r="P424" i="10"/>
  <c r="X424" i="10"/>
  <c r="Q424" i="10"/>
  <c r="Y424" i="10"/>
  <c r="R424" i="10"/>
  <c r="S424" i="10"/>
  <c r="T424" i="10"/>
  <c r="U424" i="10"/>
  <c r="N424" i="10"/>
  <c r="V424" i="10"/>
  <c r="O432" i="10"/>
  <c r="W432" i="10"/>
  <c r="P432" i="10"/>
  <c r="X432" i="10"/>
  <c r="R432" i="10"/>
  <c r="T432" i="10"/>
  <c r="U432" i="10"/>
  <c r="N432" i="10"/>
  <c r="Q432" i="10"/>
  <c r="S432" i="10"/>
  <c r="V432" i="10"/>
  <c r="Y432" i="10"/>
  <c r="Q440" i="10"/>
  <c r="Y440" i="10"/>
  <c r="R440" i="10"/>
  <c r="S440" i="10"/>
  <c r="T440" i="10"/>
  <c r="U440" i="10"/>
  <c r="N440" i="10"/>
  <c r="V440" i="10"/>
  <c r="O440" i="10"/>
  <c r="W440" i="10"/>
  <c r="P440" i="10"/>
  <c r="X440" i="10"/>
  <c r="Q448" i="10"/>
  <c r="Y448" i="10"/>
  <c r="R448" i="10"/>
  <c r="S448" i="10"/>
  <c r="T448" i="10"/>
  <c r="U448" i="10"/>
  <c r="N448" i="10"/>
  <c r="V448" i="10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R459" i="10"/>
  <c r="S459" i="10"/>
  <c r="T459" i="10"/>
  <c r="U467" i="10"/>
  <c r="N467" i="10"/>
  <c r="V467" i="10"/>
  <c r="O467" i="10"/>
  <c r="W467" i="10"/>
  <c r="P467" i="10"/>
  <c r="X467" i="10"/>
  <c r="Q467" i="10"/>
  <c r="Y467" i="10"/>
  <c r="R467" i="10"/>
  <c r="S467" i="10"/>
  <c r="T467" i="10"/>
  <c r="Q486" i="10"/>
  <c r="Y486" i="10"/>
  <c r="R486" i="10"/>
  <c r="S486" i="10"/>
  <c r="T486" i="10"/>
  <c r="U486" i="10"/>
  <c r="N486" i="10"/>
  <c r="V486" i="10"/>
  <c r="O486" i="10"/>
  <c r="W486" i="10"/>
  <c r="P486" i="10"/>
  <c r="X486" i="10"/>
  <c r="Q502" i="10"/>
  <c r="Y502" i="10"/>
  <c r="R502" i="10"/>
  <c r="S502" i="10"/>
  <c r="T502" i="10"/>
  <c r="U502" i="10"/>
  <c r="N502" i="10"/>
  <c r="V502" i="10"/>
  <c r="O502" i="10"/>
  <c r="W502" i="10"/>
  <c r="P502" i="10"/>
  <c r="X502" i="10"/>
  <c r="Q510" i="10"/>
  <c r="Y510" i="10"/>
  <c r="R510" i="10"/>
  <c r="S510" i="10"/>
  <c r="T510" i="10"/>
  <c r="U510" i="10"/>
  <c r="N510" i="10"/>
  <c r="V510" i="10"/>
  <c r="O510" i="10"/>
  <c r="W510" i="10"/>
  <c r="P510" i="10"/>
  <c r="X510" i="10"/>
  <c r="Q518" i="10"/>
  <c r="Y518" i="10"/>
  <c r="R518" i="10"/>
  <c r="S518" i="10"/>
  <c r="T518" i="10"/>
  <c r="U518" i="10"/>
  <c r="N518" i="10"/>
  <c r="V518" i="10"/>
  <c r="O518" i="10"/>
  <c r="W518" i="10"/>
  <c r="P518" i="10"/>
  <c r="X518" i="10"/>
  <c r="Q526" i="10"/>
  <c r="Y526" i="10"/>
  <c r="R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R558" i="10"/>
  <c r="S558" i="10"/>
  <c r="T558" i="10"/>
  <c r="U558" i="10"/>
  <c r="N558" i="10"/>
  <c r="V558" i="10"/>
  <c r="O566" i="10"/>
  <c r="W566" i="10"/>
  <c r="P566" i="10"/>
  <c r="X566" i="10"/>
  <c r="Q566" i="10"/>
  <c r="Y566" i="10"/>
  <c r="R566" i="10"/>
  <c r="S566" i="10"/>
  <c r="T566" i="10"/>
  <c r="U566" i="10"/>
  <c r="N566" i="10"/>
  <c r="V566" i="10"/>
  <c r="O590" i="10"/>
  <c r="W590" i="10"/>
  <c r="P590" i="10"/>
  <c r="X590" i="10"/>
  <c r="Q590" i="10"/>
  <c r="Y590" i="10"/>
  <c r="R590" i="10"/>
  <c r="S590" i="10"/>
  <c r="T590" i="10"/>
  <c r="U590" i="10"/>
  <c r="N590" i="10"/>
  <c r="V590" i="10"/>
  <c r="O598" i="10"/>
  <c r="W598" i="10"/>
  <c r="P598" i="10"/>
  <c r="X598" i="10"/>
  <c r="Q598" i="10"/>
  <c r="Y598" i="10"/>
  <c r="R598" i="10"/>
  <c r="S598" i="10"/>
  <c r="T598" i="10"/>
  <c r="U598" i="10"/>
  <c r="N598" i="10"/>
  <c r="V598" i="10"/>
  <c r="O606" i="10"/>
  <c r="W606" i="10"/>
  <c r="P606" i="10"/>
  <c r="X606" i="10"/>
  <c r="Q606" i="10"/>
  <c r="Y606" i="10"/>
  <c r="R606" i="10"/>
  <c r="S606" i="10"/>
  <c r="T606" i="10"/>
  <c r="U606" i="10"/>
  <c r="N606" i="10"/>
  <c r="V606" i="10"/>
  <c r="R644" i="10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R757" i="10"/>
  <c r="S757" i="10"/>
  <c r="T757" i="10"/>
  <c r="U757" i="10"/>
  <c r="N757" i="10"/>
  <c r="V757" i="10"/>
  <c r="O757" i="10"/>
  <c r="W757" i="10"/>
  <c r="Q765" i="10"/>
  <c r="Y765" i="10"/>
  <c r="R765" i="10"/>
  <c r="S765" i="10"/>
  <c r="T765" i="10"/>
  <c r="U765" i="10"/>
  <c r="N765" i="10"/>
  <c r="V765" i="10"/>
  <c r="O765" i="10"/>
  <c r="W765" i="10"/>
  <c r="Q781" i="10"/>
  <c r="Y781" i="10"/>
  <c r="R781" i="10"/>
  <c r="S781" i="10"/>
  <c r="T781" i="10"/>
  <c r="U781" i="10"/>
  <c r="N781" i="10"/>
  <c r="V781" i="10"/>
  <c r="O781" i="10"/>
  <c r="W781" i="10"/>
  <c r="Q789" i="10"/>
  <c r="Y789" i="10"/>
  <c r="R789" i="10"/>
  <c r="S789" i="10"/>
  <c r="T789" i="10"/>
  <c r="U789" i="10"/>
  <c r="N789" i="10"/>
  <c r="V789" i="10"/>
  <c r="O789" i="10"/>
  <c r="W789" i="10"/>
  <c r="Q797" i="10"/>
  <c r="Y797" i="10"/>
  <c r="R797" i="10"/>
  <c r="S797" i="10"/>
  <c r="T797" i="10"/>
  <c r="U797" i="10"/>
  <c r="N797" i="10"/>
  <c r="V797" i="10"/>
  <c r="O797" i="10"/>
  <c r="W797" i="10"/>
  <c r="Q811" i="10"/>
  <c r="Y811" i="10"/>
  <c r="R811" i="10"/>
  <c r="S811" i="10"/>
  <c r="T811" i="10"/>
  <c r="U811" i="10"/>
  <c r="O811" i="10"/>
  <c r="W811" i="10"/>
  <c r="S833" i="10"/>
  <c r="R832" i="10"/>
  <c r="P831" i="10"/>
  <c r="X829" i="10"/>
  <c r="V825" i="10"/>
  <c r="N815" i="10"/>
  <c r="V809" i="10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R769" i="10"/>
  <c r="S769" i="10"/>
  <c r="T769" i="10"/>
  <c r="U769" i="10"/>
  <c r="N769" i="10"/>
  <c r="V769" i="10"/>
  <c r="O769" i="10"/>
  <c r="W769" i="10"/>
  <c r="R676" i="10"/>
  <c r="S676" i="10"/>
  <c r="T676" i="10"/>
  <c r="U676" i="10"/>
  <c r="N676" i="10"/>
  <c r="V676" i="10"/>
  <c r="O676" i="10"/>
  <c r="W676" i="10"/>
  <c r="P676" i="10"/>
  <c r="X676" i="10"/>
  <c r="Y676" i="10"/>
  <c r="O602" i="10"/>
  <c r="W602" i="10"/>
  <c r="P602" i="10"/>
  <c r="X602" i="10"/>
  <c r="Q602" i="10"/>
  <c r="Y602" i="10"/>
  <c r="R602" i="10"/>
  <c r="S602" i="10"/>
  <c r="T602" i="10"/>
  <c r="U602" i="10"/>
  <c r="V602" i="10"/>
  <c r="N602" i="10"/>
  <c r="Q450" i="10"/>
  <c r="Y450" i="10"/>
  <c r="R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R297" i="10"/>
  <c r="S297" i="10"/>
  <c r="T297" i="10"/>
  <c r="U297" i="10"/>
  <c r="T271" i="10"/>
  <c r="U271" i="10"/>
  <c r="O271" i="10"/>
  <c r="W271" i="10"/>
  <c r="R271" i="10"/>
  <c r="S271" i="10"/>
  <c r="V271" i="10"/>
  <c r="X271" i="10"/>
  <c r="Y271" i="10"/>
  <c r="N271" i="10"/>
  <c r="P271" i="10"/>
  <c r="Q271" i="10"/>
  <c r="U199" i="10"/>
  <c r="P199" i="10"/>
  <c r="X199" i="10"/>
  <c r="Q199" i="10"/>
  <c r="Y199" i="10"/>
  <c r="R199" i="10"/>
  <c r="T199" i="10"/>
  <c r="V199" i="10"/>
  <c r="W199" i="10"/>
  <c r="N199" i="10"/>
  <c r="O199" i="10"/>
  <c r="S199" i="10"/>
  <c r="Q108" i="10"/>
  <c r="Y108" i="10"/>
  <c r="R108" i="10"/>
  <c r="S108" i="10"/>
  <c r="T108" i="10"/>
  <c r="N108" i="10"/>
  <c r="V108" i="10"/>
  <c r="O108" i="10"/>
  <c r="W108" i="10"/>
  <c r="P108" i="10"/>
  <c r="U108" i="10"/>
  <c r="X108" i="10"/>
  <c r="N77" i="10"/>
  <c r="V77" i="10"/>
  <c r="P77" i="10"/>
  <c r="X77" i="10"/>
  <c r="Q77" i="10"/>
  <c r="Y77" i="10"/>
  <c r="S77" i="10"/>
  <c r="O77" i="10"/>
  <c r="T77" i="10"/>
  <c r="U77" i="10"/>
  <c r="W77" i="10"/>
  <c r="R77" i="10"/>
  <c r="S147" i="10"/>
  <c r="T147" i="10"/>
  <c r="U147" i="10"/>
  <c r="N147" i="10"/>
  <c r="V147" i="10"/>
  <c r="O147" i="10"/>
  <c r="W147" i="10"/>
  <c r="P147" i="10"/>
  <c r="X147" i="10"/>
  <c r="Q147" i="10"/>
  <c r="Y147" i="10"/>
  <c r="R147" i="10"/>
  <c r="U195" i="10"/>
  <c r="P195" i="10"/>
  <c r="X195" i="10"/>
  <c r="Q195" i="10"/>
  <c r="Y195" i="10"/>
  <c r="R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R259" i="10"/>
  <c r="S259" i="10"/>
  <c r="N283" i="10"/>
  <c r="V283" i="10"/>
  <c r="O283" i="10"/>
  <c r="W283" i="10"/>
  <c r="P283" i="10"/>
  <c r="X283" i="10"/>
  <c r="Q283" i="10"/>
  <c r="Y283" i="10"/>
  <c r="R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R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R565" i="10"/>
  <c r="O624" i="10"/>
  <c r="W624" i="10"/>
  <c r="P624" i="10"/>
  <c r="X624" i="10"/>
  <c r="Q624" i="10"/>
  <c r="Y624" i="10"/>
  <c r="R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R667" i="10"/>
  <c r="S667" i="10"/>
  <c r="T667" i="10"/>
  <c r="U667" i="10"/>
  <c r="N683" i="10"/>
  <c r="V683" i="10"/>
  <c r="O683" i="10"/>
  <c r="W683" i="10"/>
  <c r="P683" i="10"/>
  <c r="X683" i="10"/>
  <c r="Q683" i="10"/>
  <c r="Y683" i="10"/>
  <c r="R683" i="10"/>
  <c r="S683" i="10"/>
  <c r="T683" i="10"/>
  <c r="U683" i="10"/>
  <c r="Q594" i="1"/>
  <c r="Q242" i="1"/>
  <c r="Q194" i="1"/>
  <c r="Q823" i="10"/>
  <c r="Y823" i="10"/>
  <c r="R823" i="10"/>
  <c r="S823" i="10"/>
  <c r="T823" i="10"/>
  <c r="U823" i="10"/>
  <c r="O823" i="10"/>
  <c r="W823" i="10"/>
  <c r="Q799" i="10"/>
  <c r="Y799" i="10"/>
  <c r="R799" i="10"/>
  <c r="S799" i="10"/>
  <c r="T799" i="10"/>
  <c r="U799" i="10"/>
  <c r="N799" i="10"/>
  <c r="V799" i="10"/>
  <c r="O799" i="10"/>
  <c r="W799" i="10"/>
  <c r="Q785" i="10"/>
  <c r="Y785" i="10"/>
  <c r="R785" i="10"/>
  <c r="S785" i="10"/>
  <c r="T785" i="10"/>
  <c r="U785" i="10"/>
  <c r="N785" i="10"/>
  <c r="V785" i="10"/>
  <c r="O785" i="10"/>
  <c r="W785" i="10"/>
  <c r="Q775" i="10"/>
  <c r="Y775" i="10"/>
  <c r="R775" i="10"/>
  <c r="S775" i="10"/>
  <c r="T775" i="10"/>
  <c r="U775" i="10"/>
  <c r="N775" i="10"/>
  <c r="V775" i="10"/>
  <c r="O775" i="10"/>
  <c r="W775" i="10"/>
  <c r="U762" i="10"/>
  <c r="N762" i="10"/>
  <c r="V762" i="10"/>
  <c r="O762" i="10"/>
  <c r="W762" i="10"/>
  <c r="P762" i="10"/>
  <c r="X762" i="10"/>
  <c r="Q762" i="10"/>
  <c r="Y762" i="10"/>
  <c r="R762" i="10"/>
  <c r="S762" i="10"/>
  <c r="Q751" i="10"/>
  <c r="Y751" i="10"/>
  <c r="R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R738" i="10"/>
  <c r="S738" i="10"/>
  <c r="N697" i="10"/>
  <c r="V697" i="10"/>
  <c r="O697" i="10"/>
  <c r="W697" i="10"/>
  <c r="P697" i="10"/>
  <c r="X697" i="10"/>
  <c r="Q697" i="10"/>
  <c r="Y697" i="10"/>
  <c r="R697" i="10"/>
  <c r="S697" i="10"/>
  <c r="T697" i="10"/>
  <c r="R682" i="10"/>
  <c r="S682" i="10"/>
  <c r="T682" i="10"/>
  <c r="U682" i="10"/>
  <c r="N682" i="10"/>
  <c r="V682" i="10"/>
  <c r="O682" i="10"/>
  <c r="W682" i="10"/>
  <c r="P682" i="10"/>
  <c r="X682" i="10"/>
  <c r="Q682" i="10"/>
  <c r="Y682" i="10"/>
  <c r="R668" i="10"/>
  <c r="S668" i="10"/>
  <c r="T668" i="10"/>
  <c r="U668" i="10"/>
  <c r="N668" i="10"/>
  <c r="V668" i="10"/>
  <c r="O668" i="10"/>
  <c r="W668" i="10"/>
  <c r="P668" i="10"/>
  <c r="X668" i="10"/>
  <c r="Q668" i="10"/>
  <c r="Y668" i="10"/>
  <c r="R656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R628" i="10"/>
  <c r="T628" i="10"/>
  <c r="U628" i="10"/>
  <c r="N628" i="10"/>
  <c r="Q628" i="10"/>
  <c r="S628" i="10"/>
  <c r="V628" i="10"/>
  <c r="Y628" i="10"/>
  <c r="O610" i="10"/>
  <c r="W610" i="10"/>
  <c r="P610" i="10"/>
  <c r="X610" i="10"/>
  <c r="Q610" i="10"/>
  <c r="Y610" i="10"/>
  <c r="R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R585" i="10"/>
  <c r="O572" i="10"/>
  <c r="W572" i="10"/>
  <c r="P572" i="10"/>
  <c r="X572" i="10"/>
  <c r="Q572" i="10"/>
  <c r="Y572" i="10"/>
  <c r="R572" i="10"/>
  <c r="S572" i="10"/>
  <c r="T572" i="10"/>
  <c r="U572" i="10"/>
  <c r="N572" i="10"/>
  <c r="V572" i="10"/>
  <c r="Q530" i="10"/>
  <c r="Y530" i="10"/>
  <c r="R530" i="10"/>
  <c r="S530" i="10"/>
  <c r="T530" i="10"/>
  <c r="N530" i="10"/>
  <c r="V530" i="10"/>
  <c r="O530" i="10"/>
  <c r="W530" i="10"/>
  <c r="U530" i="10"/>
  <c r="X530" i="10"/>
  <c r="P530" i="10"/>
  <c r="Q456" i="10"/>
  <c r="Y456" i="10"/>
  <c r="R456" i="10"/>
  <c r="S456" i="10"/>
  <c r="T456" i="10"/>
  <c r="U456" i="10"/>
  <c r="N456" i="10"/>
  <c r="V456" i="10"/>
  <c r="O456" i="10"/>
  <c r="W456" i="10"/>
  <c r="P456" i="10"/>
  <c r="X456" i="10"/>
  <c r="Q442" i="10"/>
  <c r="Y442" i="10"/>
  <c r="R442" i="10"/>
  <c r="S442" i="10"/>
  <c r="T442" i="10"/>
  <c r="U442" i="10"/>
  <c r="N442" i="10"/>
  <c r="V442" i="10"/>
  <c r="O442" i="10"/>
  <c r="W442" i="10"/>
  <c r="P442" i="10"/>
  <c r="X442" i="10"/>
  <c r="O428" i="10"/>
  <c r="W428" i="10"/>
  <c r="P428" i="10"/>
  <c r="X428" i="10"/>
  <c r="R428" i="10"/>
  <c r="S428" i="10"/>
  <c r="T428" i="10"/>
  <c r="U428" i="10"/>
  <c r="N428" i="10"/>
  <c r="Q428" i="10"/>
  <c r="V428" i="10"/>
  <c r="Y428" i="10"/>
  <c r="O388" i="10"/>
  <c r="W388" i="10"/>
  <c r="P388" i="10"/>
  <c r="X388" i="10"/>
  <c r="Q388" i="10"/>
  <c r="Y388" i="10"/>
  <c r="R388" i="10"/>
  <c r="S388" i="10"/>
  <c r="T388" i="10"/>
  <c r="U388" i="10"/>
  <c r="N388" i="10"/>
  <c r="V388" i="10"/>
  <c r="O346" i="10"/>
  <c r="W346" i="10"/>
  <c r="P346" i="10"/>
  <c r="X346" i="10"/>
  <c r="Q346" i="10"/>
  <c r="Y346" i="10"/>
  <c r="R346" i="10"/>
  <c r="S346" i="10"/>
  <c r="T346" i="10"/>
  <c r="U346" i="10"/>
  <c r="N346" i="10"/>
  <c r="V346" i="10"/>
  <c r="R330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R319" i="10"/>
  <c r="S319" i="10"/>
  <c r="T319" i="10"/>
  <c r="U319" i="10"/>
  <c r="P276" i="10"/>
  <c r="X276" i="10"/>
  <c r="Q276" i="10"/>
  <c r="Y276" i="10"/>
  <c r="O276" i="10"/>
  <c r="R276" i="10"/>
  <c r="S276" i="10"/>
  <c r="T276" i="10"/>
  <c r="U276" i="10"/>
  <c r="V276" i="10"/>
  <c r="W276" i="10"/>
  <c r="N276" i="10"/>
  <c r="P264" i="10"/>
  <c r="X264" i="10"/>
  <c r="Q264" i="10"/>
  <c r="Y264" i="10"/>
  <c r="R264" i="10"/>
  <c r="S264" i="10"/>
  <c r="T264" i="10"/>
  <c r="U264" i="10"/>
  <c r="N264" i="10"/>
  <c r="V264" i="10"/>
  <c r="O264" i="10"/>
  <c r="W264" i="10"/>
  <c r="P250" i="10"/>
  <c r="X250" i="10"/>
  <c r="Q250" i="10"/>
  <c r="Y250" i="10"/>
  <c r="R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P236" i="10"/>
  <c r="R236" i="10"/>
  <c r="S236" i="10"/>
  <c r="A221" i="10"/>
  <c r="Z221" i="10" s="1"/>
  <c r="U193" i="10"/>
  <c r="P193" i="10"/>
  <c r="X193" i="10"/>
  <c r="Q193" i="10"/>
  <c r="Y193" i="10"/>
  <c r="R193" i="10"/>
  <c r="T193" i="10"/>
  <c r="N193" i="10"/>
  <c r="O193" i="10"/>
  <c r="S193" i="10"/>
  <c r="V193" i="10"/>
  <c r="W193" i="10"/>
  <c r="O178" i="10"/>
  <c r="W178" i="10"/>
  <c r="R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R148" i="10"/>
  <c r="S148" i="10"/>
  <c r="T148" i="10"/>
  <c r="U148" i="10"/>
  <c r="N148" i="10"/>
  <c r="V148" i="10"/>
  <c r="Q116" i="10"/>
  <c r="Y116" i="10"/>
  <c r="R116" i="10"/>
  <c r="S116" i="10"/>
  <c r="T116" i="10"/>
  <c r="N116" i="10"/>
  <c r="V116" i="10"/>
  <c r="O116" i="10"/>
  <c r="W116" i="10"/>
  <c r="P116" i="10"/>
  <c r="U116" i="10"/>
  <c r="X116" i="10"/>
  <c r="Q98" i="10"/>
  <c r="Y98" i="10"/>
  <c r="R98" i="10"/>
  <c r="S98" i="10"/>
  <c r="T98" i="10"/>
  <c r="N98" i="10"/>
  <c r="V98" i="10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R81" i="10"/>
  <c r="W81" i="10"/>
  <c r="O44" i="10"/>
  <c r="W44" i="10"/>
  <c r="P44" i="10"/>
  <c r="X44" i="10"/>
  <c r="R44" i="10"/>
  <c r="S44" i="10"/>
  <c r="N44" i="10"/>
  <c r="T44" i="10"/>
  <c r="U44" i="10"/>
  <c r="V44" i="10"/>
  <c r="Y44" i="10"/>
  <c r="Q44" i="10"/>
  <c r="A28" i="10"/>
  <c r="Z28" i="10" s="1"/>
  <c r="O14" i="10"/>
  <c r="W14" i="10"/>
  <c r="P14" i="10"/>
  <c r="X14" i="10"/>
  <c r="R14" i="10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R19" i="10"/>
  <c r="X19" i="10"/>
  <c r="Y19" i="10"/>
  <c r="Q19" i="10"/>
  <c r="U19" i="10"/>
  <c r="P19" i="10"/>
  <c r="O132" i="10"/>
  <c r="W132" i="10"/>
  <c r="P132" i="10"/>
  <c r="X132" i="10"/>
  <c r="Q132" i="10"/>
  <c r="Y132" i="10"/>
  <c r="R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R355" i="10"/>
  <c r="S363" i="10"/>
  <c r="T363" i="10"/>
  <c r="U363" i="10"/>
  <c r="N363" i="10"/>
  <c r="V363" i="10"/>
  <c r="O363" i="10"/>
  <c r="W363" i="10"/>
  <c r="P363" i="10"/>
  <c r="X363" i="10"/>
  <c r="Q363" i="10"/>
  <c r="Y363" i="10"/>
  <c r="R363" i="10"/>
  <c r="S371" i="10"/>
  <c r="T371" i="10"/>
  <c r="U371" i="10"/>
  <c r="N371" i="10"/>
  <c r="V371" i="10"/>
  <c r="O371" i="10"/>
  <c r="W371" i="10"/>
  <c r="P371" i="10"/>
  <c r="X371" i="10"/>
  <c r="Q371" i="10"/>
  <c r="Y371" i="10"/>
  <c r="R371" i="10"/>
  <c r="S379" i="10"/>
  <c r="T379" i="10"/>
  <c r="U379" i="10"/>
  <c r="N379" i="10"/>
  <c r="V379" i="10"/>
  <c r="O379" i="10"/>
  <c r="W379" i="10"/>
  <c r="P379" i="10"/>
  <c r="X379" i="10"/>
  <c r="Q379" i="10"/>
  <c r="Y379" i="10"/>
  <c r="R379" i="10"/>
  <c r="S387" i="10"/>
  <c r="T387" i="10"/>
  <c r="U387" i="10"/>
  <c r="N387" i="10"/>
  <c r="V387" i="10"/>
  <c r="O387" i="10"/>
  <c r="W387" i="10"/>
  <c r="P387" i="10"/>
  <c r="X387" i="10"/>
  <c r="Q387" i="10"/>
  <c r="Y387" i="10"/>
  <c r="R387" i="10"/>
  <c r="S395" i="10"/>
  <c r="T395" i="10"/>
  <c r="U395" i="10"/>
  <c r="N395" i="10"/>
  <c r="V395" i="10"/>
  <c r="O395" i="10"/>
  <c r="W395" i="10"/>
  <c r="P395" i="10"/>
  <c r="X395" i="10"/>
  <c r="Q395" i="10"/>
  <c r="Y395" i="10"/>
  <c r="R395" i="10"/>
  <c r="S403" i="10"/>
  <c r="T403" i="10"/>
  <c r="U403" i="10"/>
  <c r="N403" i="10"/>
  <c r="V403" i="10"/>
  <c r="O403" i="10"/>
  <c r="W403" i="10"/>
  <c r="P403" i="10"/>
  <c r="X403" i="10"/>
  <c r="Q403" i="10"/>
  <c r="Y403" i="10"/>
  <c r="R403" i="10"/>
  <c r="S411" i="10"/>
  <c r="T411" i="10"/>
  <c r="U411" i="10"/>
  <c r="N411" i="10"/>
  <c r="V411" i="10"/>
  <c r="O411" i="10"/>
  <c r="W411" i="10"/>
  <c r="P411" i="10"/>
  <c r="X411" i="10"/>
  <c r="Q411" i="10"/>
  <c r="Y411" i="10"/>
  <c r="R411" i="10"/>
  <c r="S419" i="10"/>
  <c r="T419" i="10"/>
  <c r="U419" i="10"/>
  <c r="N419" i="10"/>
  <c r="V419" i="10"/>
  <c r="O419" i="10"/>
  <c r="W419" i="10"/>
  <c r="P419" i="10"/>
  <c r="X419" i="10"/>
  <c r="Q419" i="10"/>
  <c r="Y419" i="10"/>
  <c r="R419" i="10"/>
  <c r="S427" i="10"/>
  <c r="T427" i="10"/>
  <c r="U427" i="10"/>
  <c r="N427" i="10"/>
  <c r="V427" i="10"/>
  <c r="O427" i="10"/>
  <c r="W427" i="10"/>
  <c r="P427" i="10"/>
  <c r="X427" i="10"/>
  <c r="Q427" i="10"/>
  <c r="Y427" i="10"/>
  <c r="R427" i="10"/>
  <c r="T435" i="10"/>
  <c r="N435" i="10"/>
  <c r="V435" i="10"/>
  <c r="P435" i="10"/>
  <c r="X435" i="10"/>
  <c r="Q435" i="10"/>
  <c r="Y435" i="10"/>
  <c r="O435" i="10"/>
  <c r="R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R443" i="10"/>
  <c r="S443" i="10"/>
  <c r="T443" i="10"/>
  <c r="U451" i="10"/>
  <c r="N451" i="10"/>
  <c r="V451" i="10"/>
  <c r="O451" i="10"/>
  <c r="W451" i="10"/>
  <c r="P451" i="10"/>
  <c r="X451" i="10"/>
  <c r="Q451" i="10"/>
  <c r="Y451" i="10"/>
  <c r="R451" i="10"/>
  <c r="S451" i="10"/>
  <c r="T451" i="10"/>
  <c r="Q470" i="10"/>
  <c r="Y470" i="10"/>
  <c r="R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R620" i="10"/>
  <c r="S620" i="10"/>
  <c r="T620" i="10"/>
  <c r="U620" i="10"/>
  <c r="V620" i="10"/>
  <c r="N620" i="10"/>
  <c r="N733" i="10"/>
  <c r="V733" i="10"/>
  <c r="O733" i="10"/>
  <c r="W733" i="10"/>
  <c r="S733" i="10"/>
  <c r="X733" i="10"/>
  <c r="Y733" i="10"/>
  <c r="P733" i="10"/>
  <c r="Q733" i="10"/>
  <c r="R733" i="10"/>
  <c r="T733" i="10"/>
  <c r="Q741" i="10"/>
  <c r="Y741" i="10"/>
  <c r="R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R828" i="10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R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R705" i="10"/>
  <c r="S705" i="10"/>
  <c r="T705" i="10"/>
  <c r="U705" i="10"/>
  <c r="O636" i="10"/>
  <c r="W636" i="10"/>
  <c r="P636" i="10"/>
  <c r="X636" i="10"/>
  <c r="R636" i="10"/>
  <c r="T636" i="10"/>
  <c r="N636" i="10"/>
  <c r="Q636" i="10"/>
  <c r="S636" i="10"/>
  <c r="U636" i="10"/>
  <c r="V636" i="10"/>
  <c r="Y636" i="10"/>
  <c r="O564" i="10"/>
  <c r="W564" i="10"/>
  <c r="P564" i="10"/>
  <c r="X564" i="10"/>
  <c r="Q564" i="10"/>
  <c r="Y564" i="10"/>
  <c r="R564" i="10"/>
  <c r="S564" i="10"/>
  <c r="T564" i="10"/>
  <c r="U564" i="10"/>
  <c r="N564" i="10"/>
  <c r="U493" i="10"/>
  <c r="N493" i="10"/>
  <c r="V493" i="10"/>
  <c r="O493" i="10"/>
  <c r="W493" i="10"/>
  <c r="P493" i="10"/>
  <c r="X493" i="10"/>
  <c r="Q493" i="10"/>
  <c r="Y493" i="10"/>
  <c r="R493" i="10"/>
  <c r="S493" i="10"/>
  <c r="T493" i="10"/>
  <c r="S407" i="10"/>
  <c r="T407" i="10"/>
  <c r="U407" i="10"/>
  <c r="N407" i="10"/>
  <c r="V407" i="10"/>
  <c r="O407" i="10"/>
  <c r="W407" i="10"/>
  <c r="P407" i="10"/>
  <c r="X407" i="10"/>
  <c r="Q407" i="10"/>
  <c r="Y407" i="10"/>
  <c r="R407" i="10"/>
  <c r="R338" i="10"/>
  <c r="S338" i="10"/>
  <c r="V338" i="10"/>
  <c r="W338" i="10"/>
  <c r="N338" i="10"/>
  <c r="X338" i="10"/>
  <c r="O338" i="10"/>
  <c r="Y338" i="10"/>
  <c r="P338" i="10"/>
  <c r="Q338" i="10"/>
  <c r="T338" i="10"/>
  <c r="U338" i="10"/>
  <c r="U215" i="10"/>
  <c r="P215" i="10"/>
  <c r="X215" i="10"/>
  <c r="Q215" i="10"/>
  <c r="Y215" i="10"/>
  <c r="R215" i="10"/>
  <c r="T215" i="10"/>
  <c r="V215" i="10"/>
  <c r="W215" i="10"/>
  <c r="N215" i="10"/>
  <c r="O215" i="10"/>
  <c r="S215" i="10"/>
  <c r="U185" i="10"/>
  <c r="O185" i="10"/>
  <c r="P185" i="10"/>
  <c r="X185" i="10"/>
  <c r="Q185" i="10"/>
  <c r="Y185" i="10"/>
  <c r="R185" i="10"/>
  <c r="T185" i="10"/>
  <c r="S185" i="10"/>
  <c r="V185" i="10"/>
  <c r="W185" i="10"/>
  <c r="N185" i="10"/>
  <c r="O140" i="10"/>
  <c r="W140" i="10"/>
  <c r="P140" i="10"/>
  <c r="X140" i="10"/>
  <c r="Q140" i="10"/>
  <c r="Y140" i="10"/>
  <c r="R140" i="10"/>
  <c r="S140" i="10"/>
  <c r="T140" i="10"/>
  <c r="U140" i="10"/>
  <c r="N140" i="10"/>
  <c r="V140" i="10"/>
  <c r="O54" i="10"/>
  <c r="W54" i="10"/>
  <c r="P54" i="10"/>
  <c r="X54" i="10"/>
  <c r="R54" i="10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R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R155" i="10"/>
  <c r="S179" i="10"/>
  <c r="U179" i="10"/>
  <c r="N179" i="10"/>
  <c r="W179" i="10"/>
  <c r="O179" i="10"/>
  <c r="X179" i="10"/>
  <c r="P179" i="10"/>
  <c r="Y179" i="10"/>
  <c r="Q179" i="10"/>
  <c r="T179" i="10"/>
  <c r="R179" i="10"/>
  <c r="V179" i="10"/>
  <c r="U219" i="10"/>
  <c r="P219" i="10"/>
  <c r="X219" i="10"/>
  <c r="Q219" i="10"/>
  <c r="Y219" i="10"/>
  <c r="R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R291" i="10"/>
  <c r="S291" i="10"/>
  <c r="T291" i="10"/>
  <c r="U291" i="10"/>
  <c r="R318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O541" i="10"/>
  <c r="W541" i="10"/>
  <c r="P541" i="10"/>
  <c r="X541" i="10"/>
  <c r="Q541" i="10"/>
  <c r="Y541" i="10"/>
  <c r="R541" i="10"/>
  <c r="S573" i="10"/>
  <c r="T573" i="10"/>
  <c r="U573" i="10"/>
  <c r="N573" i="10"/>
  <c r="V573" i="10"/>
  <c r="O573" i="10"/>
  <c r="W573" i="10"/>
  <c r="P573" i="10"/>
  <c r="X573" i="10"/>
  <c r="Q573" i="10"/>
  <c r="Y573" i="10"/>
  <c r="R573" i="10"/>
  <c r="S589" i="10"/>
  <c r="T589" i="10"/>
  <c r="U589" i="10"/>
  <c r="N589" i="10"/>
  <c r="V589" i="10"/>
  <c r="O589" i="10"/>
  <c r="W589" i="10"/>
  <c r="P589" i="10"/>
  <c r="X589" i="10"/>
  <c r="Q589" i="10"/>
  <c r="Y589" i="10"/>
  <c r="R589" i="10"/>
  <c r="N651" i="10"/>
  <c r="V651" i="10"/>
  <c r="O651" i="10"/>
  <c r="W651" i="10"/>
  <c r="P651" i="10"/>
  <c r="X651" i="10"/>
  <c r="Q651" i="10"/>
  <c r="Y651" i="10"/>
  <c r="R651" i="10"/>
  <c r="S651" i="10"/>
  <c r="T651" i="10"/>
  <c r="U651" i="10"/>
  <c r="N691" i="10"/>
  <c r="V691" i="10"/>
  <c r="O691" i="10"/>
  <c r="W691" i="10"/>
  <c r="P691" i="10"/>
  <c r="X691" i="10"/>
  <c r="Q691" i="10"/>
  <c r="Y691" i="10"/>
  <c r="R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R809" i="10"/>
  <c r="S809" i="10"/>
  <c r="T809" i="10"/>
  <c r="U809" i="10"/>
  <c r="O809" i="10"/>
  <c r="W809" i="10"/>
  <c r="U784" i="10"/>
  <c r="N784" i="10"/>
  <c r="V784" i="10"/>
  <c r="O784" i="10"/>
  <c r="W784" i="10"/>
  <c r="P784" i="10"/>
  <c r="X784" i="10"/>
  <c r="Q784" i="10"/>
  <c r="Y784" i="10"/>
  <c r="R784" i="10"/>
  <c r="S784" i="10"/>
  <c r="Q773" i="10"/>
  <c r="Y773" i="10"/>
  <c r="R773" i="10"/>
  <c r="S773" i="10"/>
  <c r="T773" i="10"/>
  <c r="U773" i="10"/>
  <c r="N773" i="10"/>
  <c r="V773" i="10"/>
  <c r="O773" i="10"/>
  <c r="W773" i="10"/>
  <c r="Q761" i="10"/>
  <c r="Y761" i="10"/>
  <c r="R761" i="10"/>
  <c r="S761" i="10"/>
  <c r="T761" i="10"/>
  <c r="U761" i="10"/>
  <c r="N761" i="10"/>
  <c r="V761" i="10"/>
  <c r="O761" i="10"/>
  <c r="W761" i="10"/>
  <c r="Q749" i="10"/>
  <c r="Y749" i="10"/>
  <c r="R749" i="10"/>
  <c r="S749" i="10"/>
  <c r="T749" i="10"/>
  <c r="U749" i="10"/>
  <c r="N749" i="10"/>
  <c r="V749" i="10"/>
  <c r="O749" i="10"/>
  <c r="W749" i="10"/>
  <c r="R724" i="10"/>
  <c r="S724" i="10"/>
  <c r="T724" i="10"/>
  <c r="U724" i="10"/>
  <c r="N724" i="10"/>
  <c r="V724" i="10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R695" i="10"/>
  <c r="S695" i="10"/>
  <c r="T695" i="10"/>
  <c r="U695" i="10"/>
  <c r="N681" i="10"/>
  <c r="V681" i="10"/>
  <c r="O681" i="10"/>
  <c r="W681" i="10"/>
  <c r="P681" i="10"/>
  <c r="X681" i="10"/>
  <c r="Q681" i="10"/>
  <c r="Y681" i="10"/>
  <c r="R681" i="10"/>
  <c r="S681" i="10"/>
  <c r="T681" i="10"/>
  <c r="R666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O655" i="10"/>
  <c r="W655" i="10"/>
  <c r="P655" i="10"/>
  <c r="X655" i="10"/>
  <c r="Q655" i="10"/>
  <c r="Y655" i="10"/>
  <c r="R655" i="10"/>
  <c r="S655" i="10"/>
  <c r="T655" i="10"/>
  <c r="U655" i="10"/>
  <c r="R642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R609" i="10"/>
  <c r="O584" i="10"/>
  <c r="W584" i="10"/>
  <c r="P584" i="10"/>
  <c r="X584" i="10"/>
  <c r="Q584" i="10"/>
  <c r="Y584" i="10"/>
  <c r="R584" i="10"/>
  <c r="S584" i="10"/>
  <c r="T584" i="10"/>
  <c r="U584" i="10"/>
  <c r="N584" i="10"/>
  <c r="V584" i="10"/>
  <c r="O570" i="10"/>
  <c r="W570" i="10"/>
  <c r="P570" i="10"/>
  <c r="X570" i="10"/>
  <c r="Q570" i="10"/>
  <c r="Y570" i="10"/>
  <c r="R570" i="10"/>
  <c r="S570" i="10"/>
  <c r="T570" i="10"/>
  <c r="U570" i="10"/>
  <c r="V570" i="10"/>
  <c r="N570" i="10"/>
  <c r="O556" i="10"/>
  <c r="W556" i="10"/>
  <c r="P556" i="10"/>
  <c r="X556" i="10"/>
  <c r="Q556" i="10"/>
  <c r="Y556" i="10"/>
  <c r="R556" i="10"/>
  <c r="S556" i="10"/>
  <c r="T556" i="10"/>
  <c r="U556" i="10"/>
  <c r="N556" i="10"/>
  <c r="V556" i="10"/>
  <c r="O542" i="10"/>
  <c r="W542" i="10"/>
  <c r="P542" i="10"/>
  <c r="X542" i="10"/>
  <c r="Q542" i="10"/>
  <c r="Y542" i="10"/>
  <c r="R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R529" i="10"/>
  <c r="S529" i="10"/>
  <c r="Q529" i="10"/>
  <c r="T529" i="10"/>
  <c r="Y529" i="10"/>
  <c r="Q516" i="10"/>
  <c r="Y516" i="10"/>
  <c r="R516" i="10"/>
  <c r="S516" i="10"/>
  <c r="T516" i="10"/>
  <c r="U516" i="10"/>
  <c r="N516" i="10"/>
  <c r="V516" i="10"/>
  <c r="O516" i="10"/>
  <c r="W516" i="10"/>
  <c r="X516" i="10"/>
  <c r="P516" i="10"/>
  <c r="Q498" i="10"/>
  <c r="Y498" i="10"/>
  <c r="R498" i="10"/>
  <c r="S498" i="10"/>
  <c r="T498" i="10"/>
  <c r="U498" i="10"/>
  <c r="N498" i="10"/>
  <c r="V498" i="10"/>
  <c r="O498" i="10"/>
  <c r="W498" i="10"/>
  <c r="P498" i="10"/>
  <c r="X498" i="10"/>
  <c r="Q482" i="10"/>
  <c r="Y482" i="10"/>
  <c r="R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R455" i="10"/>
  <c r="S455" i="10"/>
  <c r="T455" i="10"/>
  <c r="O412" i="10"/>
  <c r="W412" i="10"/>
  <c r="P412" i="10"/>
  <c r="X412" i="10"/>
  <c r="Q412" i="10"/>
  <c r="Y412" i="10"/>
  <c r="R412" i="10"/>
  <c r="S412" i="10"/>
  <c r="T412" i="10"/>
  <c r="U412" i="10"/>
  <c r="N412" i="10"/>
  <c r="V412" i="10"/>
  <c r="O400" i="10"/>
  <c r="W400" i="10"/>
  <c r="P400" i="10"/>
  <c r="X400" i="10"/>
  <c r="Q400" i="10"/>
  <c r="Y400" i="10"/>
  <c r="R400" i="10"/>
  <c r="S400" i="10"/>
  <c r="T400" i="10"/>
  <c r="U400" i="10"/>
  <c r="N400" i="10"/>
  <c r="V400" i="10"/>
  <c r="O372" i="10"/>
  <c r="W372" i="10"/>
  <c r="P372" i="10"/>
  <c r="X372" i="10"/>
  <c r="Q372" i="10"/>
  <c r="Y372" i="10"/>
  <c r="R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R289" i="10"/>
  <c r="S289" i="10"/>
  <c r="T289" i="10"/>
  <c r="U289" i="10"/>
  <c r="P274" i="10"/>
  <c r="X274" i="10"/>
  <c r="Q274" i="10"/>
  <c r="Y274" i="10"/>
  <c r="S274" i="10"/>
  <c r="T274" i="10"/>
  <c r="U274" i="10"/>
  <c r="V274" i="10"/>
  <c r="W274" i="10"/>
  <c r="N274" i="10"/>
  <c r="O274" i="10"/>
  <c r="R274" i="10"/>
  <c r="Q220" i="10"/>
  <c r="Y220" i="10"/>
  <c r="T220" i="10"/>
  <c r="N220" i="10"/>
  <c r="V220" i="10"/>
  <c r="P220" i="10"/>
  <c r="X220" i="10"/>
  <c r="W220" i="10"/>
  <c r="O220" i="10"/>
  <c r="R220" i="10"/>
  <c r="S220" i="10"/>
  <c r="U220" i="10"/>
  <c r="Q202" i="10"/>
  <c r="Y202" i="10"/>
  <c r="T202" i="10"/>
  <c r="U202" i="10"/>
  <c r="N202" i="10"/>
  <c r="V202" i="10"/>
  <c r="P202" i="10"/>
  <c r="X202" i="10"/>
  <c r="O202" i="10"/>
  <c r="R202" i="10"/>
  <c r="S202" i="10"/>
  <c r="W202" i="10"/>
  <c r="S177" i="10"/>
  <c r="N177" i="10"/>
  <c r="V177" i="10"/>
  <c r="O177" i="10"/>
  <c r="Y177" i="10"/>
  <c r="Q177" i="10"/>
  <c r="R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R161" i="10"/>
  <c r="O146" i="10"/>
  <c r="W146" i="10"/>
  <c r="P146" i="10"/>
  <c r="X146" i="10"/>
  <c r="Q146" i="10"/>
  <c r="Y146" i="10"/>
  <c r="R146" i="10"/>
  <c r="S146" i="10"/>
  <c r="T146" i="10"/>
  <c r="U146" i="10"/>
  <c r="N146" i="10"/>
  <c r="V146" i="10"/>
  <c r="O58" i="10"/>
  <c r="W58" i="10"/>
  <c r="P58" i="10"/>
  <c r="X58" i="10"/>
  <c r="R58" i="10"/>
  <c r="S58" i="10"/>
  <c r="V58" i="10"/>
  <c r="Q58" i="10"/>
  <c r="N58" i="10"/>
  <c r="T58" i="10"/>
  <c r="U58" i="10"/>
  <c r="Y58" i="10"/>
  <c r="O60" i="10"/>
  <c r="W60" i="10"/>
  <c r="P60" i="10"/>
  <c r="X60" i="10"/>
  <c r="R60" i="10"/>
  <c r="S60" i="10"/>
  <c r="N60" i="10"/>
  <c r="T60" i="10"/>
  <c r="U60" i="10"/>
  <c r="Y60" i="10"/>
  <c r="V60" i="10"/>
  <c r="Q60" i="10"/>
  <c r="R76" i="10"/>
  <c r="T76" i="10"/>
  <c r="U76" i="10"/>
  <c r="O76" i="10"/>
  <c r="W76" i="10"/>
  <c r="V76" i="10"/>
  <c r="X76" i="10"/>
  <c r="Y76" i="10"/>
  <c r="P76" i="10"/>
  <c r="Q76" i="10"/>
  <c r="N76" i="10"/>
  <c r="S76" i="10"/>
  <c r="Q100" i="10"/>
  <c r="Y100" i="10"/>
  <c r="R100" i="10"/>
  <c r="S100" i="10"/>
  <c r="T100" i="10"/>
  <c r="N100" i="10"/>
  <c r="V100" i="10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R317" i="10"/>
  <c r="S317" i="10"/>
  <c r="T317" i="10"/>
  <c r="U317" i="10"/>
  <c r="N333" i="10"/>
  <c r="V333" i="10"/>
  <c r="O333" i="10"/>
  <c r="W333" i="10"/>
  <c r="R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R341" i="10"/>
  <c r="O352" i="10"/>
  <c r="W352" i="10"/>
  <c r="P352" i="10"/>
  <c r="X352" i="10"/>
  <c r="Q352" i="10"/>
  <c r="Y352" i="10"/>
  <c r="R352" i="10"/>
  <c r="S352" i="10"/>
  <c r="T352" i="10"/>
  <c r="U352" i="10"/>
  <c r="N352" i="10"/>
  <c r="V352" i="10"/>
  <c r="O366" i="10"/>
  <c r="W366" i="10"/>
  <c r="P366" i="10"/>
  <c r="X366" i="10"/>
  <c r="Q366" i="10"/>
  <c r="Y366" i="10"/>
  <c r="R366" i="10"/>
  <c r="S366" i="10"/>
  <c r="T366" i="10"/>
  <c r="U366" i="10"/>
  <c r="V366" i="10"/>
  <c r="N366" i="10"/>
  <c r="O374" i="10"/>
  <c r="W374" i="10"/>
  <c r="P374" i="10"/>
  <c r="X374" i="10"/>
  <c r="Q374" i="10"/>
  <c r="Y374" i="10"/>
  <c r="R374" i="10"/>
  <c r="S374" i="10"/>
  <c r="T374" i="10"/>
  <c r="U374" i="10"/>
  <c r="N374" i="10"/>
  <c r="V374" i="10"/>
  <c r="O398" i="10"/>
  <c r="W398" i="10"/>
  <c r="P398" i="10"/>
  <c r="X398" i="10"/>
  <c r="Q398" i="10"/>
  <c r="Y398" i="10"/>
  <c r="R398" i="10"/>
  <c r="S398" i="10"/>
  <c r="T398" i="10"/>
  <c r="U398" i="10"/>
  <c r="V398" i="10"/>
  <c r="N398" i="10"/>
  <c r="O406" i="10"/>
  <c r="W406" i="10"/>
  <c r="P406" i="10"/>
  <c r="X406" i="10"/>
  <c r="Q406" i="10"/>
  <c r="Y406" i="10"/>
  <c r="R406" i="10"/>
  <c r="S406" i="10"/>
  <c r="T406" i="10"/>
  <c r="U406" i="10"/>
  <c r="N406" i="10"/>
  <c r="V406" i="10"/>
  <c r="O414" i="10"/>
  <c r="W414" i="10"/>
  <c r="P414" i="10"/>
  <c r="X414" i="10"/>
  <c r="Q414" i="10"/>
  <c r="Y414" i="10"/>
  <c r="R414" i="10"/>
  <c r="S414" i="10"/>
  <c r="T414" i="10"/>
  <c r="U414" i="10"/>
  <c r="V414" i="10"/>
  <c r="N414" i="10"/>
  <c r="P438" i="10"/>
  <c r="Q438" i="10"/>
  <c r="Y438" i="10"/>
  <c r="R438" i="10"/>
  <c r="S438" i="10"/>
  <c r="T438" i="10"/>
  <c r="U438" i="10"/>
  <c r="V438" i="10"/>
  <c r="N438" i="10"/>
  <c r="W438" i="10"/>
  <c r="O438" i="10"/>
  <c r="X438" i="10"/>
  <c r="Q492" i="10"/>
  <c r="Y492" i="10"/>
  <c r="R492" i="10"/>
  <c r="S492" i="10"/>
  <c r="T492" i="10"/>
  <c r="U492" i="10"/>
  <c r="N492" i="10"/>
  <c r="V492" i="10"/>
  <c r="O492" i="10"/>
  <c r="W492" i="10"/>
  <c r="P492" i="10"/>
  <c r="X492" i="10"/>
  <c r="Q500" i="10"/>
  <c r="Y500" i="10"/>
  <c r="R500" i="10"/>
  <c r="S500" i="10"/>
  <c r="T500" i="10"/>
  <c r="U500" i="10"/>
  <c r="N500" i="10"/>
  <c r="V500" i="10"/>
  <c r="O500" i="10"/>
  <c r="W500" i="10"/>
  <c r="X500" i="10"/>
  <c r="P500" i="10"/>
  <c r="Q532" i="10"/>
  <c r="Y532" i="10"/>
  <c r="R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R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R717" i="10"/>
  <c r="S717" i="10"/>
  <c r="T717" i="10"/>
  <c r="U717" i="10"/>
  <c r="R728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R747" i="10"/>
  <c r="S747" i="10"/>
  <c r="T747" i="10"/>
  <c r="U747" i="10"/>
  <c r="N747" i="10"/>
  <c r="V747" i="10"/>
  <c r="O747" i="10"/>
  <c r="W747" i="10"/>
  <c r="Q755" i="10"/>
  <c r="Y755" i="10"/>
  <c r="R755" i="10"/>
  <c r="S755" i="10"/>
  <c r="T755" i="10"/>
  <c r="U755" i="10"/>
  <c r="N755" i="10"/>
  <c r="V755" i="10"/>
  <c r="O755" i="10"/>
  <c r="W755" i="10"/>
  <c r="Q779" i="10"/>
  <c r="Y779" i="10"/>
  <c r="R779" i="10"/>
  <c r="S779" i="10"/>
  <c r="T779" i="10"/>
  <c r="U779" i="10"/>
  <c r="N779" i="10"/>
  <c r="V779" i="10"/>
  <c r="O779" i="10"/>
  <c r="W779" i="10"/>
  <c r="Q787" i="10"/>
  <c r="Y787" i="10"/>
  <c r="R787" i="10"/>
  <c r="S787" i="10"/>
  <c r="T787" i="10"/>
  <c r="U787" i="10"/>
  <c r="N787" i="10"/>
  <c r="V787" i="10"/>
  <c r="O787" i="10"/>
  <c r="W787" i="10"/>
  <c r="P833" i="10"/>
  <c r="O832" i="10"/>
  <c r="Y830" i="10"/>
  <c r="U829" i="10"/>
  <c r="Q828" i="10"/>
  <c r="N825" i="10"/>
  <c r="R822" i="10"/>
  <c r="R814" i="10"/>
  <c r="V811" i="10"/>
  <c r="N809" i="10"/>
  <c r="R806" i="10"/>
  <c r="X797" i="10"/>
  <c r="T792" i="10"/>
  <c r="P787" i="10"/>
  <c r="X781" i="10"/>
  <c r="X765" i="10"/>
  <c r="T760" i="10"/>
  <c r="P755" i="10"/>
  <c r="X749" i="10"/>
  <c r="P741" i="10"/>
  <c r="S735" i="10"/>
  <c r="Q692" i="10"/>
  <c r="U649" i="10"/>
  <c r="R607" i="10"/>
  <c r="N833" i="10"/>
  <c r="N832" i="10"/>
  <c r="V830" i="10"/>
  <c r="R829" i="10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Z774" i="10" s="1"/>
  <c r="A646" i="10"/>
  <c r="Z646" i="10" s="1"/>
  <c r="A614" i="10"/>
  <c r="Z614" i="10" s="1"/>
  <c r="A534" i="10"/>
  <c r="Z534" i="10" s="1"/>
  <c r="A494" i="10"/>
  <c r="Z494" i="10" s="1"/>
  <c r="A413" i="10"/>
  <c r="Z413" i="10" s="1"/>
  <c r="A301" i="10"/>
  <c r="Z301" i="10" s="1"/>
  <c r="A270" i="10"/>
  <c r="Z270" i="10" s="1"/>
  <c r="A261" i="10"/>
  <c r="Z261" i="10" s="1"/>
  <c r="A208" i="10"/>
  <c r="Z208" i="10" s="1"/>
  <c r="A189" i="10"/>
  <c r="Z189" i="10" s="1"/>
  <c r="A157" i="10"/>
  <c r="Z157" i="10" s="1"/>
  <c r="A117" i="10"/>
  <c r="Z117" i="10" s="1"/>
  <c r="A85" i="10"/>
  <c r="Z85" i="10" s="1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Z725" i="10" s="1"/>
  <c r="A462" i="10"/>
  <c r="Z462" i="10" s="1"/>
  <c r="A349" i="10"/>
  <c r="Z349" i="10" s="1"/>
  <c r="A144" i="10"/>
  <c r="Z144" i="10" s="1"/>
  <c r="A53" i="10"/>
  <c r="Z53" i="10" s="1"/>
  <c r="Q170" i="1"/>
  <c r="Q98" i="1"/>
  <c r="Q523" i="1"/>
  <c r="Q467" i="1"/>
  <c r="Q371" i="1"/>
  <c r="Q283" i="1"/>
  <c r="Q187" i="1"/>
  <c r="Q131" i="1"/>
  <c r="Q99" i="1"/>
  <c r="Q59" i="1"/>
  <c r="A798" i="10"/>
  <c r="Z798" i="10" s="1"/>
  <c r="A734" i="10"/>
  <c r="Z734" i="10" s="1"/>
  <c r="A702" i="10"/>
  <c r="Z702" i="10" s="1"/>
  <c r="A661" i="10"/>
  <c r="Z661" i="10" s="1"/>
  <c r="A582" i="10"/>
  <c r="Z582" i="10" s="1"/>
  <c r="A550" i="10"/>
  <c r="Z550" i="10" s="1"/>
  <c r="A501" i="10"/>
  <c r="Z501" i="10" s="1"/>
  <c r="A430" i="10"/>
  <c r="Z430" i="10" s="1"/>
  <c r="A390" i="10"/>
  <c r="Z390" i="10" s="1"/>
  <c r="A358" i="10"/>
  <c r="Z358" i="10" s="1"/>
  <c r="A214" i="10"/>
  <c r="Z214" i="10" s="1"/>
  <c r="A72" i="10"/>
  <c r="Z72" i="10" s="1"/>
  <c r="Q698" i="1"/>
  <c r="Q586" i="1"/>
  <c r="Q282" i="1"/>
  <c r="Q827" i="1"/>
  <c r="Q763" i="1"/>
  <c r="Q635" i="1"/>
  <c r="Q403" i="1"/>
  <c r="Q219" i="1"/>
  <c r="A630" i="10"/>
  <c r="Z630" i="10" s="1"/>
  <c r="A80" i="10"/>
  <c r="Z80" i="10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Z835" i="10" s="1"/>
  <c r="A827" i="10"/>
  <c r="Z827" i="10" s="1"/>
  <c r="A819" i="10"/>
  <c r="Z819" i="10" s="1"/>
  <c r="A803" i="10"/>
  <c r="Z803" i="10" s="1"/>
  <c r="A795" i="10"/>
  <c r="Z795" i="10" s="1"/>
  <c r="A771" i="10"/>
  <c r="Z771" i="10" s="1"/>
  <c r="A763" i="10"/>
  <c r="Z763" i="10" s="1"/>
  <c r="A739" i="10"/>
  <c r="Z739" i="10" s="1"/>
  <c r="A731" i="10"/>
  <c r="Z731" i="10" s="1"/>
  <c r="A707" i="10"/>
  <c r="Z707" i="10" s="1"/>
  <c r="A699" i="10"/>
  <c r="Z699" i="10" s="1"/>
  <c r="A216" i="10"/>
  <c r="Z216" i="10" s="1"/>
  <c r="A152" i="10"/>
  <c r="Z152" i="10" s="1"/>
  <c r="A88" i="10"/>
  <c r="Z88" i="10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Z240" i="10" s="1"/>
  <c r="A48" i="10"/>
  <c r="Z48" i="10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Z184" i="10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N95" i="10" l="1"/>
  <c r="R135" i="10"/>
  <c r="U126" i="10"/>
  <c r="R385" i="10"/>
  <c r="S162" i="10"/>
  <c r="T596" i="10"/>
  <c r="U484" i="10"/>
  <c r="S596" i="10"/>
  <c r="R484" i="10"/>
  <c r="O596" i="10"/>
  <c r="U596" i="10"/>
  <c r="W596" i="10"/>
  <c r="V484" i="10"/>
  <c r="Q71" i="10"/>
  <c r="P95" i="10"/>
  <c r="N540" i="10"/>
  <c r="R596" i="10"/>
  <c r="Y596" i="10"/>
  <c r="S703" i="10"/>
  <c r="Q596" i="10"/>
  <c r="Y703" i="10"/>
  <c r="V596" i="10"/>
  <c r="X596" i="10"/>
  <c r="P703" i="10"/>
  <c r="O95" i="10"/>
  <c r="N596" i="10"/>
  <c r="P596" i="10"/>
  <c r="X484" i="10"/>
  <c r="V703" i="10"/>
  <c r="S71" i="10"/>
  <c r="W95" i="10"/>
  <c r="V162" i="10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R816" i="10"/>
  <c r="W464" i="10"/>
  <c r="M834" i="1"/>
  <c r="M837" i="10"/>
  <c r="V135" i="10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R162" i="10"/>
  <c r="X126" i="10"/>
  <c r="T126" i="10"/>
  <c r="O135" i="10"/>
  <c r="Y162" i="10"/>
  <c r="W126" i="10"/>
  <c r="R126" i="10"/>
  <c r="X39" i="10"/>
  <c r="U305" i="10"/>
  <c r="W305" i="10"/>
  <c r="U464" i="10"/>
  <c r="X756" i="10"/>
  <c r="T816" i="10"/>
  <c r="S305" i="10"/>
  <c r="N305" i="10"/>
  <c r="S464" i="10"/>
  <c r="W756" i="10"/>
  <c r="R305" i="10"/>
  <c r="R464" i="10"/>
  <c r="U756" i="10"/>
  <c r="Y305" i="10"/>
  <c r="T756" i="10"/>
  <c r="X464" i="10"/>
  <c r="Y464" i="10"/>
  <c r="Y816" i="10"/>
  <c r="Q305" i="10"/>
  <c r="P464" i="10"/>
  <c r="Q464" i="10"/>
  <c r="Q816" i="10"/>
  <c r="R618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R756" i="10"/>
  <c r="N756" i="10"/>
  <c r="N207" i="10"/>
  <c r="V618" i="10"/>
  <c r="R39" i="10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R290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R744" i="10"/>
  <c r="T167" i="10"/>
  <c r="X744" i="10"/>
  <c r="Y249" i="10"/>
  <c r="V167" i="10"/>
  <c r="N6" i="10"/>
  <c r="T744" i="10"/>
  <c r="V548" i="10"/>
  <c r="Q382" i="10"/>
  <c r="X548" i="10"/>
  <c r="O273" i="10"/>
  <c r="T183" i="10"/>
  <c r="R7" i="10"/>
  <c r="U183" i="10"/>
  <c r="S234" i="10"/>
  <c r="V351" i="10"/>
  <c r="O36" i="10"/>
  <c r="P484" i="10"/>
  <c r="S484" i="10"/>
  <c r="X703" i="10"/>
  <c r="R36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R95" i="10"/>
  <c r="R425" i="10"/>
  <c r="N425" i="10"/>
  <c r="S540" i="10"/>
  <c r="W484" i="10"/>
  <c r="Y484" i="10"/>
  <c r="U703" i="10"/>
  <c r="W703" i="10"/>
  <c r="Y36" i="10"/>
  <c r="P36" i="10"/>
  <c r="V154" i="10"/>
  <c r="P154" i="10"/>
  <c r="T71" i="10"/>
  <c r="N71" i="10"/>
  <c r="S95" i="10"/>
  <c r="Y425" i="10"/>
  <c r="U425" i="10"/>
  <c r="R540" i="10"/>
  <c r="U36" i="10"/>
  <c r="O484" i="10"/>
  <c r="Q484" i="10"/>
  <c r="T703" i="10"/>
  <c r="O703" i="10"/>
  <c r="V36" i="10"/>
  <c r="W36" i="10"/>
  <c r="U154" i="10"/>
  <c r="W154" i="10"/>
  <c r="R71" i="10"/>
  <c r="X95" i="10"/>
  <c r="Q95" i="10"/>
  <c r="Q273" i="10"/>
  <c r="Q425" i="10"/>
  <c r="T425" i="10"/>
  <c r="Y540" i="10"/>
  <c r="N484" i="10"/>
  <c r="R703" i="10"/>
  <c r="N703" i="10"/>
  <c r="T36" i="10"/>
  <c r="S154" i="10"/>
  <c r="Y71" i="10"/>
  <c r="Y95" i="10"/>
  <c r="V95" i="10"/>
  <c r="P425" i="10"/>
  <c r="V540" i="10"/>
  <c r="X540" i="10"/>
  <c r="T484" i="10"/>
  <c r="Q703" i="10"/>
  <c r="S36" i="10"/>
  <c r="Y154" i="10"/>
  <c r="O71" i="10"/>
  <c r="X71" i="10"/>
  <c r="U95" i="10"/>
  <c r="O425" i="10"/>
  <c r="U540" i="10"/>
  <c r="W540" i="10"/>
  <c r="R183" i="10"/>
  <c r="N351" i="10"/>
  <c r="R351" i="10"/>
  <c r="O234" i="10"/>
  <c r="P234" i="10"/>
  <c r="O7" i="10"/>
  <c r="Y183" i="10"/>
  <c r="Y351" i="10"/>
  <c r="U351" i="10"/>
  <c r="R234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Y7" i="10"/>
  <c r="T7" i="10"/>
  <c r="V183" i="10"/>
  <c r="P183" i="10"/>
  <c r="P351" i="10"/>
  <c r="O816" i="10"/>
  <c r="U234" i="10"/>
  <c r="X7" i="10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R249" i="10"/>
  <c r="N249" i="10"/>
  <c r="O207" i="10"/>
  <c r="U207" i="10"/>
  <c r="V290" i="10"/>
  <c r="Y382" i="10"/>
  <c r="R167" i="10"/>
  <c r="O167" i="10"/>
  <c r="Q6" i="10"/>
  <c r="Q548" i="10"/>
  <c r="O744" i="10"/>
  <c r="U325" i="10"/>
  <c r="O325" i="10"/>
  <c r="N282" i="10"/>
  <c r="R273" i="10"/>
  <c r="S273" i="10"/>
  <c r="S6" i="10"/>
  <c r="N548" i="10"/>
  <c r="P273" i="10"/>
  <c r="X249" i="10"/>
  <c r="R207" i="10"/>
  <c r="Q290" i="10"/>
  <c r="T290" i="10"/>
  <c r="V382" i="10"/>
  <c r="P382" i="10"/>
  <c r="Y167" i="10"/>
  <c r="S167" i="10"/>
  <c r="R6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T548" i="10"/>
  <c r="O548" i="10"/>
  <c r="Q744" i="10"/>
  <c r="Q325" i="10"/>
  <c r="P282" i="10"/>
  <c r="R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X207" i="10"/>
  <c r="W290" i="10"/>
  <c r="S382" i="10"/>
  <c r="P167" i="10"/>
  <c r="U6" i="10"/>
  <c r="W6" i="10"/>
  <c r="R548" i="10"/>
  <c r="P744" i="10"/>
  <c r="P325" i="10"/>
  <c r="O282" i="10"/>
  <c r="W273" i="10"/>
  <c r="X382" i="10"/>
  <c r="N167" i="10"/>
  <c r="V6" i="10"/>
  <c r="O249" i="10"/>
  <c r="S249" i="10"/>
  <c r="V249" i="10"/>
  <c r="S207" i="10"/>
  <c r="P207" i="10"/>
  <c r="O290" i="10"/>
  <c r="R382" i="10"/>
  <c r="W167" i="10"/>
  <c r="T6" i="10"/>
  <c r="O6" i="10"/>
  <c r="Y548" i="10"/>
  <c r="R325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R551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R328" i="10"/>
  <c r="Q804" i="10"/>
  <c r="O583" i="10"/>
  <c r="V583" i="10"/>
  <c r="P804" i="10"/>
  <c r="R583" i="10"/>
  <c r="N583" i="10"/>
  <c r="T804" i="10"/>
  <c r="Y583" i="10"/>
  <c r="U583" i="10"/>
  <c r="X804" i="10"/>
  <c r="O804" i="10"/>
  <c r="Q583" i="10"/>
  <c r="T583" i="10"/>
  <c r="V804" i="10"/>
  <c r="X583" i="10"/>
  <c r="S583" i="10"/>
  <c r="Z804" i="10"/>
  <c r="W804" i="10"/>
  <c r="S804" i="10"/>
  <c r="N804" i="10"/>
  <c r="P583" i="10"/>
  <c r="R804" i="10"/>
  <c r="Y804" i="10"/>
  <c r="W583" i="10"/>
  <c r="U774" i="10"/>
  <c r="N774" i="10"/>
  <c r="V774" i="10"/>
  <c r="O774" i="10"/>
  <c r="W774" i="10"/>
  <c r="P774" i="10"/>
  <c r="X774" i="10"/>
  <c r="Q774" i="10"/>
  <c r="Y774" i="10"/>
  <c r="R774" i="10"/>
  <c r="S774" i="10"/>
  <c r="T774" i="10"/>
  <c r="S55" i="10"/>
  <c r="T55" i="10"/>
  <c r="N55" i="10"/>
  <c r="V55" i="10"/>
  <c r="O55" i="10"/>
  <c r="W55" i="10"/>
  <c r="P55" i="10"/>
  <c r="Q55" i="10"/>
  <c r="U55" i="10"/>
  <c r="R55" i="10"/>
  <c r="X55" i="10"/>
  <c r="Y55" i="10"/>
  <c r="N731" i="10"/>
  <c r="V731" i="10"/>
  <c r="O731" i="10"/>
  <c r="W731" i="10"/>
  <c r="Q731" i="10"/>
  <c r="Y731" i="10"/>
  <c r="S731" i="10"/>
  <c r="T731" i="10"/>
  <c r="U731" i="10"/>
  <c r="X731" i="10"/>
  <c r="P731" i="10"/>
  <c r="R731" i="10"/>
  <c r="Q835" i="10"/>
  <c r="Y835" i="10"/>
  <c r="T835" i="10"/>
  <c r="O835" i="10"/>
  <c r="P835" i="10"/>
  <c r="R835" i="10"/>
  <c r="S835" i="10"/>
  <c r="U835" i="10"/>
  <c r="V835" i="10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R501" i="10"/>
  <c r="S501" i="10"/>
  <c r="T501" i="10"/>
  <c r="P270" i="10"/>
  <c r="X270" i="10"/>
  <c r="Q270" i="10"/>
  <c r="Y270" i="10"/>
  <c r="S270" i="10"/>
  <c r="R270" i="10"/>
  <c r="T270" i="10"/>
  <c r="U270" i="10"/>
  <c r="V270" i="10"/>
  <c r="W270" i="10"/>
  <c r="N270" i="10"/>
  <c r="O270" i="10"/>
  <c r="U221" i="10"/>
  <c r="P221" i="10"/>
  <c r="X221" i="10"/>
  <c r="R221" i="10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R729" i="10"/>
  <c r="T729" i="10"/>
  <c r="U729" i="10"/>
  <c r="X729" i="10"/>
  <c r="Q186" i="10"/>
  <c r="Y186" i="10"/>
  <c r="T186" i="10"/>
  <c r="U186" i="10"/>
  <c r="N186" i="10"/>
  <c r="V186" i="10"/>
  <c r="P186" i="10"/>
  <c r="X186" i="10"/>
  <c r="O186" i="10"/>
  <c r="R186" i="10"/>
  <c r="S186" i="10"/>
  <c r="W186" i="10"/>
  <c r="U495" i="10"/>
  <c r="N495" i="10"/>
  <c r="V495" i="10"/>
  <c r="O495" i="10"/>
  <c r="W495" i="10"/>
  <c r="P495" i="10"/>
  <c r="X495" i="10"/>
  <c r="Q495" i="10"/>
  <c r="Y495" i="10"/>
  <c r="R495" i="10"/>
  <c r="S495" i="10"/>
  <c r="T495" i="10"/>
  <c r="T261" i="10"/>
  <c r="U261" i="10"/>
  <c r="N261" i="10"/>
  <c r="V261" i="10"/>
  <c r="O261" i="10"/>
  <c r="W261" i="10"/>
  <c r="P261" i="10"/>
  <c r="X261" i="10"/>
  <c r="Q261" i="10"/>
  <c r="Y261" i="10"/>
  <c r="R261" i="10"/>
  <c r="S261" i="10"/>
  <c r="O136" i="10"/>
  <c r="W136" i="10"/>
  <c r="P136" i="10"/>
  <c r="X136" i="10"/>
  <c r="Q136" i="10"/>
  <c r="Y136" i="10"/>
  <c r="R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Q782" i="10"/>
  <c r="Y782" i="10"/>
  <c r="R782" i="10"/>
  <c r="S782" i="10"/>
  <c r="T782" i="10"/>
  <c r="Q739" i="10"/>
  <c r="Y739" i="10"/>
  <c r="R739" i="10"/>
  <c r="S739" i="10"/>
  <c r="T739" i="10"/>
  <c r="U739" i="10"/>
  <c r="N739" i="10"/>
  <c r="V739" i="10"/>
  <c r="O739" i="10"/>
  <c r="W739" i="10"/>
  <c r="P739" i="10"/>
  <c r="X739" i="10"/>
  <c r="R80" i="10"/>
  <c r="T80" i="10"/>
  <c r="U80" i="10"/>
  <c r="O80" i="10"/>
  <c r="W80" i="10"/>
  <c r="V80" i="10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R550" i="10"/>
  <c r="S550" i="10"/>
  <c r="T550" i="10"/>
  <c r="U550" i="10"/>
  <c r="N550" i="10"/>
  <c r="V550" i="10"/>
  <c r="S53" i="10"/>
  <c r="T53" i="10"/>
  <c r="N53" i="10"/>
  <c r="V53" i="10"/>
  <c r="O53" i="10"/>
  <c r="W53" i="10"/>
  <c r="R53" i="10"/>
  <c r="X53" i="10"/>
  <c r="Y53" i="10"/>
  <c r="P53" i="10"/>
  <c r="Q53" i="10"/>
  <c r="U53" i="10"/>
  <c r="S45" i="10"/>
  <c r="T45" i="10"/>
  <c r="N45" i="10"/>
  <c r="V45" i="10"/>
  <c r="O45" i="10"/>
  <c r="W45" i="10"/>
  <c r="R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R301" i="10"/>
  <c r="S301" i="10"/>
  <c r="T301" i="10"/>
  <c r="U301" i="10"/>
  <c r="U802" i="10"/>
  <c r="N802" i="10"/>
  <c r="V802" i="10"/>
  <c r="O802" i="10"/>
  <c r="W802" i="10"/>
  <c r="P802" i="10"/>
  <c r="X802" i="10"/>
  <c r="Q802" i="10"/>
  <c r="Y802" i="10"/>
  <c r="S802" i="10"/>
  <c r="R802" i="10"/>
  <c r="T802" i="10"/>
  <c r="O166" i="10"/>
  <c r="W166" i="10"/>
  <c r="R166" i="10"/>
  <c r="S166" i="10"/>
  <c r="T166" i="10"/>
  <c r="U166" i="10"/>
  <c r="N166" i="10"/>
  <c r="Q166" i="10"/>
  <c r="V166" i="10"/>
  <c r="X166" i="10"/>
  <c r="Y166" i="10"/>
  <c r="P166" i="10"/>
  <c r="U788" i="10"/>
  <c r="N788" i="10"/>
  <c r="V788" i="10"/>
  <c r="O788" i="10"/>
  <c r="W788" i="10"/>
  <c r="P788" i="10"/>
  <c r="X788" i="10"/>
  <c r="Q788" i="10"/>
  <c r="Y788" i="10"/>
  <c r="R788" i="10"/>
  <c r="S788" i="10"/>
  <c r="T788" i="10"/>
  <c r="S369" i="10"/>
  <c r="T369" i="10"/>
  <c r="U369" i="10"/>
  <c r="N369" i="10"/>
  <c r="V369" i="10"/>
  <c r="O369" i="10"/>
  <c r="W369" i="10"/>
  <c r="P369" i="10"/>
  <c r="X369" i="10"/>
  <c r="Q369" i="10"/>
  <c r="Y369" i="10"/>
  <c r="R369" i="10"/>
  <c r="U513" i="10"/>
  <c r="N513" i="10"/>
  <c r="V513" i="10"/>
  <c r="O513" i="10"/>
  <c r="W513" i="10"/>
  <c r="P513" i="10"/>
  <c r="X513" i="10"/>
  <c r="Q513" i="10"/>
  <c r="Y513" i="10"/>
  <c r="R513" i="10"/>
  <c r="S513" i="10"/>
  <c r="T513" i="10"/>
  <c r="O630" i="10"/>
  <c r="W630" i="10"/>
  <c r="P630" i="10"/>
  <c r="X630" i="10"/>
  <c r="R630" i="10"/>
  <c r="T630" i="10"/>
  <c r="U630" i="10"/>
  <c r="V630" i="10"/>
  <c r="Y630" i="10"/>
  <c r="N630" i="10"/>
  <c r="Q630" i="10"/>
  <c r="S630" i="10"/>
  <c r="O582" i="10"/>
  <c r="W582" i="10"/>
  <c r="P582" i="10"/>
  <c r="X582" i="10"/>
  <c r="Q582" i="10"/>
  <c r="Y582" i="10"/>
  <c r="R582" i="10"/>
  <c r="S582" i="10"/>
  <c r="T582" i="10"/>
  <c r="U582" i="10"/>
  <c r="N582" i="10"/>
  <c r="V582" i="10"/>
  <c r="O144" i="10"/>
  <c r="W144" i="10"/>
  <c r="P144" i="10"/>
  <c r="X144" i="10"/>
  <c r="Q144" i="10"/>
  <c r="Y144" i="10"/>
  <c r="R144" i="10"/>
  <c r="S144" i="10"/>
  <c r="T144" i="10"/>
  <c r="U144" i="10"/>
  <c r="V144" i="10"/>
  <c r="N144" i="10"/>
  <c r="N85" i="10"/>
  <c r="V85" i="10"/>
  <c r="P85" i="10"/>
  <c r="X85" i="10"/>
  <c r="Q85" i="10"/>
  <c r="Y85" i="10"/>
  <c r="S85" i="10"/>
  <c r="O85" i="10"/>
  <c r="T85" i="10"/>
  <c r="U85" i="10"/>
  <c r="R85" i="10"/>
  <c r="W85" i="10"/>
  <c r="S413" i="10"/>
  <c r="T413" i="10"/>
  <c r="U413" i="10"/>
  <c r="N413" i="10"/>
  <c r="V413" i="10"/>
  <c r="O413" i="10"/>
  <c r="W413" i="10"/>
  <c r="P413" i="10"/>
  <c r="X413" i="10"/>
  <c r="Q413" i="10"/>
  <c r="Y413" i="10"/>
  <c r="R413" i="10"/>
  <c r="U826" i="10"/>
  <c r="O826" i="10"/>
  <c r="W826" i="10"/>
  <c r="P826" i="10"/>
  <c r="X826" i="10"/>
  <c r="Q826" i="10"/>
  <c r="S826" i="10"/>
  <c r="V826" i="10"/>
  <c r="Y826" i="10"/>
  <c r="N826" i="10"/>
  <c r="R826" i="10"/>
  <c r="T826" i="10"/>
  <c r="U181" i="10"/>
  <c r="O181" i="10"/>
  <c r="W181" i="10"/>
  <c r="P181" i="10"/>
  <c r="X181" i="10"/>
  <c r="Q181" i="10"/>
  <c r="Y181" i="10"/>
  <c r="R181" i="10"/>
  <c r="T181" i="10"/>
  <c r="N181" i="10"/>
  <c r="S181" i="10"/>
  <c r="V181" i="10"/>
  <c r="U535" i="10"/>
  <c r="N535" i="10"/>
  <c r="V535" i="10"/>
  <c r="P535" i="10"/>
  <c r="X535" i="10"/>
  <c r="R535" i="10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Q591" i="10"/>
  <c r="Y591" i="10"/>
  <c r="R591" i="10"/>
  <c r="S383" i="10"/>
  <c r="T383" i="10"/>
  <c r="U383" i="10"/>
  <c r="N383" i="10"/>
  <c r="V383" i="10"/>
  <c r="O383" i="10"/>
  <c r="W383" i="10"/>
  <c r="P383" i="10"/>
  <c r="X383" i="10"/>
  <c r="Q383" i="10"/>
  <c r="Y383" i="10"/>
  <c r="R383" i="10"/>
  <c r="U527" i="10"/>
  <c r="N527" i="10"/>
  <c r="V527" i="10"/>
  <c r="O527" i="10"/>
  <c r="W527" i="10"/>
  <c r="P527" i="10"/>
  <c r="X527" i="10"/>
  <c r="Q527" i="10"/>
  <c r="Y527" i="10"/>
  <c r="R527" i="10"/>
  <c r="S527" i="10"/>
  <c r="T527" i="10"/>
  <c r="O430" i="10"/>
  <c r="W430" i="10"/>
  <c r="P430" i="10"/>
  <c r="X430" i="10"/>
  <c r="R430" i="10"/>
  <c r="T430" i="10"/>
  <c r="U430" i="10"/>
  <c r="N430" i="10"/>
  <c r="Q430" i="10"/>
  <c r="S430" i="10"/>
  <c r="V430" i="10"/>
  <c r="Y430" i="10"/>
  <c r="N69" i="10"/>
  <c r="V69" i="10"/>
  <c r="P69" i="10"/>
  <c r="X69" i="10"/>
  <c r="Q69" i="10"/>
  <c r="Y69" i="10"/>
  <c r="S69" i="10"/>
  <c r="O69" i="10"/>
  <c r="T69" i="10"/>
  <c r="U69" i="10"/>
  <c r="R69" i="10"/>
  <c r="W69" i="10"/>
  <c r="Q763" i="10"/>
  <c r="Y763" i="10"/>
  <c r="R763" i="10"/>
  <c r="S763" i="10"/>
  <c r="T763" i="10"/>
  <c r="U763" i="10"/>
  <c r="N763" i="10"/>
  <c r="V763" i="10"/>
  <c r="O763" i="10"/>
  <c r="W763" i="10"/>
  <c r="P763" i="10"/>
  <c r="X763" i="10"/>
  <c r="O48" i="10"/>
  <c r="W48" i="10"/>
  <c r="P48" i="10"/>
  <c r="X48" i="10"/>
  <c r="R48" i="10"/>
  <c r="S48" i="10"/>
  <c r="N48" i="10"/>
  <c r="T48" i="10"/>
  <c r="U48" i="10"/>
  <c r="Y48" i="10"/>
  <c r="Q48" i="10"/>
  <c r="V48" i="10"/>
  <c r="R88" i="10"/>
  <c r="T88" i="10"/>
  <c r="U88" i="10"/>
  <c r="O88" i="10"/>
  <c r="W88" i="10"/>
  <c r="V88" i="10"/>
  <c r="X88" i="10"/>
  <c r="Y88" i="10"/>
  <c r="P88" i="10"/>
  <c r="Q88" i="10"/>
  <c r="S88" i="10"/>
  <c r="N88" i="10"/>
  <c r="Q771" i="10"/>
  <c r="Y771" i="10"/>
  <c r="R771" i="10"/>
  <c r="S771" i="10"/>
  <c r="T771" i="10"/>
  <c r="U771" i="10"/>
  <c r="N771" i="10"/>
  <c r="V771" i="10"/>
  <c r="O771" i="10"/>
  <c r="W771" i="10"/>
  <c r="P771" i="10"/>
  <c r="X771" i="10"/>
  <c r="R72" i="10"/>
  <c r="T72" i="10"/>
  <c r="U72" i="10"/>
  <c r="O72" i="10"/>
  <c r="W72" i="10"/>
  <c r="V72" i="10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R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Q349" i="10"/>
  <c r="Y349" i="10"/>
  <c r="R349" i="10"/>
  <c r="U117" i="10"/>
  <c r="N117" i="10"/>
  <c r="V117" i="10"/>
  <c r="O117" i="10"/>
  <c r="W117" i="10"/>
  <c r="P117" i="10"/>
  <c r="X117" i="10"/>
  <c r="R117" i="10"/>
  <c r="Q117" i="10"/>
  <c r="S117" i="10"/>
  <c r="T117" i="10"/>
  <c r="Y117" i="10"/>
  <c r="Q494" i="10"/>
  <c r="Y494" i="10"/>
  <c r="R494" i="10"/>
  <c r="S494" i="10"/>
  <c r="T494" i="10"/>
  <c r="U494" i="10"/>
  <c r="N494" i="10"/>
  <c r="V494" i="10"/>
  <c r="O494" i="10"/>
  <c r="W494" i="10"/>
  <c r="P494" i="10"/>
  <c r="X494" i="10"/>
  <c r="U533" i="10"/>
  <c r="N533" i="10"/>
  <c r="V533" i="10"/>
  <c r="O533" i="10"/>
  <c r="P533" i="10"/>
  <c r="X533" i="10"/>
  <c r="R533" i="10"/>
  <c r="S533" i="10"/>
  <c r="Q533" i="10"/>
  <c r="T533" i="10"/>
  <c r="W533" i="10"/>
  <c r="Y533" i="10"/>
  <c r="S433" i="10"/>
  <c r="T433" i="10"/>
  <c r="N433" i="10"/>
  <c r="V433" i="10"/>
  <c r="P433" i="10"/>
  <c r="X433" i="10"/>
  <c r="Q433" i="10"/>
  <c r="Y433" i="10"/>
  <c r="O433" i="10"/>
  <c r="R433" i="10"/>
  <c r="U433" i="10"/>
  <c r="W433" i="10"/>
  <c r="N707" i="10"/>
  <c r="V707" i="10"/>
  <c r="O707" i="10"/>
  <c r="W707" i="10"/>
  <c r="P707" i="10"/>
  <c r="X707" i="10"/>
  <c r="Q707" i="10"/>
  <c r="Y707" i="10"/>
  <c r="R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Q575" i="10"/>
  <c r="Y575" i="10"/>
  <c r="R575" i="10"/>
  <c r="S423" i="10"/>
  <c r="T423" i="10"/>
  <c r="U423" i="10"/>
  <c r="N423" i="10"/>
  <c r="V423" i="10"/>
  <c r="O423" i="10"/>
  <c r="W423" i="10"/>
  <c r="P423" i="10"/>
  <c r="X423" i="10"/>
  <c r="Q423" i="10"/>
  <c r="Y423" i="10"/>
  <c r="R423" i="10"/>
  <c r="P240" i="10"/>
  <c r="X240" i="10"/>
  <c r="Q240" i="10"/>
  <c r="Y240" i="10"/>
  <c r="R240" i="10"/>
  <c r="S240" i="10"/>
  <c r="T240" i="10"/>
  <c r="U240" i="10"/>
  <c r="N240" i="10"/>
  <c r="V240" i="10"/>
  <c r="O240" i="10"/>
  <c r="W240" i="10"/>
  <c r="O152" i="10"/>
  <c r="W152" i="10"/>
  <c r="P152" i="10"/>
  <c r="X152" i="10"/>
  <c r="Q152" i="10"/>
  <c r="Y152" i="10"/>
  <c r="R152" i="10"/>
  <c r="S152" i="10"/>
  <c r="T152" i="10"/>
  <c r="U152" i="10"/>
  <c r="N152" i="10"/>
  <c r="V152" i="10"/>
  <c r="Q795" i="10"/>
  <c r="Y795" i="10"/>
  <c r="R795" i="10"/>
  <c r="S795" i="10"/>
  <c r="T795" i="10"/>
  <c r="U795" i="10"/>
  <c r="N795" i="10"/>
  <c r="V795" i="10"/>
  <c r="O795" i="10"/>
  <c r="W795" i="10"/>
  <c r="P795" i="10"/>
  <c r="X795" i="10"/>
  <c r="Q214" i="10"/>
  <c r="Y214" i="10"/>
  <c r="T214" i="10"/>
  <c r="U214" i="10"/>
  <c r="N214" i="10"/>
  <c r="V214" i="10"/>
  <c r="P214" i="10"/>
  <c r="X214" i="10"/>
  <c r="O214" i="10"/>
  <c r="R214" i="10"/>
  <c r="S214" i="10"/>
  <c r="W214" i="10"/>
  <c r="R702" i="10"/>
  <c r="S702" i="10"/>
  <c r="T702" i="10"/>
  <c r="U702" i="10"/>
  <c r="N702" i="10"/>
  <c r="V702" i="10"/>
  <c r="O702" i="10"/>
  <c r="W702" i="10"/>
  <c r="P702" i="10"/>
  <c r="X702" i="10"/>
  <c r="Q702" i="10"/>
  <c r="Y702" i="10"/>
  <c r="Q462" i="10"/>
  <c r="Y462" i="10"/>
  <c r="R462" i="10"/>
  <c r="S462" i="10"/>
  <c r="T462" i="10"/>
  <c r="U462" i="10"/>
  <c r="N462" i="10"/>
  <c r="V462" i="10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R157" i="10"/>
  <c r="Q534" i="10"/>
  <c r="Y534" i="10"/>
  <c r="R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R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Q613" i="10"/>
  <c r="Y613" i="10"/>
  <c r="R613" i="10"/>
  <c r="S393" i="10"/>
  <c r="T393" i="10"/>
  <c r="U393" i="10"/>
  <c r="N393" i="10"/>
  <c r="V393" i="10"/>
  <c r="O393" i="10"/>
  <c r="W393" i="10"/>
  <c r="P393" i="10"/>
  <c r="X393" i="10"/>
  <c r="Q393" i="10"/>
  <c r="Y393" i="10"/>
  <c r="R393" i="10"/>
  <c r="S31" i="10"/>
  <c r="T31" i="10"/>
  <c r="N31" i="10"/>
  <c r="V31" i="10"/>
  <c r="O31" i="10"/>
  <c r="W31" i="10"/>
  <c r="P31" i="10"/>
  <c r="Q31" i="10"/>
  <c r="R31" i="10"/>
  <c r="U31" i="10"/>
  <c r="X31" i="10"/>
  <c r="Y31" i="10"/>
  <c r="U447" i="10"/>
  <c r="N447" i="10"/>
  <c r="V447" i="10"/>
  <c r="O447" i="10"/>
  <c r="W447" i="10"/>
  <c r="P447" i="10"/>
  <c r="X447" i="10"/>
  <c r="Q447" i="10"/>
  <c r="Y447" i="10"/>
  <c r="R447" i="10"/>
  <c r="S447" i="10"/>
  <c r="T447" i="10"/>
  <c r="Q827" i="10"/>
  <c r="Y827" i="10"/>
  <c r="S827" i="10"/>
  <c r="T827" i="10"/>
  <c r="O827" i="10"/>
  <c r="W827" i="10"/>
  <c r="N827" i="10"/>
  <c r="P827" i="10"/>
  <c r="R827" i="10"/>
  <c r="U827" i="10"/>
  <c r="V827" i="10"/>
  <c r="X827" i="10"/>
  <c r="O28" i="10"/>
  <c r="W28" i="10"/>
  <c r="P28" i="10"/>
  <c r="X28" i="10"/>
  <c r="R28" i="10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O216" i="10"/>
  <c r="R216" i="10"/>
  <c r="S216" i="10"/>
  <c r="W216" i="10"/>
  <c r="Q803" i="10"/>
  <c r="Y803" i="10"/>
  <c r="R803" i="10"/>
  <c r="S803" i="10"/>
  <c r="T803" i="10"/>
  <c r="U803" i="10"/>
  <c r="O803" i="10"/>
  <c r="W803" i="10"/>
  <c r="P803" i="10"/>
  <c r="V803" i="10"/>
  <c r="X803" i="10"/>
  <c r="N803" i="10"/>
  <c r="O358" i="10"/>
  <c r="W358" i="10"/>
  <c r="P358" i="10"/>
  <c r="X358" i="10"/>
  <c r="Q358" i="10"/>
  <c r="Y358" i="10"/>
  <c r="R358" i="10"/>
  <c r="S358" i="10"/>
  <c r="T358" i="10"/>
  <c r="U358" i="10"/>
  <c r="N358" i="10"/>
  <c r="V358" i="10"/>
  <c r="R734" i="10"/>
  <c r="S734" i="10"/>
  <c r="V734" i="10"/>
  <c r="W734" i="10"/>
  <c r="N734" i="10"/>
  <c r="X734" i="10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Q725" i="10"/>
  <c r="Y725" i="10"/>
  <c r="R725" i="10"/>
  <c r="S725" i="10"/>
  <c r="T725" i="10"/>
  <c r="U725" i="10"/>
  <c r="U189" i="10"/>
  <c r="P189" i="10"/>
  <c r="X189" i="10"/>
  <c r="Q189" i="10"/>
  <c r="Y189" i="10"/>
  <c r="R189" i="10"/>
  <c r="T189" i="10"/>
  <c r="N189" i="10"/>
  <c r="O189" i="10"/>
  <c r="S189" i="10"/>
  <c r="V189" i="10"/>
  <c r="W189" i="10"/>
  <c r="O614" i="10"/>
  <c r="W614" i="10"/>
  <c r="P614" i="10"/>
  <c r="X614" i="10"/>
  <c r="Q614" i="10"/>
  <c r="Y614" i="10"/>
  <c r="R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Q391" i="10"/>
  <c r="Y391" i="10"/>
  <c r="R391" i="10"/>
  <c r="U836" i="10"/>
  <c r="P836" i="10"/>
  <c r="X836" i="10"/>
  <c r="N836" i="10"/>
  <c r="Y836" i="10"/>
  <c r="O836" i="10"/>
  <c r="Q836" i="10"/>
  <c r="R836" i="10"/>
  <c r="S836" i="10"/>
  <c r="T836" i="10"/>
  <c r="V836" i="10"/>
  <c r="W836" i="10"/>
  <c r="Q458" i="10"/>
  <c r="Y458" i="10"/>
  <c r="R458" i="10"/>
  <c r="S458" i="10"/>
  <c r="T458" i="10"/>
  <c r="U458" i="10"/>
  <c r="N458" i="10"/>
  <c r="V458" i="10"/>
  <c r="O458" i="10"/>
  <c r="W458" i="10"/>
  <c r="P458" i="10"/>
  <c r="X458" i="10"/>
  <c r="U449" i="10"/>
  <c r="N449" i="10"/>
  <c r="V449" i="10"/>
  <c r="O449" i="10"/>
  <c r="W449" i="10"/>
  <c r="P449" i="10"/>
  <c r="X449" i="10"/>
  <c r="Q449" i="10"/>
  <c r="Y449" i="10"/>
  <c r="R449" i="10"/>
  <c r="S449" i="10"/>
  <c r="T449" i="10"/>
  <c r="N677" i="10"/>
  <c r="V677" i="10"/>
  <c r="O677" i="10"/>
  <c r="W677" i="10"/>
  <c r="P677" i="10"/>
  <c r="X677" i="10"/>
  <c r="Q677" i="10"/>
  <c r="Y677" i="10"/>
  <c r="R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O184" i="10"/>
  <c r="R184" i="10"/>
  <c r="W184" i="10"/>
  <c r="N699" i="10"/>
  <c r="V699" i="10"/>
  <c r="O699" i="10"/>
  <c r="W699" i="10"/>
  <c r="P699" i="10"/>
  <c r="X699" i="10"/>
  <c r="Q699" i="10"/>
  <c r="Y699" i="10"/>
  <c r="R699" i="10"/>
  <c r="S699" i="10"/>
  <c r="T699" i="10"/>
  <c r="U699" i="10"/>
  <c r="Q819" i="10"/>
  <c r="Y819" i="10"/>
  <c r="R819" i="10"/>
  <c r="S819" i="10"/>
  <c r="T819" i="10"/>
  <c r="U819" i="10"/>
  <c r="O819" i="10"/>
  <c r="W819" i="10"/>
  <c r="P819" i="10"/>
  <c r="V819" i="10"/>
  <c r="X819" i="10"/>
  <c r="N819" i="10"/>
  <c r="O390" i="10"/>
  <c r="W390" i="10"/>
  <c r="P390" i="10"/>
  <c r="X390" i="10"/>
  <c r="Q390" i="10"/>
  <c r="Y390" i="10"/>
  <c r="R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Q798" i="10"/>
  <c r="Y798" i="10"/>
  <c r="R798" i="10"/>
  <c r="S798" i="10"/>
  <c r="T798" i="10"/>
  <c r="Q208" i="10"/>
  <c r="Y208" i="10"/>
  <c r="T208" i="10"/>
  <c r="U208" i="10"/>
  <c r="N208" i="10"/>
  <c r="V208" i="10"/>
  <c r="P208" i="10"/>
  <c r="X208" i="10"/>
  <c r="S208" i="10"/>
  <c r="W208" i="10"/>
  <c r="O208" i="10"/>
  <c r="R208" i="10"/>
  <c r="R646" i="10"/>
  <c r="S646" i="10"/>
  <c r="T646" i="10"/>
  <c r="U646" i="10"/>
  <c r="N646" i="10"/>
  <c r="V646" i="10"/>
  <c r="O646" i="10"/>
  <c r="W646" i="10"/>
  <c r="P646" i="10"/>
  <c r="X646" i="10"/>
  <c r="Q646" i="10"/>
  <c r="Y646" i="10"/>
  <c r="S417" i="10"/>
  <c r="T417" i="10"/>
  <c r="U417" i="10"/>
  <c r="N417" i="10"/>
  <c r="V417" i="10"/>
  <c r="O417" i="10"/>
  <c r="W417" i="10"/>
  <c r="P417" i="10"/>
  <c r="X417" i="10"/>
  <c r="Q417" i="10"/>
  <c r="Y417" i="10"/>
  <c r="R417" i="10"/>
  <c r="S37" i="10"/>
  <c r="T37" i="10"/>
  <c r="N37" i="10"/>
  <c r="V37" i="10"/>
  <c r="O37" i="10"/>
  <c r="W37" i="10"/>
  <c r="R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C5" i="11" l="1" a="1"/>
  <c r="C5" i="12" a="1"/>
  <c r="C5" i="15" a="1"/>
  <c r="H89" i="15" s="1"/>
  <c r="C5" i="14" a="1"/>
  <c r="C5" i="13" a="1"/>
  <c r="H46" i="13" s="1"/>
  <c r="B12" i="10"/>
  <c r="C5" i="15" l="1"/>
  <c r="H88" i="15"/>
  <c r="H80" i="15"/>
  <c r="H72" i="15"/>
  <c r="H64" i="15"/>
  <c r="H56" i="15"/>
  <c r="H48" i="15"/>
  <c r="H40" i="15"/>
  <c r="H32" i="15"/>
  <c r="H24" i="15"/>
  <c r="H16" i="15"/>
  <c r="H8" i="15"/>
  <c r="H82" i="15"/>
  <c r="H42" i="15"/>
  <c r="H65" i="15"/>
  <c r="H9" i="15"/>
  <c r="H87" i="15"/>
  <c r="H79" i="15"/>
  <c r="H71" i="15"/>
  <c r="H63" i="15"/>
  <c r="H55" i="15"/>
  <c r="H47" i="15"/>
  <c r="H39" i="15"/>
  <c r="H31" i="15"/>
  <c r="H23" i="15"/>
  <c r="H15" i="15"/>
  <c r="H7" i="15"/>
  <c r="H34" i="15"/>
  <c r="H49" i="15"/>
  <c r="H86" i="15"/>
  <c r="H78" i="15"/>
  <c r="H70" i="15"/>
  <c r="H62" i="15"/>
  <c r="H54" i="15"/>
  <c r="H46" i="15"/>
  <c r="H38" i="15"/>
  <c r="H30" i="15"/>
  <c r="H22" i="15"/>
  <c r="H14" i="15"/>
  <c r="H6" i="15"/>
  <c r="H66" i="15"/>
  <c r="H18" i="15"/>
  <c r="H33" i="15"/>
  <c r="H85" i="15"/>
  <c r="H77" i="15"/>
  <c r="H69" i="15"/>
  <c r="H61" i="15"/>
  <c r="H53" i="15"/>
  <c r="H45" i="15"/>
  <c r="H37" i="15"/>
  <c r="H29" i="15"/>
  <c r="H21" i="15"/>
  <c r="H13" i="15"/>
  <c r="H5" i="15"/>
  <c r="H50" i="15"/>
  <c r="H81" i="15"/>
  <c r="H25" i="15"/>
  <c r="H84" i="15"/>
  <c r="H76" i="15"/>
  <c r="H68" i="15"/>
  <c r="H60" i="15"/>
  <c r="H52" i="15"/>
  <c r="H44" i="15"/>
  <c r="H36" i="15"/>
  <c r="H28" i="15"/>
  <c r="H20" i="15"/>
  <c r="H12" i="15"/>
  <c r="H74" i="15"/>
  <c r="H26" i="15"/>
  <c r="H73" i="15"/>
  <c r="H41" i="15"/>
  <c r="H83" i="15"/>
  <c r="H75" i="15"/>
  <c r="H67" i="15"/>
  <c r="H59" i="15"/>
  <c r="H51" i="15"/>
  <c r="H43" i="15"/>
  <c r="H35" i="15"/>
  <c r="H27" i="15"/>
  <c r="H19" i="15"/>
  <c r="H11" i="15"/>
  <c r="H58" i="15"/>
  <c r="H10" i="15"/>
  <c r="H57" i="15"/>
  <c r="H17" i="15"/>
  <c r="C5" i="14"/>
  <c r="H304" i="14"/>
  <c r="H296" i="14"/>
  <c r="H288" i="14"/>
  <c r="H280" i="14"/>
  <c r="H272" i="14"/>
  <c r="H264" i="14"/>
  <c r="H256" i="14"/>
  <c r="H248" i="14"/>
  <c r="H240" i="14"/>
  <c r="H232" i="14"/>
  <c r="H224" i="14"/>
  <c r="H216" i="14"/>
  <c r="H208" i="14"/>
  <c r="H200" i="14"/>
  <c r="H192" i="14"/>
  <c r="H184" i="14"/>
  <c r="H176" i="14"/>
  <c r="H168" i="14"/>
  <c r="H160" i="14"/>
  <c r="H152" i="14"/>
  <c r="H144" i="14"/>
  <c r="H136" i="14"/>
  <c r="H128" i="14"/>
  <c r="H120" i="14"/>
  <c r="H112" i="14"/>
  <c r="H104" i="14"/>
  <c r="H96" i="14"/>
  <c r="H88" i="14"/>
  <c r="H80" i="14"/>
  <c r="H72" i="14"/>
  <c r="H64" i="14"/>
  <c r="H56" i="14"/>
  <c r="H48" i="14"/>
  <c r="H40" i="14"/>
  <c r="H32" i="14"/>
  <c r="H24" i="14"/>
  <c r="H16" i="14"/>
  <c r="H8" i="14"/>
  <c r="H249" i="14"/>
  <c r="H303" i="14"/>
  <c r="H295" i="14"/>
  <c r="H287" i="14"/>
  <c r="H279" i="14"/>
  <c r="H271" i="14"/>
  <c r="H263" i="14"/>
  <c r="H255" i="14"/>
  <c r="H247" i="14"/>
  <c r="H239" i="14"/>
  <c r="H231" i="14"/>
  <c r="H223" i="14"/>
  <c r="H215" i="14"/>
  <c r="H207" i="14"/>
  <c r="H199" i="14"/>
  <c r="H191" i="14"/>
  <c r="H183" i="14"/>
  <c r="H175" i="14"/>
  <c r="H167" i="14"/>
  <c r="H159" i="14"/>
  <c r="H151" i="14"/>
  <c r="H143" i="14"/>
  <c r="H135" i="14"/>
  <c r="H127" i="14"/>
  <c r="H119" i="14"/>
  <c r="H111" i="14"/>
  <c r="H103" i="14"/>
  <c r="H95" i="14"/>
  <c r="H87" i="14"/>
  <c r="H79" i="14"/>
  <c r="H71" i="14"/>
  <c r="H63" i="14"/>
  <c r="H55" i="14"/>
  <c r="H47" i="14"/>
  <c r="H39" i="14"/>
  <c r="H31" i="14"/>
  <c r="H23" i="14"/>
  <c r="H15" i="14"/>
  <c r="H7" i="14"/>
  <c r="H265" i="14"/>
  <c r="H185" i="14"/>
  <c r="H145" i="14"/>
  <c r="H89" i="14"/>
  <c r="H57" i="14"/>
  <c r="H17" i="14"/>
  <c r="H302" i="14"/>
  <c r="H294" i="14"/>
  <c r="H286" i="14"/>
  <c r="H278" i="14"/>
  <c r="H270" i="14"/>
  <c r="H262" i="14"/>
  <c r="H254" i="14"/>
  <c r="H246" i="14"/>
  <c r="H238" i="14"/>
  <c r="H230" i="14"/>
  <c r="H222" i="14"/>
  <c r="H214" i="14"/>
  <c r="H206" i="14"/>
  <c r="H198" i="14"/>
  <c r="H190" i="14"/>
  <c r="H182" i="14"/>
  <c r="H174" i="14"/>
  <c r="H166" i="14"/>
  <c r="H158" i="14"/>
  <c r="H150" i="14"/>
  <c r="H142" i="14"/>
  <c r="H134" i="14"/>
  <c r="H126" i="14"/>
  <c r="H118" i="14"/>
  <c r="H110" i="14"/>
  <c r="H102" i="14"/>
  <c r="H94" i="14"/>
  <c r="H86" i="14"/>
  <c r="H78" i="14"/>
  <c r="H70" i="14"/>
  <c r="H62" i="14"/>
  <c r="H54" i="14"/>
  <c r="H46" i="14"/>
  <c r="H38" i="14"/>
  <c r="H30" i="14"/>
  <c r="H22" i="14"/>
  <c r="H14" i="14"/>
  <c r="H6" i="14"/>
  <c r="H273" i="14"/>
  <c r="H241" i="14"/>
  <c r="H225" i="14"/>
  <c r="H201" i="14"/>
  <c r="H177" i="14"/>
  <c r="H129" i="14"/>
  <c r="H97" i="14"/>
  <c r="H41" i="14"/>
  <c r="H301" i="14"/>
  <c r="H293" i="14"/>
  <c r="H285" i="14"/>
  <c r="H277" i="14"/>
  <c r="H269" i="14"/>
  <c r="H261" i="14"/>
  <c r="H253" i="14"/>
  <c r="H245" i="14"/>
  <c r="H237" i="14"/>
  <c r="H229" i="14"/>
  <c r="H221" i="14"/>
  <c r="H213" i="14"/>
  <c r="H205" i="14"/>
  <c r="H197" i="14"/>
  <c r="H189" i="14"/>
  <c r="H181" i="14"/>
  <c r="H173" i="14"/>
  <c r="H165" i="14"/>
  <c r="H157" i="14"/>
  <c r="H149" i="14"/>
  <c r="H141" i="14"/>
  <c r="H133" i="14"/>
  <c r="H125" i="14"/>
  <c r="H117" i="14"/>
  <c r="H109" i="14"/>
  <c r="H101" i="14"/>
  <c r="H93" i="14"/>
  <c r="H85" i="14"/>
  <c r="H77" i="14"/>
  <c r="H69" i="14"/>
  <c r="H61" i="14"/>
  <c r="H53" i="14"/>
  <c r="H45" i="14"/>
  <c r="H37" i="14"/>
  <c r="H29" i="14"/>
  <c r="H21" i="14"/>
  <c r="H13" i="14"/>
  <c r="H5" i="14"/>
  <c r="H281" i="14"/>
  <c r="H217" i="14"/>
  <c r="H161" i="14"/>
  <c r="H121" i="14"/>
  <c r="H81" i="14"/>
  <c r="H25" i="14"/>
  <c r="H300" i="14"/>
  <c r="H292" i="14"/>
  <c r="H284" i="14"/>
  <c r="H276" i="14"/>
  <c r="H268" i="14"/>
  <c r="H260" i="14"/>
  <c r="H252" i="14"/>
  <c r="H244" i="14"/>
  <c r="H236" i="14"/>
  <c r="H228" i="14"/>
  <c r="H220" i="14"/>
  <c r="H212" i="14"/>
  <c r="H204" i="14"/>
  <c r="H196" i="14"/>
  <c r="H188" i="14"/>
  <c r="H180" i="14"/>
  <c r="H172" i="14"/>
  <c r="H164" i="14"/>
  <c r="H156" i="14"/>
  <c r="H148" i="14"/>
  <c r="H140" i="14"/>
  <c r="H132" i="14"/>
  <c r="H124" i="14"/>
  <c r="H116" i="14"/>
  <c r="H108" i="14"/>
  <c r="H100" i="14"/>
  <c r="H92" i="14"/>
  <c r="H84" i="14"/>
  <c r="H76" i="14"/>
  <c r="H68" i="14"/>
  <c r="H60" i="14"/>
  <c r="H52" i="14"/>
  <c r="H44" i="14"/>
  <c r="H36" i="14"/>
  <c r="H28" i="14"/>
  <c r="H20" i="14"/>
  <c r="H12" i="14"/>
  <c r="H289" i="14"/>
  <c r="H209" i="14"/>
  <c r="H153" i="14"/>
  <c r="H113" i="14"/>
  <c r="H73" i="14"/>
  <c r="H49" i="14"/>
  <c r="H299" i="14"/>
  <c r="H291" i="14"/>
  <c r="H283" i="14"/>
  <c r="H275" i="14"/>
  <c r="H267" i="14"/>
  <c r="H259" i="14"/>
  <c r="H251" i="14"/>
  <c r="H243" i="14"/>
  <c r="H235" i="14"/>
  <c r="H227" i="14"/>
  <c r="H219" i="14"/>
  <c r="H211" i="14"/>
  <c r="H203" i="14"/>
  <c r="H195" i="14"/>
  <c r="H187" i="14"/>
  <c r="H179" i="14"/>
  <c r="H171" i="14"/>
  <c r="H163" i="14"/>
  <c r="H155" i="14"/>
  <c r="H147" i="14"/>
  <c r="H139" i="14"/>
  <c r="H131" i="14"/>
  <c r="H123" i="14"/>
  <c r="H115" i="14"/>
  <c r="H107" i="14"/>
  <c r="H99" i="14"/>
  <c r="H91" i="14"/>
  <c r="H83" i="14"/>
  <c r="H75" i="14"/>
  <c r="H67" i="14"/>
  <c r="H59" i="14"/>
  <c r="H51" i="14"/>
  <c r="H43" i="14"/>
  <c r="H35" i="14"/>
  <c r="H27" i="14"/>
  <c r="H19" i="14"/>
  <c r="H11" i="14"/>
  <c r="H257" i="14"/>
  <c r="H298" i="14"/>
  <c r="H290" i="14"/>
  <c r="H282" i="14"/>
  <c r="H274" i="14"/>
  <c r="H266" i="14"/>
  <c r="H258" i="14"/>
  <c r="H250" i="14"/>
  <c r="H242" i="14"/>
  <c r="H234" i="14"/>
  <c r="H226" i="14"/>
  <c r="H218" i="14"/>
  <c r="H210" i="14"/>
  <c r="H202" i="14"/>
  <c r="H194" i="14"/>
  <c r="H186" i="14"/>
  <c r="H178" i="14"/>
  <c r="H170" i="14"/>
  <c r="H162" i="14"/>
  <c r="H154" i="14"/>
  <c r="H146" i="14"/>
  <c r="H138" i="14"/>
  <c r="H130" i="14"/>
  <c r="H122" i="14"/>
  <c r="H114" i="14"/>
  <c r="H106" i="14"/>
  <c r="H98" i="14"/>
  <c r="H90" i="14"/>
  <c r="H82" i="14"/>
  <c r="H74" i="14"/>
  <c r="H66" i="14"/>
  <c r="H58" i="14"/>
  <c r="H50" i="14"/>
  <c r="H42" i="14"/>
  <c r="H34" i="14"/>
  <c r="H26" i="14"/>
  <c r="H18" i="14"/>
  <c r="H10" i="14"/>
  <c r="H297" i="14"/>
  <c r="H233" i="14"/>
  <c r="H193" i="14"/>
  <c r="H169" i="14"/>
  <c r="H137" i="14"/>
  <c r="H105" i="14"/>
  <c r="H65" i="14"/>
  <c r="H33" i="14"/>
  <c r="H9" i="14"/>
  <c r="H6" i="13"/>
  <c r="H14" i="13"/>
  <c r="H22" i="13"/>
  <c r="H30" i="13"/>
  <c r="H38" i="13"/>
  <c r="H7" i="13"/>
  <c r="H15" i="13"/>
  <c r="H23" i="13"/>
  <c r="H31" i="13"/>
  <c r="H39" i="13"/>
  <c r="H8" i="13"/>
  <c r="H16" i="13"/>
  <c r="H24" i="13"/>
  <c r="H32" i="13"/>
  <c r="H40" i="13"/>
  <c r="H29" i="13"/>
  <c r="H9" i="13"/>
  <c r="H17" i="13"/>
  <c r="H25" i="13"/>
  <c r="H33" i="13"/>
  <c r="H41" i="13"/>
  <c r="H45" i="13"/>
  <c r="H10" i="13"/>
  <c r="H18" i="13"/>
  <c r="H26" i="13"/>
  <c r="H34" i="13"/>
  <c r="H42" i="13"/>
  <c r="H37" i="13"/>
  <c r="H11" i="13"/>
  <c r="H19" i="13"/>
  <c r="H27" i="13"/>
  <c r="H35" i="13"/>
  <c r="H43" i="13"/>
  <c r="H21" i="13"/>
  <c r="H12" i="13"/>
  <c r="H20" i="13"/>
  <c r="H28" i="13"/>
  <c r="H36" i="13"/>
  <c r="H44" i="13"/>
  <c r="H13" i="13"/>
  <c r="H5" i="13"/>
  <c r="C5" i="13"/>
  <c r="H6" i="12"/>
  <c r="H14" i="12"/>
  <c r="H22" i="12"/>
  <c r="H30" i="12"/>
  <c r="H38" i="12"/>
  <c r="H46" i="12"/>
  <c r="H54" i="12"/>
  <c r="H62" i="12"/>
  <c r="H7" i="12"/>
  <c r="H15" i="12"/>
  <c r="H23" i="12"/>
  <c r="H31" i="12"/>
  <c r="H39" i="12"/>
  <c r="H47" i="12"/>
  <c r="H55" i="12"/>
  <c r="H63" i="12"/>
  <c r="H8" i="12"/>
  <c r="H16" i="12"/>
  <c r="H24" i="12"/>
  <c r="H32" i="12"/>
  <c r="H40" i="12"/>
  <c r="H48" i="12"/>
  <c r="H56" i="12"/>
  <c r="H64" i="12"/>
  <c r="H9" i="12"/>
  <c r="H17" i="12"/>
  <c r="H25" i="12"/>
  <c r="H33" i="12"/>
  <c r="H41" i="12"/>
  <c r="H49" i="12"/>
  <c r="H57" i="12"/>
  <c r="H65" i="12"/>
  <c r="H10" i="12"/>
  <c r="H18" i="12"/>
  <c r="H26" i="12"/>
  <c r="H34" i="12"/>
  <c r="H42" i="12"/>
  <c r="H50" i="12"/>
  <c r="H58" i="12"/>
  <c r="H66" i="12"/>
  <c r="H11" i="12"/>
  <c r="H19" i="12"/>
  <c r="H27" i="12"/>
  <c r="H35" i="12"/>
  <c r="H43" i="12"/>
  <c r="H51" i="12"/>
  <c r="H59" i="12"/>
  <c r="H67" i="12"/>
  <c r="H12" i="12"/>
  <c r="H20" i="12"/>
  <c r="H28" i="12"/>
  <c r="H36" i="12"/>
  <c r="H44" i="12"/>
  <c r="H52" i="12"/>
  <c r="H60" i="12"/>
  <c r="H13" i="12"/>
  <c r="H21" i="12"/>
  <c r="H29" i="12"/>
  <c r="H37" i="12"/>
  <c r="H45" i="12"/>
  <c r="H53" i="12"/>
  <c r="H61" i="12"/>
  <c r="H5" i="12"/>
  <c r="H6" i="11"/>
  <c r="H14" i="11"/>
  <c r="H22" i="11"/>
  <c r="H30" i="11"/>
  <c r="H38" i="11"/>
  <c r="H46" i="11"/>
  <c r="H54" i="11"/>
  <c r="H62" i="11"/>
  <c r="H70" i="11"/>
  <c r="H78" i="11"/>
  <c r="H86" i="11"/>
  <c r="H94" i="11"/>
  <c r="H102" i="11"/>
  <c r="H110" i="11"/>
  <c r="H118" i="11"/>
  <c r="H126" i="11"/>
  <c r="H134" i="11"/>
  <c r="H142" i="11"/>
  <c r="H51" i="11"/>
  <c r="H52" i="11"/>
  <c r="H7" i="11"/>
  <c r="H15" i="11"/>
  <c r="H23" i="11"/>
  <c r="H31" i="11"/>
  <c r="H39" i="11"/>
  <c r="H47" i="11"/>
  <c r="H55" i="11"/>
  <c r="H63" i="11"/>
  <c r="H71" i="11"/>
  <c r="H79" i="11"/>
  <c r="H87" i="11"/>
  <c r="H95" i="11"/>
  <c r="H103" i="11"/>
  <c r="H111" i="11"/>
  <c r="H119" i="11"/>
  <c r="H127" i="11"/>
  <c r="H135" i="11"/>
  <c r="H143" i="11"/>
  <c r="H43" i="11"/>
  <c r="H28" i="11"/>
  <c r="H8" i="11"/>
  <c r="H16" i="11"/>
  <c r="H24" i="11"/>
  <c r="H32" i="11"/>
  <c r="H40" i="11"/>
  <c r="H48" i="11"/>
  <c r="H56" i="11"/>
  <c r="H64" i="11"/>
  <c r="H72" i="11"/>
  <c r="H80" i="11"/>
  <c r="H88" i="11"/>
  <c r="H96" i="11"/>
  <c r="H104" i="11"/>
  <c r="H112" i="11"/>
  <c r="H120" i="11"/>
  <c r="H128" i="11"/>
  <c r="H136" i="11"/>
  <c r="H144" i="11"/>
  <c r="H35" i="11"/>
  <c r="H36" i="11"/>
  <c r="H132" i="11"/>
  <c r="H9" i="11"/>
  <c r="H17" i="11"/>
  <c r="H25" i="11"/>
  <c r="H33" i="11"/>
  <c r="H41" i="11"/>
  <c r="H49" i="11"/>
  <c r="H57" i="11"/>
  <c r="H65" i="11"/>
  <c r="H73" i="11"/>
  <c r="H81" i="11"/>
  <c r="H89" i="11"/>
  <c r="H97" i="11"/>
  <c r="H105" i="11"/>
  <c r="H113" i="11"/>
  <c r="H121" i="11"/>
  <c r="H129" i="11"/>
  <c r="H137" i="11"/>
  <c r="H145" i="11"/>
  <c r="H27" i="11"/>
  <c r="H20" i="11"/>
  <c r="H68" i="11"/>
  <c r="H76" i="11"/>
  <c r="H92" i="11"/>
  <c r="H100" i="11"/>
  <c r="H116" i="11"/>
  <c r="H140" i="11"/>
  <c r="H10" i="11"/>
  <c r="H18" i="11"/>
  <c r="H26" i="11"/>
  <c r="H34" i="11"/>
  <c r="H42" i="11"/>
  <c r="H50" i="11"/>
  <c r="H58" i="11"/>
  <c r="H66" i="11"/>
  <c r="H74" i="11"/>
  <c r="H82" i="11"/>
  <c r="H90" i="11"/>
  <c r="H98" i="11"/>
  <c r="H106" i="11"/>
  <c r="H114" i="11"/>
  <c r="H122" i="11"/>
  <c r="H130" i="11"/>
  <c r="H138" i="11"/>
  <c r="H146" i="11"/>
  <c r="H19" i="11"/>
  <c r="H44" i="11"/>
  <c r="H11" i="11"/>
  <c r="H67" i="11"/>
  <c r="H75" i="11"/>
  <c r="H83" i="11"/>
  <c r="H91" i="11"/>
  <c r="H99" i="11"/>
  <c r="H107" i="11"/>
  <c r="H115" i="11"/>
  <c r="H123" i="11"/>
  <c r="H131" i="11"/>
  <c r="H139" i="11"/>
  <c r="H147" i="11"/>
  <c r="H60" i="11"/>
  <c r="H13" i="11"/>
  <c r="H21" i="11"/>
  <c r="H29" i="11"/>
  <c r="H37" i="11"/>
  <c r="H45" i="11"/>
  <c r="H53" i="11"/>
  <c r="H61" i="11"/>
  <c r="H69" i="11"/>
  <c r="H77" i="11"/>
  <c r="H85" i="11"/>
  <c r="H93" i="11"/>
  <c r="H101" i="11"/>
  <c r="H109" i="11"/>
  <c r="H117" i="11"/>
  <c r="H125" i="11"/>
  <c r="H133" i="11"/>
  <c r="H141" i="11"/>
  <c r="H59" i="11"/>
  <c r="H12" i="11"/>
  <c r="H84" i="11"/>
  <c r="H108" i="11"/>
  <c r="H124" i="11"/>
  <c r="H148" i="11"/>
  <c r="H5" i="11"/>
  <c r="C5" i="12"/>
  <c r="C5" i="11"/>
  <c r="B13" i="10"/>
  <c r="B14" i="10" l="1"/>
  <c r="B15" i="10" s="1"/>
  <c r="B16" i="10" l="1"/>
  <c r="B17" i="10" s="1"/>
  <c r="B18" i="10" s="1"/>
  <c r="B19" i="10" s="1"/>
  <c r="B20" i="10" s="1"/>
  <c r="B21" i="10" s="1"/>
  <c r="B22" i="10" l="1"/>
  <c r="B23" i="10" s="1"/>
  <c r="B24" i="10" l="1"/>
  <c r="B25" i="10" s="1"/>
  <c r="B26" i="10" l="1"/>
  <c r="B27" i="10" s="1"/>
  <c r="B28" i="10" l="1"/>
  <c r="B29" i="10" l="1"/>
  <c r="B30" i="10" l="1"/>
  <c r="B31" i="10" s="1"/>
  <c r="B32" i="10" l="1"/>
  <c r="B33" i="10" s="1"/>
  <c r="B34" i="10" s="1"/>
  <c r="B35" i="10" s="1"/>
  <c r="B36" i="10" s="1"/>
  <c r="B37" i="10" l="1"/>
  <c r="B38" i="10" s="1"/>
  <c r="B39" i="10" s="1"/>
  <c r="B40" i="10" l="1"/>
  <c r="B41" i="10" l="1"/>
  <c r="B42" i="10" l="1"/>
  <c r="B43" i="10" l="1"/>
  <c r="B44" i="10" l="1"/>
  <c r="B45" i="10" s="1"/>
  <c r="B46" i="10" s="1"/>
  <c r="B47" i="10" s="1"/>
  <c r="B48" i="10" s="1"/>
  <c r="B49" i="10" s="1"/>
  <c r="B50" i="10" s="1"/>
  <c r="B51" i="10" l="1"/>
  <c r="B52" i="10" s="1"/>
  <c r="B53" i="10" s="1"/>
  <c r="B54" i="10" l="1"/>
  <c r="B55" i="10" s="1"/>
  <c r="B56" i="10" s="1"/>
  <c r="B57" i="10" s="1"/>
  <c r="B58" i="10" s="1"/>
  <c r="B59" i="10" s="1"/>
  <c r="B60" i="10" s="1"/>
  <c r="B61" i="10" s="1"/>
  <c r="B62" i="10" s="1"/>
  <c r="B63" i="10" l="1"/>
  <c r="B64" i="10" l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l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Z4" authorId="0" shapeId="0" xr:uid="{235CBEC6-B381-48A8-83DB-A5D28A37755C}">
      <text>
        <r>
          <rPr>
            <b/>
            <sz val="9"/>
            <color indexed="81"/>
            <rFont val="MS P ゴシック"/>
            <family val="3"/>
            <charset val="128"/>
          </rPr>
          <t>1調剤棚
2散薬調剤台
3外用.臨時.散薬ヒート
4漢方薬
5普通薬バラ
6劇薬バラ
7軟膏
8抗生剤.小輸液
9注射
10輸液
11冷蔵庫
12湿布
13液剤瓶
14グリセリン浣腸
15 不良在庫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<sst xmlns="http://schemas.openxmlformats.org/spreadsheetml/2006/main" count="17473" uniqueCount="5427">
  <si>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</si>
  <si>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</si>
  <si>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</si>
  <si>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</si>
  <si>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</si>
  <si>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</si>
  <si>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</si>
  <si>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</si>
  <si>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</si>
  <si>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</si>
  <si>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</si>
  <si>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</si>
  <si>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</si>
  <si>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</si>
  <si>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</si>
  <si>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</si>
  <si>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</si>
  <si>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</si>
  <si>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</si>
  <si>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</si>
  <si>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</si>
  <si>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</si>
  <si>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</si>
  <si>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</si>
  <si>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</si>
  <si>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</si>
  <si>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</si>
  <si>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</si>
  <si>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</si>
  <si>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</si>
  <si>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</si>
  <si>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</si>
  <si>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</si>
  <si>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</si>
  <si>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</si>
  <si>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</si>
  <si>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</si>
  <si>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</si>
  <si>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</si>
  <si>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</si>
  <si>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</si>
  <si>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</si>
  <si>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</si>
  <si>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</si>
  <si>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</si>
  <si>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</si>
  <si>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</si>
  <si>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</si>
  <si>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</si>
  <si>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</si>
  <si>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</si>
  <si>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</si>
  <si>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</si>
  <si>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</si>
  <si>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</si>
  <si>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</si>
  <si>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</si>
  <si>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</si>
  <si>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</si>
  <si>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</si>
  <si>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</si>
  <si>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</si>
  <si>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</si>
  <si>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</si>
  <si>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</si>
  <si>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</si>
  <si>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</si>
  <si>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</si>
  <si>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</si>
  <si>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</si>
  <si>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</si>
  <si>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</si>
  <si>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</si>
  <si>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</si>
  <si>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</si>
  <si>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</si>
  <si>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</si>
  <si>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</si>
  <si>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</si>
  <si>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</si>
  <si>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</si>
  <si>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</si>
  <si>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</si>
  <si>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</si>
  <si>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</si>
  <si>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</si>
  <si>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</si>
  <si>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</si>
  <si>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</si>
  <si>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</si>
  <si>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</si>
  <si>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</si>
  <si>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</si>
  <si>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</si>
  <si>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</si>
  <si>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</si>
  <si>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</si>
  <si>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</si>
  <si>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</si>
  <si>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</si>
  <si>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</si>
  <si>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</si>
  <si>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</si>
  <si>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</si>
  <si>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</si>
  <si>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</si>
  <si>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</si>
  <si>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</si>
  <si>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</si>
  <si>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</si>
  <si>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</si>
  <si>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</si>
  <si>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</si>
  <si>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</si>
  <si>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</si>
  <si>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</si>
  <si>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</si>
  <si>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</si>
  <si>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</si>
  <si>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</si>
  <si>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</si>
  <si>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</si>
  <si>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</si>
  <si>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</si>
  <si>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</si>
  <si>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</si>
  <si>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</si>
  <si>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</si>
  <si>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</si>
  <si>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</si>
  <si>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</si>
  <si>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</si>
  <si>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</si>
  <si>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</si>
  <si>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</si>
  <si>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</si>
  <si>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</si>
  <si>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</si>
  <si>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</si>
  <si>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</si>
  <si>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</si>
  <si>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</si>
  <si>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</si>
  <si>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</si>
  <si>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</si>
  <si>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</si>
  <si>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</si>
  <si>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</si>
  <si>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</si>
  <si>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</si>
  <si>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</si>
  <si>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</si>
  <si>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</si>
  <si>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</si>
  <si>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</si>
  <si>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</si>
  <si>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</si>
  <si>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</si>
  <si>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</si>
  <si>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</si>
  <si>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</si>
  <si>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</si>
  <si>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</si>
  <si>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</si>
  <si>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</si>
  <si>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</si>
  <si>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</si>
  <si>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</si>
  <si>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</si>
  <si>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</si>
  <si>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</si>
  <si>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</si>
  <si>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</si>
  <si>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</si>
  <si>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</si>
  <si>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</si>
  <si>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</si>
  <si>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</si>
  <si>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</si>
  <si>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</si>
  <si>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</si>
  <si>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</si>
  <si>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</si>
  <si>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</si>
  <si>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</si>
  <si>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</si>
  <si>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</si>
  <si>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</si>
  <si>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</si>
  <si>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</si>
  <si>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</si>
  <si>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</si>
  <si>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</si>
  <si>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</si>
  <si>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</si>
  <si>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</si>
  <si>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</si>
  <si>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</si>
  <si>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</si>
  <si>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</si>
  <si>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</si>
  <si>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</si>
  <si>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</si>
  <si>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</si>
  <si>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</si>
  <si>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</si>
  <si>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</si>
  <si>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</si>
  <si>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</si>
  <si>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</si>
  <si>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</si>
  <si>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</si>
  <si>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</si>
  <si>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</si>
  <si>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</si>
  <si>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</si>
  <si>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</si>
  <si>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</si>
  <si>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</si>
  <si>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</si>
  <si>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</si>
  <si>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</si>
  <si>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</si>
  <si>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</si>
  <si>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</si>
  <si>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</si>
  <si>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</si>
  <si>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</si>
  <si>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</si>
  <si>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</si>
  <si>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</si>
  <si>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</si>
  <si>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</si>
  <si>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</si>
  <si>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</si>
  <si>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</si>
  <si>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</si>
  <si>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</si>
  <si>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</si>
  <si>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</si>
  <si>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</si>
  <si>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</si>
  <si>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</si>
  <si>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</si>
  <si>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</si>
  <si>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</si>
  <si>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</si>
  <si>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</si>
  <si>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</si>
  <si>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</si>
  <si>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</si>
  <si>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</si>
  <si>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</si>
  <si>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</si>
  <si>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</si>
  <si>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</si>
  <si>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</si>
  <si>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</si>
  <si>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</si>
  <si>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</si>
  <si>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</si>
  <si>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</si>
  <si>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</si>
  <si>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</si>
  <si>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</si>
  <si>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</si>
  <si>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</si>
  <si>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</si>
  <si>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</si>
  <si>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</si>
  <si>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</si>
  <si>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</si>
  <si>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</si>
  <si>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</si>
  <si>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</si>
  <si>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</si>
  <si>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</si>
  <si>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</si>
  <si>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</si>
  <si>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</si>
  <si>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</si>
  <si>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</si>
  <si>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</si>
  <si>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</si>
  <si>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</si>
  <si>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</si>
  <si>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</si>
  <si>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</si>
  <si>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</si>
  <si>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</si>
  <si>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</si>
  <si>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</si>
  <si>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</si>
  <si>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</si>
  <si>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</si>
  <si>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</si>
  <si>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</si>
  <si>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</si>
  <si>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</si>
  <si>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</si>
  <si>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</si>
  <si>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</si>
  <si>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</si>
  <si>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</si>
  <si>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</si>
  <si>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</si>
  <si>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</si>
  <si>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</si>
  <si>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</si>
  <si>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</si>
  <si>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</si>
  <si>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</si>
  <si>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</si>
  <si>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</si>
  <si>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</si>
  <si>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</si>
  <si>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</si>
  <si>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</si>
  <si>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</si>
  <si>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</si>
  <si>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</si>
  <si>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</si>
  <si>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</si>
  <si>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</si>
  <si>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</si>
  <si>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</si>
  <si>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</si>
  <si>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</si>
  <si>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</si>
  <si>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</si>
  <si>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</si>
  <si>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</si>
  <si>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</si>
  <si>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</si>
  <si>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</si>
  <si>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</si>
  <si>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</si>
  <si>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</si>
  <si>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</si>
  <si>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</si>
  <si>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</si>
  <si>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</si>
  <si>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</si>
  <si>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</si>
  <si>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</si>
  <si>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</si>
  <si>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</si>
  <si>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</si>
  <si>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</si>
  <si>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</si>
  <si>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</si>
  <si>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</si>
  <si>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</si>
  <si>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</si>
  <si>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</si>
  <si>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</si>
  <si>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</si>
  <si>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</si>
  <si>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</si>
  <si>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</si>
  <si>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</si>
  <si>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</si>
  <si>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</si>
  <si>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</si>
  <si>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</si>
  <si>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</si>
  <si>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</si>
  <si>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</si>
  <si>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</si>
  <si>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</si>
  <si>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</si>
  <si>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</si>
  <si>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</si>
  <si>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</si>
  <si>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</si>
  <si>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</si>
  <si>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</si>
  <si>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</si>
  <si>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</si>
  <si>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</si>
  <si>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</si>
  <si>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</si>
  <si>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</si>
  <si>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</si>
  <si>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</si>
  <si>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</si>
  <si>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</si>
  <si>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</si>
  <si>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</si>
  <si>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</si>
  <si>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</si>
  <si>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</si>
  <si>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</si>
  <si>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</si>
  <si>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</si>
  <si>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</si>
  <si>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</si>
  <si>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</si>
  <si>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</si>
  <si>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</si>
  <si>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</si>
  <si>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</si>
  <si>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</si>
  <si>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</si>
  <si>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</si>
  <si>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</si>
  <si>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</si>
  <si>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</si>
  <si>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</si>
  <si>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</si>
  <si>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</si>
  <si>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</si>
  <si>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</si>
  <si>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</si>
  <si>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</si>
  <si>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</si>
  <si>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</si>
  <si>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</si>
  <si>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</si>
  <si>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</si>
  <si>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</si>
  <si>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</si>
  <si>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</si>
  <si>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</si>
  <si>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</si>
  <si>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</si>
  <si>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</si>
  <si>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</si>
  <si>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</si>
  <si>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</si>
  <si>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</si>
  <si>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</si>
  <si>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</si>
  <si>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</si>
  <si>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</si>
  <si>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</si>
  <si>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</si>
  <si>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</si>
  <si>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</si>
  <si>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</si>
  <si>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</si>
  <si>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</si>
  <si>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</si>
  <si>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</si>
  <si>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</si>
  <si>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</si>
  <si>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</si>
  <si>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</si>
  <si>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</si>
  <si>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</si>
  <si>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</si>
  <si>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</si>
  <si>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</si>
  <si>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</si>
  <si>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</si>
  <si>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</si>
  <si>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</si>
  <si>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</si>
  <si>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</si>
  <si>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</si>
  <si>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</si>
  <si>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</si>
  <si>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</si>
  <si>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</si>
  <si>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</si>
  <si>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</si>
  <si>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</si>
  <si>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</si>
  <si>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</si>
  <si>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</si>
  <si>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</si>
  <si>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</si>
  <si>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</si>
  <si>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</si>
  <si>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</si>
  <si>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</si>
  <si>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</si>
  <si>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</si>
  <si>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</si>
  <si>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</si>
  <si>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</si>
  <si>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</si>
  <si>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</si>
  <si>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</si>
  <si>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</si>
  <si>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</si>
  <si>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</si>
  <si>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</si>
  <si>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</si>
  <si>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</si>
  <si>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</si>
  <si>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</si>
  <si>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</si>
  <si>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</si>
  <si>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</si>
  <si>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</si>
  <si>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</si>
  <si>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</si>
  <si>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</si>
  <si>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</si>
  <si>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</si>
  <si>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</si>
  <si>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</si>
  <si>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</si>
  <si>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</si>
  <si>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</si>
  <si>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</si>
  <si>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</si>
  <si>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</si>
  <si>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</si>
  <si>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</si>
  <si>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</si>
  <si>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</si>
  <si>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</si>
  <si>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</si>
  <si>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</si>
  <si>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</si>
  <si>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</si>
  <si>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</si>
  <si>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</si>
  <si>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</si>
  <si>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</si>
  <si>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</si>
  <si>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</si>
  <si>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</si>
  <si>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</si>
  <si>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</si>
  <si>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</si>
  <si>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</si>
  <si>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</si>
  <si>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</si>
  <si>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</si>
  <si>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</si>
  <si>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</si>
  <si>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</si>
  <si>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</si>
  <si>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</si>
  <si>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</si>
  <si>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</si>
  <si>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</si>
  <si>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</si>
  <si>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</si>
  <si>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</si>
  <si>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</si>
  <si>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</si>
  <si>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</si>
  <si>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</si>
  <si>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</si>
  <si>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</si>
  <si>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</si>
  <si>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</si>
  <si>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</si>
  <si>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</si>
  <si>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</si>
  <si>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</si>
  <si>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</si>
  <si>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</si>
  <si>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</si>
  <si>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</si>
  <si>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</si>
  <si>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</si>
  <si>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</si>
  <si>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</si>
  <si>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</si>
  <si>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</si>
  <si>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</si>
  <si>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</si>
  <si>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</si>
  <si>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</si>
  <si>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</si>
  <si>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</si>
  <si>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</si>
  <si>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</si>
  <si>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</si>
  <si>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</si>
  <si>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</si>
  <si>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</si>
  <si>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</si>
  <si>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</si>
  <si>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</si>
  <si>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</si>
  <si>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</si>
  <si>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</si>
  <si>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</si>
  <si>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</si>
  <si>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</si>
  <si>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</si>
  <si>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</si>
  <si>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</si>
  <si>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</si>
  <si>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</si>
  <si>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</si>
  <si>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</si>
  <si>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</si>
  <si>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</si>
  <si>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</si>
  <si>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</si>
  <si>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</si>
  <si>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</si>
  <si>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</si>
  <si>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</si>
  <si>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</si>
  <si>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</si>
  <si>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</si>
  <si>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</si>
  <si>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</si>
  <si>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</si>
  <si>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</si>
  <si>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</si>
  <si>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</si>
  <si>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</si>
  <si>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</si>
  <si>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</si>
  <si>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</si>
  <si>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</si>
  <si>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</si>
  <si>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</si>
  <si>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</si>
  <si>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</si>
  <si>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</si>
  <si>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</si>
  <si>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</si>
  <si>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</si>
  <si>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</si>
  <si>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</si>
  <si>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</si>
  <si>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</si>
  <si>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</si>
  <si>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</si>
  <si>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</si>
  <si>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</si>
  <si>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</si>
  <si>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</si>
  <si>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</si>
  <si>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</si>
  <si>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</si>
  <si>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</si>
  <si>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</si>
  <si>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</si>
  <si>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</si>
  <si>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</si>
  <si>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</si>
  <si>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</si>
  <si>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</si>
  <si>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</si>
  <si>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</si>
  <si>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</si>
  <si>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</si>
  <si>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</si>
  <si>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</si>
  <si>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</si>
  <si>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</si>
  <si>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</si>
  <si>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</si>
  <si>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</si>
  <si>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</si>
  <si>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</si>
  <si>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</si>
  <si>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</si>
  <si>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</si>
  <si>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</si>
  <si>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</si>
  <si>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</si>
  <si>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</si>
  <si>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</si>
  <si>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</si>
  <si>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</si>
  <si>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</si>
  <si>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</si>
  <si>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</si>
  <si>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</si>
  <si>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</si>
  <si>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</si>
  <si>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</si>
  <si>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</si>
  <si>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</si>
  <si>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</si>
  <si>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</si>
  <si>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</si>
  <si>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</si>
  <si>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</si>
  <si>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</si>
  <si>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</si>
  <si>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</si>
  <si>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</si>
  <si>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</si>
  <si>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</si>
  <si>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</si>
  <si>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</si>
  <si>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</si>
  <si>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</si>
  <si>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</si>
  <si>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</si>
  <si>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</si>
  <si>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</si>
  <si>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</si>
  <si>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</si>
  <si>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</si>
  <si>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</si>
  <si>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</si>
  <si>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</si>
  <si>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</si>
  <si>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</si>
  <si>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</si>
  <si>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</si>
  <si>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</si>
  <si>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</si>
  <si>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</si>
  <si>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</si>
  <si>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</si>
  <si>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</si>
  <si>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</si>
  <si>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</si>
  <si>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</si>
  <si>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</si>
  <si>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</si>
  <si>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</si>
  <si>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</si>
  <si>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</si>
  <si>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</si>
  <si>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</si>
  <si>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</si>
  <si>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</si>
  <si>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</si>
  <si>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</si>
  <si>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</si>
  <si>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</si>
  <si>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</si>
  <si>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</si>
  <si>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</si>
  <si>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</si>
  <si>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</si>
  <si>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</si>
  <si>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</si>
  <si>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</si>
  <si>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</si>
  <si>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</si>
  <si>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</si>
  <si>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</si>
  <si>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</si>
  <si>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</si>
  <si>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</si>
  <si>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</si>
  <si>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</si>
  <si>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</si>
  <si>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</si>
  <si>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</si>
  <si>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</si>
  <si>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</si>
  <si>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</si>
  <si>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</si>
  <si>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</si>
  <si>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</si>
  <si>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</si>
  <si>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</si>
  <si>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</si>
  <si>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</si>
  <si>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</si>
  <si>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</si>
  <si>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</si>
  <si>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</si>
  <si>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</si>
  <si>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</si>
  <si>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</si>
  <si>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</si>
  <si>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</si>
  <si>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</si>
  <si>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</si>
  <si>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</si>
  <si>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</si>
  <si>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</si>
  <si>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</si>
  <si>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</si>
  <si>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</si>
  <si>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</si>
  <si>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</si>
  <si>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</si>
  <si>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</si>
  <si>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</si>
  <si>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</si>
  <si>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</si>
  <si>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</si>
  <si>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</si>
  <si>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</si>
  <si>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</si>
  <si>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</si>
  <si>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</si>
  <si>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</si>
  <si>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</si>
  <si>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</si>
  <si>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</si>
  <si>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</si>
  <si>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</si>
  <si>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</si>
  <si>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</si>
  <si>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</si>
  <si>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</si>
  <si>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</si>
  <si>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</si>
  <si>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</si>
  <si>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</si>
  <si>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</si>
  <si>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</si>
  <si>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</si>
  <si>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</si>
  <si>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</si>
  <si>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</si>
  <si>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</si>
  <si>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</si>
  <si>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</si>
  <si>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</si>
  <si>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</si>
  <si>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</si>
  <si>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</si>
  <si>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</si>
  <si>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</si>
  <si>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</si>
  <si>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</si>
  <si>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</si>
  <si>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</si>
  <si>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</si>
  <si>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</si>
  <si>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</si>
  <si>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</si>
  <si>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</si>
  <si>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</si>
  <si>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</si>
  <si>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</si>
  <si>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</si>
  <si>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</si>
  <si>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</si>
  <si>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</si>
  <si>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</si>
  <si>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</si>
  <si>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</si>
  <si>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</si>
  <si>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</si>
  <si>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</si>
  <si>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</si>
  <si>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</si>
  <si>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</si>
  <si>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</si>
  <si>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</si>
  <si>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</si>
  <si>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</si>
  <si>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</si>
  <si>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</si>
  <si>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</si>
  <si>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</si>
  <si>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</si>
  <si>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</si>
  <si>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</si>
  <si>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</si>
  <si>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</si>
  <si>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</si>
  <si>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</si>
  <si>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</si>
  <si>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</si>
  <si>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</si>
  <si>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</si>
  <si>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</si>
  <si>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</si>
  <si>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</si>
  <si>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</si>
  <si>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</si>
  <si>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</si>
  <si>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</si>
  <si>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</si>
  <si>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</si>
  <si>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</si>
  <si>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</si>
  <si>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</si>
  <si>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</si>
  <si>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</si>
  <si>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</si>
  <si>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</si>
  <si>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</si>
  <si>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</si>
  <si>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</si>
  <si>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</si>
  <si>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</si>
  <si>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</si>
  <si>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</si>
  <si>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</si>
  <si>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</si>
  <si>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</si>
  <si>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</si>
  <si>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</si>
  <si>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</si>
  <si>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</si>
  <si>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</si>
  <si>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</si>
  <si>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</si>
  <si>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</si>
  <si>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</si>
  <si>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</si>
  <si>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</si>
  <si>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</si>
  <si>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</si>
  <si>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</si>
  <si>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</si>
  <si>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</si>
  <si>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</si>
  <si>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</si>
  <si>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</si>
  <si>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</si>
  <si>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</si>
  <si>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</si>
  <si>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</si>
  <si>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</si>
  <si>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</si>
  <si>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</si>
  <si>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</si>
  <si>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</si>
  <si>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</si>
  <si>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</si>
  <si>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</si>
  <si>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</si>
  <si>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</si>
  <si>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</si>
  <si>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</si>
  <si>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</si>
  <si>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</si>
  <si>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</si>
  <si>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</si>
  <si>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</si>
  <si>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</si>
  <si>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</si>
  <si>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</si>
  <si>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</si>
  <si>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</si>
  <si>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</si>
  <si>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</si>
  <si>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</si>
  <si>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</si>
  <si>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</si>
  <si>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</si>
  <si>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</si>
  <si>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</si>
  <si>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</si>
  <si>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</si>
  <si>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</si>
  <si>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</si>
  <si>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</si>
  <si>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</si>
  <si>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</si>
  <si>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</si>
  <si>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</si>
  <si>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</si>
  <si>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</si>
  <si>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</si>
  <si>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</si>
  <si>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</si>
  <si>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</si>
  <si>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</si>
  <si>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</si>
  <si>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</si>
  <si>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</si>
  <si>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</si>
  <si>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</si>
  <si>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</si>
  <si>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</si>
  <si>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</si>
  <si>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</si>
  <si>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</si>
  <si>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</si>
  <si>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</si>
  <si>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</si>
  <si>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</si>
  <si>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</si>
  <si>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</si>
  <si>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</si>
  <si>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</si>
  <si>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</si>
  <si>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</si>
  <si>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</si>
  <si>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</si>
  <si>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</si>
  <si>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</si>
  <si>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</si>
  <si>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</si>
  <si>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</si>
  <si>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</si>
  <si>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</si>
  <si>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</si>
  <si>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</si>
  <si>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</si>
  <si>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</si>
  <si>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</si>
  <si>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</si>
  <si>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</si>
  <si>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</si>
  <si>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</si>
  <si>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</si>
  <si>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</si>
  <si>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</si>
  <si>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</si>
  <si>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</si>
  <si>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</si>
  <si>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</si>
  <si>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</si>
  <si>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</si>
  <si>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</si>
  <si>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</si>
  <si>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</si>
  <si>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</si>
  <si>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</si>
  <si>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</si>
  <si>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</si>
  <si>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</si>
  <si>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</si>
  <si>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</si>
  <si>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</si>
  <si>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</si>
  <si>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</si>
  <si>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</si>
  <si>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</si>
  <si>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</si>
  <si>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</si>
  <si>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</si>
  <si>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</si>
  <si>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</si>
  <si>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</si>
  <si>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</si>
  <si>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</si>
  <si>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</si>
  <si>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</si>
  <si>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</si>
  <si>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</si>
  <si>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</si>
  <si>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</si>
  <si>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</si>
  <si>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</si>
  <si>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</si>
  <si>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</si>
  <si>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</si>
  <si>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</si>
  <si>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</si>
  <si>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</si>
  <si>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</si>
  <si>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</si>
  <si>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</si>
  <si>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</si>
  <si>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</si>
  <si>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</si>
  <si>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</si>
  <si>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</si>
  <si>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</si>
  <si>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</si>
  <si>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</si>
  <si>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</si>
  <si>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</si>
  <si>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</si>
  <si>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</si>
  <si>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</si>
  <si>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</si>
  <si>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</si>
  <si>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</si>
  <si>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</si>
  <si>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</si>
  <si>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</si>
  <si>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</si>
  <si>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</si>
  <si>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</si>
  <si>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</si>
  <si>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</si>
  <si>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</si>
  <si>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</si>
  <si>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</si>
  <si>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</si>
  <si>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</si>
  <si>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</si>
  <si>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</si>
  <si>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</si>
  <si>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</si>
  <si>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</si>
  <si>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</si>
  <si>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</si>
  <si>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</si>
  <si>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</si>
  <si>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</si>
  <si>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</si>
  <si>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</si>
  <si>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</si>
  <si>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</si>
  <si>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</si>
  <si>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</si>
  <si>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</si>
  <si>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</si>
  <si>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</si>
  <si>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</si>
  <si>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</si>
  <si>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</si>
  <si>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</si>
  <si>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</si>
  <si>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</si>
  <si>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</si>
  <si>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</si>
  <si>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</si>
  <si>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</si>
  <si>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</si>
  <si>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</si>
  <si>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</si>
  <si>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</si>
  <si>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</si>
  <si>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</si>
  <si>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</si>
  <si>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</si>
  <si>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</si>
  <si>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</si>
  <si>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</si>
  <si>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</si>
  <si>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</si>
  <si>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</si>
  <si>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</si>
  <si>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</si>
  <si>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</si>
  <si>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</si>
  <si>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</si>
  <si>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</si>
  <si>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</si>
  <si>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</si>
  <si>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</si>
  <si>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</si>
  <si>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</si>
  <si>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</si>
  <si>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</si>
  <si>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</si>
  <si>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</si>
  <si>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</si>
  <si>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</si>
  <si>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</si>
  <si>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</si>
  <si>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</si>
  <si>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</si>
  <si>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</si>
  <si>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</si>
  <si>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</si>
  <si>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</si>
  <si>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</si>
  <si>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</si>
  <si>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</si>
  <si>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</si>
  <si>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</si>
  <si>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</si>
  <si>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</si>
  <si>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</si>
  <si>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</si>
  <si>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</si>
  <si>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</si>
  <si>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</si>
  <si>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</si>
  <si>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</si>
  <si>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</si>
  <si>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</si>
  <si>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</si>
  <si>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</si>
  <si>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</si>
  <si>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</si>
  <si>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</si>
  <si>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</si>
  <si>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</si>
  <si>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</si>
  <si>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</si>
  <si>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</si>
  <si>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</si>
  <si>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</si>
  <si>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</si>
  <si>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</si>
  <si>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</si>
  <si>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</si>
  <si>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</si>
  <si>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</si>
  <si>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</si>
  <si>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</si>
  <si>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</si>
  <si>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</si>
  <si>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</si>
  <si>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</si>
  <si>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</si>
  <si>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</si>
  <si>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</si>
  <si>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</si>
  <si>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</si>
  <si>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</si>
  <si>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</si>
  <si>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</si>
  <si>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</si>
  <si>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</si>
  <si>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</si>
  <si>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</si>
  <si>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</si>
  <si>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</si>
  <si>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</si>
  <si>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</si>
  <si>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</si>
  <si>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</si>
  <si>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</si>
  <si>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</si>
  <si>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</si>
  <si>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</si>
  <si>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</si>
  <si>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</si>
  <si>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</si>
  <si>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</si>
  <si>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</si>
  <si>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</si>
  <si>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</si>
  <si>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</si>
  <si>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</si>
  <si>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</si>
  <si>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</si>
  <si>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</si>
  <si>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</si>
  <si>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</si>
  <si>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</si>
  <si>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</si>
  <si>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</si>
  <si>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</si>
  <si>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</si>
  <si>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</si>
  <si>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</si>
  <si>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</si>
  <si>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</si>
  <si>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</si>
  <si>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</si>
  <si>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</si>
  <si>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</si>
  <si>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</si>
  <si>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</si>
  <si>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</si>
  <si>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</si>
  <si>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</si>
  <si>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</si>
  <si>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</si>
  <si>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</si>
  <si>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</si>
  <si>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</si>
  <si>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</si>
  <si>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</si>
  <si>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</si>
  <si>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</si>
  <si>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</si>
  <si>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</si>
  <si>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</si>
  <si>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</si>
  <si>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</si>
  <si>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</si>
  <si>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</si>
  <si>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</si>
  <si>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</si>
  <si>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</si>
  <si>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</si>
  <si>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</si>
  <si>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</si>
  <si>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</si>
  <si>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</si>
  <si>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</si>
  <si>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</si>
  <si>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</si>
  <si>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</si>
  <si>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</si>
  <si>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</si>
  <si>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</si>
  <si>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</si>
  <si>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</si>
  <si>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</si>
  <si>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</si>
  <si>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</si>
  <si>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</si>
  <si>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</si>
  <si>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</si>
  <si>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</si>
  <si>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</si>
  <si>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</si>
  <si>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</si>
  <si>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</si>
  <si>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</si>
  <si>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</si>
  <si>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</si>
  <si>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</si>
  <si>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</si>
  <si>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</si>
  <si>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</si>
  <si>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</si>
  <si>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</si>
  <si>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</si>
  <si>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</si>
  <si>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</si>
  <si>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</si>
  <si>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</si>
  <si>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</si>
  <si>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</si>
  <si>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</si>
  <si>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</si>
  <si>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</si>
  <si>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</si>
  <si>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</si>
  <si>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</si>
  <si>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</si>
  <si>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</si>
  <si>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</si>
  <si>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</si>
  <si>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</si>
  <si>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</si>
  <si>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</si>
  <si>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</si>
  <si>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</si>
  <si>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</si>
  <si>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</si>
  <si>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</si>
  <si>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</si>
  <si>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</si>
  <si>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</si>
  <si>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</si>
  <si>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</si>
  <si>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</si>
  <si>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</si>
  <si>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</si>
  <si>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</si>
  <si>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</si>
  <si>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</si>
  <si>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</si>
  <si>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</si>
  <si>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</si>
  <si>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</si>
  <si>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</si>
  <si>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</si>
  <si>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</si>
  <si>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</si>
  <si>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</si>
  <si>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</si>
  <si>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</si>
  <si>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</si>
  <si>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</si>
  <si>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</si>
  <si>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</si>
  <si>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</si>
  <si>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</si>
  <si>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</si>
  <si>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</si>
  <si>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</si>
  <si>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</si>
  <si>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</si>
  <si>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</si>
  <si>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</si>
  <si>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</si>
  <si>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</si>
  <si>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</si>
  <si>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</si>
  <si>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</si>
  <si>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</si>
  <si>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</si>
  <si>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</si>
  <si>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</si>
  <si>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</si>
  <si>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</si>
  <si>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</si>
  <si>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</si>
  <si>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</si>
  <si>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</si>
  <si>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</si>
  <si>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</si>
  <si>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</si>
  <si>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</si>
  <si>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</si>
  <si>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</si>
  <si>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</si>
  <si>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</si>
  <si>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</si>
  <si>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</si>
  <si>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</si>
  <si>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</si>
  <si>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</si>
  <si>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</si>
  <si>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</si>
  <si>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</si>
  <si>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</si>
  <si>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</si>
  <si>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</si>
  <si>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</si>
  <si>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</si>
  <si>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</si>
  <si>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</si>
  <si>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</si>
  <si>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</si>
  <si>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</si>
  <si>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</si>
  <si>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</si>
  <si>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</si>
  <si>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</si>
  <si>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</si>
  <si>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</si>
  <si>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</si>
  <si>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</si>
  <si>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</si>
  <si>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</si>
  <si>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</si>
  <si>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</si>
  <si>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</si>
  <si>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</si>
  <si>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</si>
  <si>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</si>
  <si>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</si>
  <si>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</si>
  <si>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</si>
  <si>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</si>
  <si>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</si>
  <si>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</si>
  <si>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</si>
  <si>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</si>
  <si>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</si>
  <si>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</si>
  <si>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</si>
  <si>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</si>
  <si>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</si>
  <si>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</si>
  <si>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</si>
  <si>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</si>
  <si>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</si>
  <si>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</si>
  <si>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</si>
  <si>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</si>
  <si>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</si>
  <si>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</si>
  <si>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</si>
  <si>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</si>
  <si>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</si>
  <si>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</si>
  <si>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</si>
  <si>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</si>
  <si>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</si>
  <si>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</si>
  <si>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</si>
  <si>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</si>
  <si>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</si>
  <si>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</si>
  <si>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</si>
  <si>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</si>
  <si>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</si>
  <si>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</si>
  <si>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</si>
  <si>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</si>
  <si>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</si>
  <si>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</si>
  <si>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</si>
  <si>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</si>
  <si>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</si>
  <si>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</si>
  <si>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</si>
  <si>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</si>
  <si>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</si>
  <si>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</si>
  <si>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</si>
  <si>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</si>
  <si>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</si>
  <si>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</si>
  <si>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</si>
  <si>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</si>
  <si>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</si>
  <si>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</si>
  <si>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</si>
  <si>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</si>
  <si>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</si>
  <si>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</si>
  <si>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</si>
  <si>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</si>
  <si>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</si>
  <si>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</si>
  <si>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</si>
  <si>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</si>
  <si>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</si>
  <si>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</si>
  <si>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</si>
  <si>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</si>
  <si>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</si>
  <si>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</si>
  <si>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</si>
  <si>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</si>
  <si>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</si>
  <si>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</si>
  <si>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</si>
  <si>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</si>
  <si>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</si>
  <si>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</si>
  <si>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</si>
  <si>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</si>
  <si>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</si>
  <si>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</si>
  <si>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</si>
  <si>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</si>
  <si>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</si>
  <si>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</si>
  <si>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</si>
  <si>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</si>
  <si>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</si>
  <si>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</si>
  <si>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</si>
  <si>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</si>
  <si>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</si>
  <si>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</si>
  <si>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</si>
  <si>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</si>
  <si>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</si>
  <si>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</si>
  <si>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</si>
  <si>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</si>
  <si>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</si>
  <si>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</si>
  <si>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</si>
  <si>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</si>
  <si>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</si>
  <si>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</si>
  <si>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</si>
  <si>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</si>
  <si>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</si>
  <si>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</si>
  <si>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</si>
  <si>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</si>
  <si>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</si>
  <si>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</si>
  <si>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</si>
  <si>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</si>
  <si>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</si>
  <si>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</si>
  <si>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</si>
  <si>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</si>
  <si>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</si>
  <si>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</si>
  <si>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</si>
  <si>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</si>
  <si>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</si>
  <si>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</si>
  <si>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</si>
  <si>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</si>
  <si>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</si>
  <si>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</si>
  <si>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</si>
  <si>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</si>
  <si>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</si>
  <si>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</si>
  <si>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</si>
  <si>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</si>
  <si>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</si>
  <si>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</si>
  <si>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</si>
  <si>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</si>
  <si>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</si>
  <si>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</si>
  <si>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</si>
  <si>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</si>
  <si>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</si>
  <si>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</si>
  <si>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</si>
  <si>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</si>
  <si>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</si>
  <si>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</si>
  <si>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</si>
  <si>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</si>
  <si>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</si>
  <si>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</si>
  <si>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</si>
  <si>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</si>
  <si>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</si>
  <si>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</si>
  <si>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</si>
  <si>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</si>
  <si>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</si>
  <si>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</si>
  <si>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</si>
  <si>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</si>
  <si>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</si>
  <si>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</si>
  <si>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</si>
  <si>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</si>
  <si>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</si>
  <si>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</si>
  <si>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</si>
  <si>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</si>
  <si>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</si>
  <si>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</si>
  <si>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</si>
  <si>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</si>
  <si>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</si>
  <si>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</si>
  <si>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</si>
  <si>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</si>
  <si>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</si>
  <si>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</si>
  <si>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</si>
  <si>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</si>
  <si>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</si>
  <si>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</si>
  <si>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</si>
  <si>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</si>
  <si>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</si>
  <si>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</si>
  <si>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</si>
  <si>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</si>
  <si>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</si>
  <si>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</si>
  <si>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</si>
  <si>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</si>
  <si>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</si>
  <si>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</si>
  <si>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</si>
  <si>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</si>
  <si>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</si>
  <si>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</si>
  <si>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</si>
  <si>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</si>
  <si>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</si>
  <si>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</si>
  <si>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</si>
  <si>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</si>
  <si>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</si>
  <si>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</si>
  <si>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</si>
  <si>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</si>
  <si>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</si>
  <si>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</si>
  <si>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</si>
  <si>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</si>
  <si>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</si>
  <si>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</si>
  <si>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</si>
  <si>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</si>
  <si>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</si>
  <si>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</si>
  <si>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</si>
  <si>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</si>
  <si>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</si>
  <si>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</si>
  <si>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</si>
  <si>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</si>
  <si>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</si>
  <si>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</si>
  <si>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</si>
  <si>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</si>
  <si>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</si>
  <si>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</si>
  <si>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</si>
  <si>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</si>
  <si>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</si>
  <si>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</si>
  <si>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</si>
  <si>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</si>
  <si>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</si>
  <si>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</si>
  <si>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</si>
  <si>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</si>
  <si>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</si>
  <si>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</si>
  <si>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</si>
  <si>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</si>
  <si>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</si>
  <si>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</si>
  <si>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</si>
  <si>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</si>
  <si>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</si>
  <si>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</si>
  <si>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</si>
  <si>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</si>
  <si>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</si>
  <si>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</si>
  <si>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</si>
  <si>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</si>
  <si>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</si>
  <si>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</si>
  <si>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</si>
  <si>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</si>
  <si>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</si>
  <si>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</si>
  <si>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</si>
  <si>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</si>
  <si>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</si>
  <si>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</si>
  <si>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</si>
  <si>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</si>
  <si>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</si>
  <si>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</si>
  <si>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</si>
  <si>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</si>
  <si>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</si>
  <si>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</si>
  <si>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</si>
  <si>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</si>
  <si>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</si>
  <si>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</si>
  <si>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</si>
  <si>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</si>
  <si>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</si>
  <si>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</si>
  <si>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</si>
  <si>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</si>
  <si>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</si>
  <si>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</si>
  <si>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</si>
  <si>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</si>
  <si>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</si>
  <si>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</si>
  <si>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</si>
  <si>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</si>
  <si>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</si>
  <si>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</si>
  <si>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</si>
  <si>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</si>
  <si>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</si>
  <si>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</si>
  <si>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</si>
  <si>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</si>
  <si>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</si>
  <si>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</si>
  <si>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</si>
  <si>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</si>
  <si>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</si>
  <si>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</si>
  <si>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</si>
  <si>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</si>
  <si>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</si>
  <si>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</si>
  <si>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</si>
  <si>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</si>
  <si>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</si>
  <si>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</si>
  <si>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</si>
  <si>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</si>
  <si>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</si>
  <si>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</si>
  <si>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</si>
  <si>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</si>
  <si>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</si>
  <si>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</si>
  <si>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</si>
  <si>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</si>
  <si>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</si>
  <si>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</si>
  <si>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</si>
  <si>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</si>
  <si>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</si>
  <si>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</si>
  <si>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</si>
  <si>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</si>
  <si>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</si>
  <si>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</si>
  <si>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</si>
  <si>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</si>
  <si>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</si>
  <si>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</si>
  <si>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</si>
  <si>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</si>
  <si>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</si>
  <si>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</si>
  <si>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</si>
  <si>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</si>
  <si>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</si>
  <si>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</si>
  <si>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</si>
  <si>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</si>
  <si>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</si>
  <si>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</si>
  <si>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</si>
  <si>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</si>
  <si>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</si>
  <si>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</si>
  <si>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</si>
  <si>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</si>
  <si>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</si>
  <si>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</si>
  <si>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</si>
  <si>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</si>
  <si>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</si>
  <si>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</si>
  <si>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</si>
  <si>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</si>
  <si>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</si>
  <si>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</si>
  <si>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</si>
  <si>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</si>
  <si>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</si>
  <si>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</si>
  <si>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</si>
  <si>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</si>
  <si>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</si>
  <si>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</si>
  <si>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</si>
  <si>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</si>
  <si>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</si>
  <si>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</si>
  <si>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</si>
  <si>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</si>
  <si>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</si>
  <si>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</si>
  <si>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</si>
  <si>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</si>
  <si>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</si>
  <si>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</si>
  <si>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</si>
  <si>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</si>
  <si>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</si>
  <si>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</si>
  <si>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</si>
  <si>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</si>
  <si>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</si>
  <si>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</si>
  <si>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</si>
  <si>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</si>
  <si>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</si>
  <si>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</si>
  <si>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</si>
  <si>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</si>
  <si>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</si>
  <si>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</si>
  <si>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</si>
  <si>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</si>
  <si>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</si>
  <si>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</si>
  <si>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</si>
  <si>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</si>
  <si>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</si>
  <si>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</si>
  <si>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</si>
  <si>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</si>
  <si>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</si>
  <si>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</si>
  <si>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</si>
  <si>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</si>
  <si>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</si>
  <si>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</si>
  <si>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</si>
  <si>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</si>
  <si>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</si>
  <si>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</si>
  <si>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</si>
  <si>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</si>
  <si>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</si>
  <si>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</si>
  <si>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</si>
  <si>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</si>
  <si>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</si>
  <si>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</si>
  <si>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</si>
  <si>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</si>
  <si>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</si>
  <si>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</si>
  <si>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</si>
  <si>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</si>
  <si>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</si>
  <si>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</si>
  <si>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</si>
  <si>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</si>
  <si>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</si>
  <si>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</si>
  <si>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</si>
  <si>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</si>
  <si>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</si>
  <si>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</si>
  <si>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</si>
  <si>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</si>
  <si>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</si>
  <si>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</si>
  <si>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</si>
  <si>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</si>
  <si>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</si>
  <si>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</si>
  <si>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</si>
  <si>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</si>
  <si>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</si>
  <si>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</si>
  <si>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</si>
  <si>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</si>
  <si>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</si>
  <si>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</si>
  <si>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</si>
  <si>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</si>
  <si>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</si>
  <si>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</si>
  <si>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</si>
  <si>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</si>
  <si>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</si>
  <si>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</si>
  <si>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</si>
  <si>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</si>
  <si>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</si>
  <si>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</si>
  <si>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</si>
  <si>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</si>
  <si>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</si>
  <si>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</si>
  <si>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</si>
  <si>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</si>
  <si>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</si>
  <si>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</si>
  <si>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</si>
  <si>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</si>
  <si>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</si>
  <si>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</si>
  <si>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</si>
  <si>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</si>
  <si>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</si>
  <si>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</si>
  <si>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</si>
  <si>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</si>
  <si>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</si>
  <si>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</si>
  <si>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</si>
  <si>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</si>
  <si>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</si>
  <si>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</si>
  <si>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</si>
  <si>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</si>
  <si>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</si>
  <si>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</si>
  <si>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</si>
  <si>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</si>
  <si>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</si>
  <si>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</si>
  <si>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</si>
  <si>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</si>
  <si>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</si>
  <si>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</si>
  <si>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</si>
  <si>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</si>
  <si>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</si>
  <si>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</si>
  <si>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</si>
  <si>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</si>
  <si>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</si>
  <si>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</si>
  <si>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</si>
  <si>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</si>
  <si>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</si>
  <si>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</si>
  <si>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</si>
  <si>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</si>
  <si>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</si>
  <si>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</si>
  <si>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</si>
  <si>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</si>
  <si>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</si>
  <si>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</si>
  <si>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</si>
  <si>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</si>
  <si>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</si>
  <si>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</si>
  <si>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</si>
  <si>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</si>
  <si>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</si>
  <si>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</si>
  <si>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</si>
  <si>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</si>
  <si>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</si>
  <si>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</si>
  <si>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</si>
  <si>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</si>
  <si>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</si>
  <si>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</si>
  <si>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</si>
  <si>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</si>
  <si>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</si>
  <si>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</si>
  <si>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</si>
  <si>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</si>
  <si>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</si>
  <si>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</si>
  <si>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</si>
  <si>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</si>
  <si>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</si>
  <si>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</si>
  <si>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</si>
  <si>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</si>
  <si>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</si>
  <si>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</si>
  <si>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</si>
  <si>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</si>
  <si>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</si>
  <si>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</si>
  <si>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</si>
  <si>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</si>
  <si>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</si>
  <si>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</si>
  <si>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</si>
  <si>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</si>
  <si>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</si>
  <si>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</si>
  <si>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</si>
  <si>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</si>
  <si>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</si>
  <si>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</si>
  <si>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</si>
  <si>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</si>
  <si>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</si>
  <si>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</si>
  <si>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</si>
  <si>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</si>
  <si>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</si>
  <si>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</si>
  <si>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</si>
  <si>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</si>
  <si>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</si>
  <si>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</si>
  <si>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</si>
  <si>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</si>
  <si>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</si>
  <si>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</si>
  <si>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</si>
  <si>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</si>
  <si>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</si>
  <si>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</si>
  <si>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</si>
  <si>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</si>
  <si>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</si>
  <si>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</si>
  <si>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</si>
  <si>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</si>
  <si>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</si>
  <si>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</si>
  <si>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</si>
  <si>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</si>
  <si>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</si>
  <si>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</si>
  <si>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</si>
  <si>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</si>
  <si>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</si>
  <si>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</si>
  <si>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</si>
  <si>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</si>
  <si>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</si>
  <si>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</si>
  <si>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</si>
  <si>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</si>
  <si>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</si>
  <si>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</si>
  <si>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</si>
  <si>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</si>
  <si>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</si>
  <si>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</si>
  <si>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</si>
  <si>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</si>
  <si>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</si>
  <si>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</si>
  <si>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</si>
  <si>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</si>
  <si>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</si>
  <si>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</si>
  <si>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</si>
  <si>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</si>
  <si>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</si>
  <si>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</si>
  <si>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</si>
  <si>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</si>
  <si>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</si>
  <si>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</si>
  <si>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</si>
  <si>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</si>
  <si>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</si>
  <si>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</si>
  <si>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</si>
  <si>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</si>
  <si>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</si>
  <si>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</si>
  <si>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</si>
  <si>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</si>
  <si>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</si>
  <si>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</si>
  <si>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</si>
  <si>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</si>
  <si>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</si>
  <si>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</si>
  <si>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</si>
  <si>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</si>
  <si>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</si>
  <si>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</si>
  <si>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</si>
  <si>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</si>
  <si>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</si>
  <si>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</si>
  <si>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</si>
  <si>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</si>
  <si>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</si>
  <si>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</si>
  <si>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</si>
  <si>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</si>
  <si>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</si>
  <si>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</si>
  <si>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</si>
  <si>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</si>
  <si>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</si>
  <si>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</si>
  <si>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</si>
  <si>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</si>
  <si>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</si>
  <si>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</si>
  <si>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</si>
  <si>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</si>
  <si>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</si>
  <si>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</si>
  <si>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</si>
  <si>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</si>
  <si>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</si>
  <si>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</si>
  <si>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</si>
  <si>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</si>
  <si>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</si>
  <si>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</si>
  <si>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</si>
  <si>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</si>
  <si>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</si>
  <si>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</si>
  <si>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</si>
  <si>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</si>
  <si>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</si>
  <si>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</si>
  <si>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</si>
  <si>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</si>
  <si>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</si>
  <si>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</si>
  <si>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</si>
  <si>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</si>
  <si>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</si>
  <si>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</si>
  <si>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</si>
  <si>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</si>
  <si>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</si>
  <si>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</si>
  <si>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</si>
  <si>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</si>
  <si>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</si>
  <si>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</si>
  <si>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</si>
  <si>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</si>
  <si>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</si>
  <si>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</si>
  <si>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</si>
  <si>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</si>
  <si>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</si>
  <si>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</si>
  <si>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</si>
  <si>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</si>
  <si>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</si>
  <si>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</si>
  <si>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</si>
  <si>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</si>
  <si>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</si>
  <si>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</si>
  <si>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</si>
  <si>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</si>
  <si>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</si>
  <si>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</si>
  <si>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</si>
  <si>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</si>
  <si>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</si>
  <si>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</si>
  <si>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</si>
  <si>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</si>
  <si>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</si>
  <si>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</si>
  <si>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</si>
  <si>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</si>
  <si>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</si>
  <si>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</si>
  <si>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</si>
  <si>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</si>
  <si>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</si>
  <si>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</si>
  <si>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</si>
  <si>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</si>
  <si>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</si>
  <si>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</si>
  <si>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</si>
  <si>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</si>
  <si>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</si>
  <si>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</si>
  <si>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</si>
  <si>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</si>
  <si>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</si>
  <si>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</si>
  <si>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</si>
  <si>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</si>
  <si>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</si>
  <si>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</si>
  <si>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</si>
  <si>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</si>
  <si>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</si>
  <si>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</si>
  <si>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</si>
  <si>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</si>
  <si>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</si>
  <si>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</si>
  <si>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</si>
  <si>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</si>
  <si>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</si>
  <si>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</si>
  <si>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</si>
  <si>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</si>
  <si>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</si>
  <si>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</si>
  <si>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</si>
  <si>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</si>
  <si>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</si>
  <si>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</si>
  <si>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</si>
  <si>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</si>
  <si>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</si>
  <si>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</si>
  <si>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</si>
  <si>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</si>
  <si>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</si>
  <si>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</si>
  <si>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</si>
  <si>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</si>
  <si>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</si>
  <si>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</si>
  <si>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</si>
  <si>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</si>
  <si>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</si>
  <si>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</si>
  <si>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</si>
  <si>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</si>
  <si>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</si>
  <si>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</si>
  <si>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</si>
  <si>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</si>
  <si>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</si>
  <si>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</si>
  <si>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</si>
  <si>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</si>
  <si>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</si>
  <si>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</si>
  <si>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</si>
  <si>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</si>
  <si>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</si>
  <si>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</si>
  <si>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</si>
  <si>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</si>
  <si>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</si>
  <si>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</si>
  <si>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</si>
  <si>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</si>
  <si>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</si>
  <si>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</si>
  <si>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</si>
  <si>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</si>
  <si>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</si>
  <si>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</si>
  <si>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</si>
  <si>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</si>
  <si>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</si>
  <si>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</si>
  <si>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</si>
  <si>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</si>
  <si>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</si>
  <si>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</si>
  <si>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</si>
  <si>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</si>
  <si>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</si>
  <si>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</si>
  <si>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</si>
  <si>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</si>
  <si>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</si>
  <si>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</si>
  <si>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</si>
  <si>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</si>
  <si>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</si>
  <si>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</si>
  <si>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</si>
  <si>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</si>
  <si>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</si>
  <si>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</si>
  <si>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</si>
  <si>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</si>
  <si>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</si>
  <si>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</si>
  <si>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</si>
  <si>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</si>
  <si>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</si>
  <si>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</si>
  <si>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</si>
  <si>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</si>
  <si>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</si>
  <si>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</si>
  <si>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</si>
  <si>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</si>
  <si>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</si>
  <si>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</si>
  <si>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</si>
  <si>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</si>
  <si>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</si>
  <si>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</si>
  <si>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</si>
  <si>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</si>
  <si>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</si>
  <si>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</si>
  <si>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</si>
  <si>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</si>
  <si>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</si>
  <si>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</si>
  <si>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</si>
  <si>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</si>
  <si>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</si>
  <si>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</si>
  <si>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</si>
  <si>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</si>
  <si>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</si>
  <si>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</si>
  <si>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</si>
  <si>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</si>
  <si>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</si>
  <si>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</si>
  <si>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</si>
  <si>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</si>
  <si>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</si>
  <si>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</si>
  <si>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</si>
  <si>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</si>
  <si>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</si>
  <si>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</si>
  <si>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</si>
  <si>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</si>
  <si>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</si>
  <si>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</si>
  <si>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</si>
  <si>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</si>
  <si>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</si>
  <si>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</si>
  <si>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</si>
  <si>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</si>
  <si>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</si>
  <si>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</si>
  <si>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</si>
  <si>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</si>
  <si>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</si>
  <si>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</si>
  <si>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</si>
  <si>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</si>
  <si>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</si>
  <si>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</si>
  <si>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</si>
  <si>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</si>
  <si>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</si>
  <si>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</si>
  <si>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</si>
  <si>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</si>
  <si>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</si>
  <si>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</si>
  <si>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</si>
  <si>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</si>
  <si>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</si>
  <si>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</si>
  <si>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</si>
  <si>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</si>
  <si>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</si>
  <si>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</si>
  <si>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</si>
  <si>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</si>
  <si>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</si>
  <si>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</si>
  <si>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</si>
  <si>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</si>
  <si>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</si>
  <si>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</si>
  <si>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</si>
  <si>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</si>
  <si>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</si>
  <si>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</si>
  <si>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</si>
  <si>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</si>
  <si>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</si>
  <si>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</si>
  <si>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</si>
  <si>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</si>
  <si>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</si>
  <si>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</si>
  <si>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</si>
  <si>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</si>
  <si>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</si>
  <si>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</si>
  <si>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</si>
  <si>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</si>
  <si>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</si>
  <si>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</si>
  <si>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</si>
  <si>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</si>
  <si>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</si>
  <si>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</si>
  <si>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</si>
  <si>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</si>
  <si>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</si>
  <si>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</si>
  <si>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</si>
  <si>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</si>
  <si>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</si>
  <si>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</si>
  <si>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</si>
  <si>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</si>
  <si>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</si>
  <si>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</si>
  <si>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</si>
  <si>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</si>
  <si>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</si>
  <si>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</si>
  <si>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</si>
  <si>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</si>
  <si>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</si>
  <si>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</si>
  <si>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</si>
  <si>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</si>
  <si>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</si>
  <si>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</si>
  <si>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</si>
  <si>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</si>
  <si>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</si>
  <si>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</si>
  <si>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</si>
  <si>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</si>
  <si>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</si>
  <si>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</si>
  <si>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</si>
  <si>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</si>
  <si>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</si>
  <si>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</si>
  <si>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</si>
  <si>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</si>
  <si>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</si>
  <si>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</si>
  <si>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</si>
  <si>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</si>
  <si>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</si>
  <si>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</si>
  <si>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</si>
  <si>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</si>
  <si>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</si>
  <si>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</si>
  <si>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</si>
  <si>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</si>
  <si>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</si>
  <si>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</si>
  <si>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</si>
  <si>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</si>
  <si>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</si>
  <si>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</si>
  <si>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</si>
  <si>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</si>
  <si>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</si>
  <si>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</si>
  <si>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</si>
  <si>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</si>
  <si>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</si>
  <si>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</si>
  <si>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</si>
  <si>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</si>
  <si>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</si>
  <si>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</si>
  <si>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</si>
  <si>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</si>
  <si>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</si>
  <si>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</si>
  <si>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</si>
  <si>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</si>
  <si>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</si>
  <si>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</si>
  <si>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</si>
  <si>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</si>
  <si>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</si>
  <si>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</si>
  <si>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</si>
  <si>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</si>
  <si>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</si>
  <si>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</si>
  <si>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</si>
  <si>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</si>
  <si>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</si>
  <si>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</si>
  <si>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</si>
  <si>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</si>
  <si>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</si>
  <si>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</si>
  <si>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</si>
  <si>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</si>
  <si>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</si>
  <si>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</si>
  <si>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</si>
  <si>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</si>
  <si>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</si>
  <si>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</si>
  <si>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</si>
  <si>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</si>
  <si>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</si>
  <si>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</si>
  <si>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</si>
  <si>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</si>
  <si>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</si>
  <si>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</si>
  <si>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</si>
  <si>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</si>
  <si>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</si>
  <si>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</si>
  <si>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</si>
  <si>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</si>
  <si>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</si>
  <si>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</si>
  <si>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</si>
  <si>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</si>
  <si>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</si>
  <si>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</si>
  <si>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</si>
  <si>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</si>
  <si>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</si>
  <si>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</si>
  <si>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</si>
  <si>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</si>
  <si>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</si>
  <si>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</si>
  <si>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</si>
  <si>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</si>
  <si>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</si>
  <si>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</si>
  <si>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</si>
  <si>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</si>
  <si>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</si>
  <si>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</si>
  <si>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</si>
  <si>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</si>
  <si>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</si>
  <si>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</si>
  <si>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</si>
  <si>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</si>
  <si>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</si>
  <si>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</si>
  <si>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</si>
  <si>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</si>
  <si>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</si>
  <si>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</si>
  <si>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</si>
  <si>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</si>
  <si>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</si>
  <si>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</si>
  <si>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</si>
  <si>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</si>
  <si>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</si>
  <si>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</si>
  <si>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</si>
  <si>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</si>
  <si>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</si>
  <si>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</si>
  <si>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</si>
  <si>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</si>
  <si>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</si>
  <si>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</si>
  <si>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</si>
  <si>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</si>
  <si>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</si>
  <si>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</si>
  <si>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</si>
  <si>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</si>
  <si>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</si>
  <si>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</si>
  <si>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</si>
  <si>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</si>
  <si>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</si>
  <si>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</si>
  <si>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</si>
  <si>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</si>
  <si>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</si>
  <si>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</si>
  <si>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</si>
  <si>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</si>
  <si>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</si>
  <si>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</si>
  <si>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</si>
  <si>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</si>
  <si>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</si>
  <si>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</si>
  <si>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</si>
  <si>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</si>
  <si>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</si>
  <si>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</si>
  <si>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</si>
  <si>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</si>
  <si>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</si>
  <si>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</si>
  <si>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</si>
  <si>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</si>
  <si>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</si>
  <si>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</si>
  <si>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</si>
  <si>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</si>
  <si>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</si>
  <si>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</si>
  <si>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</si>
  <si>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</si>
  <si>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</si>
  <si>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</si>
  <si>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</si>
  <si>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</si>
  <si>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</si>
  <si>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</si>
  <si>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</si>
  <si>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</si>
  <si>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</si>
  <si>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</si>
  <si>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</si>
  <si>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</si>
  <si>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</si>
  <si>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</si>
  <si>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</si>
  <si>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</si>
  <si>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</si>
  <si>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</si>
  <si>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</si>
  <si>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</si>
  <si>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</si>
  <si>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</si>
  <si>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</si>
  <si>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</si>
  <si>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</si>
  <si>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</si>
  <si>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</si>
  <si>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</si>
  <si>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</si>
  <si>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</si>
  <si>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</si>
  <si>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</si>
  <si>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</si>
  <si>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</si>
  <si>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</si>
  <si>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</si>
  <si>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</si>
  <si>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</si>
  <si>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</si>
  <si>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</si>
  <si>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</si>
  <si>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</si>
  <si>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</si>
  <si>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</si>
  <si>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</si>
  <si>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</si>
  <si>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</si>
  <si>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</si>
  <si>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</si>
  <si>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</si>
  <si>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</si>
  <si>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</si>
  <si>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</si>
  <si>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</si>
  <si>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</si>
  <si>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</si>
  <si>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</si>
  <si>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</si>
  <si>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</si>
  <si>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</si>
  <si>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</si>
  <si>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</si>
  <si>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</si>
  <si>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</si>
  <si>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</si>
  <si>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</si>
  <si>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</si>
  <si>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</si>
  <si>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</si>
  <si>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</si>
  <si>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</si>
  <si>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</si>
  <si>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</si>
  <si>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</si>
  <si>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</si>
  <si>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</si>
  <si>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</si>
  <si>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</si>
  <si>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</si>
  <si>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</si>
  <si>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</si>
  <si>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</si>
  <si>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</si>
  <si>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</si>
  <si>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</si>
  <si>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</si>
  <si>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</si>
  <si>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</si>
  <si>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</si>
  <si>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</si>
  <si>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</si>
  <si>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</si>
  <si>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</si>
  <si>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</si>
  <si>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</si>
  <si>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</si>
  <si>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</si>
  <si>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</si>
  <si>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</si>
  <si>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</si>
  <si>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</si>
  <si>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</si>
  <si>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</si>
  <si>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</si>
  <si>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</si>
  <si>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</si>
  <si>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</si>
  <si>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</si>
  <si>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</si>
  <si>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</si>
  <si>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</si>
  <si>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</si>
  <si>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</si>
  <si>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</si>
  <si>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</si>
  <si>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</si>
  <si>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</si>
  <si>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</si>
  <si>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</si>
  <si>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</si>
  <si>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</si>
  <si>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</si>
  <si>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</si>
  <si>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</si>
  <si>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</si>
  <si>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</si>
  <si>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</si>
  <si>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</si>
  <si>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</si>
  <si>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</si>
  <si>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</si>
  <si>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</si>
  <si>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</si>
  <si>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</si>
  <si>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</si>
  <si>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</si>
  <si>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</si>
  <si>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</si>
  <si>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</si>
  <si>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</si>
  <si>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</si>
  <si>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</si>
  <si>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</si>
  <si>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</si>
  <si>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</si>
  <si>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</si>
  <si>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</si>
  <si>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</si>
  <si>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</si>
  <si>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</si>
  <si>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</si>
  <si>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</si>
  <si>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</si>
  <si>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</si>
  <si>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</si>
  <si>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</si>
  <si>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</si>
  <si>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</si>
  <si>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</si>
  <si>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</si>
  <si>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</si>
  <si>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</si>
  <si>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</si>
  <si>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</si>
  <si>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</si>
  <si>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</si>
  <si>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</si>
  <si>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</si>
  <si>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</si>
  <si>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</si>
  <si>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</si>
  <si>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</si>
  <si>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</si>
  <si>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</si>
  <si>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</si>
  <si>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</si>
  <si>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</si>
  <si>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</si>
  <si>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</si>
  <si>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</si>
  <si>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</si>
  <si>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</si>
  <si>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</si>
  <si>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</si>
  <si>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</si>
  <si>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</si>
  <si>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</si>
  <si>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</si>
  <si>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</si>
  <si>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</si>
  <si>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</si>
  <si>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</si>
  <si>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</si>
  <si>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</si>
  <si>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</si>
  <si>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</si>
  <si>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</si>
  <si>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</si>
  <si>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</si>
  <si>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</si>
  <si>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</si>
  <si>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</si>
  <si>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</si>
  <si>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</si>
  <si>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</si>
  <si>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</si>
  <si>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</si>
  <si>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</si>
  <si>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</si>
  <si>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</si>
  <si>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</si>
  <si>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</si>
  <si>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</si>
  <si>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</si>
  <si>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</si>
  <si>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</si>
  <si>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</si>
  <si>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</si>
  <si>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</si>
  <si>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</si>
  <si>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</si>
  <si>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</si>
  <si>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</si>
  <si>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</si>
  <si>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</si>
  <si>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</si>
  <si>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</si>
  <si>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</si>
  <si>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</si>
  <si>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</si>
  <si>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</si>
  <si>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</si>
  <si>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</si>
  <si>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</si>
  <si>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</si>
  <si>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</si>
  <si>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</si>
  <si>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</si>
  <si>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</si>
  <si>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</si>
  <si>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</si>
  <si>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</si>
  <si>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</si>
  <si>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</si>
  <si>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</si>
  <si>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</si>
  <si>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</si>
  <si>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</si>
  <si>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</si>
  <si>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</si>
  <si>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</si>
  <si>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</si>
  <si>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</si>
  <si>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</si>
  <si>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</si>
  <si>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</si>
  <si>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</si>
  <si>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</si>
  <si>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</si>
  <si>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</si>
  <si>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</si>
  <si>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</si>
  <si>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</si>
  <si>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</si>
  <si>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</si>
  <si>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</si>
  <si>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</si>
  <si>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</si>
  <si>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</si>
  <si>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</si>
  <si>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</si>
  <si>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</si>
  <si>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</si>
  <si>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</si>
  <si>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</si>
  <si>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</si>
  <si>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</si>
  <si>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</si>
  <si>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</si>
  <si>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</si>
  <si>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</si>
  <si>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</si>
  <si>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</si>
  <si>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</si>
  <si>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</si>
  <si>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</si>
  <si>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</si>
  <si>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</si>
  <si>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</si>
  <si>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</si>
  <si>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</si>
  <si>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</si>
  <si>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</si>
  <si>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</si>
  <si>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</si>
  <si>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</si>
  <si>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</si>
  <si>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</si>
  <si>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</si>
  <si>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</si>
  <si>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</si>
  <si>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</si>
  <si>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</si>
  <si>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</si>
  <si>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</si>
  <si>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</si>
  <si>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</si>
  <si>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</si>
  <si>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</si>
  <si>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</si>
  <si>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</si>
  <si>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</si>
  <si>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</si>
  <si>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</si>
  <si>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</si>
  <si>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</si>
  <si>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</si>
  <si>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</si>
  <si>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</si>
  <si>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</si>
  <si>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</si>
  <si>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</si>
  <si>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</si>
  <si>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</si>
  <si>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</si>
  <si>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</si>
  <si>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</si>
  <si>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</si>
  <si>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</si>
  <si>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</si>
  <si>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</si>
  <si>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</si>
  <si>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</si>
  <si>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</si>
  <si>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</si>
  <si>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</si>
  <si>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</si>
  <si>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</si>
  <si>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</si>
  <si>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</si>
  <si>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</si>
  <si>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</si>
  <si>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</si>
  <si>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</si>
  <si>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</si>
  <si>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</si>
  <si>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</si>
  <si>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</si>
  <si>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</si>
  <si>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</si>
  <si>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</si>
  <si>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</si>
  <si>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</si>
  <si>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</si>
  <si>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</si>
  <si>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</si>
  <si>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</si>
  <si>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</si>
  <si>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</si>
  <si>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</si>
  <si>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</si>
  <si>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</si>
  <si>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</si>
  <si>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</si>
  <si>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</si>
  <si>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</si>
  <si>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</si>
  <si>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</si>
  <si>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</si>
  <si>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</si>
  <si>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</si>
  <si>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</si>
  <si>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</si>
  <si>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</si>
  <si>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</si>
  <si>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</si>
  <si>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</si>
  <si>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</si>
  <si>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</si>
  <si>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</si>
  <si>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</si>
  <si>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</si>
  <si>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</si>
  <si>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</si>
  <si>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</si>
  <si>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</si>
  <si>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</si>
  <si>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</si>
  <si>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</si>
  <si>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</si>
  <si>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</si>
  <si>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</si>
  <si>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</si>
  <si>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</si>
  <si>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</si>
  <si>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</si>
  <si>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</si>
  <si>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</si>
  <si>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</si>
  <si>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</si>
  <si>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</si>
  <si>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</si>
  <si>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</si>
  <si>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</si>
  <si>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</si>
  <si>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</si>
  <si>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</si>
  <si>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</si>
  <si>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</si>
  <si>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</si>
  <si>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</si>
  <si>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</si>
  <si>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</si>
  <si>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</si>
  <si>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</si>
  <si>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</si>
  <si>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</si>
  <si>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</si>
  <si>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</si>
  <si>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</si>
  <si>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</si>
  <si>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</si>
  <si>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</si>
  <si>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</si>
  <si>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</si>
  <si>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</si>
  <si>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</si>
  <si>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</si>
  <si>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</si>
  <si>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</si>
  <si>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</si>
  <si>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</si>
  <si>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</si>
  <si>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</si>
  <si>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</si>
  <si>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</si>
  <si>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</si>
  <si>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</si>
  <si>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</si>
  <si>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</si>
  <si>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</si>
  <si>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</si>
  <si>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</si>
  <si>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</si>
  <si>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</si>
  <si>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</si>
  <si>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</si>
  <si>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</si>
  <si>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</si>
  <si>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</si>
  <si>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</si>
  <si>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</si>
  <si>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</si>
  <si>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</si>
  <si>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</si>
  <si>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</si>
  <si>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</si>
  <si>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</si>
  <si>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</si>
  <si>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</si>
  <si>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</si>
  <si>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</si>
  <si>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</si>
  <si>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</si>
  <si>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</si>
  <si>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</si>
  <si>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</si>
  <si>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</si>
  <si>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</si>
  <si>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</si>
  <si>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</si>
  <si>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</si>
  <si>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</si>
  <si>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</si>
  <si>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</si>
  <si>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</si>
  <si>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</si>
  <si>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</si>
  <si>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</si>
  <si>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</si>
  <si>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</si>
  <si>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</si>
  <si>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</si>
  <si>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</si>
  <si>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</si>
  <si>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</si>
  <si>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</si>
  <si>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</si>
  <si>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</si>
  <si>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</si>
  <si>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</si>
  <si>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</si>
  <si>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</si>
  <si>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</si>
  <si>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</si>
  <si>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</si>
  <si>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</si>
  <si>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</si>
  <si>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</si>
  <si>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</si>
  <si>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</si>
  <si>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</si>
  <si>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</si>
  <si>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</si>
  <si>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</si>
  <si>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</si>
  <si>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</si>
  <si>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</si>
  <si>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</si>
  <si>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</si>
  <si>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</si>
  <si>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</si>
  <si>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</si>
  <si>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</si>
  <si>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</si>
  <si>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</si>
  <si>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</si>
  <si>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</si>
  <si>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</si>
  <si>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</si>
  <si>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</si>
  <si>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</si>
  <si>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</si>
  <si>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</si>
  <si>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</si>
  <si>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</si>
  <si>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</si>
  <si>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</si>
  <si>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</si>
  <si>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</si>
  <si>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</si>
  <si>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</si>
  <si>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</si>
  <si>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</si>
  <si>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</si>
  <si>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</si>
  <si>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</si>
  <si>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</si>
  <si>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</si>
  <si>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</si>
  <si>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</si>
  <si>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</si>
  <si>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</si>
  <si>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</si>
  <si>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</si>
  <si>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</si>
  <si>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</si>
  <si>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</si>
  <si>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</si>
  <si>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</si>
  <si>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</si>
  <si>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</si>
  <si>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</si>
  <si>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</si>
  <si>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</si>
  <si>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</si>
  <si>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</si>
  <si>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</si>
  <si>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</si>
  <si>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</si>
  <si>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</si>
  <si>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</si>
  <si>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</si>
  <si>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</si>
  <si>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</si>
  <si>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</si>
  <si>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</si>
  <si>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</si>
  <si>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</si>
  <si>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</si>
  <si>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</si>
  <si>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</si>
  <si>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</si>
  <si>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</si>
  <si>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</si>
  <si>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</si>
  <si>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</si>
  <si>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</si>
  <si>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</si>
  <si>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</si>
  <si>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</si>
  <si>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</si>
  <si>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</si>
  <si>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</si>
  <si>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</si>
  <si>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</si>
  <si>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</si>
  <si>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</si>
  <si>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</si>
  <si>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</si>
  <si>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</si>
  <si>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</si>
  <si>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</si>
  <si>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</si>
  <si>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</si>
  <si>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</si>
  <si>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</si>
  <si>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</si>
  <si>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</si>
  <si>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</si>
  <si>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</si>
  <si>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</si>
  <si>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</si>
  <si>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</si>
  <si>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</si>
  <si>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</si>
  <si>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</si>
  <si>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</si>
  <si>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</si>
  <si>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</si>
  <si>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</si>
  <si>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</si>
  <si>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</si>
  <si>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</si>
  <si>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</si>
  <si>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</si>
  <si>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</si>
  <si>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</si>
  <si>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</si>
  <si>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</si>
  <si>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</si>
  <si>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</si>
  <si>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</si>
  <si>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</si>
  <si>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</si>
  <si>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</si>
  <si>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</si>
  <si>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</si>
  <si>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</si>
  <si>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</si>
  <si>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</si>
  <si>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</si>
  <si>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</si>
  <si>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</si>
  <si>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</si>
  <si>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</si>
  <si>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</si>
  <si>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</si>
  <si>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</si>
  <si>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</si>
  <si>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</si>
  <si>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</si>
  <si>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</si>
  <si>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</si>
  <si>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</si>
  <si>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</si>
  <si>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</si>
  <si>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</si>
  <si>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</si>
  <si>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</si>
  <si>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</si>
  <si>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</si>
  <si>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</si>
  <si>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</si>
  <si>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</si>
  <si>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</si>
  <si>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</si>
  <si>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</si>
  <si>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</si>
  <si>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</si>
  <si>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</si>
  <si>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</si>
  <si>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</si>
  <si>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</si>
  <si>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</si>
  <si>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</si>
  <si>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</si>
  <si>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</si>
  <si>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</si>
  <si>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</si>
  <si>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</si>
  <si>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</si>
  <si>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</si>
  <si>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</si>
  <si>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</si>
  <si>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</si>
  <si>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</si>
  <si>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</si>
  <si>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</si>
  <si>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</si>
  <si>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</si>
  <si>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</si>
  <si>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</si>
  <si>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</si>
  <si>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</si>
  <si>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</si>
  <si>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</si>
  <si>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</si>
  <si>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</si>
  <si>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</si>
  <si>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</si>
  <si>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</si>
  <si>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</si>
  <si>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</si>
  <si>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</si>
  <si>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</si>
  <si>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</si>
  <si>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</si>
  <si>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</si>
  <si>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</si>
  <si>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</si>
  <si>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</si>
  <si>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</si>
  <si>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</si>
  <si>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</si>
  <si>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</si>
  <si>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</si>
  <si>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</si>
  <si>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</si>
  <si>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</si>
  <si>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</si>
  <si>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</si>
  <si>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</si>
  <si>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</si>
  <si>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</si>
  <si>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</si>
  <si>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</si>
  <si>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</si>
  <si>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</si>
  <si>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</si>
  <si>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</si>
  <si>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</si>
  <si>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</si>
  <si>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</si>
  <si>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</si>
  <si>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</si>
  <si>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</si>
  <si>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</si>
  <si>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</si>
  <si>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</si>
  <si>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</si>
  <si>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</si>
  <si>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</si>
  <si>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</si>
  <si>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</si>
  <si>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</si>
  <si>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</si>
  <si>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</si>
  <si>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</si>
  <si>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</si>
  <si>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</si>
  <si>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</si>
  <si>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</si>
  <si>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</si>
  <si>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</si>
  <si>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</si>
  <si>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</si>
  <si>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</si>
  <si>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</si>
  <si>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</si>
  <si>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</si>
  <si>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</si>
  <si>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</si>
  <si>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</si>
  <si>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</si>
  <si>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</si>
  <si>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</si>
  <si>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</si>
  <si>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</si>
  <si>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</si>
  <si>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</si>
  <si>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</si>
  <si>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</si>
  <si>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</si>
  <si>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</si>
  <si>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</si>
  <si>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</si>
  <si>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</si>
  <si>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</si>
  <si>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</si>
  <si>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</si>
  <si>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</si>
  <si>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</si>
  <si>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</si>
  <si>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</si>
  <si>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</si>
  <si>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</si>
  <si>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</si>
  <si>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</si>
  <si>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</si>
  <si>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</si>
  <si>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</si>
  <si>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</si>
  <si>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</si>
  <si>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</si>
  <si>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</si>
  <si>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</si>
  <si>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</si>
  <si>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</si>
  <si>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</si>
  <si>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</si>
  <si>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</si>
  <si>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</si>
  <si>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</si>
  <si>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</si>
  <si>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</si>
  <si>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</si>
  <si>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</si>
  <si>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</si>
  <si>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</si>
  <si>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</si>
  <si>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</si>
  <si>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</si>
  <si>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</si>
  <si>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</si>
  <si>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</si>
  <si>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</si>
  <si>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</si>
  <si>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</si>
  <si>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</si>
  <si>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</si>
  <si>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</si>
  <si>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</si>
  <si>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</si>
  <si>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</si>
  <si>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</si>
  <si>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</si>
  <si>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</si>
  <si>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</si>
  <si>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</si>
  <si>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</si>
  <si>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</si>
  <si>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</si>
  <si>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</si>
  <si>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</si>
  <si>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</si>
  <si>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</si>
  <si>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</si>
  <si>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</si>
  <si>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</si>
  <si>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</si>
  <si>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</si>
  <si>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</si>
  <si>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</si>
  <si>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</si>
  <si>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</si>
  <si>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</si>
  <si>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</si>
  <si>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</si>
  <si>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</si>
  <si>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</si>
  <si>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</si>
  <si>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</si>
  <si>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</si>
  <si>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</si>
  <si>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</si>
  <si>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</si>
  <si>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</si>
  <si>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</si>
  <si>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</si>
  <si>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</si>
  <si>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</si>
  <si>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</si>
  <si>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</si>
  <si>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</si>
  <si>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</si>
  <si>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</si>
  <si>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</si>
  <si>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</si>
  <si>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</si>
  <si>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</si>
  <si>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</si>
  <si>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</si>
  <si>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</si>
  <si>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</si>
  <si>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</si>
  <si>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</si>
  <si>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</si>
  <si>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</si>
  <si>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</si>
  <si>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</si>
  <si>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</si>
  <si>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</si>
  <si>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</si>
  <si>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</si>
  <si>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</si>
  <si>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</si>
  <si>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</si>
  <si>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</si>
  <si>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</si>
  <si>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</si>
  <si>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</si>
  <si>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</si>
  <si>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</si>
  <si>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</si>
  <si>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</si>
  <si>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</si>
  <si>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</si>
  <si>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</si>
  <si>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</si>
  <si>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</si>
  <si>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</si>
  <si>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</si>
  <si>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</si>
  <si>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</si>
  <si>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</si>
  <si>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</si>
  <si>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</si>
  <si>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</si>
  <si>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</si>
  <si>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</si>
  <si>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</si>
  <si>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</si>
  <si>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</si>
  <si>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</si>
  <si>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</si>
  <si>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</si>
  <si>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</si>
  <si>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</si>
  <si>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</si>
  <si>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</si>
  <si>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</si>
  <si>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</si>
  <si>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</si>
  <si>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</si>
  <si>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</si>
  <si>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</si>
  <si>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</si>
  <si>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</si>
  <si>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</si>
  <si>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</si>
  <si>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</si>
  <si>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</si>
  <si>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</si>
  <si>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</si>
  <si>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</si>
  <si>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</si>
  <si>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</si>
  <si>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</si>
  <si>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</si>
  <si>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</si>
  <si>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</si>
  <si>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</si>
  <si>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</si>
  <si>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</si>
  <si>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</si>
  <si>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</si>
  <si>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</si>
  <si>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</si>
  <si>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</si>
  <si>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</si>
  <si>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</si>
  <si>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</si>
  <si>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</si>
  <si>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</si>
  <si>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</si>
  <si>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</si>
  <si>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</si>
  <si>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</si>
  <si>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</si>
  <si>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</si>
  <si>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</si>
  <si>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</si>
  <si>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</si>
  <si>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</si>
  <si>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</si>
  <si>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</si>
  <si>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</si>
  <si>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</si>
  <si>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</si>
  <si>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</si>
  <si>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</si>
  <si>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</si>
  <si>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</si>
  <si>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</si>
  <si>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</si>
  <si>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</si>
  <si>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</si>
  <si>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</si>
  <si>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</si>
  <si>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</si>
  <si>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</si>
  <si>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</si>
  <si>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</si>
  <si>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</si>
  <si>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</si>
  <si>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</si>
  <si>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</si>
  <si>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</si>
  <si>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</si>
  <si>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</si>
  <si>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</si>
  <si>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</si>
  <si>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</si>
  <si>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</si>
  <si>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</si>
  <si>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</si>
  <si>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</si>
  <si>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</si>
  <si>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</si>
  <si>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</si>
  <si>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</si>
  <si>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</si>
  <si>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</si>
  <si>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</si>
  <si>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</si>
  <si>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</si>
  <si>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</si>
  <si>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</si>
  <si>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</si>
  <si>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</si>
  <si>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</si>
  <si>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</si>
  <si>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</si>
  <si>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</si>
  <si>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</si>
  <si>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</si>
  <si>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</si>
  <si>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</si>
  <si>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</si>
  <si>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</si>
  <si>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</si>
  <si>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</si>
  <si>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</si>
  <si>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</si>
  <si>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</si>
  <si>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</si>
  <si>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</si>
  <si>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</si>
  <si>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</si>
  <si>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</si>
  <si>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</si>
  <si>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</si>
  <si>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</si>
  <si>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</si>
  <si>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</si>
  <si>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</si>
  <si>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</si>
  <si>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</si>
  <si>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</si>
  <si>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</si>
  <si>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</si>
  <si>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</si>
  <si>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</si>
  <si>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</si>
  <si>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</si>
  <si>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</si>
  <si>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</si>
  <si>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</si>
  <si>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</si>
  <si>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</si>
  <si>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</si>
  <si>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</si>
  <si>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</si>
  <si>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</si>
  <si>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</si>
  <si>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</si>
  <si>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</si>
  <si>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</si>
  <si>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</si>
  <si>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</si>
  <si>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</si>
  <si>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</si>
  <si>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</si>
  <si>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</si>
  <si>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</si>
  <si>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</si>
  <si>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</si>
  <si>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</si>
  <si>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</si>
  <si>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</si>
  <si>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</si>
  <si>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</si>
  <si>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</si>
  <si>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</si>
  <si>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</si>
  <si>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</si>
  <si>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</si>
  <si>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</si>
  <si>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</si>
  <si>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</si>
  <si>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</si>
  <si>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</si>
  <si>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</si>
  <si>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</si>
  <si>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</si>
  <si>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</si>
  <si>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</si>
  <si>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</si>
  <si>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</si>
  <si>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</si>
  <si>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</si>
  <si>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</si>
  <si>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</si>
  <si>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</si>
  <si>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</si>
  <si>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</si>
  <si>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</si>
  <si>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</si>
  <si>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</si>
  <si>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</si>
  <si>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</si>
  <si>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</si>
  <si>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</si>
  <si>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</si>
  <si>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</si>
  <si>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</si>
  <si>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</si>
  <si>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</si>
  <si>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</si>
  <si>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</si>
  <si>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</si>
  <si>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</si>
  <si>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</si>
  <si>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</si>
  <si>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</si>
  <si>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</si>
  <si>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</si>
  <si>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</si>
  <si>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</si>
  <si>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</si>
  <si>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</si>
  <si>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</si>
  <si>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</si>
  <si>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</si>
  <si>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</si>
  <si>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</si>
  <si>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</si>
  <si>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</si>
  <si>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</si>
  <si>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</si>
  <si>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</si>
  <si>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</si>
  <si>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</si>
  <si>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</si>
  <si>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</si>
  <si>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</si>
  <si>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</si>
  <si>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</si>
  <si>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</si>
  <si>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</si>
  <si>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</si>
  <si>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</si>
  <si>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</si>
  <si>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</si>
  <si>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</si>
  <si>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</si>
  <si>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</si>
  <si>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</si>
  <si>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</si>
  <si>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</si>
  <si>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</si>
  <si>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</si>
  <si>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</si>
  <si>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</si>
  <si>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</si>
  <si>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</si>
  <si>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</si>
  <si>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</si>
  <si>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</si>
  <si>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</si>
  <si>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</si>
  <si>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</si>
  <si>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</si>
  <si>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</si>
  <si>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</si>
  <si>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</si>
  <si>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</si>
  <si>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</si>
  <si>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</si>
  <si>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</si>
  <si>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</si>
  <si>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</si>
  <si>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</si>
  <si>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</si>
  <si>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</si>
  <si>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</si>
  <si>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</si>
  <si>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</si>
  <si>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</si>
  <si>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</si>
  <si>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</si>
  <si>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</si>
  <si>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</si>
  <si>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</si>
  <si>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</si>
  <si>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</si>
  <si>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</si>
  <si>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</si>
  <si>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</si>
  <si>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</si>
  <si>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</si>
  <si>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</si>
  <si>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</si>
  <si>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</si>
  <si>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</si>
  <si>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</si>
  <si>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</si>
  <si>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</si>
  <si>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</si>
  <si>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</si>
  <si>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</si>
  <si>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</si>
  <si>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</si>
  <si>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</si>
  <si>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</si>
  <si>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</si>
  <si>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</si>
  <si>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</si>
  <si>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</si>
  <si>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</si>
  <si>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</si>
  <si>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</si>
  <si>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</si>
  <si>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</si>
  <si>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</si>
  <si>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</si>
  <si>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</si>
  <si>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</si>
  <si>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</si>
  <si>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</si>
  <si>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</si>
  <si>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</si>
  <si>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</si>
  <si>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</si>
  <si>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</si>
  <si>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</si>
  <si>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</si>
  <si>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</si>
  <si>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</si>
  <si>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</si>
  <si>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</si>
  <si>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</si>
  <si>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</si>
  <si>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</si>
  <si>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</si>
  <si>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</si>
  <si>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</si>
  <si>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</si>
  <si>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</si>
  <si>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</si>
  <si>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</si>
  <si>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</si>
  <si>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</si>
  <si>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</si>
  <si>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</si>
  <si>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</si>
  <si>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</si>
  <si>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</si>
  <si>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</si>
  <si>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</si>
  <si>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</si>
  <si>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</si>
  <si>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</si>
  <si>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</si>
  <si>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</si>
  <si>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</si>
  <si>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</si>
  <si>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</si>
  <si>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</si>
  <si>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</si>
  <si>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</si>
  <si>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</si>
  <si>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</si>
  <si>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</si>
  <si>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</si>
  <si>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</si>
  <si>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</si>
  <si>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</si>
  <si>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</si>
  <si>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</si>
  <si>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</si>
  <si>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</si>
  <si>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</si>
  <si>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</si>
  <si>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</si>
  <si>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</si>
  <si>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</si>
  <si>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</si>
  <si>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</si>
  <si>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</si>
  <si>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</si>
  <si>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</si>
  <si>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</si>
  <si>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</si>
  <si>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</si>
  <si>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</si>
  <si>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</si>
  <si>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</si>
  <si>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</si>
  <si>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</si>
  <si>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</si>
  <si>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</si>
  <si>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</si>
  <si>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</si>
  <si>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</si>
  <si>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</si>
  <si>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</si>
  <si>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</si>
  <si>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</si>
  <si>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</si>
  <si>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</si>
  <si>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</si>
  <si>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</si>
  <si>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</si>
  <si>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</si>
  <si>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</si>
  <si>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</si>
  <si>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</si>
  <si>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</si>
  <si>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</si>
  <si>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</si>
  <si>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</si>
  <si>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</si>
  <si>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</si>
  <si>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</si>
  <si>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</si>
  <si>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</si>
  <si>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</si>
  <si>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</si>
  <si>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</si>
  <si>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</si>
  <si>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</si>
  <si>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</si>
  <si>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</si>
  <si>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</si>
  <si>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</si>
  <si>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</si>
  <si>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</si>
  <si>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</si>
  <si>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</si>
  <si>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</si>
  <si>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</si>
  <si>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</si>
  <si>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</si>
  <si>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</si>
  <si>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</si>
  <si>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</si>
  <si>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</si>
  <si>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</si>
  <si>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</si>
  <si>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</si>
  <si>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</si>
  <si>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</si>
  <si>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</si>
  <si>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</si>
  <si>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</si>
  <si>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</si>
  <si>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</si>
  <si>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</si>
  <si>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</si>
  <si>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</si>
  <si>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</si>
  <si>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</si>
  <si>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</si>
  <si>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</si>
  <si>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</si>
  <si>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</si>
  <si>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</si>
  <si>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</si>
  <si>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</si>
  <si>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</si>
  <si>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</si>
  <si>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</si>
  <si>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</si>
  <si>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</si>
  <si>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</si>
  <si>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</si>
  <si>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</si>
  <si>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</si>
  <si>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</si>
  <si>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</si>
  <si>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</si>
  <si>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</si>
  <si>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</si>
  <si>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</si>
  <si>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</si>
  <si>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</si>
  <si>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</si>
  <si>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</si>
  <si>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</si>
  <si>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</si>
  <si>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</si>
  <si>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</si>
  <si>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</si>
  <si>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</si>
  <si>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</si>
  <si>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</si>
  <si>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</si>
  <si>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</si>
  <si>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</si>
  <si>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</si>
  <si>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</si>
  <si>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</si>
  <si>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</si>
  <si>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</si>
  <si>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</si>
  <si>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</si>
  <si>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</si>
  <si>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</si>
  <si>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</si>
  <si>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</si>
  <si>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</si>
  <si>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</si>
  <si>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</si>
  <si>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</si>
  <si>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</si>
  <si>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</si>
  <si>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</si>
  <si>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</si>
  <si>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</si>
  <si>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</si>
  <si>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</si>
  <si>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</si>
  <si>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</si>
  <si>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</si>
  <si>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</si>
  <si>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</si>
  <si>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</si>
  <si>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</si>
  <si>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</si>
  <si>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</si>
  <si>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</si>
  <si>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</si>
  <si>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</si>
  <si>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</si>
  <si>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</si>
  <si>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</si>
  <si>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</si>
  <si>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</si>
  <si>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</si>
  <si>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</si>
  <si>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</si>
  <si>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</si>
  <si>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</si>
  <si>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</si>
  <si>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</si>
  <si>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</si>
  <si>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</si>
  <si>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</si>
  <si>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</si>
  <si>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</si>
  <si>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</si>
  <si>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</si>
  <si>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</si>
  <si>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</si>
  <si>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</si>
  <si>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</si>
  <si>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</si>
  <si>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</si>
  <si>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</si>
  <si>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</si>
  <si>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</si>
  <si>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</si>
  <si>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</si>
  <si>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</si>
  <si>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</si>
  <si>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</si>
  <si>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</si>
  <si>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</si>
  <si>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</si>
  <si>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</si>
  <si>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</si>
  <si>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</si>
  <si>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外用剤</t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</si>
  <si>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</si>
  <si>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</si>
  <si>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</si>
  <si>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</si>
  <si>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</si>
  <si>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</si>
  <si>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</si>
  <si>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</si>
  <si>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</si>
  <si>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</si>
  <si>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</si>
  <si>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</si>
  <si>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</si>
  <si>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</si>
  <si>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</si>
  <si>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</si>
  <si>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</si>
  <si>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</si>
  <si>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</si>
  <si>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</si>
  <si>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クラシエ小青竜湯エキス細粒</t>
  </si>
  <si>
    <t>アウィクリ注 フレックスタッチ 総量３００単位</t>
  </si>
  <si>
    <t>アレギサール点眼液０．１％</t>
  </si>
  <si>
    <t>ルボックス錠２５</t>
  </si>
  <si>
    <t>クレナフィン爪外用液１０％</t>
  </si>
  <si>
    <t>ビムパット錠５０ｍｇ</t>
  </si>
  <si>
    <t>ヒューマリンＲ注ミリオペン</t>
  </si>
  <si>
    <t>ランタスＸＲ注ソロスター</t>
  </si>
  <si>
    <t>非採用</t>
    <rPh sb="0" eb="3">
      <t>ヒサイヨウ</t>
    </rPh>
    <phoneticPr fontId="2"/>
  </si>
  <si>
    <t>B候補</t>
  </si>
  <si>
    <t>B行番号</t>
  </si>
  <si>
    <t>類似度(0-100)</t>
  </si>
  <si>
    <t>ポビドンヨードゲル１０％</t>
  </si>
  <si>
    <t>フェノバルビタール散１０％_x000D_
「ホエイ」</t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</si>
  <si>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</si>
  <si>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</si>
  <si>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</si>
  <si>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</si>
  <si>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</si>
  <si>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</si>
  <si>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</si>
  <si>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</si>
  <si>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</si>
  <si>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</si>
  <si>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</si>
  <si>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</si>
  <si>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</si>
  <si>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</si>
  <si>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</si>
  <si>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エビリファイ内用液０．１％　３ｍｌ</t>
  </si>
  <si>
    <t>エビリファイ内用液０．１％　６ｍｌ</t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</si>
  <si>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</si>
  <si>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</si>
  <si>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</si>
  <si>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</si>
  <si>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</si>
  <si>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</si>
  <si>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</si>
  <si>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</si>
  <si>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</si>
  <si>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</si>
  <si>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</si>
  <si>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</si>
  <si>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</si>
  <si>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</si>
  <si>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</si>
  <si>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</si>
  <si>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</si>
  <si>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</si>
  <si>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トリアゾラム錠0.125ｍｇ「CH」　　採用中止</t>
  </si>
  <si>
    <t>生理食塩液「VTRS」20ｍｌ</t>
  </si>
  <si>
    <t>注射用水ＰＬ「フソー」100ｍｌ（スタンタフル）</t>
  </si>
  <si>
    <t>注射用水ＰＬ「フソー」20ｍｌ（スノープル）</t>
  </si>
  <si>
    <t>フェノバルビタール散10％「ホエイ」</t>
    <phoneticPr fontId="2"/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</si>
  <si>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</si>
  <si>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</si>
  <si>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</si>
  <si>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</si>
  <si>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</si>
  <si>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</si>
  <si>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</si>
  <si>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</si>
  <si>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</si>
  <si>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アジルバ錠１０ｍｇ</t>
  </si>
  <si>
    <t>ｱｼﾞﾙ1</t>
  </si>
  <si>
    <t>ｱｼﾞﾙﾊﾞｼﾞｮｳ10mg</t>
  </si>
  <si>
    <t>ｱｼﾙ002</t>
  </si>
  <si>
    <t>アジルバ錠２０ｍｇ</t>
  </si>
  <si>
    <t>ｱｼﾞﾙ</t>
  </si>
  <si>
    <t>ｱｼﾞﾙﾊﾞｼﾞｮｳ20mg</t>
  </si>
  <si>
    <t>ｱｽｺ001</t>
  </si>
  <si>
    <t>アスコルビン酸注射液５００ｍｇ「日医工」</t>
  </si>
  <si>
    <t>ｱｽｺ</t>
  </si>
  <si>
    <t>ｱｽｺﾙﾋﾞﾝｻﾝﾁｭｳｼｬｴｷ500mg｢ﾆﾁｲｺｳ｣</t>
  </si>
  <si>
    <t>ｱｽｺ002</t>
  </si>
  <si>
    <t>アスコルビン酸注射液５００ｍｇ「トーワ」</t>
  </si>
  <si>
    <t>ｱｽｺﾙﾋﾞﾝｻﾝﾁﾕｳｼﾔｴｷ500MGﾄ-ﾜ</t>
  </si>
  <si>
    <t>ｱｽﾉ001</t>
  </si>
  <si>
    <t>アズノールＳＴ錠口腔用５ｍｇ</t>
  </si>
  <si>
    <t>ｱｽﾞﾉ1</t>
  </si>
  <si>
    <t>ｱｽﾞﾉｰﾙSTｼﾞｮｳｺｳｸｳﾖｳ5mg</t>
  </si>
  <si>
    <t>ｱｽﾉ003</t>
  </si>
  <si>
    <t>アズノール錠２ｍｇ</t>
  </si>
  <si>
    <t>ｱｽﾞﾉ-ﾙｼﾞﾖｳ2MG</t>
  </si>
  <si>
    <t>ｱｽﾚ002</t>
  </si>
  <si>
    <t>アズレン点眼液わかもと</t>
  </si>
  <si>
    <t>ｱｽﾞﾚﾝﾃﾝｶﾞﾝｴｷﾜｶﾓﾄ</t>
  </si>
  <si>
    <t>ｱｿｾ001</t>
  </si>
  <si>
    <t>アゾセミド錠３０ｍｇ「ＪＧ」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</si>
  <si>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</si>
  <si>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</si>
  <si>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</si>
  <si>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</si>
  <si>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</si>
  <si>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</si>
  <si>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アトモキセチンカプセル１０ｍｇ「アメル」</t>
  </si>
  <si>
    <t>ｱﾄﾓ10</t>
  </si>
  <si>
    <t>ｱﾄﾓｷｾﾁﾝｶﾌﾟｾﾙ10mg｢ｱﾒﾙ｣</t>
  </si>
  <si>
    <t>ｱﾄﾓ003</t>
  </si>
  <si>
    <t>アトモキセチンカプセル４０ｍｇ「サワイ」</t>
  </si>
  <si>
    <t>ｱﾄ40</t>
  </si>
  <si>
    <t>ｱﾄﾓｷｾﾁﾝｶﾌﾟｾﾙ40mg｢ｻﾜｲ｣</t>
  </si>
  <si>
    <t>ｱﾄﾓ004</t>
  </si>
  <si>
    <t>アトモキセチンカプセル４０ｍｇ「アメル」</t>
  </si>
  <si>
    <t>ｱﾄﾓ40</t>
  </si>
  <si>
    <t>ｱﾄﾓｷｾﾁﾝｶﾌﾟｾﾙ40mg｢ｱﾒﾙ｣</t>
  </si>
  <si>
    <t>ｱﾄﾙ001</t>
  </si>
  <si>
    <t>アトルバスタチン錠１０ｍｇ「Ｍｅ」</t>
  </si>
  <si>
    <t>ｱﾄﾙ1</t>
  </si>
  <si>
    <t>ｱﾄﾙﾊﾞｽﾀﾁﾝｼﾞｮｳ10mg｢Me｣</t>
  </si>
  <si>
    <t>ｱﾅｽ001</t>
  </si>
  <si>
    <t>アナストロゾール錠１ｍｇ「ＮＫ」</t>
  </si>
  <si>
    <t>ｱﾅｽﾄ</t>
  </si>
  <si>
    <t>ｱﾅｽﾄﾛｿﾞｰﾙｼﾞｮｳ1mg｢NK｣</t>
  </si>
  <si>
    <t>ｱﾅﾌ001</t>
  </si>
  <si>
    <t>アナフラニール錠２５ｍｇ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</si>
  <si>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</si>
  <si>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</si>
  <si>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</si>
  <si>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</si>
  <si>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</si>
  <si>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アフタッチ口腔用貼付剤２５μｇ</t>
  </si>
  <si>
    <t>ｱﾌﾀｯﾁ</t>
  </si>
  <si>
    <t>ｱﾌﾀｯﾁｺｳｸｳﾖｳﾁｮｳﾌｻﾞｲ25μg</t>
  </si>
  <si>
    <t>ｱﾑﾛ001</t>
  </si>
  <si>
    <t>アムロジピンＯＤ錠２．５ｍｇ「あすか」</t>
  </si>
  <si>
    <t>ｱﾑﾛOD</t>
  </si>
  <si>
    <t>ｱﾑﾛｼﾞﾋﾟﾝODｼﾞｮｳ2.5mg｢ｱｽｶ｣</t>
  </si>
  <si>
    <t>ｱﾗﾐ001</t>
  </si>
  <si>
    <t>アラミスト点鼻液２７．５μｇ５６噴霧用</t>
  </si>
  <si>
    <t>ｱﾗﾐ</t>
  </si>
  <si>
    <t>ｱﾗﾐｽﾄﾃﾝﾋﾞｴｷ27.5μg56ﾌﾝﾑﾖｳ</t>
  </si>
  <si>
    <t>ｱﾘｾ001</t>
  </si>
  <si>
    <t>アリセプトＤ錠５ｍｇ</t>
  </si>
  <si>
    <t>ｱﾘｾ</t>
  </si>
  <si>
    <t>ｱﾘｾﾌﾟﾄDｼﾞｮｳ5mg</t>
  </si>
  <si>
    <t>ｱﾘﾋ001</t>
  </si>
  <si>
    <t>アリピプラゾールＯＤ錠３ｍｇ「ヨシトミ」</t>
  </si>
  <si>
    <t>ｱﾘﾋﾟ1</t>
  </si>
  <si>
    <t>ｱﾘﾋﾟﾌﾟﾗｿﾞｰﾙODｼﾞｮｳ3mg｢ﾖｼﾄﾐ｣</t>
  </si>
  <si>
    <t>ｱﾘﾋ002</t>
  </si>
  <si>
    <t>アリピプラゾール内用液分包３ｍｇ「ニプロ」</t>
  </si>
  <si>
    <t>ｱﾘﾋﾟ5</t>
  </si>
  <si>
    <t>ｱﾘﾋﾟﾌﾟﾗｿﾞｰﾙﾅｲﾖｳｴｷﾌﾞﾝﾎﾟｳ3mg｢ﾆﾌﾟﾛ｣</t>
  </si>
  <si>
    <t>ｱﾘﾋ003</t>
  </si>
  <si>
    <t>アリピプラゾール内用液分包６ｍｇ「ニプロ」</t>
  </si>
  <si>
    <t>ｱﾘﾋﾟ4</t>
  </si>
  <si>
    <t>ｱﾘﾋﾟﾌﾟﾗｿﾞｰﾙﾅｲﾖｳｴｷﾌﾞﾝﾎﾟｳ6mg｢ﾆﾌﾟﾛ｣</t>
  </si>
  <si>
    <t>ｱﾘﾋ004</t>
  </si>
  <si>
    <t>アリピプラゾールＯＤ錠６ｍｇ「ヨシトミ」</t>
  </si>
  <si>
    <t>ｱﾘﾋﾟ6</t>
  </si>
  <si>
    <t>ｱﾘﾋﾟﾌﾟﾗｿﾞｰﾙODｼﾞｮｳ6mg｢ﾖｼﾄﾐ｣</t>
  </si>
  <si>
    <t>ｱﾘﾋ005</t>
  </si>
  <si>
    <t>アリピプラゾール散１％「ヨシトミ」</t>
  </si>
  <si>
    <t>ｱﾘﾋﾟ3</t>
  </si>
  <si>
    <t>ｱﾘﾋﾟﾌﾟﾗｿﾞｰﾙｻﾝ1%｢ﾖｼﾄﾐ｣</t>
  </si>
  <si>
    <t>ｱﾘﾋ006</t>
  </si>
  <si>
    <t>アリピプラゾールＯＤ錠１２ｍｇ「ヨシトミ」</t>
  </si>
  <si>
    <t>ｱﾘﾋﾟ2</t>
  </si>
  <si>
    <t>ｱﾘﾋﾟﾌﾟﾗｿﾞｰﾙODｼﾞｮｳ12mg｢ﾖｼﾄﾐ｣</t>
  </si>
  <si>
    <t>ｱﾙｻ001</t>
  </si>
  <si>
    <t>アルサルミン液</t>
  </si>
  <si>
    <t>ｱﾙｻﾙﾐﾝｴｷ</t>
  </si>
  <si>
    <t>ｱﾙﾌ001</t>
  </si>
  <si>
    <t>アルファカルシドールカプセル０．５μｇ「サワイ」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</si>
  <si>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</si>
  <si>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</si>
  <si>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</si>
  <si>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</si>
  <si>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</si>
  <si>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</si>
  <si>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</si>
  <si>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</si>
  <si>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</si>
  <si>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アレンドロン酸点滴静注バッグ９００μｇ「ＨＫ」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</si>
  <si>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</si>
  <si>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</si>
  <si>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</si>
  <si>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</si>
  <si>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</si>
  <si>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</si>
  <si>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アンヒバ坐剤小児用２００ｍｇ</t>
  </si>
  <si>
    <t>ｱﾝﾋ</t>
  </si>
  <si>
    <t>ｱﾝﾋﾊﾞｻﾞｻﾞｲｼｮｳﾆﾖｳ200mg</t>
  </si>
  <si>
    <t>ｲｸｻ001</t>
  </si>
  <si>
    <t>イグザレルト錠１０ｍｇ</t>
  </si>
  <si>
    <t>ｲｸﾞｻﾞﾚ</t>
  </si>
  <si>
    <t>ｲｸﾞｻﾞﾚﾙﾄｼﾞｮｳ10mg</t>
  </si>
  <si>
    <t>ｲｸｻ002</t>
  </si>
  <si>
    <t>イグザレルトＯＤ錠１０ｍｇ</t>
  </si>
  <si>
    <t>ｲｸﾞｻﾞﾚﾙﾄODｼﾞﾖｳ10MG</t>
  </si>
  <si>
    <t>ｲｹﾌ001</t>
  </si>
  <si>
    <t>イーケプラ錠２５０ｍｇ</t>
  </si>
  <si>
    <t>ｲｰｹﾌﾟ</t>
  </si>
  <si>
    <t>ｲｰｹﾌﾟﾗｼﾞｮｳ250mg</t>
  </si>
  <si>
    <t>ｲｹﾌ002</t>
  </si>
  <si>
    <t>イーケプラドライシロップ５０％</t>
  </si>
  <si>
    <t>ｲｰｹﾌﾟD</t>
  </si>
  <si>
    <t>ｲｰｹﾌﾟﾗﾄﾞﾗｲｼﾛｯﾌﾟ50%</t>
  </si>
  <si>
    <t>ｲｹﾌ003</t>
  </si>
  <si>
    <t>イーケプラ点滴静注５００ｍｇ</t>
  </si>
  <si>
    <t>ｲｰｹﾌﾟﾗ</t>
  </si>
  <si>
    <t>ｲｰｹﾌﾟﾗﾃﾝﾃｷｼﾞｮｳﾁｭｳ500mg</t>
  </si>
  <si>
    <t>ｲｽｺ001</t>
  </si>
  <si>
    <t>イスコチン錠１００ｍｇ</t>
  </si>
  <si>
    <t>ｲｽｺ2</t>
  </si>
  <si>
    <t>ｲｽｺﾁﾝｼﾞｮｳ100mg</t>
  </si>
  <si>
    <t>ｲｽｺ002</t>
  </si>
  <si>
    <t>イスコチン注１００ｍｇ</t>
  </si>
  <si>
    <t>ｲｽｺ</t>
  </si>
  <si>
    <t>ｲｽｺﾁﾝﾁｭｳ100mg</t>
  </si>
  <si>
    <t>ｲﾉﾗ001</t>
  </si>
  <si>
    <t>イノラス配合経腸用液</t>
  </si>
  <si>
    <t>ｲﾉﾗｽﾊｲｺﾞｳｹｲﾁﾖｳﾖｳｴｷ</t>
  </si>
  <si>
    <t>ｲﾙﾍ001</t>
  </si>
  <si>
    <t>イルベサルタン錠５０ｍｇ「ニプロ」</t>
  </si>
  <si>
    <t>ｲﾙﾍﾞ</t>
  </si>
  <si>
    <t>ｲﾙﾍﾞｻﾙﾀﾝｼﾞｮｳ50mg｢ﾆﾌﾟﾛ｣</t>
  </si>
  <si>
    <t>ｲﾝﾁ002</t>
  </si>
  <si>
    <t>インチュニブ錠３ｍｇ</t>
  </si>
  <si>
    <t>ｲﾝﾁｭ3</t>
  </si>
  <si>
    <t>ｲﾝﾁｭﾆﾌﾞｼﾞｮｳ3mg</t>
  </si>
  <si>
    <t>ｲﾝﾃ001</t>
  </si>
  <si>
    <t>インテバン軟膏１％</t>
  </si>
  <si>
    <t>ｲﾝﾃﾊﾞ1</t>
  </si>
  <si>
    <t>ｲﾝﾃﾊﾞﾝﾅﾝｺｳ1%</t>
  </si>
  <si>
    <t>ｳｲﾝ001</t>
  </si>
  <si>
    <t>ウインタミン細粒（１０％）</t>
  </si>
  <si>
    <t>ｳｲﾝ</t>
  </si>
  <si>
    <t>ｳｲﾝﾀﾐﾝｻｲﾘｭｳ(10%)</t>
  </si>
  <si>
    <t>ｳﾚﾊ001</t>
  </si>
  <si>
    <t>ウレパールクリーム１０％</t>
  </si>
  <si>
    <t>ｳﾚﾊﾟ-ﾙｸﾘ-ﾑ10%</t>
  </si>
  <si>
    <t>ｴｻﾝ001</t>
  </si>
  <si>
    <t>エサンブトール錠２５０ｍｇ</t>
  </si>
  <si>
    <t>ｴｻﾝ</t>
  </si>
  <si>
    <t>ｴｻﾝﾌﾞﾄｰﾙｼﾞｮｳ250mg</t>
  </si>
  <si>
    <t>ｴﾁｿ003</t>
  </si>
  <si>
    <t>エチゾラム細粒１％「ＪＧ」</t>
  </si>
  <si>
    <t>ｴﾁｿﾞ1</t>
  </si>
  <si>
    <t>ｴﾁｿﾞﾗﾑｻｲﾘｭｳ1%｢JG｣</t>
  </si>
  <si>
    <t>ｴﾄﾄ001</t>
  </si>
  <si>
    <t>エトドラク錠２００ｍｇ「タイヨー」</t>
  </si>
  <si>
    <t>ｴﾄﾄﾞﾗ</t>
  </si>
  <si>
    <t>ｴﾄﾄﾞﾗｸｼﾞｮｳ200mg｢ﾀｲﾖｰ｣</t>
  </si>
  <si>
    <t>ｴﾅﾗ001</t>
  </si>
  <si>
    <t>エナラプリルマレイン酸塩錠５ｍｇ「日新」</t>
  </si>
  <si>
    <t>ｴﾅﾗ5</t>
  </si>
  <si>
    <t>ｴﾅﾗﾌﾟﾘﾙﾏﾚｲﾝｻﾝｴﾝｼﾞｮｳ5mg｢ﾆｯｼﾝ｣</t>
  </si>
  <si>
    <t>ｴﾈﾌ001</t>
  </si>
  <si>
    <t>エネフリード輸液</t>
  </si>
  <si>
    <t>ｴﾈﾌ</t>
  </si>
  <si>
    <t>ｴﾈﾌﾘｰﾄﾞﾕｴｷ</t>
  </si>
  <si>
    <t>ｴﾊｽ001</t>
  </si>
  <si>
    <t>エバステル錠５ｍｇ</t>
  </si>
  <si>
    <t>ｴﾊﾞｽ</t>
  </si>
  <si>
    <t>ｴﾊﾞｽﾃﾙｼﾞｮｳ5mg</t>
  </si>
  <si>
    <t>ｴﾊｽ002</t>
  </si>
  <si>
    <t>エバスチンＯＤ錠５ｍｇ「杏林」</t>
  </si>
  <si>
    <t>ｴﾊﾞｽﾁﾝODｼﾞﾖｳ5MGｷﾖｳﾘﾝ</t>
  </si>
  <si>
    <t>ｴﾋﾅ001</t>
  </si>
  <si>
    <t>エピナスチン塩酸塩錠２０ｍｇ「ＪＧ」</t>
  </si>
  <si>
    <t>ｴﾋﾟﾅ</t>
  </si>
  <si>
    <t>ｴﾋﾟﾅｽﾁﾝｴﾝｻﾝｴﾝｼﾞｮｳ20mg｢JG｣</t>
  </si>
  <si>
    <t>ｴﾋﾌ001</t>
  </si>
  <si>
    <t>エビプロスタット配合錠ＤＢ</t>
  </si>
  <si>
    <t>ｴﾋﾞﾌﾟ</t>
  </si>
  <si>
    <t>ｴﾋﾞﾌﾟﾛｽﾀｯﾄﾊｲｺﾞｳｼﾞｮｳDB</t>
  </si>
  <si>
    <t>ｴﾋﾘ001</t>
  </si>
  <si>
    <t>エビリファイ錠１ｍｇ</t>
  </si>
  <si>
    <t>ｴﾋﾞﾘ12</t>
  </si>
  <si>
    <t>ｴﾋﾞﾘﾌｧｲｼﾞｮｳ1mg</t>
  </si>
  <si>
    <t>ｴﾋﾘ002</t>
  </si>
  <si>
    <t>エビリファイ錠３ｍｇ</t>
  </si>
  <si>
    <t>ｴﾋﾞﾘ1</t>
  </si>
  <si>
    <t>ｴﾋﾞﾘﾌｧｲｼﾞｮｳ3mg</t>
  </si>
  <si>
    <t>ｴﾋﾘ003</t>
  </si>
  <si>
    <t>エビリファイ錠６ｍｇ</t>
  </si>
  <si>
    <t>ｴﾋﾞﾘ2</t>
  </si>
  <si>
    <t>ｴﾋﾞﾘﾌｧｲｼﾞｮｳ6mg</t>
  </si>
  <si>
    <t>ｴﾋﾘ004</t>
  </si>
  <si>
    <t>エビリファイ散１％</t>
  </si>
  <si>
    <t>ｴﾋﾞﾘ3</t>
  </si>
  <si>
    <t>ｴﾋﾞﾘﾌｧｲｻﾝ1%</t>
  </si>
  <si>
    <t>ｴﾋﾘ005</t>
  </si>
  <si>
    <t>エビリファイ錠１２ｍｇ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</si>
  <si>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</si>
  <si>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</si>
  <si>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</si>
  <si>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</si>
  <si>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</si>
  <si>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</si>
  <si>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エポジン注シリンジ３０００</t>
  </si>
  <si>
    <t>ｴﾎﾟ3</t>
  </si>
  <si>
    <t>ｴﾎﾟｼﾞﾝﾁｭｳｼﾘﾝｼﾞ3000</t>
  </si>
  <si>
    <t>ｴﾘｽ002</t>
  </si>
  <si>
    <t>エリスロシンドライシロップＷ２０％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</si>
  <si>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</si>
  <si>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</si>
  <si>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</si>
  <si>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</si>
  <si>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</si>
  <si>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</si>
  <si>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</si>
  <si>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オゼックス錠１５０</t>
  </si>
  <si>
    <t>ｵｾﾞｯｸｽ</t>
  </si>
  <si>
    <t>ｵｾﾞｯｸｽｼﾞｮｳ150</t>
  </si>
  <si>
    <t>ｵﾃｽ001</t>
  </si>
  <si>
    <t>オテズラ錠１０ｍｇ</t>
  </si>
  <si>
    <t>ｵﾃｽﾞ1</t>
  </si>
  <si>
    <t>ｵﾃｽﾞﾗｼﾞｮｳ10mg</t>
  </si>
  <si>
    <t>ｵﾃｽ002</t>
  </si>
  <si>
    <t>オテズラ錠２０ｍｇ</t>
  </si>
  <si>
    <t>ｵﾃｽﾞ2</t>
  </si>
  <si>
    <t>ｵﾃｽﾞﾗｼﾞｮｳ20mg</t>
  </si>
  <si>
    <t>ｵﾃｽ004</t>
  </si>
  <si>
    <t>オテズラ錠ｽﾀｰﾀｰﾊﾟｯｸ</t>
  </si>
  <si>
    <t>ｵﾃｽﾞｽﾀ</t>
  </si>
  <si>
    <t>ｵﾃｽﾞﾗｼﾞｮｳｽﾀｰﾀｰﾊﾟｯｸ</t>
  </si>
  <si>
    <t>ｵﾗﾝ001</t>
  </si>
  <si>
    <t>オランザピン錠２．５ｍｇ「ヨシトミ」</t>
  </si>
  <si>
    <t>ｵﾗﾝ2.5</t>
  </si>
  <si>
    <t>ｵﾗﾝｻﾞﾋﾟﾝｼﾞｮｳ2.5mg｢ﾖｼﾄﾐ｣</t>
  </si>
  <si>
    <t>ｵﾗﾝ002</t>
  </si>
  <si>
    <t>オランザピンＯＤ錠５ｍｇ「ヨシトミ」</t>
  </si>
  <si>
    <t>ｵﾗﾝ5</t>
  </si>
  <si>
    <t>ｵﾗﾝｻﾞﾋﾟﾝODｼﾞｮｳ5mg｢ﾖｼﾄﾐ｣</t>
  </si>
  <si>
    <t>ｵﾗﾝ003</t>
  </si>
  <si>
    <t>オランザピンＯＤ錠１０ｍｇ「ヨシトミ」</t>
  </si>
  <si>
    <t>ｵﾗﾝ10</t>
  </si>
  <si>
    <t>ｵﾗﾝｻﾞﾋﾟﾝODｼﾞｮｳ10mg｢ﾖｼﾄﾐ｣</t>
  </si>
  <si>
    <t>ｵﾗﾝ004</t>
  </si>
  <si>
    <t>オランザピン細粒１％「ヨシトミ」</t>
  </si>
  <si>
    <t>ｵﾗﾝｻｲ</t>
  </si>
  <si>
    <t>ｵﾗﾝｻﾞﾋﾟﾝｻｲﾘｭｳ1%｢ﾖｼﾄﾐ｣</t>
  </si>
  <si>
    <t>ｵﾗﾝ005</t>
  </si>
  <si>
    <t>オランザピンＯＤ錠１０ｍｇ「ＮＰ」</t>
  </si>
  <si>
    <t>ｵﾗﾝｻﾞﾋﾟﾝODｼﾞﾖｳ10MGNP</t>
  </si>
  <si>
    <t>ｵﾗﾝ006</t>
  </si>
  <si>
    <t>オランザピンＯＤ錠５ｍｇ「ＮＰ」</t>
  </si>
  <si>
    <t>ｵﾗﾝｻﾞﾋﾟﾝODｼﾞﾖｳ5MGNP</t>
  </si>
  <si>
    <t>ｵﾗﾝ007</t>
  </si>
  <si>
    <t>オランザピン錠２．５ｍｇ「ＮＰ」</t>
  </si>
  <si>
    <t>ｵﾗﾝｻﾞﾋﾟﾝｼﾞﾖｳ2.5MGNP</t>
  </si>
  <si>
    <t>ｵﾗﾝ008</t>
  </si>
  <si>
    <t>オランザピン細粒１％「ＮＰ」</t>
  </si>
  <si>
    <t>ｵﾗﾝｻﾞﾋﾟﾝｻｲﾘﾕｳ1%NP</t>
  </si>
  <si>
    <t>ｵﾗﾝ009</t>
  </si>
  <si>
    <t>オランザピンＯＤ錠２．５ｍｇ「ニプロ」</t>
  </si>
  <si>
    <t>ｵﾗﾝｻﾞﾋﾟﾝODｼﾞﾖｳ2.5MGﾆﾌﾟﾛ</t>
  </si>
  <si>
    <t>ｵﾙｾ001</t>
  </si>
  <si>
    <t>オルセノン軟膏０．２５％</t>
  </si>
  <si>
    <t>ｵﾙｾ</t>
  </si>
  <si>
    <t>ｵﾙｾﾉﾝﾅﾝｺｳ0.25%</t>
  </si>
  <si>
    <t>ｵﾛﾊ002</t>
  </si>
  <si>
    <t>オロパタジン塩酸塩錠５ｍｇ「トーワ」</t>
  </si>
  <si>
    <t>ｵﾛﾊﾟﾀ</t>
  </si>
  <si>
    <t>ｵﾛﾊﾟﾀｼﾞﾝｴﾝｻﾝｴﾝｼﾞｮｳ5mg｢ﾄｰﾜ｣</t>
  </si>
  <si>
    <t>ｵﾝｼ001</t>
  </si>
  <si>
    <t>オンジェンティス錠２５ｍｇ</t>
  </si>
  <si>
    <t>ｵﾝｼﾞ</t>
  </si>
  <si>
    <t>ｵﾝｼﾞｪﾝﾃｨｽｼﾞｮｳ25mg</t>
  </si>
  <si>
    <t>ｶｽｺ001</t>
  </si>
  <si>
    <t>ガスコン錠４０ｍｇ</t>
  </si>
  <si>
    <t>ｶﾞｽｺﾝｼﾞﾖｳ40MG</t>
  </si>
  <si>
    <t>ｶｽﾓ001</t>
  </si>
  <si>
    <t>ガスモチン散１％</t>
  </si>
  <si>
    <t>ｶﾞｽﾓ1</t>
  </si>
  <si>
    <t>ｶﾞｽﾓﾁﾝｻﾝ1%</t>
  </si>
  <si>
    <t>ｶﾀﾌ001</t>
  </si>
  <si>
    <t>カタプレス錠７５μｇ</t>
  </si>
  <si>
    <t>ｶﾀﾌﾟ</t>
  </si>
  <si>
    <t>ｶﾀﾌﾟﾚｽｼﾞｮｳ75μg</t>
  </si>
  <si>
    <t>ｶﾊﾍ001</t>
  </si>
  <si>
    <t>ガバペン錠２００ｍｇ</t>
  </si>
  <si>
    <t>ｶﾞﾊﾞﾍﾟ</t>
  </si>
  <si>
    <t>ｶﾞﾊﾞﾍﾟﾝｼﾞｮｳ200mg</t>
  </si>
  <si>
    <t>ｶﾗﾝ002</t>
  </si>
  <si>
    <t>ガランタミンＯＤ錠４ｍｇ「アメル」</t>
  </si>
  <si>
    <t>ｶﾞﾗﾝ4</t>
  </si>
  <si>
    <t>ｶﾞﾗﾝﾀﾐﾝODｼﾞｮｳ4mg｢ｱﾒﾙ｣</t>
  </si>
  <si>
    <t>ｶﾗﾝ003</t>
  </si>
  <si>
    <t>ガランタミンＯＤ錠１２ｍｇ「アメル」</t>
  </si>
  <si>
    <t>ｶﾞﾗﾝ12</t>
  </si>
  <si>
    <t>ｶﾞﾗﾝﾀﾐﾝODｼﾞｮｳ12mg｢ｱﾒﾙ｣</t>
  </si>
  <si>
    <t>ｶﾙﾋ001</t>
  </si>
  <si>
    <t>カルビスケン錠５ｍｇ</t>
  </si>
  <si>
    <t>ｶﾙﾋﾞ</t>
  </si>
  <si>
    <t>ｶﾙﾋﾞｽｹﾝｼﾞｮｳ5mg</t>
  </si>
  <si>
    <t>ｶﾙﾍ001</t>
  </si>
  <si>
    <t>カルベジロール錠１０ｍｇ「サワイ」</t>
  </si>
  <si>
    <t>ｶﾙﾍﾞｼﾞ</t>
  </si>
  <si>
    <t>ｶﾙﾍﾞｼﾞﾛｰﾙｼﾞｮｳ10mg｢ｻﾜｲ｣</t>
  </si>
  <si>
    <t>ｷｼﾛ001</t>
  </si>
  <si>
    <t>キシロカインビスカス２％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</si>
  <si>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</si>
  <si>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</si>
  <si>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</si>
  <si>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</si>
  <si>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</si>
  <si>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</si>
  <si>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球形吸着炭細粒「マイラン」</t>
  </si>
  <si>
    <t>ｷｭｳ</t>
  </si>
  <si>
    <t>ｷｭｳｹｲｷｭｳﾁｬｸﾀﾝｻｲﾘｭｳ｢ﾏｲﾗﾝ｣</t>
  </si>
  <si>
    <t>ｸｳﾎ001</t>
  </si>
  <si>
    <t>空包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</si>
  <si>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</si>
  <si>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</si>
  <si>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</si>
  <si>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</si>
  <si>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</si>
  <si>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</si>
  <si>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</si>
  <si>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</si>
  <si>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クラシエ加味帰脾湯エキス細粒</t>
  </si>
  <si>
    <t>ｶﾐｷ</t>
  </si>
  <si>
    <t>ｸﾗｼｴｶﾐｷﾋﾄｳｴｷｽｻｲﾘｭｳ</t>
  </si>
  <si>
    <t>ｸﾗｼ108</t>
  </si>
  <si>
    <t>クラシエ人参養栄湯エキス細粒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</si>
  <si>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</si>
  <si>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</si>
  <si>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</si>
  <si>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</si>
  <si>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</si>
  <si>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グリファーゲン静注２０ｍＬ</t>
  </si>
  <si>
    <t>ｸﾞﾘﾌｧ</t>
  </si>
  <si>
    <t>ｸﾞﾘﾌｧｰｹﾞﾝｼﾞｮｳﾁｭｳ20mL</t>
  </si>
  <si>
    <t>ｸﾘﾒ001</t>
  </si>
  <si>
    <t>グリメピリド錠１ｍｇ「トーワ」</t>
  </si>
  <si>
    <t>ｸﾞﾘﾒ</t>
  </si>
  <si>
    <t>ｸﾞﾘﾒﾋﾟﾘﾄﾞｼﾞｮｳ1mg｢ﾄｰﾜ｣</t>
  </si>
  <si>
    <t>ｸﾘﾝ001</t>
  </si>
  <si>
    <t>クリンダマイシンリン酸エステル注３００ｍｇ「トーワ」</t>
  </si>
  <si>
    <t>ｸﾘﾝﾀﾞﾏｲｼﾝﾘﾝｻﾝｴｽﾃﾙﾁﾕｳ300MGﾄ-ﾜ</t>
  </si>
  <si>
    <t>ｸﾘﾝ003</t>
  </si>
  <si>
    <t>クリンダマイシンリン酸エステル注射液６００ｍｇ「サワイ」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</si>
  <si>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</si>
  <si>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</si>
  <si>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</si>
  <si>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</si>
  <si>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</si>
  <si>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クレミン錠２５ｍｇ</t>
  </si>
  <si>
    <t>ｸﾚﾐ2**</t>
  </si>
  <si>
    <t>ｸﾚﾐﾝｼﾞｮｳ25mg</t>
  </si>
  <si>
    <t>ｸﾛﾋ001</t>
  </si>
  <si>
    <t>クロピドグレル錠２５ｍｇ「トーワ」</t>
  </si>
  <si>
    <t>ｸﾛﾋﾟ2</t>
  </si>
  <si>
    <t>ｸﾛﾋﾟﾄﾞｸﾞﾚﾙｼﾞｮｳ25mg｢ﾄｰﾜ｣</t>
  </si>
  <si>
    <t>ｸﾛﾋ002</t>
  </si>
  <si>
    <t>クロピドグレル錠７５ｍｇ「トーワ」</t>
  </si>
  <si>
    <t>ｸﾛﾋﾟﾄﾞ</t>
  </si>
  <si>
    <t>ｸﾛﾋﾟﾄﾞｸﾞﾚﾙｼﾞｮｳ75mg｢ﾄｰﾜ｣</t>
  </si>
  <si>
    <t>ｸﾛﾓ001</t>
  </si>
  <si>
    <t>クロモグリク酸Ｎａ点眼液２％「トーワ」</t>
  </si>
  <si>
    <t>ｸﾛﾓｸﾞ2</t>
  </si>
  <si>
    <t>ｸﾛﾓｸﾞﾘｸｻﾝNaﾃﾝｶﾞﾝｴｷ2%｢ﾄｰﾜ｣</t>
  </si>
  <si>
    <t>ｸﾛﾓ002</t>
  </si>
  <si>
    <t>クロモグリク酸Ｎａ点眼液２％「ニッテン」</t>
  </si>
  <si>
    <t>ｸﾛﾓｸﾞﾘ</t>
  </si>
  <si>
    <t>ｸﾛﾓｸﾞﾘｸｻﾝNaﾃﾝｶﾞﾝｴｷ2%｢ﾆｯﾃﾝ｣</t>
  </si>
  <si>
    <t>ｸﾛﾓ003</t>
  </si>
  <si>
    <t>クロモグリク酸Ｎａ点鼻液２％「トーワ」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</si>
  <si>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</si>
  <si>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</si>
  <si>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</si>
  <si>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</si>
  <si>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</si>
  <si>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</si>
  <si>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</si>
  <si>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</si>
  <si>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</si>
  <si>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コタロー消風散エキス細粒</t>
  </si>
  <si>
    <t>ｼｮｳﾌ</t>
  </si>
  <si>
    <t>ｺﾀﾛｰｼｮｳﾌｳｻﾝｴｷｽｻｲﾘｭｳ</t>
  </si>
  <si>
    <t>ｺﾃｲ001</t>
  </si>
  <si>
    <t>コデインリン酸塩散１％「フソー」</t>
  </si>
  <si>
    <t>ｺﾃﾞｲ</t>
  </si>
  <si>
    <t>ｺﾃﾞｲﾝﾘﾝｻﾝｴﾝｻﾝ1%｢ﾌｿｰ｣</t>
  </si>
  <si>
    <t>ｺﾅﾂ001</t>
  </si>
  <si>
    <t>ゴナックス皮下注用８０ｍｇ</t>
  </si>
  <si>
    <t>ｺﾞﾅ</t>
  </si>
  <si>
    <t>ｺﾞﾅｯｸｽﾋｶﾁｭｳﾖｳ80mg</t>
  </si>
  <si>
    <t>ｺﾑﾀ001</t>
  </si>
  <si>
    <t>コムタン錠１００ｍｇ</t>
  </si>
  <si>
    <t>ｺﾑﾀ</t>
  </si>
  <si>
    <t>ｺﾑﾀﾝｼﾞｮｳ100mg</t>
  </si>
  <si>
    <t>ｻｱﾐ001</t>
  </si>
  <si>
    <t>サアミオン錠５ｍｇ</t>
  </si>
  <si>
    <t>ｻｱﾐ</t>
  </si>
  <si>
    <t>ｻｱﾐｵﾝｼﾞｮｳ5mg</t>
  </si>
  <si>
    <t>ｻﾉﾚ001</t>
  </si>
  <si>
    <t>サノレックス錠０．５ｍｇ</t>
  </si>
  <si>
    <t>ｻﾉﾚ</t>
  </si>
  <si>
    <t>ｻﾉﾚｯｸｽｼﾞｮｳ0.5mg</t>
  </si>
  <si>
    <t>ｻﾘﾍ001</t>
  </si>
  <si>
    <t>ｻﾘﾍﾞ-ﾄｴｱｿﾞ-ﾙ</t>
  </si>
  <si>
    <t>ｼｴｲ001</t>
  </si>
  <si>
    <t>ジェイゾロフト錠２５ｍｇ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</si>
  <si>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</si>
  <si>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</si>
  <si>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</si>
  <si>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</si>
  <si>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</si>
  <si>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ジフルカン静注液５０ｍｇ</t>
  </si>
  <si>
    <t>ｼﾞﾌﾙ2</t>
  </si>
  <si>
    <t>ｼﾞﾌﾙｶﾝｼﾞｮｳﾁｭｳｴｷ50mg</t>
  </si>
  <si>
    <t>ｼﾌﾙ002</t>
  </si>
  <si>
    <t>ジフルカン静注液１００ｍｇ</t>
  </si>
  <si>
    <t>ｼﾞﾌﾙ</t>
  </si>
  <si>
    <t>ｼﾞﾌﾙｶﾝｼﾞｮｳﾁｭｳｴｷ100mg</t>
  </si>
  <si>
    <t>ｼﾌﾛ001</t>
  </si>
  <si>
    <t>シプロフロキサシン点滴静注２００ｍｇ／１００ｍＬ「明治」</t>
  </si>
  <si>
    <t>ｼﾌﾟﾛ</t>
  </si>
  <si>
    <t>ｼﾌﾟﾛﾌﾛｷｻｼﾝﾃﾝﾃｷｼﾞｮｳﾁｭｳ200mg/100mL｢ﾒｲｼﾞ｣</t>
  </si>
  <si>
    <t>ｼﾙﾁ001</t>
  </si>
  <si>
    <t>ジルチアゼム塩酸塩静注用５０ｍｇ「日医工」</t>
  </si>
  <si>
    <t>ｼﾞﾙﾁｱ*</t>
  </si>
  <si>
    <t>ｼﾞﾙﾁｱｾﾞﾑｴﾝｻﾝｴﾝｼﾞｮｳﾁｭｳﾖｳ50mg｢ﾆﾁｲｺｳ｣</t>
  </si>
  <si>
    <t>ｼﾛｽ001</t>
  </si>
  <si>
    <t>シロスタゾール錠１００ｍｇ「トーワ」</t>
  </si>
  <si>
    <t>ｼﾛｽ100</t>
  </si>
  <si>
    <t>ｼﾛｽﾀｿﾞｰﾙｼﾞｮｳ100mg｢ﾄｰﾜ｣</t>
  </si>
  <si>
    <t>ｼﾛｽ002</t>
  </si>
  <si>
    <t>シロスタゾールＯＤ錠１００ｍｇ「トーワ」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</si>
  <si>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</si>
  <si>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</si>
  <si>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</si>
  <si>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</si>
  <si>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</si>
  <si>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スピロノラクトン錠２５ｍｇ「トーワ」</t>
  </si>
  <si>
    <t>ｽﾋﾟﾛ</t>
  </si>
  <si>
    <t>ｽﾋﾟﾛﾉﾗｸﾄﾝｼﾞｮｳ25mg｢ﾄｰﾜ｣</t>
  </si>
  <si>
    <t>ｽﾙﾋ004</t>
  </si>
  <si>
    <t>スルピリド細粒５０％「アメル」</t>
  </si>
  <si>
    <t>ｽﾙﾋﾟﾘﾄ</t>
  </si>
  <si>
    <t>ｽﾙﾋﾟﾘﾄﾞｻｲﾘｭｳ50%｢ｱﾒﾙ｣</t>
  </si>
  <si>
    <t>ｾｲｼ004</t>
  </si>
  <si>
    <t>生食注シリンジ「オーツカ」１０ｍＬ</t>
  </si>
  <si>
    <t>ｾｲｼｮｸ8</t>
  </si>
  <si>
    <t>ｾｲｼｮｸﾁｭｳｼﾘﾝｼﾞ｢ｵｰﾂｶ｣10mL</t>
  </si>
  <si>
    <t>ｾﾁｱ001</t>
  </si>
  <si>
    <t>ゼチーア錠１０ｍｇ</t>
  </si>
  <si>
    <t>ｾﾞﾁ</t>
  </si>
  <si>
    <t>ｾﾞﾁｰｱｼﾞｮｳ10mg</t>
  </si>
  <si>
    <t>ｾﾋﾕ001</t>
  </si>
  <si>
    <t>ゼビュディ点滴静注液５００ｍｇ</t>
  </si>
  <si>
    <t>ｾﾞﾋﾞｭ</t>
  </si>
  <si>
    <t>ｾﾞﾋﾞｭﾃﾞｨﾃﾝﾃｷｼﾞｮｳﾁｭｳｴｷ500mg</t>
  </si>
  <si>
    <t>ｾﾌｱ001</t>
  </si>
  <si>
    <t>セファゾリンナトリウム注射用１ｇ「日医工」</t>
  </si>
  <si>
    <t>ｾﾌｧ</t>
  </si>
  <si>
    <t>ｾﾌｧｿﾞﾘﾝﾅﾄﾘｳﾑﾁｭｳｼｬﾖｳ1g｢ﾆﾁｲｺｳ｣</t>
  </si>
  <si>
    <t>ｾﾌﾀ001</t>
  </si>
  <si>
    <t>セフタジジム静注用１ｇ「日医工」</t>
  </si>
  <si>
    <t>ｾﾌﾀ</t>
  </si>
  <si>
    <t>ｾﾌﾀｼﾞｼﾞﾑｼﾞｮｳﾁｭｳﾖｳ1g｢ﾆﾁｲｺｳ｣</t>
  </si>
  <si>
    <t>ｾﾘﾝ001</t>
  </si>
  <si>
    <t>セリンクロ錠１０ｍｇ</t>
  </si>
  <si>
    <t>ｾﾘﾝ</t>
  </si>
  <si>
    <t>ｾﾘﾝｸﾛｼﾞｮｳ10mg</t>
  </si>
  <si>
    <t>ｾﾙｼ001</t>
  </si>
  <si>
    <t>２ｍｇセルシン錠</t>
  </si>
  <si>
    <t>ｾﾙｼ1</t>
  </si>
  <si>
    <t>2mgｾﾙｼﾝｼﾞｮｳ</t>
  </si>
  <si>
    <t>ｾﾙｼ002</t>
  </si>
  <si>
    <t>５ｍｇセルシン錠</t>
  </si>
  <si>
    <t>ｾﾙｼ5</t>
  </si>
  <si>
    <t>5mgｾﾙｼﾝｼﾞｮｳ</t>
  </si>
  <si>
    <t>ｾﾙｼ003</t>
  </si>
  <si>
    <t>セルシン注射液１０ｍｇ</t>
  </si>
  <si>
    <t>ｾﾙｼ</t>
  </si>
  <si>
    <t>ｾﾙｼﾝﾁｭｳｼｬｴｷ10mg</t>
  </si>
  <si>
    <t>ｾﾚｼ001</t>
  </si>
  <si>
    <t>セレジストＯＤ錠５ｍｇ</t>
  </si>
  <si>
    <t>ｾﾚｼﾞ</t>
  </si>
  <si>
    <t>ｾﾚｼﾞｽﾄODｼﾞｮｳ5mg</t>
  </si>
  <si>
    <t>ｾﾝﾉ001</t>
  </si>
  <si>
    <t>センノシド錠１２ｍｇ「トーワ」</t>
  </si>
  <si>
    <t>ｾﾝﾉｼﾞ</t>
  </si>
  <si>
    <t>ｾﾝﾉｼﾄﾞｼﾞｮｳ12mg｢ﾄｰﾜ｣</t>
  </si>
  <si>
    <t>ｾﾝﾉ002</t>
  </si>
  <si>
    <t>センノシド顆粒８％「日医工」</t>
  </si>
  <si>
    <t>ｾﾝﾉｼ</t>
  </si>
  <si>
    <t>ｾﾝﾉｼﾄﾞｶﾘｭｳ8%｢ﾆﾁｲｺｳ｣</t>
  </si>
  <si>
    <t>ｿﾀｺ001</t>
  </si>
  <si>
    <t>ソタコール錠８０ｍｇ</t>
  </si>
  <si>
    <t>ｿﾀｺ</t>
  </si>
  <si>
    <t>ｿﾀｺｰﾙｼﾞｮｳ80mg</t>
  </si>
  <si>
    <t>ｿﾃﾋ001</t>
  </si>
  <si>
    <t>ゾテピン錠２５ｍｇ「ヨシトミ」</t>
  </si>
  <si>
    <t>ｿﾞﾃﾋﾟ2</t>
  </si>
  <si>
    <t>ｿﾞﾃﾋﾟﾝｼﾞｮｳ25mg｢ﾖｼﾄﾐ｣</t>
  </si>
  <si>
    <t>ｿﾃﾋ002</t>
  </si>
  <si>
    <t>ゾテピン錠５０ｍｇ「ヨシトミ」</t>
  </si>
  <si>
    <t>ｿﾞﾃﾋﾟ3</t>
  </si>
  <si>
    <t>ｿﾞﾃﾋﾟﾝｼﾞｮｳ50mg｢ﾖｼﾄﾐ｣</t>
  </si>
  <si>
    <t>ｿﾃﾋ003</t>
  </si>
  <si>
    <t>ゾテピン細粒５０％「ヨシトミ」</t>
  </si>
  <si>
    <t>ｿﾞﾃﾋﾟ1</t>
  </si>
  <si>
    <t>ｿﾞﾃﾋﾟﾝｻｲﾘｭｳ50%｢ﾖｼﾄﾐ｣</t>
  </si>
  <si>
    <t>ｿﾌﾗ001</t>
  </si>
  <si>
    <t>ソフラチュール貼付剤１０ｃｍ</t>
  </si>
  <si>
    <t>ｿﾌﾗ1</t>
  </si>
  <si>
    <t>ｿﾌﾗﾁｭｰﾙﾁｮｳﾌｻﾞｲ10cm</t>
  </si>
  <si>
    <t>ｿﾙﾒ001</t>
  </si>
  <si>
    <t>ソル・メドロール静注用５００ｍｇ</t>
  </si>
  <si>
    <t>ｿﾙﾒ</t>
  </si>
  <si>
    <t>ｿﾙ･ﾒﾄﾞﾛｰﾙｼﾞｮｳﾁｭｳﾖｳ500mg</t>
  </si>
  <si>
    <t>ﾀｲｱ002</t>
  </si>
  <si>
    <t>ダイアモックス錠２５０ｍｇ</t>
  </si>
  <si>
    <t>ﾀﾞｲｱ</t>
  </si>
  <si>
    <t>ﾀﾞｲｱﾓｯｸｽｼﾞｮｳ250mg</t>
  </si>
  <si>
    <t>ﾀｹｷ001</t>
  </si>
  <si>
    <t>タケキャブ錠１０ｍｇ</t>
  </si>
  <si>
    <t>ﾀｹｷ1</t>
  </si>
  <si>
    <t>ﾀｹｷｬﾌﾞｼﾞｮｳ10mg</t>
  </si>
  <si>
    <t>ﾀｹｷ002</t>
  </si>
  <si>
    <t>タケキャブ錠２０ｍｇ</t>
  </si>
  <si>
    <t>ﾀｹｷ</t>
  </si>
  <si>
    <t>ﾀｹｷｬﾌﾞｼﾞｮｳ20mg</t>
  </si>
  <si>
    <t>ﾀﾌﾄ001</t>
  </si>
  <si>
    <t>ダプトマイシン静注用３５０ｍｇ「サワイ」</t>
  </si>
  <si>
    <t>ﾀﾞﾌﾟﾄﾏｲｼﾝｼﾞﾖｳﾁﾕｳﾖｳ350MGｻﾜｲ</t>
  </si>
  <si>
    <t>ﾀﾌﾏ001</t>
  </si>
  <si>
    <t>タフマックＥ配合カプセル</t>
  </si>
  <si>
    <t>ﾀﾌﾏ1</t>
  </si>
  <si>
    <t>ﾀﾌﾏｯｸEﾊｲｺﾞｳｶﾌﾟｾﾙ</t>
  </si>
  <si>
    <t>ﾀﾌﾏ002</t>
  </si>
  <si>
    <t>タフマックＥ配合顆粒</t>
  </si>
  <si>
    <t>ﾀﾌﾏﾂｸEﾊｲｺﾞｳｶﾘﾕｳ</t>
  </si>
  <si>
    <t>ﾀﾐﾔ001</t>
  </si>
  <si>
    <t>ダミー薬品(散薬)</t>
  </si>
  <si>
    <t>ﾀﾞﾐ1</t>
  </si>
  <si>
    <t>ﾀﾞﾐｰﾔｸ品(ｻﾝﾔｸ)</t>
  </si>
  <si>
    <t>ﾀﾐﾔ002</t>
  </si>
  <si>
    <t>ダミー薬品(錠剤)</t>
  </si>
  <si>
    <t>ﾀﾞﾐ</t>
  </si>
  <si>
    <t>ﾀﾞﾐｰﾔｸ品(ｼﾞｮｳｻﾞｲ)</t>
  </si>
  <si>
    <t>ﾀﾓｷ001</t>
  </si>
  <si>
    <t>タモキシフェン錠２０ｍｇ「サワイ」</t>
  </si>
  <si>
    <t>ﾀﾓｷ</t>
  </si>
  <si>
    <t>ﾀﾓｷｼﾌｪﾝｼﾞｮｳ20mg｢ｻﾜｲ｣</t>
  </si>
  <si>
    <t>ﾀﾝｻ001</t>
  </si>
  <si>
    <t>炭酸リチウム錠１００ｍｇ「アメル」</t>
  </si>
  <si>
    <t>ﾀﾝｻﾝﾘ1</t>
  </si>
  <si>
    <t>ﾀﾝｻﾝﾘﾁｳﾑｼﾞｮｳ100mg｢ｱﾒﾙ｣</t>
  </si>
  <si>
    <t>ﾀﾝｻ002</t>
  </si>
  <si>
    <t>炭酸リチウム錠２００ｍｇ「アメル」</t>
  </si>
  <si>
    <t>ﾀﾝｻﾝﾘ2</t>
  </si>
  <si>
    <t>ﾀﾝｻﾝﾘﾁｳﾑｼﾞｮｳ200mg｢ｱﾒﾙ｣</t>
  </si>
  <si>
    <t>ﾀﾝｼ001</t>
  </si>
  <si>
    <t>単シロップ</t>
  </si>
  <si>
    <t>ﾀﾝｼﾛ</t>
  </si>
  <si>
    <t>ﾀﾝｼﾛｯﾌﾟ</t>
  </si>
  <si>
    <t>ﾁｱﾌ001</t>
  </si>
  <si>
    <t>チアプリド錠２５ｍｇ「ＪＧ」</t>
  </si>
  <si>
    <t>ﾁｱﾌﾟ25</t>
  </si>
  <si>
    <t>ﾁｱﾌﾟﾘﾄﾞｼﾞｮｳ25mg｢JG｣</t>
  </si>
  <si>
    <t>ﾁｱﾌ002</t>
  </si>
  <si>
    <t>チアプリド錠５０ｍｇ「ＪＧ」</t>
  </si>
  <si>
    <t>ﾁｱﾌﾟ50</t>
  </si>
  <si>
    <t>ﾁｱﾌﾟﾘﾄﾞｼﾞｮｳ50mg｢JG｣</t>
  </si>
  <si>
    <t>ﾁｱﾌ003</t>
  </si>
  <si>
    <t>チアプリド細粒１０％「ＪＧ」</t>
  </si>
  <si>
    <t>ﾁｱﾌﾟ1</t>
  </si>
  <si>
    <t>ﾁｱﾌﾟﾘﾄﾞｻｲﾘｭｳ10%｢JG｣</t>
  </si>
  <si>
    <t>ﾁｸﾛ001</t>
  </si>
  <si>
    <t>チクロピジン塩酸塩錠１００ｍｇ「日医工」</t>
  </si>
  <si>
    <t>ﾁｸﾛ</t>
  </si>
  <si>
    <t>ﾁｸﾛﾋﾟｼﾞﾝｴﾝｻﾝｴﾝｼﾞｮｳ100mg｢ﾆﾁｲｺｳ｣</t>
  </si>
  <si>
    <t>ﾁﾐﾍ001</t>
  </si>
  <si>
    <t>チミペロン錠１ｍｇ「アメル」</t>
  </si>
  <si>
    <t>ﾁﾐﾍﾟ1</t>
  </si>
  <si>
    <t>ﾁﾐﾍﾟﾛﾝｼﾞｮｳ1mg｢ｱﾒﾙ｣</t>
  </si>
  <si>
    <t>ﾁﾐﾍ002</t>
  </si>
  <si>
    <t>チミペロン錠３ｍｇ「アメル」</t>
  </si>
  <si>
    <t>ﾁﾐﾍﾟ3</t>
  </si>
  <si>
    <t>ﾁﾐﾍﾟﾛﾝｼﾞｮｳ3mg｢ｱﾒﾙ｣</t>
  </si>
  <si>
    <t>ﾁﾐﾍ003</t>
  </si>
  <si>
    <t>チミペロン細粒１％「アメル」</t>
  </si>
  <si>
    <t>ﾁﾐﾍﾟｻ</t>
  </si>
  <si>
    <t>ﾁﾐﾍﾟﾛﾝｻｲﾘｭｳ1%｢ｱﾒﾙ｣</t>
  </si>
  <si>
    <t>ﾂﾑﾗ014</t>
  </si>
  <si>
    <t>ツムラ半夏瀉心湯エキス顆粒（医療用）</t>
  </si>
  <si>
    <t>ﾊﾝｹﾞ</t>
  </si>
  <si>
    <t>ﾂﾑﾗﾊﾝｹﾞｼｬｼﾝﾄｳｴｷｽｶﾘｭｳ(ｲﾘｮｳﾖｳ)</t>
  </si>
  <si>
    <t>ﾂﾑﾗ020</t>
  </si>
  <si>
    <t>ツムラ防已黄耆湯エキス顆粒（医療用）</t>
  </si>
  <si>
    <t>ﾎﾞｳｲ</t>
  </si>
  <si>
    <t>ﾂﾑﾗﾎﾞｳｲｵｳｷﾞﾄｳｴｷｽｶﾘｭｳ(ｲﾘｮｳﾖｳ)</t>
  </si>
  <si>
    <t>ﾂﾑﾗ048</t>
  </si>
  <si>
    <t>ツムラ十全大補湯エキス顆粒（医療用）</t>
  </si>
  <si>
    <t>ｼﾞｭｳ</t>
  </si>
  <si>
    <t>ﾂﾑﾗｼﾞｭｳｾﾞﾝﾀｲﾎﾄｳｴｷｽｶﾘｭｳ(ｲﾘｮｳﾖｳ)</t>
  </si>
  <si>
    <t>ﾂﾑﾗ051</t>
  </si>
  <si>
    <t>ツムラ潤腸湯エキス顆粒（医療用）</t>
  </si>
  <si>
    <t>ｼﾞｭﾝ</t>
  </si>
  <si>
    <t>ﾂﾑﾗｼﾞｭﾝﾁｮｳﾄｳｴｷｽｶﾘｭｳ(ｲﾘｮｳﾖｳ)</t>
  </si>
  <si>
    <t>ﾂﾑﾗ103</t>
  </si>
  <si>
    <t>ツムラ酸棗仁湯エキス顆粒（医療用）</t>
  </si>
  <si>
    <t>ｻﾝｿ</t>
  </si>
  <si>
    <t>ﾂﾑﾗｻﾝｿｳﾆﾝﾄｳｴｷｽｶﾘｭｳ(ｲﾘｮｳﾖｳ)</t>
  </si>
  <si>
    <t>ﾂﾑﾗ133</t>
  </si>
  <si>
    <t>ツムラ大承気湯エキス顆粒（医療用）</t>
  </si>
  <si>
    <t>ﾀﾞｲｼﾞｮ</t>
  </si>
  <si>
    <t>ﾂﾑﾗﾀﾞｲｼﾞｮｳｷﾄｳｴｷｽｶﾘｭｳ(ｲﾘｮｳﾖｳ)</t>
  </si>
  <si>
    <t>ﾃｲｴ001</t>
  </si>
  <si>
    <t>ティーエスワン配合カプセルＴ２０</t>
  </si>
  <si>
    <t>ﾃｨ</t>
  </si>
  <si>
    <t>ﾃｨｰｴｽﾜﾝﾊｲｺﾞｳｶﾌﾟｾﾙT20</t>
  </si>
  <si>
    <t>ﾃﾀﾝ001</t>
  </si>
  <si>
    <t>デタントール０．０１％点眼液</t>
  </si>
  <si>
    <t>ﾃﾞﾀﾝ</t>
  </si>
  <si>
    <t>ﾃﾞﾀﾝﾄｰﾙ0.01%ﾃﾝｶﾞﾝｴｷ</t>
  </si>
  <si>
    <t>ﾃﾉﾀ001</t>
  </si>
  <si>
    <t>ﾃﾞﾉﾀ</t>
  </si>
  <si>
    <t>ﾃﾞﾉﾀｽﾁｭｱﾌﾞﾙﾊｲｺﾞｳｼﾞｮｳ</t>
  </si>
  <si>
    <t>ﾃﾊｹ001</t>
  </si>
  <si>
    <t>デパケンシロップ５％</t>
  </si>
  <si>
    <t>ﾃﾞﾊﾟ5</t>
  </si>
  <si>
    <t>ﾃﾞﾊﾟｹﾝｼﾛｯﾌﾟ5%</t>
  </si>
  <si>
    <t>ﾃﾊｽ001</t>
  </si>
  <si>
    <t>デパス錠０．５ｍｇ</t>
  </si>
  <si>
    <t>ﾃﾞﾊﾟｽ</t>
  </si>
  <si>
    <t>ﾃﾞﾊﾟｽｼﾞｮｳ0.5mg</t>
  </si>
  <si>
    <t>ﾃﾊｽ002</t>
  </si>
  <si>
    <t>デパス錠１ｍｇ</t>
  </si>
  <si>
    <t>ﾃﾞﾊﾟｽ1</t>
  </si>
  <si>
    <t>ﾃﾞﾊﾟｽｼﾞｮｳ1mg</t>
  </si>
  <si>
    <t>ﾃﾌﾚ001</t>
  </si>
  <si>
    <t>テプレノンカプセル５０ｍｇ「日医工Ｐ」</t>
  </si>
  <si>
    <t>ﾃﾌﾟﾚﾉﾝ</t>
  </si>
  <si>
    <t>ﾃﾌﾟﾚﾉﾝｶﾌﾟｾﾙ50mg｢ﾆﾁｲｺｳP｣</t>
  </si>
  <si>
    <t>ﾃﾕｵ001</t>
  </si>
  <si>
    <t>デュオトラバ配合点眼液</t>
  </si>
  <si>
    <t>ﾃﾞｭｵ</t>
  </si>
  <si>
    <t>ﾃﾞｭｵﾄﾗﾊﾞﾊｲｺﾞｳﾃﾝｶﾞﾝｴｷ</t>
  </si>
  <si>
    <t>ﾃﾙﾋ001</t>
  </si>
  <si>
    <t>テルビナフィン塩酸塩クリーム１％「イワキ」</t>
  </si>
  <si>
    <t>ﾃﾙﾋﾞ</t>
  </si>
  <si>
    <t>ﾃﾙﾋﾞﾅﾌｨﾝｴﾝｻﾝｴﾝｸﾘｰﾑ1%｢ｲﾜｷ｣</t>
  </si>
  <si>
    <t>ﾃﾙﾋ002</t>
  </si>
  <si>
    <t>テルビナフィン塩酸塩外用液１％「イワキ」</t>
  </si>
  <si>
    <t>ﾃﾙﾋﾞ2</t>
  </si>
  <si>
    <t>ﾃﾙﾋﾞﾅﾌｨﾝｴﾝｻﾝｴﾝｶﾞｲﾖｳｴｷ1%｢ｲﾜｷ｣</t>
  </si>
  <si>
    <t>ﾃﾙﾋ003</t>
  </si>
  <si>
    <t>テルビナフィン塩酸塩外用液１％「Ｆ」</t>
  </si>
  <si>
    <t>ﾃﾙﾋﾞﾅﾌｲﾝｴﾝｻﾝｴﾝｶﾞｲﾖｳｴｷ1%F</t>
  </si>
  <si>
    <t>ﾃﾙﾐ001</t>
  </si>
  <si>
    <t>テルミサルタン錠２０ｍｇ「杏林」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</si>
  <si>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</si>
  <si>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</si>
  <si>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</si>
  <si>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</si>
  <si>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</si>
  <si>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</si>
  <si>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デルモゾールＧクリーム</t>
  </si>
  <si>
    <t>ﾃﾞﾙﾓｿｸ</t>
  </si>
  <si>
    <t>ﾃﾞﾙﾓｿﾞｰﾙGｸﾘｰﾑ</t>
  </si>
  <si>
    <t>ﾄｳｴ001</t>
  </si>
  <si>
    <t>５％糖液キットＨ</t>
  </si>
  <si>
    <t>ﾄｳｴｷ5%</t>
  </si>
  <si>
    <t>5%ﾄｳｴｷｷｯﾄH</t>
  </si>
  <si>
    <t>ﾄｸﾏ001</t>
  </si>
  <si>
    <t>ドグマチール細粒５０％</t>
  </si>
  <si>
    <t>ﾄﾞｸﾞﾏｻ</t>
  </si>
  <si>
    <t>ﾄﾞｸﾞﾏﾁｰﾙｻｲﾘｭｳ50%</t>
  </si>
  <si>
    <t>ﾄﾈﾍ001</t>
  </si>
  <si>
    <t>ドネペジル塩酸塩ＯＤ錠３ｍｇ「明治」</t>
  </si>
  <si>
    <t>ﾄﾞﾈ1</t>
  </si>
  <si>
    <t>ﾄﾞﾈﾍﾟｼﾞﾙｴﾝｻﾝｴﾝODｼﾞｮｳ3mg｢ﾒｲｼﾞ｣</t>
  </si>
  <si>
    <t>ﾄﾈﾍ002</t>
  </si>
  <si>
    <t>ドネペジル塩酸塩ＯＤ錠３ｍｇ「オーハラ」</t>
  </si>
  <si>
    <t>ﾄﾞﾈﾍﾟ6</t>
  </si>
  <si>
    <t>ﾄﾞﾈﾍﾟｼﾞﾙｴﾝｻﾝｴﾝODｼﾞｮｳ3mg｢ｵｰﾊﾗ｣</t>
  </si>
  <si>
    <t>ﾄﾈﾍ003</t>
  </si>
  <si>
    <t>ドネペジル塩酸塩ＯＤ錠５ｍｇ「明治」</t>
  </si>
  <si>
    <t>ﾄﾞﾈ2</t>
  </si>
  <si>
    <t>ﾄﾞﾈﾍﾟｼﾞﾙｴﾝｻﾝｴﾝODｼﾞｮｳ5mg｢ﾒｲｼﾞ｣</t>
  </si>
  <si>
    <t>ﾄﾈﾍ004</t>
  </si>
  <si>
    <t>ドネペジル塩酸塩ＯＤ錠５ｍｇ「オーハラ」</t>
  </si>
  <si>
    <t>ﾄﾞﾈﾍﾟ7</t>
  </si>
  <si>
    <t>ﾄﾞﾈﾍﾟｼﾞﾙｴﾝｻﾝｴﾝODｼﾞｮｳ5mg｢ｵｰﾊﾗ｣</t>
  </si>
  <si>
    <t>ﾄﾈﾍ005</t>
  </si>
  <si>
    <t>ドネペジル塩酸塩細粒０．５％「日医工」</t>
  </si>
  <si>
    <t>ﾄﾞﾈﾍﾟｼ</t>
  </si>
  <si>
    <t>ﾄﾞﾈﾍﾟｼﾞﾙｴﾝｻﾝｴﾝｻｲﾘｭｳ0.5%｢ﾆﾁｲｺｳ｣</t>
  </si>
  <si>
    <t>ﾄﾈﾍ006</t>
  </si>
  <si>
    <t>ドネペジル塩酸塩ＯＤ錠１０ｍｇ「明治」</t>
  </si>
  <si>
    <t>ﾄﾞﾈ3</t>
  </si>
  <si>
    <t>ﾄﾞﾈﾍﾟｼﾞﾙｴﾝｻﾝｴﾝODｼﾞｮｳ10mg｢ﾒｲｼﾞ｣</t>
  </si>
  <si>
    <t>ﾄﾈﾍ007</t>
  </si>
  <si>
    <t>ドネペジル塩酸塩ＯＤ錠１０ｍｇ「オーハラ」</t>
  </si>
  <si>
    <t>ﾄﾞﾈﾍﾟ8</t>
  </si>
  <si>
    <t>ﾄﾞﾈﾍﾟｼﾞﾙｴﾝｻﾝｴﾝODｼﾞｮｳ10mg｢ｵｰﾊﾗ｣</t>
  </si>
  <si>
    <t>ﾄﾋﾅ001</t>
  </si>
  <si>
    <t>トピナ錠５０ｍｇ</t>
  </si>
  <si>
    <t>ﾄﾋﾟﾅ</t>
  </si>
  <si>
    <t>ﾄﾋﾟﾅｼﾞｮｳ50mg</t>
  </si>
  <si>
    <t>ﾄﾎﾈ001</t>
  </si>
  <si>
    <t>ドボネックス軟膏５０μｇ／ｇ</t>
  </si>
  <si>
    <t>ﾄﾞﾎﾞﾈ</t>
  </si>
  <si>
    <t>ﾄﾞﾎﾞﾈｯｸｽﾅﾝｺｳ50μg/g</t>
  </si>
  <si>
    <t>ﾄﾗﾏ001</t>
  </si>
  <si>
    <t>トラマールＯＤ錠５０ｍｇ</t>
  </si>
  <si>
    <t>ﾄﾗﾏ</t>
  </si>
  <si>
    <t>ﾄﾗﾏｰﾙODｼﾞｮｳ50mg</t>
  </si>
  <si>
    <t>ﾄﾗﾑ001</t>
  </si>
  <si>
    <t>トラムセット配合錠</t>
  </si>
  <si>
    <t>ﾄﾗﾑ</t>
  </si>
  <si>
    <t>ﾄﾗﾑｾｯﾄﾊｲｺﾞｳｼﾞｮｳ</t>
  </si>
  <si>
    <t>ﾄﾘｱ002</t>
  </si>
  <si>
    <t>トリアゾラム錠０．２５ｍｇ「テバ」</t>
  </si>
  <si>
    <t>ﾄﾘﾃﾊﾞ</t>
  </si>
  <si>
    <t>ﾄﾘｱｿﾞﾗﾑｼﾞｮｳ0.25mg｢ﾃﾊﾞ｣</t>
  </si>
  <si>
    <t>ﾄﾘｱ003</t>
  </si>
  <si>
    <t>トリアゾラム錠０．２５ｍｇ「ＣＨ」</t>
  </si>
  <si>
    <t>ﾄﾘｱｿﾞﾗﾑｼﾞﾖｳ0.25MGCH</t>
  </si>
  <si>
    <t>ﾄﾘﾍ001</t>
  </si>
  <si>
    <t>トリヘキシフェニジル塩酸塩錠２ｍｇ「タカタ」</t>
  </si>
  <si>
    <t>ﾄﾘﾍ</t>
  </si>
  <si>
    <t>ﾄﾘﾍｷｼﾌｪﾆｼﾞﾙｴﾝｻﾝｴﾝｼﾞｮｳ2mg｢ﾀｶﾀ｣</t>
  </si>
  <si>
    <t>ﾄﾚﾗ001</t>
  </si>
  <si>
    <t>トレーランＧ液７５ｇ</t>
  </si>
  <si>
    <t>ﾄﾚｰﾗﾝ</t>
  </si>
  <si>
    <t>ﾄﾚｰﾗﾝGｴｷ75g</t>
  </si>
  <si>
    <t>ﾄﾚﾘ001</t>
  </si>
  <si>
    <t>トレリーフＯＤ錠２５ｍｇ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</si>
  <si>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</si>
  <si>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</si>
  <si>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</si>
  <si>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</si>
  <si>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</si>
  <si>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</si>
  <si>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トロペロン錠１ｍｇ</t>
  </si>
  <si>
    <t>ﾄﾛﾍﾟ2</t>
  </si>
  <si>
    <t>ﾄﾛﾍﾟﾛﾝｼﾞｮｳ1mg</t>
  </si>
  <si>
    <t>ﾄﾛﾍ002</t>
  </si>
  <si>
    <t>トロペロン錠３ｍｇ</t>
  </si>
  <si>
    <t>ﾄﾛﾍﾟ3</t>
  </si>
  <si>
    <t>ﾄﾛﾍﾟﾛﾝｼﾞｮｳ3mg</t>
  </si>
  <si>
    <t>ﾄﾛﾍ003</t>
  </si>
  <si>
    <t>トロペロン細粒１％</t>
  </si>
  <si>
    <t>ﾄﾛﾍﾟｻ</t>
  </si>
  <si>
    <t>ﾄﾛﾍﾟﾛﾝｻｲﾘｭｳ1%</t>
  </si>
  <si>
    <t>ﾄﾛﾝ001</t>
  </si>
  <si>
    <t>トロンビン液モチダ ソフトボトル１万</t>
  </si>
  <si>
    <t>ﾄﾛﾝ</t>
  </si>
  <si>
    <t>ﾄﾛﾝﾋﾞﾝｴｷﾓﾁﾀﾞ ｿﾌﾄﾎﾞﾄﾙ1ﾏﾝ</t>
  </si>
  <si>
    <t>ﾄﾝﾍ001</t>
  </si>
  <si>
    <t>ドンペリドン錠１０ｍｇ「トーワ」</t>
  </si>
  <si>
    <t>ﾄﾞﾝﾍﾟ</t>
  </si>
  <si>
    <t>ﾄﾞﾝﾍﾟﾘﾄﾞﾝｼﾞｮｳ10mg｢ﾄｰﾜ｣</t>
  </si>
  <si>
    <t>ﾅｲﾛ001</t>
  </si>
  <si>
    <t>ナイロジン注</t>
  </si>
  <si>
    <t>ﾅｲﾛ</t>
  </si>
  <si>
    <t>ﾅｲﾛｼﾞﾝﾁｭｳ</t>
  </si>
  <si>
    <t>ﾅﾌｱ001</t>
  </si>
  <si>
    <t>ナファモスタットメシル酸塩５０ｍｇ注射用</t>
  </si>
  <si>
    <t>ﾅﾌｧ50</t>
  </si>
  <si>
    <t>ﾅﾌｧﾓｽﾀｯﾄﾒｼﾙｻﾝｴﾝ50mgﾁｭｳｼｬﾖｳ</t>
  </si>
  <si>
    <t>ﾆｺﾗ002</t>
  </si>
  <si>
    <t>ニコランジル錠５ｍｇ「サワイ」</t>
  </si>
  <si>
    <t>ﾆｺﾗﾝｼﾞﾙｼﾞﾖｳ5MGｻﾜｲ</t>
  </si>
  <si>
    <t>ﾆﾄﾗ001</t>
  </si>
  <si>
    <t>ニトラゼパム細粒１％「ＴＣＫ」</t>
  </si>
  <si>
    <t>ﾆﾄﾗｾﾞ1</t>
  </si>
  <si>
    <t>ﾆﾄﾗｾﾞﾊﾟﾑｻｲﾘｭｳ1%｢TCK｣</t>
  </si>
  <si>
    <t>ﾆﾌﾗ001</t>
  </si>
  <si>
    <t>ニプラジロールＰＦ点眼液０．２５％「日点」</t>
  </si>
  <si>
    <t>ﾆﾌﾟﾗ</t>
  </si>
  <si>
    <t>ﾆﾌﾟﾗｼﾞﾛｰﾙPFﾃﾝｶﾞﾝｴｷ0.25%｢ﾆｯﾃﾝ｣</t>
  </si>
  <si>
    <t>ﾆﾕﾌ001</t>
  </si>
  <si>
    <t>ニュープロパッチ９ｍｇ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</si>
  <si>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</si>
  <si>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</si>
  <si>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</si>
  <si>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</si>
  <si>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</si>
  <si>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</si>
  <si>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ネオーラル５０ｍｇカプセル</t>
  </si>
  <si>
    <t>ﾈｵｰﾗ</t>
  </si>
  <si>
    <t>ﾈｵｰﾗﾙ50mgｶﾌﾟｾﾙ</t>
  </si>
  <si>
    <t>ﾈｽﾌ001</t>
  </si>
  <si>
    <t>ネスプ注射液４０μｇプラシリンジ</t>
  </si>
  <si>
    <t>ﾈｽﾌﾟ1</t>
  </si>
  <si>
    <t>ﾈｽﾌﾟﾁｭｳｼｬｴｷ40μgﾌﾟﾗｼﾘﾝｼﾞ</t>
  </si>
  <si>
    <t>ﾈｽﾌ002</t>
  </si>
  <si>
    <t>ネスプ注射液１２０μｇプラシリンジ</t>
  </si>
  <si>
    <t>ﾈｽﾌﾟ</t>
  </si>
  <si>
    <t>ﾈｽﾌﾟﾁｭｳｼｬｴｷ120μgﾌﾟﾗｼﾘﾝｼﾞ</t>
  </si>
  <si>
    <t>ﾈﾘｿ001</t>
  </si>
  <si>
    <t>ネリゾナユニバーサルクリーム０．１％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</si>
  <si>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</si>
  <si>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</si>
  <si>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</si>
  <si>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</si>
  <si>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</si>
  <si>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ノボラピッド注 フレックスペン</t>
  </si>
  <si>
    <t>ﾉﾎﾞﾗ1</t>
  </si>
  <si>
    <t>ﾉﾎﾞﾗﾋﾟｯﾄﾞﾁｭｳ ﾌﾚｯｸｽﾍﾟﾝ</t>
  </si>
  <si>
    <t>ﾉﾎﾘ001</t>
  </si>
  <si>
    <t>ノボリンＮ注フレックスペン</t>
  </si>
  <si>
    <t>ﾉﾎﾞﾘﾝ</t>
  </si>
  <si>
    <t>ﾉﾎﾞﾘﾝNﾁｭｳﾌﾚｯｸｽﾍﾟﾝ</t>
  </si>
  <si>
    <t>ﾊｲﾊ001</t>
  </si>
  <si>
    <t>ハイパジールコーワ点眼液０．２５％</t>
  </si>
  <si>
    <t>ﾊｲﾊﾟ</t>
  </si>
  <si>
    <t>ﾊｲﾊﾟｼﾞｰﾙｺｰﾜﾃﾝｶﾞﾝｴｷ0.25%</t>
  </si>
  <si>
    <t>ﾊｷｼ001</t>
  </si>
  <si>
    <t>パキシル錠１０ｍｇ</t>
  </si>
  <si>
    <t>ﾊﾟｷｼﾙ</t>
  </si>
  <si>
    <t>ﾊﾟｷｼﾙｼﾞｮｳ10mg</t>
  </si>
  <si>
    <t>ﾊﾗｸ001</t>
  </si>
  <si>
    <t>バラクルード錠０．５ｍｇ</t>
  </si>
  <si>
    <t>ﾊﾞﾗｸ</t>
  </si>
  <si>
    <t>ﾊﾞﾗｸﾙｰﾄﾞｼﾞｮｳ0.5mg</t>
  </si>
  <si>
    <t>ﾊﾗｼ001</t>
  </si>
  <si>
    <t>バラシクロビル錠５００ｍｇ「ＮＰ」</t>
  </si>
  <si>
    <t>ﾊﾞﾗｼ</t>
  </si>
  <si>
    <t>ﾊﾞﾗｼｸﾛﾋﾞﾙｼﾞｮｳ500mg｢NP｣</t>
  </si>
  <si>
    <t>ﾊﾙﾌ002</t>
  </si>
  <si>
    <t>バルプロ酸Ｎａ徐放顆粒４０％「フジナガ」</t>
  </si>
  <si>
    <t>ﾊﾞﾙﾌﾟ</t>
  </si>
  <si>
    <t>ﾊﾞﾙﾌﾟﾛｻﾝNaｼﾞｮﾎｳｶﾘｭｳ40%｢ﾌｼﾞﾅｶﾞ｣</t>
  </si>
  <si>
    <t>ﾊﾙﾓ001</t>
  </si>
  <si>
    <t>パルモディアＸＲ錠０．２ｍｇ</t>
  </si>
  <si>
    <t>ﾊﾟﾙﾓﾃﾞｲｱXRｼﾞﾖｳ0.2MG</t>
  </si>
  <si>
    <t>ﾊﾛﾍ003</t>
  </si>
  <si>
    <t>ハロペリドール錠１ｍｇ「タカタ」</t>
  </si>
  <si>
    <t>ﾊﾛﾍﾟ6</t>
  </si>
  <si>
    <t>ﾊﾛﾍﾟﾘﾄﾞｰﾙｼﾞｮｳ1mg｢ﾀｶﾀ｣</t>
  </si>
  <si>
    <t>ﾊﾛﾍ006</t>
  </si>
  <si>
    <t>ハロペリドール細粒１％「アメル」</t>
  </si>
  <si>
    <t>ﾊﾛﾍﾟ1</t>
  </si>
  <si>
    <t>ﾊﾛﾍﾟﾘﾄﾞｰﾙｻｲﾘｭｳ1%｢ｱﾒﾙ｣</t>
  </si>
  <si>
    <t>ﾋｵｸ001</t>
  </si>
  <si>
    <t>ピオグリタゾンＯＤ錠１５ｍｇ「トーワ」</t>
  </si>
  <si>
    <t>ﾋﾟｵｸﾞﾘﾀｿﾞﾝODｼﾞﾖｳ15MGﾄ-ﾜ</t>
  </si>
  <si>
    <t>ﾋｶﾙ001</t>
  </si>
  <si>
    <t>ビカルタミド錠８０ｍｇ「ＶＴＲＳ」</t>
  </si>
  <si>
    <t>ﾋﾞｶﾙ2</t>
  </si>
  <si>
    <t>ﾋﾞｶﾙﾀﾐﾄﾞｼﾞｮｳ80mg｢VTRS｣</t>
  </si>
  <si>
    <t>ﾋｸﾄ001</t>
  </si>
  <si>
    <t>ビクトーザ皮下注１８ｍｇ</t>
  </si>
  <si>
    <t>ﾋﾞｸﾄ</t>
  </si>
  <si>
    <t>ﾋﾞｸﾄｰｻﾞﾋｶﾁｭｳ18mg</t>
  </si>
  <si>
    <t>ﾋｿﾌ001</t>
  </si>
  <si>
    <t>ビソプロロールフマル酸塩錠０．６２５ｍｇ「テバ」</t>
  </si>
  <si>
    <t>ﾋﾞｿﾌﾟﾛ</t>
  </si>
  <si>
    <t>ﾋﾞｿﾌﾟﾛﾛｰﾙﾌﾏﾙｻﾝｴﾝｼﾞｮｳ0.625mg｢ﾃﾊﾞ｣</t>
  </si>
  <si>
    <t>ﾋｿﾌ002</t>
  </si>
  <si>
    <t>ビソプロロールフマル酸塩錠２．５ｍｇ「テバ」</t>
  </si>
  <si>
    <t>ﾋﾞｿﾌﾟ</t>
  </si>
  <si>
    <t>ﾋﾞｿﾌﾟﾛﾛｰﾙﾌﾏﾙｻﾝｴﾝｼﾞｮｳ2.5mg｢ﾃﾊﾞ｣</t>
  </si>
  <si>
    <t>ﾋｿﾙ001</t>
  </si>
  <si>
    <t>ビソルボン注４ｍｇ</t>
  </si>
  <si>
    <t>ﾋﾞｿﾙﾎﾞ</t>
  </si>
  <si>
    <t>ﾋﾞｿﾙﾎﾞﾝﾁｭｳ4mg</t>
  </si>
  <si>
    <t>ﾋｿﾙ002</t>
  </si>
  <si>
    <t>ビソルボン吸入液０．２％</t>
  </si>
  <si>
    <t>ﾋﾞｿﾙ</t>
  </si>
  <si>
    <t>ﾋﾞｿﾙﾎﾞﾝｷｭｳﾆｭｳｴｷ0.2%</t>
  </si>
  <si>
    <t>ﾋﾀﾉ001</t>
  </si>
  <si>
    <t>ビタノイリンカプセル５０</t>
  </si>
  <si>
    <t>ﾋﾞﾀﾉｲ2</t>
  </si>
  <si>
    <t>ﾋﾞﾀﾉｲﾘﾝｶﾌﾟｾﾙ50</t>
  </si>
  <si>
    <t>ﾋﾍﾙ001</t>
  </si>
  <si>
    <t>ヒベルナ糖衣錠５ｍｇ</t>
  </si>
  <si>
    <t>ﾋﾍﾞﾙﾅ</t>
  </si>
  <si>
    <t>ﾋﾍﾞﾙﾅﾄｳｲｼﾞｮｳ5mg</t>
  </si>
  <si>
    <t>ﾋﾍﾙ003</t>
  </si>
  <si>
    <t>ヒベルナ散１０％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</si>
  <si>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</si>
  <si>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</si>
  <si>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</si>
  <si>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</si>
  <si>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</si>
  <si>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</si>
  <si>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</si>
  <si>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</si>
  <si>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</si>
  <si>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</si>
  <si>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</si>
  <si>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</si>
  <si>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ビムパット点滴静注２００ｍｇ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</si>
  <si>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</si>
  <si>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</si>
  <si>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</si>
  <si>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</si>
  <si>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</si>
  <si>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</si>
  <si>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ヒューマログミックス２５注ミリオペン</t>
  </si>
  <si>
    <t>ﾋｭｰﾏﾛ2</t>
  </si>
  <si>
    <t>ﾋｭｰﾏﾛｸﾞﾐｯｸｽ25ﾁｭｳﾐﾘｵﾍﾟﾝ</t>
  </si>
  <si>
    <t>ﾋﾗﾉ001</t>
  </si>
  <si>
    <t>ビラノア錠２０ｍｇ</t>
  </si>
  <si>
    <t>ﾋﾞﾗﾉ</t>
  </si>
  <si>
    <t>ﾋﾞﾗﾉｱｼﾞｮｳ20mg</t>
  </si>
  <si>
    <t>ﾋﾗﾏ001</t>
  </si>
  <si>
    <t>ピラマイド原末</t>
  </si>
  <si>
    <t>ﾋﾟﾗﾏ</t>
  </si>
  <si>
    <t>ﾋﾟﾗﾏｲﾄﾞｹﾞﾝﾏﾂ</t>
  </si>
  <si>
    <t>ﾋﾙｼ001</t>
  </si>
  <si>
    <t>ピルシカイニド塩酸塩カプセル５０ｍｇ「日医工」</t>
  </si>
  <si>
    <t>ﾋﾟﾙｼ</t>
  </si>
  <si>
    <t>ﾋﾟﾙｼｶｲﾆﾄﾞｴﾝｻﾝｴﾝｶﾌﾟｾﾙ50mg｢ﾆﾁｲｺｳ｣</t>
  </si>
  <si>
    <t>ﾌｱﾓ002</t>
  </si>
  <si>
    <t>ファモチジン散１０％「サワイ」</t>
  </si>
  <si>
    <t>ﾌｧﾓｻ1</t>
  </si>
  <si>
    <t>ﾌｧﾓﾁｼﾞﾝｻﾝ10%｢ｻﾜｲ｣</t>
  </si>
  <si>
    <t>ﾌｱﾓ003</t>
  </si>
  <si>
    <t>ファモチジン注射用２０ｍｇ「オーハラ」</t>
  </si>
  <si>
    <t>ﾌｧﾓﾁ</t>
  </si>
  <si>
    <t>ﾌｧﾓﾁｼﾞﾝﾁｭｳｼｬﾖｳ20mg｢ｵｰﾊﾗ｣</t>
  </si>
  <si>
    <t>ﾌｲﾌ001</t>
  </si>
  <si>
    <t>フィブラストスプレー５００</t>
  </si>
  <si>
    <t>ﾌｨﾌﾞﾗｽ</t>
  </si>
  <si>
    <t>ﾌｨﾌﾞﾗｽﾄｽﾌﾟﾚｰ500</t>
  </si>
  <si>
    <t>ﾌｴﾉ004</t>
  </si>
  <si>
    <t>フェノール・亜鉛華リニメント「ニッコー」</t>
  </si>
  <si>
    <t>ﾌｴﾉ-ﾙｱｴﾝｶﾘﾆﾒﾝﾄﾆﾂｺ-</t>
  </si>
  <si>
    <t>ﾌｴﾌ001</t>
  </si>
  <si>
    <t>フェブキソスタット錠１０ｍｇ「ＡＦＰ」</t>
  </si>
  <si>
    <t>ﾌｪﾌﾞｷ</t>
  </si>
  <si>
    <t>ﾌｪﾌﾞｷｿｽﾀｯﾄｼﾞｮｳ10mg｢AFP｣</t>
  </si>
  <si>
    <t>ﾌｴﾛ001</t>
  </si>
  <si>
    <t>フェロジピン錠５ｍｇ「武田テバ」</t>
  </si>
  <si>
    <t>ﾌｪﾛｼﾞ</t>
  </si>
  <si>
    <t>ﾌｪﾛｼﾞﾋﾟﾝｼﾞｮｳ5mg｢武田ﾃﾊﾞ｣</t>
  </si>
  <si>
    <t>ﾌｴﾛ002</t>
  </si>
  <si>
    <t>フェロ・グラデュメット錠１０５ｍｇ</t>
  </si>
  <si>
    <t>ﾌｪﾛｸﾞ*</t>
  </si>
  <si>
    <t>ﾌｴﾛｸﾞﾗﾃﾞﾕﾒﾂﾄｼﾞﾖｳ105MG</t>
  </si>
  <si>
    <t>ﾌｴﾛ003</t>
  </si>
  <si>
    <t>フェロミア顆粒８．３％</t>
  </si>
  <si>
    <t>ﾌｪﾛﾐｱ2</t>
  </si>
  <si>
    <t>ﾌｪﾛﾐｱｶﾘｭｳ8.3%</t>
  </si>
  <si>
    <t>ﾌｵﾙ001</t>
  </si>
  <si>
    <t>フォルテオ皮下注キット６００μｇ</t>
  </si>
  <si>
    <t>ﾌｫﾙ</t>
  </si>
  <si>
    <t>ﾌｫﾙﾃｵﾋｶﾁｭｳｷｯﾄ600μg</t>
  </si>
  <si>
    <t>ﾌｽｺ001</t>
  </si>
  <si>
    <t>ブスコパン錠１０ｍｇ</t>
  </si>
  <si>
    <t>ﾌﾞｽｺ**</t>
  </si>
  <si>
    <t>ﾌﾞｽｺﾊﾟﾝｼﾞｮｳ10mg</t>
  </si>
  <si>
    <t>ﾌﾄｳ003</t>
  </si>
  <si>
    <t>ブドウ糖注２０％ＰＬ「フソー」</t>
  </si>
  <si>
    <t>ﾄｳﾁｭｳ</t>
  </si>
  <si>
    <t>ﾌﾞﾄﾞｳﾄｳﾁｭｳ20%PL｢ﾌｿｰ｣</t>
  </si>
  <si>
    <t>ﾌﾄｳ006</t>
  </si>
  <si>
    <t>大塚糖液５％100ml</t>
  </si>
  <si>
    <t>ﾌﾗｻ001</t>
  </si>
  <si>
    <t>プラザキサカプセル１１０ｍｇ</t>
  </si>
  <si>
    <t>ﾌﾟﾗｻﾞ</t>
  </si>
  <si>
    <t>ﾌﾟﾗｻﾞｷｻｶﾌﾟｾﾙ110mg</t>
  </si>
  <si>
    <t>ﾌﾗｾ002</t>
  </si>
  <si>
    <t>プラセボ坐薬</t>
  </si>
  <si>
    <t>ﾌﾟﾗｾ3</t>
  </si>
  <si>
    <t>ﾌﾟﾗｾﾎﾞｻﾞﾔｸ</t>
  </si>
  <si>
    <t>ﾌﾗﾘ001</t>
  </si>
  <si>
    <t>プラリア皮下注６０ｍｇシリンジ（用時購入）</t>
  </si>
  <si>
    <t>ﾌﾟﾗﾘ</t>
  </si>
  <si>
    <t>ﾌﾟﾗﾘｱﾋｶﾁｭｳ60mgｼﾘﾝｼﾞ</t>
  </si>
  <si>
    <t>ﾌﾗﾝ002</t>
  </si>
  <si>
    <t>プランルカスト錠２２５ｍｇ「日医工」</t>
  </si>
  <si>
    <t>ﾌﾟﾗﾝ</t>
  </si>
  <si>
    <t>ﾌﾟﾗﾝﾙｶｽﾄｼﾞｮｳ225mg｢ﾆﾁｲｺｳ｣</t>
  </si>
  <si>
    <t>ﾌﾙﾀ001</t>
  </si>
  <si>
    <t>フルタイド１００ディスカス</t>
  </si>
  <si>
    <t>ﾌﾙﾀｲ</t>
  </si>
  <si>
    <t>ﾌﾙﾀｲﾄﾞ100ﾃﾞｨｽｶｽ</t>
  </si>
  <si>
    <t>ﾌﾙﾂ001</t>
  </si>
  <si>
    <t>フルツロンカプセル２００</t>
  </si>
  <si>
    <t>ﾌﾙﾂ</t>
  </si>
  <si>
    <t>ﾌﾙﾂﾛﾝｶﾌﾟｾﾙ200</t>
  </si>
  <si>
    <t>ﾌﾙﾙ001</t>
  </si>
  <si>
    <t>フルルバンパップ４０ｍｇ</t>
  </si>
  <si>
    <t>ﾌﾙﾙﾊﾞﾝ</t>
  </si>
  <si>
    <t>ﾌﾙﾙﾊﾞﾝﾊﾟｯﾌﾟ40mg</t>
  </si>
  <si>
    <t>ﾌﾛｸ001</t>
  </si>
  <si>
    <t>プログラフカプセル１ｍｇ</t>
  </si>
  <si>
    <t>ﾌﾟﾛｸﾞ</t>
  </si>
  <si>
    <t>ﾌﾟﾛｸﾞﾗﾌｶﾌﾟｾﾙ1mg</t>
  </si>
  <si>
    <t>ﾌﾛﾀ001</t>
  </si>
  <si>
    <t>プロタノールＳ錠１５ｍｇ</t>
  </si>
  <si>
    <t>ﾌﾟﾛﾀﾉｰ</t>
  </si>
  <si>
    <t>ﾌﾟﾛﾀﾉｰﾙSｼﾞｮｳ15mg</t>
  </si>
  <si>
    <t>ﾌﾛﾁ001</t>
  </si>
  <si>
    <t>ブロチゾラム錠０．２５ｍｇ「トーワ」</t>
  </si>
  <si>
    <t>ﾌﾞﾛﾁ</t>
  </si>
  <si>
    <t>ﾌﾞﾛﾁｿﾞﾗﾑｼﾞｮｳ0.25mg｢ﾄｰﾜ｣</t>
  </si>
  <si>
    <t>ﾌﾛﾄ001</t>
  </si>
  <si>
    <t>プロトピック軟膏０．１％</t>
  </si>
  <si>
    <t>ﾌﾟﾛﾄ</t>
  </si>
  <si>
    <t>ﾌﾟﾛﾄﾋﾟｯｸﾅﾝｺｳ0.1%</t>
  </si>
  <si>
    <t>ﾌﾛﾌ001</t>
  </si>
  <si>
    <t>プロプラノロール塩酸塩錠１０ｍｇ「日医工」</t>
  </si>
  <si>
    <t>ﾌﾟﾛﾌﾟ</t>
  </si>
  <si>
    <t>ﾌﾟﾛﾌﾟﾗﾉﾛｰﾙｴﾝｻﾝｴﾝｼﾞｮｳ10mg｢ﾆﾁｲｺｳ｣</t>
  </si>
  <si>
    <t>ﾌﾛﾓ001</t>
  </si>
  <si>
    <t>ブロモクリプチン錠２．５ｍｇ「Ｆ」</t>
  </si>
  <si>
    <t>ﾌﾞﾛﾓｸ</t>
  </si>
  <si>
    <t>ﾌﾞﾛﾓｸﾘﾌﾟﾁﾝｼﾞｮｳ2.5mg｢F｣</t>
  </si>
  <si>
    <t>ﾌﾛﾘ001</t>
  </si>
  <si>
    <t>フロリードゲル経口用２％</t>
  </si>
  <si>
    <t>ﾌﾛﾘ</t>
  </si>
  <si>
    <t>ﾌﾛﾘｰﾄﾞｹﾞﾙｹｲｺｳﾖｳ2%</t>
  </si>
  <si>
    <t>ﾍｻﾄ001</t>
  </si>
  <si>
    <t>ベザトールＳＲ錠２００ｍｇ</t>
  </si>
  <si>
    <t>ﾍﾞｻﾞﾄ</t>
  </si>
  <si>
    <t>ﾍﾞｻﾞﾄｰﾙSRｼﾞｮｳ200mg</t>
  </si>
  <si>
    <t>ﾍｼｹ001</t>
  </si>
  <si>
    <t>ベシケア錠５ｍｇ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</si>
  <si>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</si>
  <si>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</si>
  <si>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</si>
  <si>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</si>
  <si>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</si>
  <si>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</si>
  <si>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ベナパスタ軟膏４％</t>
  </si>
  <si>
    <t>ﾍﾞﾅﾊﾟｽ</t>
  </si>
  <si>
    <t>ﾍﾞﾅﾊﾟｽﾀﾅﾝｺｳ4%</t>
  </si>
  <si>
    <t>ﾍﾋｵ001</t>
  </si>
  <si>
    <t>ベピオゲル２．５％</t>
  </si>
  <si>
    <t>ﾍﾞﾋﾟｵ</t>
  </si>
  <si>
    <t>ﾍﾞﾋﾟｵｹﾞﾙ2.5%</t>
  </si>
  <si>
    <t>ﾍﾗﾌ001</t>
  </si>
  <si>
    <t>ベラプロストＮａ錠２０μｇ「トーワ」</t>
  </si>
  <si>
    <t>ﾍﾞﾗﾌﾟ2</t>
  </si>
  <si>
    <t>ﾍﾞﾗﾌﾟﾛｽﾄNaｼﾞｮｳ20μg｢ﾄｰﾜ｣</t>
  </si>
  <si>
    <t>ﾍﾙｻ001</t>
  </si>
  <si>
    <t>ペルサンチン錠２５ｍｇ</t>
  </si>
  <si>
    <t>ﾍﾟﾙｻ</t>
  </si>
  <si>
    <t>ﾍﾟﾙｻﾝﾁﾝｼﾞｮｳ25mg</t>
  </si>
  <si>
    <t>ﾍﾙｼ001</t>
  </si>
  <si>
    <t>ペルジピン注射液２ｍｇ</t>
  </si>
  <si>
    <t>ﾍﾟﾙｼﾞﾋﾟﾝﾁﾕｳｼﾔｴｷ2MG</t>
  </si>
  <si>
    <t>ﾎｸﾘ001</t>
  </si>
  <si>
    <t>ボグリボースＯＤ錠０．２ｍｇ「日医工」</t>
  </si>
  <si>
    <t>ﾎﾞｸﾞﾘ</t>
  </si>
  <si>
    <t>ﾎﾞｸﾞﾘﾎﾞｰｽODｼﾞｮｳ0.2mg｢ﾆﾁｲｺｳ｣</t>
  </si>
  <si>
    <t>ﾎｽﾐ001</t>
  </si>
  <si>
    <t>ホスミシンＳ耳科用３％</t>
  </si>
  <si>
    <t>ﾎｽﾐ</t>
  </si>
  <si>
    <t>ﾎｽﾐｼﾝSｼﾞｶﾖｳ3%</t>
  </si>
  <si>
    <t>ﾎﾋﾄ002</t>
  </si>
  <si>
    <t>ポビドンヨード外用液１０％「ＶＴＲＳ」</t>
  </si>
  <si>
    <t>ﾎﾟﾋﾞ2</t>
  </si>
  <si>
    <t>ﾎﾟﾋﾞﾄﾞﾝﾖｰﾄﾞｶﾞｲﾖｳｴｷ10%｢VTRS｣</t>
  </si>
  <si>
    <t>ﾎﾘﾂ001</t>
  </si>
  <si>
    <t>ホーリット錠２０ｍｇ</t>
  </si>
  <si>
    <t>ﾎｰﾘ1</t>
  </si>
  <si>
    <t>ﾎｰﾘｯﾄｼﾞｮｳ20mg</t>
  </si>
  <si>
    <t>ﾎﾘﾂ002</t>
  </si>
  <si>
    <t>ホーリット散１０％</t>
  </si>
  <si>
    <t>ﾎｰﾘ3</t>
  </si>
  <si>
    <t>ﾎｰﾘｯﾄｻﾝ10%</t>
  </si>
  <si>
    <t>ﾏｳｲ001</t>
  </si>
  <si>
    <t>マヴィレット配合錠</t>
  </si>
  <si>
    <t>ﾏｳﾞｨﾚ</t>
  </si>
  <si>
    <t>ﾏｳﾞｨﾚｯﾄﾊｲｺﾞｳｼﾞｮｳ</t>
  </si>
  <si>
    <t>ﾏﾃﾕ001</t>
  </si>
  <si>
    <t>マーデュオックス軟膏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</si>
  <si>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</si>
  <si>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</si>
  <si>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</si>
  <si>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</si>
  <si>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</si>
  <si>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ミカファンギンＮａ点滴静注用５０ｍｇ「サワイ」</t>
  </si>
  <si>
    <t>ﾐｶﾌｧ</t>
  </si>
  <si>
    <t>ﾐｶﾌｧﾝｷﾞﾝNaﾃﾝﾃｷｼﾞｮｳﾁｭｳﾖｳ50mg｢ｻﾜｲ｣</t>
  </si>
  <si>
    <t>ﾐｿﾘ001</t>
  </si>
  <si>
    <t>ミゾリビン錠５０ｍｇ「サワイ」</t>
  </si>
  <si>
    <t>ﾐｿﾞﾘ</t>
  </si>
  <si>
    <t>ﾐｿﾞﾘﾋﾞﾝｼﾞｮｳ50mg｢ｻﾜｲ｣</t>
  </si>
  <si>
    <t>ﾐﾉｻ001</t>
  </si>
  <si>
    <t>ミノサイクリン塩酸塩錠５０ｍｇ「日医工」</t>
  </si>
  <si>
    <t>ﾐﾉｻ2</t>
  </si>
  <si>
    <t>ﾐﾉｻｲｸﾘﾝｴﾝｻﾝｴﾝｼﾞｮｳ50mg｢ﾆﾁｲｺｳ｣</t>
  </si>
  <si>
    <t>ﾐﾙﾀ001</t>
  </si>
  <si>
    <t>ミルタザピン錠１５ｍｇ「明治」</t>
  </si>
  <si>
    <t>ﾐﾙﾀ</t>
  </si>
  <si>
    <t>ﾐﾙﾀｻﾞﾋﾟﾝｼﾞｮｳ15mg｢ﾒｲｼﾞ｣</t>
  </si>
  <si>
    <t>ﾑｺｽ002</t>
  </si>
  <si>
    <t>ムコスタ顆粒２０％</t>
  </si>
  <si>
    <t>ﾑｺｽﾀ2</t>
  </si>
  <si>
    <t>ﾑｺｽﾀｶﾘｭｳ20%</t>
  </si>
  <si>
    <t>ﾑｺﾌ001</t>
  </si>
  <si>
    <t>ムコファジン点眼液</t>
  </si>
  <si>
    <t>ﾑｺﾌｧｼﾞ</t>
  </si>
  <si>
    <t>ﾑｺﾌｧｼﾞﾝﾃﾝｶﾞﾝｴｷ</t>
  </si>
  <si>
    <t>ﾒﾈｼ001</t>
  </si>
  <si>
    <t>メネシット配合錠１００</t>
  </si>
  <si>
    <t>ﾒﾈｼ</t>
  </si>
  <si>
    <t>ﾒﾈｼｯﾄﾊｲｺﾞｳｼﾞｮｳ100</t>
  </si>
  <si>
    <t>ﾒﾛﾍ001</t>
  </si>
  <si>
    <t>メロペン点滴用バイアル０．５ｇ</t>
  </si>
  <si>
    <t>ﾒﾛﾍﾟ</t>
  </si>
  <si>
    <t>ﾒﾛﾍﾟﾝﾃﾝﾃｷﾖｳﾊﾞｲｱﾙ0.5g</t>
  </si>
  <si>
    <t>ﾒﾛﾍ002</t>
  </si>
  <si>
    <t>メロペネム点滴静注用０．５ｇ「ＮＰ」</t>
  </si>
  <si>
    <t>ﾒﾛﾍﾟﾈﾑﾃﾝﾃｷｼﾞﾖｳﾁﾕｳﾖｳ0.5GNP</t>
  </si>
  <si>
    <t>ﾓﾒﾀ001</t>
  </si>
  <si>
    <t>モメタゾンフランカルボン酸エステル軟膏０．１％「ＭＹＫ」</t>
  </si>
  <si>
    <t>ﾓﾒﾀｿﾞ</t>
  </si>
  <si>
    <t>ﾓﾒﾀｿﾞﾝﾌﾗﾝｶﾙﾎﾞﾝｻﾝｴｽﾃﾙﾅﾝｺｳ0.1%｢MYK｣</t>
  </si>
  <si>
    <t>ﾕﾋﾂ001</t>
  </si>
  <si>
    <t>ユービット錠１００ｍｇ</t>
  </si>
  <si>
    <t>ﾕｰﾋﾞ</t>
  </si>
  <si>
    <t>ﾕｰﾋﾞｯﾄｼﾞｮｳ100mg</t>
  </si>
  <si>
    <t>ﾕﾘｽ001</t>
  </si>
  <si>
    <t>ﾕﾘｽｼﾞﾖｳ1MG</t>
  </si>
  <si>
    <t>ﾕﾘﾌ001</t>
  </si>
  <si>
    <t>ユリーフ錠４ｍｇ</t>
  </si>
  <si>
    <t>ﾕﾘﾌ</t>
  </si>
  <si>
    <t>ﾕﾘｰﾌｼﾞｮｳ4mg</t>
  </si>
  <si>
    <t>ﾗｺﾙ001</t>
  </si>
  <si>
    <t>ラコールＮＦ配合経腸用半固形剤</t>
  </si>
  <si>
    <t>ﾗｺｰ</t>
  </si>
  <si>
    <t>ﾗｺｰﾙNFﾊｲｺﾞｳｹｲﾁｮｳﾖｳ半固形ｻﾞｲ</t>
  </si>
  <si>
    <t>ﾗﾀﾉ001</t>
  </si>
  <si>
    <t>ラタノプロスト点眼液０．００５％「サワイ」</t>
  </si>
  <si>
    <t>ﾗﾀﾉ</t>
  </si>
  <si>
    <t>ﾗﾀﾉﾌﾟﾛｽﾄﾃﾝｶﾞﾝｴｷ0.005%｢ｻﾜｲ｣</t>
  </si>
  <si>
    <t>ﾗﾀﾉ002</t>
  </si>
  <si>
    <t>ラタノプロスト点眼液０．００５％「ニットー」</t>
  </si>
  <si>
    <t>ﾗﾀﾉﾌﾟﾛｽﾄﾃﾝｶﾞﾝｴｷ0.005%ﾆﾂﾄ-</t>
  </si>
  <si>
    <t>ﾗﾝﾀ002</t>
  </si>
  <si>
    <t>ﾗﾝﾀｽXRﾁﾕｳｿﾛｽﾀ-</t>
  </si>
  <si>
    <t>ﾘｱﾙ001</t>
  </si>
  <si>
    <t>リアルダ錠１２００ｍｇ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</si>
  <si>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</si>
  <si>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</si>
  <si>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</si>
  <si>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</si>
  <si>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</si>
  <si>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リスペリドン内用液１ｍｇ／ｍＬ「アメル」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</si>
  <si>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</si>
  <si>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</si>
  <si>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</si>
  <si>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</si>
  <si>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</si>
  <si>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</si>
  <si>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リスペリドン錠２ｍｇ「アメル」</t>
  </si>
  <si>
    <t>ﾘｽﾍﾟ2</t>
  </si>
  <si>
    <t>ﾘｽﾍﾟﾘﾄﾞﾝｼﾞｮｳ2mg｢ｱﾒﾙ｣</t>
  </si>
  <si>
    <t>ﾘｽﾍ007</t>
  </si>
  <si>
    <t>リスペリドン錠３ｍｇ「アメル」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</si>
  <si>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</si>
  <si>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</si>
  <si>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</si>
  <si>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</si>
  <si>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</si>
  <si>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</si>
  <si>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リパクレオンカプセル１５０ｍｇ</t>
  </si>
  <si>
    <t>ﾘﾊﾟｸ</t>
  </si>
  <si>
    <t>ﾘﾊﾟｸﾚｵﾝｶﾌﾟｾﾙ150mg</t>
  </si>
  <si>
    <t>ﾘﾊｽ001</t>
  </si>
  <si>
    <t>リバスチグミンテープ４．５ｍｇ「ニプロ」</t>
  </si>
  <si>
    <t>ﾘﾊﾞｽ5</t>
  </si>
  <si>
    <t>ﾘﾊﾞｽﾁｸﾞﾐﾝﾃｰﾌﾟ4.5mg｢ﾆﾌﾟﾛ｣</t>
  </si>
  <si>
    <t>ﾘﾊｽ002</t>
  </si>
  <si>
    <t>リバスチグミンテープ９ｍｇ「ニプロ」</t>
  </si>
  <si>
    <t>ﾘﾊﾞｽ6</t>
  </si>
  <si>
    <t>ﾘﾊﾞｽﾁｸﾞﾐﾝﾃｰﾌﾟ9mg｢ﾆﾌﾟﾛ｣</t>
  </si>
  <si>
    <t>ﾘﾊｽ003</t>
  </si>
  <si>
    <t>リバスチグミンテープ１３．５ｍｇ「ニプロ」</t>
  </si>
  <si>
    <t>ﾘﾊﾞｽ7</t>
  </si>
  <si>
    <t>ﾘﾊﾞｽﾁｸﾞﾐﾝﾃｰﾌﾟ13.5mg｢ﾆﾌﾟﾛ｣</t>
  </si>
  <si>
    <t>ﾘﾊｽ004</t>
  </si>
  <si>
    <t>リバスチグミンテープ１８ｍｇ「ニプロ」</t>
  </si>
  <si>
    <t>ﾘﾊﾞｽ8</t>
  </si>
  <si>
    <t>ﾘﾊﾞｽﾁｸﾞﾐﾝﾃｰﾌﾟ18mg｢ﾆﾌﾟﾛ｣</t>
  </si>
  <si>
    <t>ﾘﾊﾛ001</t>
  </si>
  <si>
    <t>リバーロキサバンＯＤ錠１０ｍｇ「トーワ」</t>
  </si>
  <si>
    <t>ﾘﾊﾞ-ﾛｷｻﾊﾞﾝODｼﾞﾖｳ10MGﾄ-ﾜ</t>
  </si>
  <si>
    <t>ﾘﾌｱ001</t>
  </si>
  <si>
    <t>リファンピシンカプセル１５０ｍｇ「サンド」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</si>
  <si>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</si>
  <si>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</si>
  <si>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</si>
  <si>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</si>
  <si>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</si>
  <si>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リプル</t>
  </si>
  <si>
    <t>ﾘﾌﾟﾙ</t>
  </si>
  <si>
    <t>ﾘﾕｳ001</t>
  </si>
  <si>
    <t>硫酸ストレプトマイシン注射用１ｇ「明治」</t>
  </si>
  <si>
    <t>ﾘｭｳ</t>
  </si>
  <si>
    <t>ﾘｭｳｻﾝｽﾄﾚﾌﾟﾄﾏｲｼﾝﾁｭｳｼｬﾖｳ1g｢ﾒｲｼﾞ｣</t>
  </si>
  <si>
    <t>ﾘﾝﾃ002</t>
  </si>
  <si>
    <t>眼・耳科用リンデロンＡ軟膏</t>
  </si>
  <si>
    <t>ﾘﾝﾃﾞA</t>
  </si>
  <si>
    <t>ｶﾞﾝ･ｼﾞｶﾖｳﾘﾝﾃﾞﾛﾝAﾅﾝｺｳ</t>
  </si>
  <si>
    <t>ﾙｼｵ001</t>
  </si>
  <si>
    <t>ルジオミール錠２５ｍｇ</t>
  </si>
  <si>
    <t>ﾙｼﾞｵ25</t>
  </si>
  <si>
    <t>ﾙｼﾞｵﾐｰﾙｼﾞｮｳ25mg</t>
  </si>
  <si>
    <t>ﾙﾌﾗ001</t>
  </si>
  <si>
    <t>ルプラック錠４ｍｇ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</si>
  <si>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</si>
  <si>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</si>
  <si>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</si>
  <si>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</si>
  <si>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</si>
  <si>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</si>
  <si>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レベチラセタム錠２５０ｍｇ「明治」</t>
  </si>
  <si>
    <t>ﾚﾍﾞﾁ</t>
  </si>
  <si>
    <t>ﾚﾍﾞﾁﾗｾﾀﾑｼﾞｮｳ250mg｢ﾒｲｼﾞ｣</t>
  </si>
  <si>
    <t>ﾚﾍﾁ002</t>
  </si>
  <si>
    <t>レベチラセタムドライシロップ５０％「明治」</t>
  </si>
  <si>
    <t>ﾚﾍﾞﾁﾄﾞ</t>
  </si>
  <si>
    <t>ﾚﾍﾞﾁﾗｾﾀﾑﾄﾞﾗｲｼﾛｯﾌﾟ50%｢ﾒｲｼﾞ｣</t>
  </si>
  <si>
    <t>ﾚﾎﾄ001</t>
  </si>
  <si>
    <t>レボトミン錠５ｍｇ</t>
  </si>
  <si>
    <t>ﾚﾎﾞﾄ1*</t>
  </si>
  <si>
    <t>ﾚﾎﾞﾄﾐﾝｼﾞｮｳ5mg</t>
  </si>
  <si>
    <t>ﾚﾎﾄ002</t>
  </si>
  <si>
    <t>レボトミン錠２５ｍｇ</t>
  </si>
  <si>
    <t>ﾚﾎﾞﾄ2*</t>
  </si>
  <si>
    <t>ﾚﾎﾞﾄﾐﾝｼﾞｮｳ25mg</t>
  </si>
  <si>
    <t>ﾚﾎﾄ003</t>
  </si>
  <si>
    <t>レボトミン錠５０ｍｇ</t>
  </si>
  <si>
    <t>ﾚﾎﾞﾄ3*</t>
  </si>
  <si>
    <t>ﾚﾎﾞﾄﾐﾝｼﾞｮｳ50mg</t>
  </si>
  <si>
    <t>ﾚﾎﾄ004</t>
  </si>
  <si>
    <t>レボトミン顆粒１０％</t>
  </si>
  <si>
    <t>ﾚﾎﾞﾄ8*</t>
  </si>
  <si>
    <t>ﾚﾎﾞﾄﾐﾝｶﾘｭｳ10%</t>
  </si>
  <si>
    <t>ﾚﾎﾄ005</t>
  </si>
  <si>
    <t>レボトミン筋注２５ｍｇ</t>
  </si>
  <si>
    <t>ﾚﾎﾞﾄﾐﾝ</t>
  </si>
  <si>
    <t>ﾚﾎﾞﾄﾐﾝｷﾝﾁｭｳ25mg</t>
  </si>
  <si>
    <t>ﾛｷｿ003</t>
  </si>
  <si>
    <t>ロキソプロフェンＮａテープ１００ｍｇ「三和」</t>
  </si>
  <si>
    <t>ﾛｷｿﾌﾟ3</t>
  </si>
  <si>
    <t>ﾛｷｿﾌﾟﾛﾌｪﾝNaﾃｰﾌﾟ100mg｢ｻﾝﾜ｣</t>
  </si>
  <si>
    <t>ﾛｷｿ004</t>
  </si>
  <si>
    <t>ロキソプロフェンＮａテープ１００ｍｇ「科研」</t>
  </si>
  <si>
    <t>ﾛｷｿﾌﾟﾛﾌｴﾝNAﾃ-ﾌﾟ100MGｶｹﾝ</t>
  </si>
  <si>
    <t>ﾛｽﾊ001</t>
  </si>
  <si>
    <t>ロスバスタチン錠２．５ｍｇ「ニプロ」</t>
  </si>
  <si>
    <t>ﾛｽﾊﾞ</t>
  </si>
  <si>
    <t>ﾛｽﾊﾞｽﾀﾁﾝｼﾞｮｳ2.5mg｢ﾆﾌﾟﾛ｣</t>
  </si>
  <si>
    <t>ﾛﾄｴ001</t>
  </si>
  <si>
    <t>ロートエキス散</t>
  </si>
  <si>
    <t>ﾛｰﾄｴｷｽ</t>
  </si>
  <si>
    <t>ﾛｰﾄｴｷｽｻﾝ</t>
  </si>
  <si>
    <t>ﾛﾋﾆ001</t>
  </si>
  <si>
    <t>ロピニロール徐放錠２ｍｇ「サワイ」</t>
  </si>
  <si>
    <t>ﾛﾋﾟﾆ</t>
  </si>
  <si>
    <t>ﾛﾋﾟﾆﾛｰﾙｼﾞｮﾎｳｼﾞｮｳ2mg｢ｻﾜｲ｣</t>
  </si>
  <si>
    <t>ﾛﾌﾗ001</t>
  </si>
  <si>
    <t>ロフラゼプ酸エチル錠１ｍｇ「ＳＮ」</t>
  </si>
  <si>
    <t>ﾛﾌﾗ1</t>
  </si>
  <si>
    <t>ﾛﾌﾗｾﾞﾌﾟｻﾝｴﾁﾙｼﾞｮｳ1mg｢SN｣</t>
  </si>
  <si>
    <t>ﾜﾝﾊ003</t>
  </si>
  <si>
    <t>ワンパル１号輸液</t>
  </si>
  <si>
    <t>ﾜﾝﾊﾟﾙ1ｺﾞｳﾕｴｷ</t>
  </si>
  <si>
    <t>大塚糖液５％１００ｍｌ</t>
  </si>
  <si>
    <t>非採用</t>
    <rPh sb="0" eb="3">
      <t>ヒサイヨウ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</si>
</sst>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178" fontId="0" fillId="0" borderId="0" xfId="0" applyNumberForma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>
      <alignment vertical="center"/>
    </xf>
    <xf numFmtId="178" fontId="0" fillId="4" borderId="0" xfId="0" applyNumberFormat="1" applyFill="1">
      <alignment vertical="center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CCFF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A83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B22" sqref="AB22"/>
    </sheetView>
  </sheetViews>
  <sheetFormatPr defaultRowHeight="13.2"/>
  <cols>
    <col min="1" max="1" width="3.77734375" customWidth="1"/>
    <col min="2" max="2" width="6.33203125" customWidth="1"/>
    <col min="3" max="3" width="41.6640625" customWidth="1"/>
    <col min="4" max="4" width="0.88671875" customWidth="1"/>
    <col min="5" max="5" width="5.77734375" customWidth="1"/>
    <col min="6" max="6" width="10.77734375" customWidth="1"/>
    <col min="7" max="13" width="5.77734375" customWidth="1"/>
    <col min="14" max="15" width="0.88671875" customWidth="1"/>
    <col min="16" max="16" width="15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4" max="24" width="5.77734375" customWidth="1"/>
    <col min="25" max="25" width="0.88671875" customWidth="1"/>
  </cols>
  <sheetData>
    <row r="1" spans="1:27">
      <c r="C1" s="16"/>
    </row>
    <row r="3" spans="1:27">
      <c r="C3" s="63" t="s">
        <v>4059</v>
      </c>
      <c r="D3" s="64"/>
      <c r="E3" s="64"/>
      <c r="F3" s="64"/>
      <c r="G3" s="64"/>
      <c r="H3" s="64"/>
      <c r="I3" s="64"/>
      <c r="J3" s="64"/>
      <c r="K3" s="64"/>
      <c r="L3" s="64"/>
      <c r="M3" s="65"/>
      <c r="N3" s="66" t="s">
        <v>4060</v>
      </c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7" s="17" customFormat="1" ht="118.8">
      <c r="B4" s="39" t="s">
        <v>4054</v>
      </c>
      <c r="C4" s="39" t="s">
        <v>1886</v>
      </c>
      <c r="D4" s="52" t="s">
        <v>4055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4056</v>
      </c>
      <c r="J4" s="39" t="s">
        <v>4</v>
      </c>
      <c r="K4" s="39" t="s">
        <v>5</v>
      </c>
      <c r="L4" s="39" t="s">
        <v>4057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4062</v>
      </c>
      <c r="AA4" s="39" t="s">
        <v>4063</v>
      </c>
    </row>
    <row r="5" spans="1:27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IF(OFFSET(マスタ非採用削除!E$4,統合マスタ!$A5,0)="","",OFFSET(マスタ非採用削除!E$4,統合マスタ!$A5,0))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</row>
    <row r="6" spans="1:27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IF(OFFSET(マスタ非採用削除!E$4,統合マスタ!$A6,0)="","",OFFSET(マスタ非採用削除!E$4,統合マスタ!$A6,0))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</row>
    <row r="7" spans="1:27">
      <c r="A7" s="40">
        <f>元データ!P4</f>
        <v>296</v>
      </c>
      <c r="B7" s="27">
        <f t="shared" ref="B7:B70" si="0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IF(OFFSET(マスタ非採用削除!E$4,統合マスタ!$A7,0)="","",OFFSET(マスタ非採用削除!E$4,統合マスタ!$A7,0))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</row>
    <row r="8" spans="1:27">
      <c r="A8" s="40">
        <f>元データ!P5</f>
        <v>297</v>
      </c>
      <c r="B8" s="27">
        <f t="shared" si="0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IF(OFFSET(マスタ非採用削除!E$4,統合マスタ!$A8,0)="","",OFFSET(マスタ非採用削除!E$4,統合マスタ!$A8,0))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</row>
    <row r="9" spans="1:27">
      <c r="A9" s="40">
        <f>元データ!P6</f>
        <v>298</v>
      </c>
      <c r="B9" s="27">
        <f t="shared" si="0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IF(OFFSET(マスタ非採用削除!E$4,統合マスタ!$A9,0)="","",OFFSET(マスタ非採用削除!E$4,統合マスタ!$A9,0))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</row>
    <row r="10" spans="1:27">
      <c r="A10" s="40">
        <f>元データ!P7</f>
        <v>299</v>
      </c>
      <c r="B10" s="27">
        <f t="shared" si="0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IF(OFFSET(マスタ非採用削除!E$4,統合マスタ!$A10,0)="","",OFFSET(マスタ非採用削除!E$4,統合マスタ!$A10,0))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</row>
    <row r="11" spans="1:27">
      <c r="A11" s="40">
        <f>元データ!P8</f>
        <v>301</v>
      </c>
      <c r="B11" s="27">
        <f t="shared" si="0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IF(OFFSET(マスタ非採用削除!E$4,統合マスタ!$A11,0)="","",OFFSET(マスタ非採用削除!E$4,統合マスタ!$A11,0))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</row>
    <row r="12" spans="1:27">
      <c r="A12" s="40" t="str">
        <f>元データ!P9</f>
        <v>非採用</v>
      </c>
      <c r="B12" s="27">
        <f t="shared" si="0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 t="e">
        <f ca="1">IF(OFFSET(マスタ非採用削除!E$4,統合マスタ!$A12,0)="","",OFFSET(マスタ非採用削除!E$4,統合マスタ!$A12,0))</f>
        <v>#VALUE!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">
        <v>4063</v>
      </c>
    </row>
    <row r="13" spans="1:27">
      <c r="A13" s="40">
        <f>元データ!P10</f>
        <v>302</v>
      </c>
      <c r="B13" s="27">
        <f t="shared" si="0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IF(OFFSET(マスタ非採用削除!E$4,統合マスタ!$A13,0)="","",OFFSET(マスタ非採用削除!E$4,統合マスタ!$A13,0))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</row>
    <row r="14" spans="1:27">
      <c r="A14" s="40">
        <f>元データ!P11</f>
        <v>303</v>
      </c>
      <c r="B14" s="27">
        <f t="shared" si="0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IF(OFFSET(マスタ非採用削除!E$4,統合マスタ!$A14,0)="","",OFFSET(マスタ非採用削除!E$4,統合マスタ!$A14,0))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</row>
    <row r="15" spans="1:27">
      <c r="A15" s="40">
        <f>元データ!P12</f>
        <v>304</v>
      </c>
      <c r="B15" s="27">
        <f t="shared" si="0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IF(OFFSET(マスタ非採用削除!E$4,統合マスタ!$A15,0)="","",OFFSET(マスタ非採用削除!E$4,統合マスタ!$A15,0))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</row>
    <row r="16" spans="1:27">
      <c r="A16" s="40">
        <f>元データ!P13</f>
        <v>305</v>
      </c>
      <c r="B16" s="27">
        <f t="shared" si="0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IF(OFFSET(マスタ非採用削除!E$4,統合マスタ!$A16,0)="","",OFFSET(マスタ非採用削除!E$4,統合マスタ!$A16,0))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</row>
    <row r="17" spans="1:27">
      <c r="A17" s="40">
        <f>元データ!P14</f>
        <v>306</v>
      </c>
      <c r="B17" s="27">
        <f t="shared" si="0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IF(OFFSET(マスタ非採用削除!E$4,統合マスタ!$A17,0)="","",OFFSET(マスタ非採用削除!E$4,統合マスタ!$A17,0))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</row>
    <row r="18" spans="1:27">
      <c r="A18" s="40">
        <f>元データ!P15</f>
        <v>307</v>
      </c>
      <c r="B18" s="27">
        <f t="shared" si="0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IF(OFFSET(マスタ非採用削除!E$4,統合マスタ!$A18,0)="","",OFFSET(マスタ非採用削除!E$4,統合マスタ!$A18,0))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</row>
    <row r="19" spans="1:27">
      <c r="A19" s="40">
        <f>元データ!P16</f>
        <v>308</v>
      </c>
      <c r="B19" s="27">
        <f t="shared" si="0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IF(OFFSET(マスタ非採用削除!E$4,統合マスタ!$A19,0)="","",OFFSET(マスタ非採用削除!E$4,統合マスタ!$A19,0))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</row>
    <row r="20" spans="1:27">
      <c r="A20" s="40">
        <f>元データ!P17</f>
        <v>43</v>
      </c>
      <c r="B20" s="27">
        <f t="shared" si="0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IF(OFFSET(マスタ非採用削除!E$4,統合マスタ!$A20,0)="","",OFFSET(マスタ非採用削除!E$4,統合マスタ!$A20,0))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5</v>
      </c>
      <c r="AA20" s="27"/>
    </row>
    <row r="21" spans="1:27">
      <c r="A21" s="40">
        <f>元データ!P18</f>
        <v>139</v>
      </c>
      <c r="B21" s="27">
        <f t="shared" si="0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IF(OFFSET(マスタ非採用削除!E$4,統合マスタ!$A21,0)="","",OFFSET(マスタ非採用削除!E$4,統合マスタ!$A21,0))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</row>
    <row r="22" spans="1:27">
      <c r="A22" s="40">
        <f>元データ!P19</f>
        <v>144</v>
      </c>
      <c r="B22" s="27">
        <f t="shared" si="0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IF(OFFSET(マスタ非採用削除!E$4,統合マスタ!$A22,0)="","",OFFSET(マスタ非採用削除!E$4,統合マスタ!$A22,0))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</row>
    <row r="23" spans="1:27">
      <c r="A23" s="40">
        <f>元データ!P20</f>
        <v>140</v>
      </c>
      <c r="B23" s="27">
        <f t="shared" si="0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IF(OFFSET(マスタ非採用削除!E$4,統合マスタ!$A23,0)="","",OFFSET(マスタ非採用削除!E$4,統合マスタ!$A23,0))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</row>
    <row r="24" spans="1:27">
      <c r="A24" s="40" t="str">
        <f>元データ!P21</f>
        <v>非採用</v>
      </c>
      <c r="B24" s="27">
        <f t="shared" si="0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 t="e">
        <f ca="1">IF(OFFSET(マスタ非採用削除!E$4,統合マスタ!$A24,0)="","",OFFSET(マスタ非採用削除!E$4,統合マスタ!$A24,0))</f>
        <v>#VALUE!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4074</v>
      </c>
    </row>
    <row r="25" spans="1:27">
      <c r="A25" s="40">
        <f>元データ!P22</f>
        <v>141</v>
      </c>
      <c r="B25" s="27">
        <f t="shared" si="0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IF(OFFSET(マスタ非採用削除!E$4,統合マスタ!$A25,0)="","",OFFSET(マスタ非採用削除!E$4,統合マスタ!$A25,0))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</row>
    <row r="26" spans="1:27">
      <c r="A26" s="40">
        <f>元データ!P23</f>
        <v>142</v>
      </c>
      <c r="B26" s="27">
        <f t="shared" si="0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IF(OFFSET(マスタ非採用削除!E$4,統合マスタ!$A26,0)="","",OFFSET(マスタ非採用削除!E$4,統合マスタ!$A26,0))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</row>
    <row r="27" spans="1:27">
      <c r="A27" s="40">
        <f>元データ!P24</f>
        <v>143</v>
      </c>
      <c r="B27" s="27">
        <f t="shared" si="0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IF(OFFSET(マスタ非採用削除!E$4,統合マスタ!$A27,0)="","",OFFSET(マスタ非採用削除!E$4,統合マスタ!$A27,0))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</row>
    <row r="28" spans="1:27">
      <c r="A28" s="40">
        <f>元データ!P25</f>
        <v>59</v>
      </c>
      <c r="B28" s="27">
        <f t="shared" si="0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IF(OFFSET(マスタ非採用削除!E$4,統合マスタ!$A28,0)="","",OFFSET(マスタ非採用削除!E$4,統合マスタ!$A28,0))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</row>
    <row r="29" spans="1:27">
      <c r="A29" s="40">
        <f>元データ!P26</f>
        <v>76</v>
      </c>
      <c r="B29" s="27">
        <f t="shared" si="0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IF(OFFSET(マスタ非採用削除!E$4,統合マスタ!$A29,0)="","",OFFSET(マスタ非採用削除!E$4,統合マスタ!$A29,0))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</row>
    <row r="30" spans="1:27">
      <c r="A30" s="40">
        <f>元データ!P27</f>
        <v>581</v>
      </c>
      <c r="B30" s="27">
        <f t="shared" si="0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IF(OFFSET(マスタ非採用削除!E$4,統合マスタ!$A30,0)="","",OFFSET(マスタ非採用削除!E$4,統合マスタ!$A30,0))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</row>
    <row r="31" spans="1:27">
      <c r="A31" s="40">
        <f>元データ!P28</f>
        <v>22</v>
      </c>
      <c r="B31" s="27">
        <f t="shared" si="0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IF(OFFSET(マスタ非採用削除!E$4,統合マスタ!$A31,0)="","",OFFSET(マスタ非採用削除!E$4,統合マスタ!$A31,0))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</row>
    <row r="32" spans="1:27">
      <c r="A32" s="40" t="str">
        <f>元データ!P29</f>
        <v>非採用</v>
      </c>
      <c r="B32" s="27">
        <f t="shared" si="0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 t="e">
        <f ca="1">IF(OFFSET(マスタ非採用削除!E$4,統合マスタ!$A32,0)="","",OFFSET(マスタ非採用削除!E$4,統合マスタ!$A32,0))</f>
        <v>#VALUE!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4063</v>
      </c>
    </row>
    <row r="33" spans="1:27">
      <c r="A33" s="40" t="str">
        <f>元データ!P30</f>
        <v>非採用</v>
      </c>
      <c r="B33" s="27">
        <f t="shared" si="0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 t="e">
        <f ca="1">IF(OFFSET(マスタ非採用削除!E$4,統合マスタ!$A33,0)="","",OFFSET(マスタ非採用削除!E$4,統合マスタ!$A33,0))</f>
        <v>#VALUE!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4063</v>
      </c>
    </row>
    <row r="34" spans="1:27">
      <c r="A34" s="40" t="str">
        <f>元データ!P31</f>
        <v>非採用</v>
      </c>
      <c r="B34" s="27">
        <f t="shared" si="0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 t="e">
        <f ca="1">IF(OFFSET(マスタ非採用削除!E$4,統合マスタ!$A34,0)="","",OFFSET(マスタ非採用削除!E$4,統合マスタ!$A34,0))</f>
        <v>#VALUE!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4063</v>
      </c>
    </row>
    <row r="35" spans="1:27">
      <c r="A35" s="40">
        <f>元データ!P32</f>
        <v>2</v>
      </c>
      <c r="B35" s="27">
        <f t="shared" si="0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IF(OFFSET(マスタ非採用削除!E$4,統合マスタ!$A35,0)="","",OFFSET(マスタ非採用削除!E$4,統合マスタ!$A35,0))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</row>
    <row r="36" spans="1:27">
      <c r="A36" s="40">
        <f>元データ!P33</f>
        <v>3</v>
      </c>
      <c r="B36" s="27">
        <f t="shared" si="0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IF(OFFSET(マスタ非採用削除!E$4,統合マスタ!$A36,0)="","",OFFSET(マスタ非採用削除!E$4,統合マスタ!$A36,0))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</row>
    <row r="37" spans="1:27">
      <c r="A37" s="40">
        <f>元データ!P34</f>
        <v>4</v>
      </c>
      <c r="B37" s="27">
        <f t="shared" si="0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IF(OFFSET(マスタ非採用削除!E$4,統合マスタ!$A37,0)="","",OFFSET(マスタ非採用削除!E$4,統合マスタ!$A37,0))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</row>
    <row r="38" spans="1:27">
      <c r="A38" s="40">
        <f>元データ!P35</f>
        <v>5</v>
      </c>
      <c r="B38" s="27">
        <f t="shared" si="0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IF(OFFSET(マスタ非採用削除!E$4,統合マスタ!$A38,0)="","",OFFSET(マスタ非採用削除!E$4,統合マスタ!$A38,0))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</row>
    <row r="39" spans="1:27">
      <c r="A39" s="40">
        <f>元データ!P36</f>
        <v>6</v>
      </c>
      <c r="B39" s="27">
        <f t="shared" si="0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IF(OFFSET(マスタ非採用削除!E$4,統合マスタ!$A39,0)="","",OFFSET(マスタ非採用削除!E$4,統合マスタ!$A39,0))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</row>
    <row r="40" spans="1:27">
      <c r="A40" s="40">
        <f>元データ!P37</f>
        <v>7</v>
      </c>
      <c r="B40" s="27">
        <f t="shared" si="0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IF(OFFSET(マスタ非採用削除!E$4,統合マスタ!$A40,0)="","",OFFSET(マスタ非採用削除!E$4,統合マスタ!$A40,0))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</row>
    <row r="41" spans="1:27">
      <c r="A41" s="40">
        <f>元データ!P38</f>
        <v>8</v>
      </c>
      <c r="B41" s="27">
        <f t="shared" si="0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IF(OFFSET(マスタ非採用削除!E$4,統合マスタ!$A41,0)="","",OFFSET(マスタ非採用削除!E$4,統合マスタ!$A41,0))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</row>
    <row r="42" spans="1:27">
      <c r="A42" s="40">
        <f>元データ!P39</f>
        <v>9</v>
      </c>
      <c r="B42" s="27">
        <f t="shared" si="0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IF(OFFSET(マスタ非採用削除!E$4,統合マスタ!$A42,0)="","",OFFSET(マスタ非採用削除!E$4,統合マスタ!$A42,0))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5</v>
      </c>
      <c r="AA42" s="27"/>
    </row>
    <row r="43" spans="1:27">
      <c r="A43" s="40">
        <f>元データ!P40</f>
        <v>9</v>
      </c>
      <c r="B43" s="27">
        <f t="shared" si="0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IF(OFFSET(マスタ非採用削除!E$4,統合マスタ!$A43,0)="","",OFFSET(マスタ非採用削除!E$4,統合マスタ!$A43,0))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5</v>
      </c>
      <c r="AA43" s="27"/>
    </row>
    <row r="44" spans="1:27">
      <c r="A44" s="40">
        <f>元データ!P41</f>
        <v>10</v>
      </c>
      <c r="B44" s="27">
        <f t="shared" si="0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IF(OFFSET(マスタ非採用削除!E$4,統合マスタ!$A44,0)="","",OFFSET(マスタ非採用削除!E$4,統合マスタ!$A44,0))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</row>
    <row r="45" spans="1:27">
      <c r="A45" s="40" t="str">
        <f>元データ!P42</f>
        <v>非採用</v>
      </c>
      <c r="B45" s="27">
        <f t="shared" si="0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 t="e">
        <f ca="1">IF(OFFSET(マスタ非採用削除!E$4,統合マスタ!$A45,0)="","",OFFSET(マスタ非採用削除!E$4,統合マスタ!$A45,0))</f>
        <v>#VALUE!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">
        <v>4063</v>
      </c>
    </row>
    <row r="46" spans="1:27">
      <c r="A46" s="40" t="str">
        <f>元データ!P43</f>
        <v>非採用</v>
      </c>
      <c r="B46" s="27">
        <f t="shared" si="0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 t="e">
        <f ca="1">IF(OFFSET(マスタ非採用削除!E$4,統合マスタ!$A46,0)="","",OFFSET(マスタ非採用削除!E$4,統合マスタ!$A46,0))</f>
        <v>#VALUE!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4063</v>
      </c>
    </row>
    <row r="47" spans="1:27">
      <c r="A47" s="40">
        <f>元データ!P44</f>
        <v>12</v>
      </c>
      <c r="B47" s="27">
        <f t="shared" si="0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IF(OFFSET(マスタ非採用削除!E$4,統合マスタ!$A47,0)="","",OFFSET(マスタ非採用削除!E$4,統合マスタ!$A47,0))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5</v>
      </c>
      <c r="AA47" s="27"/>
    </row>
    <row r="48" spans="1:27">
      <c r="A48" s="40">
        <f>元データ!P45</f>
        <v>12</v>
      </c>
      <c r="B48" s="27">
        <f t="shared" si="0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IF(OFFSET(マスタ非採用削除!E$4,統合マスタ!$A48,0)="","",OFFSET(マスタ非採用削除!E$4,統合マスタ!$A48,0))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5</v>
      </c>
      <c r="AA48" s="27"/>
    </row>
    <row r="49" spans="1:27">
      <c r="A49" s="40">
        <f>元データ!P46</f>
        <v>14</v>
      </c>
      <c r="B49" s="27">
        <f t="shared" si="0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IF(OFFSET(マスタ非採用削除!E$4,統合マスタ!$A49,0)="","",OFFSET(マスタ非採用削除!E$4,統合マスタ!$A49,0))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</row>
    <row r="50" spans="1:27">
      <c r="A50" s="40">
        <f>元データ!P47</f>
        <v>13</v>
      </c>
      <c r="B50" s="27">
        <f t="shared" si="0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IF(OFFSET(マスタ非採用削除!E$4,統合マスタ!$A50,0)="","",OFFSET(マスタ非採用削除!E$4,統合マスタ!$A50,0))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</row>
    <row r="51" spans="1:27">
      <c r="A51" s="40">
        <f>元データ!P48</f>
        <v>13</v>
      </c>
      <c r="B51" s="27">
        <f t="shared" si="0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IF(OFFSET(マスタ非採用削除!E$4,統合マスタ!$A51,0)="","",OFFSET(マスタ非採用削除!E$4,統合マスタ!$A51,0))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</row>
    <row r="52" spans="1:27">
      <c r="A52" s="40">
        <f>元データ!P49</f>
        <v>15</v>
      </c>
      <c r="B52" s="27">
        <f t="shared" si="0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IF(OFFSET(マスタ非採用削除!E$4,統合マスタ!$A52,0)="","",OFFSET(マスタ非採用削除!E$4,統合マスタ!$A52,0))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</row>
    <row r="53" spans="1:27">
      <c r="A53" s="40">
        <f>元データ!P50</f>
        <v>16</v>
      </c>
      <c r="B53" s="27">
        <f t="shared" si="0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IF(OFFSET(マスタ非採用削除!E$4,統合マスタ!$A53,0)="","",OFFSET(マスタ非採用削除!E$4,統合マスタ!$A53,0))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</row>
    <row r="54" spans="1:27">
      <c r="A54" s="40">
        <f>元データ!P51</f>
        <v>0</v>
      </c>
      <c r="B54" s="27">
        <f t="shared" si="0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str">
        <f ca="1">IF(OFFSET(マスタ非採用削除!A$4,統合マスタ!$A54,0)="","",OFFSET(マスタ非採用削除!A$4,統合マスタ!$A54,0))</f>
        <v>コード(区分値)</v>
      </c>
      <c r="O54" s="53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3" t="str">
        <f ca="1">IF(OFFSET(マスタ非採用削除!D$4,統合マスタ!$A54,0)="","",OFFSET(マスタ非採用削除!D$4,統合マスタ!$A54,0))</f>
        <v>ホストコード</v>
      </c>
      <c r="R54" s="27" t="str">
        <f ca="1">IF(OFFSET(マスタ非採用削除!E$4,統合マスタ!$A54,0)="","",OFFSET(マスタ非採用削除!E$4,統合マスタ!$A54,0))</f>
        <v>採用区分（区分値）(区分値)</v>
      </c>
      <c r="S54" s="53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3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3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棚</v>
      </c>
      <c r="AA54" s="27"/>
    </row>
    <row r="55" spans="1:27">
      <c r="A55" s="40">
        <f>元データ!P52</f>
        <v>17</v>
      </c>
      <c r="B55" s="27">
        <f t="shared" si="0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IF(OFFSET(マスタ非採用削除!E$4,統合マスタ!$A55,0)="","",OFFSET(マスタ非採用削除!E$4,統合マスタ!$A55,0))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</row>
    <row r="56" spans="1:27">
      <c r="A56" s="40">
        <f>元データ!P53</f>
        <v>18</v>
      </c>
      <c r="B56" s="27">
        <f t="shared" si="0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IF(OFFSET(マスタ非採用削除!E$4,統合マスタ!$A56,0)="","",OFFSET(マスタ非採用削除!E$4,統合マスタ!$A56,0))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</row>
    <row r="57" spans="1:27">
      <c r="A57" s="40">
        <f>元データ!P54</f>
        <v>19</v>
      </c>
      <c r="B57" s="27">
        <f t="shared" si="0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IF(OFFSET(マスタ非採用削除!E$4,統合マスタ!$A57,0)="","",OFFSET(マスタ非採用削除!E$4,統合マスタ!$A57,0))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</row>
    <row r="58" spans="1:27">
      <c r="A58" s="40" t="str">
        <f>元データ!P55</f>
        <v>非採用</v>
      </c>
      <c r="B58" s="27">
        <f t="shared" si="0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 t="e">
        <f ca="1">IF(OFFSET(マスタ非採用削除!E$4,統合マスタ!$A58,0)="","",OFFSET(マスタ非採用削除!E$4,統合マスタ!$A58,0))</f>
        <v>#VALUE!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">
        <v>5426</v>
      </c>
    </row>
    <row r="59" spans="1:27">
      <c r="A59" s="40">
        <f>元データ!P56</f>
        <v>21</v>
      </c>
      <c r="B59" s="27">
        <f t="shared" si="0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IF(OFFSET(マスタ非採用削除!E$4,統合マスタ!$A59,0)="","",OFFSET(マスタ非採用削除!E$4,統合マスタ!$A59,0))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</row>
    <row r="60" spans="1:27">
      <c r="A60" s="40">
        <f>元データ!P57</f>
        <v>20</v>
      </c>
      <c r="B60" s="27">
        <f t="shared" si="0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IF(OFFSET(マスタ非採用削除!E$4,統合マスタ!$A60,0)="","",OFFSET(マスタ非採用削除!E$4,統合マスタ!$A60,0))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5</v>
      </c>
      <c r="AA60" s="27"/>
    </row>
    <row r="61" spans="1:27">
      <c r="A61" s="40">
        <f>元データ!P58</f>
        <v>23</v>
      </c>
      <c r="B61" s="27">
        <f t="shared" si="0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IF(OFFSET(マスタ非採用削除!E$4,統合マスタ!$A61,0)="","",OFFSET(マスタ非採用削除!E$4,統合マスタ!$A61,0))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</row>
    <row r="62" spans="1:27">
      <c r="A62" s="40">
        <f>元データ!P59</f>
        <v>26</v>
      </c>
      <c r="B62" s="27">
        <f t="shared" si="0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IF(OFFSET(マスタ非採用削除!E$4,統合マスタ!$A62,0)="","",OFFSET(マスタ非採用削除!E$4,統合マスタ!$A62,0))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</row>
    <row r="63" spans="1:27">
      <c r="A63" s="40">
        <f>元データ!P60</f>
        <v>24</v>
      </c>
      <c r="B63" s="27">
        <f t="shared" si="0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IF(OFFSET(マスタ非採用削除!E$4,統合マスタ!$A63,0)="","",OFFSET(マスタ非採用削除!E$4,統合マスタ!$A63,0))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5</v>
      </c>
      <c r="AA63" s="27"/>
    </row>
    <row r="64" spans="1:27">
      <c r="A64" s="40">
        <f>元データ!P61</f>
        <v>25</v>
      </c>
      <c r="B64" s="27">
        <f t="shared" si="0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IF(OFFSET(マスタ非採用削除!E$4,統合マスタ!$A64,0)="","",OFFSET(マスタ非採用削除!E$4,統合マスタ!$A64,0))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</row>
    <row r="65" spans="1:27">
      <c r="A65" s="40">
        <f>元データ!P62</f>
        <v>25</v>
      </c>
      <c r="B65" s="27">
        <f t="shared" si="0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IF(OFFSET(マスタ非採用削除!E$4,統合マスタ!$A65,0)="","",OFFSET(マスタ非採用削除!E$4,統合マスタ!$A65,0))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</row>
    <row r="66" spans="1:27">
      <c r="A66" s="40">
        <f>元データ!P63</f>
        <v>27</v>
      </c>
      <c r="B66" s="27">
        <f t="shared" si="0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IF(OFFSET(マスタ非採用削除!E$4,統合マスタ!$A66,0)="","",OFFSET(マスタ非採用削除!E$4,統合マスタ!$A66,0))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</row>
    <row r="67" spans="1:27">
      <c r="A67" s="40">
        <f>元データ!P64</f>
        <v>0</v>
      </c>
      <c r="B67" s="27">
        <f t="shared" si="0"/>
        <v>63</v>
      </c>
      <c r="C67" s="27" t="str">
        <f>DBCS(元データ!A64)</f>
        <v>アトモキセチンカプセル１０ｍｇ　「ＶＴＲＳ」</v>
      </c>
      <c r="D67" s="53" t="str">
        <f>元データ!B64</f>
        <v>メディセオ</v>
      </c>
      <c r="E67" s="27" t="str">
        <f>DBCS(元データ!C64)</f>
        <v>ＰＴＰ</v>
      </c>
      <c r="F67" s="27" t="str">
        <f>DBCS(元データ!D64)</f>
        <v>１４０Ｐ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3" t="str">
        <f ca="1">IF(OFFSET(マスタ非採用削除!A$4,統合マスタ!$A67,0)="","",OFFSET(マスタ非採用削除!A$4,統合マスタ!$A67,0))</f>
        <v>コード(区分値)</v>
      </c>
      <c r="O67" s="53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3" t="str">
        <f ca="1">IF(OFFSET(マスタ非採用削除!D$4,統合マスタ!$A67,0)="","",OFFSET(マスタ非採用削除!D$4,統合マスタ!$A67,0))</f>
        <v>ホストコード</v>
      </c>
      <c r="R67" s="27" t="str">
        <f ca="1">IF(OFFSET(マスタ非採用削除!E$4,統合マスタ!$A67,0)="","",OFFSET(マスタ非採用削除!E$4,統合マスタ!$A67,0))</f>
        <v>採用区分（区分値）(区分値)</v>
      </c>
      <c r="S67" s="53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3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3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棚</v>
      </c>
      <c r="AA67" s="27"/>
    </row>
    <row r="68" spans="1:27">
      <c r="A68" s="40">
        <f>元データ!P65</f>
        <v>28</v>
      </c>
      <c r="B68" s="27">
        <f t="shared" si="0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IF(OFFSET(マスタ非採用削除!E$4,統合マスタ!$A68,0)="","",OFFSET(マスタ非採用削除!E$4,統合マスタ!$A68,0))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</row>
    <row r="69" spans="1:27">
      <c r="A69" s="40">
        <f>元データ!P66</f>
        <v>29</v>
      </c>
      <c r="B69" s="27">
        <f t="shared" si="0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IF(OFFSET(マスタ非採用削除!E$4,統合マスタ!$A69,0)="","",OFFSET(マスタ非採用削除!E$4,統合マスタ!$A69,0))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</row>
    <row r="70" spans="1:27">
      <c r="A70" s="40" t="str">
        <f>元データ!P67</f>
        <v>非採用</v>
      </c>
      <c r="B70" s="27">
        <f t="shared" si="0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 t="e">
        <f ca="1">IF(OFFSET(マスタ非採用削除!E$4,統合マスタ!$A70,0)="","",OFFSET(マスタ非採用削除!E$4,統合マスタ!$A70,0))</f>
        <v>#VALUE!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">
        <v>5426</v>
      </c>
    </row>
    <row r="71" spans="1:27">
      <c r="A71" s="40">
        <f>元データ!P68</f>
        <v>30</v>
      </c>
      <c r="B71" s="27">
        <f t="shared" ref="B71:B134" si="1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IF(OFFSET(マスタ非採用削除!E$4,統合マスタ!$A71,0)="","",OFFSET(マスタ非採用削除!E$4,統合マスタ!$A71,0))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5</v>
      </c>
      <c r="AA71" s="27"/>
    </row>
    <row r="72" spans="1:27">
      <c r="A72" s="40">
        <f>元データ!P69</f>
        <v>30</v>
      </c>
      <c r="B72" s="27">
        <f t="shared" si="1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IF(OFFSET(マスタ非採用削除!E$4,統合マスタ!$A72,0)="","",OFFSET(マスタ非採用削除!E$4,統合マスタ!$A72,0))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5</v>
      </c>
      <c r="AA72" s="27"/>
    </row>
    <row r="73" spans="1:27">
      <c r="A73" s="40">
        <f>元データ!P70</f>
        <v>31</v>
      </c>
      <c r="B73" s="27">
        <f t="shared" si="1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IF(OFFSET(マスタ非採用削除!E$4,統合マスタ!$A73,0)="","",OFFSET(マスタ非採用削除!E$4,統合マスタ!$A73,0))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</row>
    <row r="74" spans="1:27">
      <c r="A74" s="40">
        <f>元データ!P71</f>
        <v>32</v>
      </c>
      <c r="B74" s="27">
        <f t="shared" si="1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IF(OFFSET(マスタ非採用削除!E$4,統合マスタ!$A74,0)="","",OFFSET(マスタ非採用削除!E$4,統合マスタ!$A74,0))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</row>
    <row r="75" spans="1:27">
      <c r="A75" s="40">
        <f>元データ!P72</f>
        <v>0</v>
      </c>
      <c r="B75" s="27">
        <f t="shared" si="1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str">
        <f ca="1">IF(OFFSET(マスタ非採用削除!A$4,統合マスタ!$A75,0)="","",OFFSET(マスタ非採用削除!A$4,統合マスタ!$A75,0))</f>
        <v>コード(区分値)</v>
      </c>
      <c r="O75" s="53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3" t="str">
        <f ca="1">IF(OFFSET(マスタ非採用削除!D$4,統合マスタ!$A75,0)="","",OFFSET(マスタ非採用削除!D$4,統合マスタ!$A75,0))</f>
        <v>ホストコード</v>
      </c>
      <c r="R75" s="27" t="str">
        <f ca="1">IF(OFFSET(マスタ非採用削除!E$4,統合マスタ!$A75,0)="","",OFFSET(マスタ非採用削除!E$4,統合マスタ!$A75,0))</f>
        <v>採用区分（区分値）(区分値)</v>
      </c>
      <c r="S75" s="53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3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3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棚</v>
      </c>
      <c r="AA75" s="27"/>
    </row>
    <row r="76" spans="1:27">
      <c r="A76" s="40">
        <f>元データ!P73</f>
        <v>34</v>
      </c>
      <c r="B76" s="27">
        <f t="shared" si="1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IF(OFFSET(マスタ非採用削除!E$4,統合マスタ!$A76,0)="","",OFFSET(マスタ非採用削除!E$4,統合マスタ!$A76,0))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</row>
    <row r="77" spans="1:27">
      <c r="A77" s="40" t="str">
        <f>元データ!P74</f>
        <v>非採用</v>
      </c>
      <c r="B77" s="27">
        <f t="shared" si="1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 t="e">
        <f ca="1">IF(OFFSET(マスタ非採用削除!E$4,統合マスタ!$A77,0)="","",OFFSET(マスタ非採用削除!E$4,統合マスタ!$A77,0))</f>
        <v>#VALUE!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4063</v>
      </c>
    </row>
    <row r="78" spans="1:27">
      <c r="A78" s="40">
        <f>元データ!P75</f>
        <v>35</v>
      </c>
      <c r="B78" s="27">
        <f t="shared" si="1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IF(OFFSET(マスタ非採用削除!E$4,統合マスタ!$A78,0)="","",OFFSET(マスタ非採用削除!E$4,統合マスタ!$A78,0))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5</v>
      </c>
      <c r="AA78" s="27"/>
    </row>
    <row r="79" spans="1:27">
      <c r="A79" s="40">
        <f>元データ!P76</f>
        <v>37</v>
      </c>
      <c r="B79" s="27">
        <f t="shared" si="1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IF(OFFSET(マスタ非採用削除!E$4,統合マスタ!$A79,0)="","",OFFSET(マスタ非採用削除!E$4,統合マスタ!$A79,0))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</row>
    <row r="80" spans="1:27">
      <c r="A80" s="40">
        <f>元データ!P77</f>
        <v>38</v>
      </c>
      <c r="B80" s="27">
        <f t="shared" si="1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IF(OFFSET(マスタ非採用削除!E$4,統合マスタ!$A80,0)="","",OFFSET(マスタ非採用削除!E$4,統合マスタ!$A80,0))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</row>
    <row r="81" spans="1:27">
      <c r="A81" s="40">
        <f>元データ!P78</f>
        <v>39</v>
      </c>
      <c r="B81" s="27">
        <f t="shared" si="1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IF(OFFSET(マスタ非採用削除!E$4,統合マスタ!$A81,0)="","",OFFSET(マスタ非採用削除!E$4,統合マスタ!$A81,0))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</row>
    <row r="82" spans="1:27">
      <c r="A82" s="40">
        <f>元データ!P79</f>
        <v>40</v>
      </c>
      <c r="B82" s="27">
        <f t="shared" si="1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IF(OFFSET(マスタ非採用削除!E$4,統合マスタ!$A82,0)="","",OFFSET(マスタ非採用削除!E$4,統合マスタ!$A82,0))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5</v>
      </c>
      <c r="AA82" s="27"/>
    </row>
    <row r="83" spans="1:27">
      <c r="A83" s="40">
        <f>元データ!P80</f>
        <v>40</v>
      </c>
      <c r="B83" s="27">
        <f t="shared" si="1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IF(OFFSET(マスタ非採用削除!E$4,統合マスタ!$A83,0)="","",OFFSET(マスタ非採用削除!E$4,統合マスタ!$A83,0))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5</v>
      </c>
      <c r="AA83" s="27"/>
    </row>
    <row r="84" spans="1:27">
      <c r="A84" s="40">
        <f>元データ!P81</f>
        <v>41</v>
      </c>
      <c r="B84" s="27">
        <f t="shared" si="1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IF(OFFSET(マスタ非採用削除!E$4,統合マスタ!$A84,0)="","",OFFSET(マスタ非採用削除!E$4,統合マスタ!$A84,0))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</row>
    <row r="85" spans="1:27">
      <c r="A85" s="40">
        <f>元データ!P82</f>
        <v>42</v>
      </c>
      <c r="B85" s="27">
        <f t="shared" si="1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IF(OFFSET(マスタ非採用削除!E$4,統合マスタ!$A85,0)="","",OFFSET(マスタ非採用削除!E$4,統合マスタ!$A85,0))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</row>
    <row r="86" spans="1:27">
      <c r="A86" s="40">
        <f>元データ!P83</f>
        <v>45</v>
      </c>
      <c r="B86" s="27">
        <f t="shared" si="1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IF(OFFSET(マスタ非採用削除!E$4,統合マスタ!$A86,0)="","",OFFSET(マスタ非採用削除!E$4,統合マスタ!$A86,0))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6</v>
      </c>
      <c r="AA86" s="27"/>
    </row>
    <row r="87" spans="1:27">
      <c r="A87" s="40">
        <f>元データ!P84</f>
        <v>45</v>
      </c>
      <c r="B87" s="27">
        <f t="shared" si="1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IF(OFFSET(マスタ非採用削除!E$4,統合マスタ!$A87,0)="","",OFFSET(マスタ非採用削除!E$4,統合マスタ!$A87,0))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6</v>
      </c>
      <c r="AA87" s="27"/>
    </row>
    <row r="88" spans="1:27">
      <c r="A88" s="40">
        <f>元データ!P85</f>
        <v>44</v>
      </c>
      <c r="B88" s="27">
        <f t="shared" si="1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IF(OFFSET(マスタ非採用削除!E$4,統合マスタ!$A88,0)="","",OFFSET(マスタ非採用削除!E$4,統合マスタ!$A88,0))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6</v>
      </c>
      <c r="AA88" s="27"/>
    </row>
    <row r="89" spans="1:27">
      <c r="A89" s="40">
        <f>元データ!P86</f>
        <v>44</v>
      </c>
      <c r="B89" s="27">
        <f t="shared" si="1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IF(OFFSET(マスタ非採用削除!E$4,統合マスタ!$A89,0)="","",OFFSET(マスタ非採用削除!E$4,統合マスタ!$A89,0))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6</v>
      </c>
      <c r="AA89" s="27"/>
    </row>
    <row r="90" spans="1:27">
      <c r="A90" s="40">
        <f>元データ!P87</f>
        <v>46</v>
      </c>
      <c r="B90" s="27">
        <f t="shared" si="1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IF(OFFSET(マスタ非採用削除!E$4,統合マスタ!$A90,0)="","",OFFSET(マスタ非採用削除!E$4,統合マスタ!$A90,0))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6</v>
      </c>
      <c r="AA90" s="27"/>
    </row>
    <row r="91" spans="1:27">
      <c r="A91" s="40">
        <f>元データ!P88</f>
        <v>46</v>
      </c>
      <c r="B91" s="27">
        <f t="shared" si="1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IF(OFFSET(マスタ非採用削除!E$4,統合マスタ!$A91,0)="","",OFFSET(マスタ非採用削除!E$4,統合マスタ!$A91,0))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6</v>
      </c>
      <c r="AA91" s="27"/>
    </row>
    <row r="92" spans="1:27">
      <c r="A92" s="40">
        <f>元データ!P89</f>
        <v>47</v>
      </c>
      <c r="B92" s="27">
        <f t="shared" si="1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IF(OFFSET(マスタ非採用削除!E$4,統合マスタ!$A92,0)="","",OFFSET(マスタ非採用削除!E$4,統合マスタ!$A92,0))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</row>
    <row r="93" spans="1:27">
      <c r="A93" s="40">
        <f>元データ!P90</f>
        <v>48</v>
      </c>
      <c r="B93" s="27">
        <f t="shared" si="1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IF(OFFSET(マスタ非採用削除!E$4,統合マスタ!$A93,0)="","",OFFSET(マスタ非採用削除!E$4,統合マスタ!$A93,0))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6</v>
      </c>
      <c r="AA93" s="27"/>
    </row>
    <row r="94" spans="1:27">
      <c r="A94" s="40">
        <f>元データ!P91</f>
        <v>49</v>
      </c>
      <c r="B94" s="27">
        <f t="shared" si="1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IF(OFFSET(マスタ非採用削除!E$4,統合マスタ!$A94,0)="","",OFFSET(マスタ非採用削除!E$4,統合マスタ!$A94,0))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5</v>
      </c>
      <c r="AA94" s="27"/>
    </row>
    <row r="95" spans="1:27">
      <c r="A95" s="40">
        <f>元データ!P92</f>
        <v>51</v>
      </c>
      <c r="B95" s="27">
        <f t="shared" si="1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IF(OFFSET(マスタ非採用削除!E$4,統合マスタ!$A95,0)="","",OFFSET(マスタ非採用削除!E$4,統合マスタ!$A95,0))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</row>
    <row r="96" spans="1:27">
      <c r="A96" s="40">
        <f>元データ!P93</f>
        <v>50</v>
      </c>
      <c r="B96" s="27">
        <f t="shared" si="1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IF(OFFSET(マスタ非採用削除!E$4,統合マスタ!$A96,0)="","",OFFSET(マスタ非採用削除!E$4,統合マスタ!$A96,0))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</row>
    <row r="97" spans="1:27">
      <c r="A97" s="40" t="str">
        <f>元データ!P94</f>
        <v>非採用</v>
      </c>
      <c r="B97" s="27">
        <f t="shared" si="1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 t="e">
        <f ca="1">IF(OFFSET(マスタ非採用削除!E$4,統合マスタ!$A97,0)="","",OFFSET(マスタ非採用削除!E$4,統合マスタ!$A97,0))</f>
        <v>#VALUE!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4074</v>
      </c>
    </row>
    <row r="98" spans="1:27">
      <c r="A98" s="40" t="str">
        <f>元データ!P95</f>
        <v>非採用</v>
      </c>
      <c r="B98" s="27">
        <f t="shared" si="1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 t="e">
        <f ca="1">IF(OFFSET(マスタ非採用削除!E$4,統合マスタ!$A98,0)="","",OFFSET(マスタ非採用削除!E$4,統合マスタ!$A98,0))</f>
        <v>#VALUE!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4063</v>
      </c>
    </row>
    <row r="99" spans="1:27">
      <c r="A99" s="40">
        <f>元データ!P96</f>
        <v>52</v>
      </c>
      <c r="B99" s="27">
        <f t="shared" si="1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IF(OFFSET(マスタ非採用削除!E$4,統合マスタ!$A99,0)="","",OFFSET(マスタ非採用削除!E$4,統合マスタ!$A99,0))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</row>
    <row r="100" spans="1:27">
      <c r="A100" s="40" t="str">
        <f>元データ!P97</f>
        <v/>
      </c>
      <c r="B100" s="27">
        <f t="shared" si="1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 t="e">
        <f ca="1">IF(OFFSET(マスタ非採用削除!E$4,統合マスタ!$A100,0)="","",OFFSET(マスタ非採用削除!E$4,統合マスタ!$A100,0))</f>
        <v>#VALUE!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/>
    </row>
    <row r="101" spans="1:27">
      <c r="A101" s="40">
        <f>元データ!P98</f>
        <v>53</v>
      </c>
      <c r="B101" s="27">
        <f t="shared" si="1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IF(OFFSET(マスタ非採用削除!E$4,統合マスタ!$A101,0)="","",OFFSET(マスタ非採用削除!E$4,統合マスタ!$A101,0))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</row>
    <row r="102" spans="1:27">
      <c r="A102" s="40">
        <f>元データ!P99</f>
        <v>54</v>
      </c>
      <c r="B102" s="27">
        <f t="shared" si="1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IF(OFFSET(マスタ非採用削除!E$4,統合マスタ!$A102,0)="","",OFFSET(マスタ非採用削除!E$4,統合マスタ!$A102,0))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5</v>
      </c>
      <c r="AA102" s="27"/>
    </row>
    <row r="103" spans="1:27">
      <c r="A103" s="40">
        <f>元データ!P100</f>
        <v>54</v>
      </c>
      <c r="B103" s="27">
        <f t="shared" si="1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IF(OFFSET(マスタ非採用削除!E$4,統合マスタ!$A103,0)="","",OFFSET(マスタ非採用削除!E$4,統合マスタ!$A103,0))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5</v>
      </c>
      <c r="AA103" s="27"/>
    </row>
    <row r="104" spans="1:27">
      <c r="A104" s="40" t="str">
        <f>元データ!P101</f>
        <v>非採用</v>
      </c>
      <c r="B104" s="27">
        <f t="shared" si="1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 t="e">
        <f ca="1">IF(OFFSET(マスタ非採用削除!E$4,統合マスタ!$A104,0)="","",OFFSET(マスタ非採用削除!E$4,統合マスタ!$A104,0))</f>
        <v>#VALUE!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">
        <v>5426</v>
      </c>
    </row>
    <row r="105" spans="1:27">
      <c r="A105" s="40">
        <f>元データ!P102</f>
        <v>55</v>
      </c>
      <c r="B105" s="27">
        <f t="shared" si="1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IF(OFFSET(マスタ非採用削除!E$4,統合マスタ!$A105,0)="","",OFFSET(マスタ非採用削除!E$4,統合マスタ!$A105,0))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</row>
    <row r="106" spans="1:27">
      <c r="A106" s="40">
        <f>元データ!P103</f>
        <v>0</v>
      </c>
      <c r="B106" s="27">
        <f t="shared" si="1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str">
        <f ca="1">IF(OFFSET(マスタ非採用削除!A$4,統合マスタ!$A106,0)="","",OFFSET(マスタ非採用削除!A$4,統合マスタ!$A106,0))</f>
        <v>コード(区分値)</v>
      </c>
      <c r="O106" s="53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3" t="str">
        <f ca="1">IF(OFFSET(マスタ非採用削除!D$4,統合マスタ!$A106,0)="","",OFFSET(マスタ非採用削除!D$4,統合マスタ!$A106,0))</f>
        <v>ホストコード</v>
      </c>
      <c r="R106" s="27" t="str">
        <f ca="1">IF(OFFSET(マスタ非採用削除!E$4,統合マスタ!$A106,0)="","",OFFSET(マスタ非採用削除!E$4,統合マスタ!$A106,0))</f>
        <v>採用区分（区分値）(区分値)</v>
      </c>
      <c r="S106" s="53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3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3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棚</v>
      </c>
      <c r="AA106" s="27"/>
    </row>
    <row r="107" spans="1:27">
      <c r="A107" s="40">
        <f>元データ!P104</f>
        <v>57</v>
      </c>
      <c r="B107" s="27">
        <f t="shared" si="1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IF(OFFSET(マスタ非採用削除!E$4,統合マスタ!$A107,0)="","",OFFSET(マスタ非採用削除!E$4,統合マスタ!$A107,0))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</row>
    <row r="108" spans="1:27">
      <c r="A108" s="40" t="str">
        <f>元データ!P105</f>
        <v>非採用</v>
      </c>
      <c r="B108" s="27">
        <f t="shared" si="1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 t="e">
        <f ca="1">IF(OFFSET(マスタ非採用削除!E$4,統合マスタ!$A108,0)="","",OFFSET(マスタ非採用削除!E$4,統合マスタ!$A108,0))</f>
        <v>#VALUE!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4063</v>
      </c>
    </row>
    <row r="109" spans="1:27">
      <c r="A109" s="40">
        <f>元データ!P106</f>
        <v>58</v>
      </c>
      <c r="B109" s="27">
        <f t="shared" si="1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IF(OFFSET(マスタ非採用削除!E$4,統合マスタ!$A109,0)="","",OFFSET(マスタ非採用削除!E$4,統合マスタ!$A109,0))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</row>
    <row r="110" spans="1:27">
      <c r="A110" s="40">
        <f>元データ!P107</f>
        <v>58</v>
      </c>
      <c r="B110" s="27">
        <f t="shared" si="1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IF(OFFSET(マスタ非採用削除!E$4,統合マスタ!$A110,0)="","",OFFSET(マスタ非採用削除!E$4,統合マスタ!$A110,0))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</row>
    <row r="111" spans="1:27">
      <c r="A111" s="40">
        <f>元データ!P108</f>
        <v>60</v>
      </c>
      <c r="B111" s="27">
        <f t="shared" si="1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IF(OFFSET(マスタ非採用削除!E$4,統合マスタ!$A111,0)="","",OFFSET(マスタ非採用削除!E$4,統合マスタ!$A111,0))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</row>
    <row r="112" spans="1:27">
      <c r="A112" s="40">
        <f>元データ!P109</f>
        <v>61</v>
      </c>
      <c r="B112" s="27">
        <f t="shared" si="1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IF(OFFSET(マスタ非採用削除!E$4,統合マスタ!$A112,0)="","",OFFSET(マスタ非採用削除!E$4,統合マスタ!$A112,0))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</row>
    <row r="113" spans="1:27">
      <c r="A113" s="40">
        <f>元データ!P110</f>
        <v>62</v>
      </c>
      <c r="B113" s="27">
        <f t="shared" si="1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IF(OFFSET(マスタ非採用削除!E$4,統合マスタ!$A113,0)="","",OFFSET(マスタ非採用削除!E$4,統合マスタ!$A113,0))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</row>
    <row r="114" spans="1:27">
      <c r="A114" s="40">
        <f>元データ!P111</f>
        <v>63</v>
      </c>
      <c r="B114" s="27">
        <f t="shared" si="1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IF(OFFSET(マスタ非採用削除!E$4,統合マスタ!$A114,0)="","",OFFSET(マスタ非採用削除!E$4,統合マスタ!$A114,0))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</row>
    <row r="115" spans="1:27">
      <c r="A115" s="40">
        <f>元データ!P112</f>
        <v>64</v>
      </c>
      <c r="B115" s="27">
        <f t="shared" si="1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IF(OFFSET(マスタ非採用削除!E$4,統合マスタ!$A115,0)="","",OFFSET(マスタ非採用削除!E$4,統合マスタ!$A115,0))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5</v>
      </c>
      <c r="AA115" s="27"/>
    </row>
    <row r="116" spans="1:27">
      <c r="A116" s="40">
        <f>元データ!P113</f>
        <v>64</v>
      </c>
      <c r="B116" s="27">
        <f t="shared" si="1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IF(OFFSET(マスタ非採用削除!E$4,統合マスタ!$A116,0)="","",OFFSET(マスタ非採用削除!E$4,統合マスタ!$A116,0))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5</v>
      </c>
      <c r="AA116" s="27"/>
    </row>
    <row r="117" spans="1:27">
      <c r="A117" s="40">
        <f>元データ!P114</f>
        <v>65</v>
      </c>
      <c r="B117" s="27">
        <f t="shared" si="1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IF(OFFSET(マスタ非採用削除!E$4,統合マスタ!$A117,0)="","",OFFSET(マスタ非採用削除!E$4,統合マスタ!$A117,0))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6</v>
      </c>
      <c r="AA117" s="27"/>
    </row>
    <row r="118" spans="1:27">
      <c r="A118" s="40">
        <f>元データ!P115</f>
        <v>66</v>
      </c>
      <c r="B118" s="27">
        <f t="shared" si="1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IF(OFFSET(マスタ非採用削除!E$4,統合マスタ!$A118,0)="","",OFFSET(マスタ非採用削除!E$4,統合マスタ!$A118,0))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6</v>
      </c>
      <c r="AA118" s="27"/>
    </row>
    <row r="119" spans="1:27">
      <c r="A119" s="40">
        <f>元データ!P116</f>
        <v>67</v>
      </c>
      <c r="B119" s="27">
        <f t="shared" si="1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IF(OFFSET(マスタ非採用削除!E$4,統合マスタ!$A119,0)="","",OFFSET(マスタ非採用削除!E$4,統合マスタ!$A119,0))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</row>
    <row r="120" spans="1:27">
      <c r="A120" s="40">
        <f>元データ!P117</f>
        <v>70</v>
      </c>
      <c r="B120" s="27">
        <f t="shared" si="1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IF(OFFSET(マスタ非採用削除!E$4,統合マスタ!$A120,0)="","",OFFSET(マスタ非採用削除!E$4,統合マスタ!$A120,0))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</row>
    <row r="121" spans="1:27">
      <c r="A121" s="40">
        <f>元データ!P118</f>
        <v>68</v>
      </c>
      <c r="B121" s="27">
        <f t="shared" si="1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IF(OFFSET(マスタ非採用削除!E$4,統合マスタ!$A121,0)="","",OFFSET(マスタ非採用削除!E$4,統合マスタ!$A121,0))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</row>
    <row r="122" spans="1:27">
      <c r="A122" s="40">
        <f>元データ!P119</f>
        <v>69</v>
      </c>
      <c r="B122" s="27">
        <f t="shared" si="1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IF(OFFSET(マスタ非採用削除!E$4,統合マスタ!$A122,0)="","",OFFSET(マスタ非採用削除!E$4,統合マスタ!$A122,0))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</row>
    <row r="123" spans="1:27">
      <c r="A123" s="40">
        <f>元データ!P120</f>
        <v>71</v>
      </c>
      <c r="B123" s="27">
        <f t="shared" si="1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IF(OFFSET(マスタ非採用削除!E$4,統合マスタ!$A123,0)="","",OFFSET(マスタ非採用削除!E$4,統合マスタ!$A123,0))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</row>
    <row r="124" spans="1:27">
      <c r="A124" s="40" t="str">
        <f>元データ!P121</f>
        <v>非採用</v>
      </c>
      <c r="B124" s="27">
        <f t="shared" si="1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 t="e">
        <f ca="1">IF(OFFSET(マスタ非採用削除!E$4,統合マスタ!$A124,0)="","",OFFSET(マスタ非採用削除!E$4,統合マスタ!$A124,0))</f>
        <v>#VALUE!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">
        <v>4063</v>
      </c>
    </row>
    <row r="125" spans="1:27">
      <c r="A125" s="40">
        <f>元データ!P122</f>
        <v>72</v>
      </c>
      <c r="B125" s="27">
        <f t="shared" si="1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IF(OFFSET(マスタ非採用削除!E$4,統合マスタ!$A125,0)="","",OFFSET(マスタ非採用削除!E$4,統合マスタ!$A125,0))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5</v>
      </c>
      <c r="AA125" s="27"/>
    </row>
    <row r="126" spans="1:27">
      <c r="A126" s="40">
        <f>元データ!P123</f>
        <v>73</v>
      </c>
      <c r="B126" s="27">
        <f t="shared" si="1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IF(OFFSET(マスタ非採用削除!E$4,統合マスタ!$A126,0)="","",OFFSET(マスタ非採用削除!E$4,統合マスタ!$A126,0))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</row>
    <row r="127" spans="1:27">
      <c r="A127" s="40">
        <f>元データ!P124</f>
        <v>74</v>
      </c>
      <c r="B127" s="27">
        <f t="shared" si="1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IF(OFFSET(マスタ非採用削除!E$4,統合マスタ!$A127,0)="","",OFFSET(マスタ非採用削除!E$4,統合マスタ!$A127,0))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6</v>
      </c>
      <c r="AA127" s="27"/>
    </row>
    <row r="128" spans="1:27">
      <c r="A128" s="40">
        <f>元データ!P125</f>
        <v>74</v>
      </c>
      <c r="B128" s="27">
        <f t="shared" si="1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IF(OFFSET(マスタ非採用削除!E$4,統合マスタ!$A128,0)="","",OFFSET(マスタ非採用削除!E$4,統合マスタ!$A128,0))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6</v>
      </c>
      <c r="AA128" s="27"/>
    </row>
    <row r="129" spans="1:27">
      <c r="A129" s="40">
        <f>元データ!P126</f>
        <v>75</v>
      </c>
      <c r="B129" s="27">
        <f t="shared" si="1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IF(OFFSET(マスタ非採用削除!E$4,統合マスタ!$A129,0)="","",OFFSET(マスタ非採用削除!E$4,統合マスタ!$A129,0))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5</v>
      </c>
      <c r="AA129" s="27"/>
    </row>
    <row r="130" spans="1:27">
      <c r="A130" s="40">
        <f>元データ!P127</f>
        <v>75</v>
      </c>
      <c r="B130" s="27">
        <f t="shared" si="1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IF(OFFSET(マスタ非採用削除!E$4,統合マスタ!$A130,0)="","",OFFSET(マスタ非採用削除!E$4,統合マスタ!$A130,0))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5</v>
      </c>
      <c r="AA130" s="27"/>
    </row>
    <row r="131" spans="1:27">
      <c r="A131" s="40">
        <f>元データ!P128</f>
        <v>77</v>
      </c>
      <c r="B131" s="27">
        <f t="shared" si="1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IF(OFFSET(マスタ非採用削除!E$4,統合マスタ!$A131,0)="","",OFFSET(マスタ非採用削除!E$4,統合マスタ!$A131,0))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</row>
    <row r="132" spans="1:27">
      <c r="A132" s="40">
        <f>元データ!P129</f>
        <v>78</v>
      </c>
      <c r="B132" s="27">
        <f t="shared" si="1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IF(OFFSET(マスタ非採用削除!E$4,統合マスタ!$A132,0)="","",OFFSET(マスタ非採用削除!E$4,統合マスタ!$A132,0))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</row>
    <row r="133" spans="1:27">
      <c r="A133" s="40">
        <f>元データ!P130</f>
        <v>78</v>
      </c>
      <c r="B133" s="27">
        <f t="shared" si="1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IF(OFFSET(マスタ非採用削除!E$4,統合マスタ!$A133,0)="","",OFFSET(マスタ非採用削除!E$4,統合マスタ!$A133,0))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</row>
    <row r="134" spans="1:27">
      <c r="A134" s="40">
        <f>元データ!P131</f>
        <v>79</v>
      </c>
      <c r="B134" s="27">
        <f t="shared" si="1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IF(OFFSET(マスタ非採用削除!E$4,統合マスタ!$A134,0)="","",OFFSET(マスタ非採用削除!E$4,統合マスタ!$A134,0))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5</v>
      </c>
      <c r="AA134" s="27"/>
    </row>
    <row r="135" spans="1:27">
      <c r="A135" s="40">
        <f>元データ!P132</f>
        <v>79</v>
      </c>
      <c r="B135" s="27">
        <f t="shared" ref="B135:B198" si="2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IF(OFFSET(マスタ非採用削除!E$4,統合マスタ!$A135,0)="","",OFFSET(マスタ非採用削除!E$4,統合マスタ!$A135,0))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5</v>
      </c>
      <c r="AA135" s="27"/>
    </row>
    <row r="136" spans="1:27">
      <c r="A136" s="40">
        <f>元データ!P133</f>
        <v>80</v>
      </c>
      <c r="B136" s="27">
        <f t="shared" si="2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IF(OFFSET(マスタ非採用削除!E$4,統合マスタ!$A136,0)="","",OFFSET(マスタ非採用削除!E$4,統合マスタ!$A136,0))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5</v>
      </c>
      <c r="AA136" s="27"/>
    </row>
    <row r="137" spans="1:27">
      <c r="A137" s="40">
        <f>元データ!P134</f>
        <v>80</v>
      </c>
      <c r="B137" s="27">
        <f t="shared" si="2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IF(OFFSET(マスタ非採用削除!E$4,統合マスタ!$A137,0)="","",OFFSET(マスタ非採用削除!E$4,統合マスタ!$A137,0))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5</v>
      </c>
      <c r="AA137" s="27"/>
    </row>
    <row r="138" spans="1:27">
      <c r="A138" s="40">
        <f>元データ!P135</f>
        <v>81</v>
      </c>
      <c r="B138" s="27">
        <f t="shared" si="2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IF(OFFSET(マスタ非採用削除!E$4,統合マスタ!$A138,0)="","",OFFSET(マスタ非採用削除!E$4,統合マスタ!$A138,0))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5</v>
      </c>
      <c r="AA138" s="27"/>
    </row>
    <row r="139" spans="1:27">
      <c r="A139" s="40">
        <f>元データ!P136</f>
        <v>82</v>
      </c>
      <c r="B139" s="27">
        <f t="shared" si="2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IF(OFFSET(マスタ非採用削除!E$4,統合マスタ!$A139,0)="","",OFFSET(マスタ非採用削除!E$4,統合マスタ!$A139,0))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</row>
    <row r="140" spans="1:27">
      <c r="A140" s="40">
        <f>元データ!P137</f>
        <v>83</v>
      </c>
      <c r="B140" s="27">
        <f t="shared" si="2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IF(OFFSET(マスタ非採用削除!E$4,統合マスタ!$A140,0)="","",OFFSET(マスタ非採用削除!E$4,統合マスタ!$A140,0))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</row>
    <row r="141" spans="1:27">
      <c r="A141" s="40">
        <f>元データ!P138</f>
        <v>84</v>
      </c>
      <c r="B141" s="27">
        <f t="shared" si="2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IF(OFFSET(マスタ非採用削除!E$4,統合マスタ!$A141,0)="","",OFFSET(マスタ非採用削除!E$4,統合マスタ!$A141,0))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5</v>
      </c>
      <c r="AA141" s="27"/>
    </row>
    <row r="142" spans="1:27">
      <c r="A142" s="40" t="str">
        <f>元データ!P139</f>
        <v/>
      </c>
      <c r="B142" s="27">
        <f t="shared" si="2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 t="e">
        <f ca="1">IF(OFFSET(マスタ非採用削除!E$4,統合マスタ!$A142,0)="","",OFFSET(マスタ非採用削除!E$4,統合マスタ!$A142,0))</f>
        <v>#VALUE!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/>
    </row>
    <row r="143" spans="1:27">
      <c r="A143" s="40">
        <f>元データ!P140</f>
        <v>85</v>
      </c>
      <c r="B143" s="27">
        <f t="shared" si="2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IF(OFFSET(マスタ非採用削除!E$4,統合マスタ!$A143,0)="","",OFFSET(マスタ非採用削除!E$4,統合マスタ!$A143,0))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</row>
    <row r="144" spans="1:27">
      <c r="A144" s="40">
        <f>元データ!P141</f>
        <v>86</v>
      </c>
      <c r="B144" s="27">
        <f t="shared" si="2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IF(OFFSET(マスタ非採用削除!E$4,統合マスタ!$A144,0)="","",OFFSET(マスタ非採用削除!E$4,統合マスタ!$A144,0))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</row>
    <row r="145" spans="1:27">
      <c r="A145" s="40">
        <f>元データ!P142</f>
        <v>87</v>
      </c>
      <c r="B145" s="27">
        <f t="shared" si="2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IF(OFFSET(マスタ非採用削除!E$4,統合マスタ!$A145,0)="","",OFFSET(マスタ非採用削除!E$4,統合マスタ!$A145,0))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</row>
    <row r="146" spans="1:27">
      <c r="A146" s="40">
        <f>元データ!P143</f>
        <v>87</v>
      </c>
      <c r="B146" s="27">
        <f t="shared" si="2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IF(OFFSET(マスタ非採用削除!E$4,統合マスタ!$A146,0)="","",OFFSET(マスタ非採用削除!E$4,統合マスタ!$A146,0))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</row>
    <row r="147" spans="1:27">
      <c r="A147" s="40">
        <f>元データ!P144</f>
        <v>89</v>
      </c>
      <c r="B147" s="27">
        <f t="shared" si="2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IF(OFFSET(マスタ非採用削除!E$4,統合マスタ!$A147,0)="","",OFFSET(マスタ非採用削除!E$4,統合マスタ!$A147,0))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</row>
    <row r="148" spans="1:27">
      <c r="A148" s="40">
        <f>元データ!P145</f>
        <v>90</v>
      </c>
      <c r="B148" s="27">
        <f t="shared" si="2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IF(OFFSET(マスタ非採用削除!E$4,統合マスタ!$A148,0)="","",OFFSET(マスタ非採用削除!E$4,統合マスタ!$A148,0))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</row>
    <row r="149" spans="1:27">
      <c r="A149" s="40">
        <f>元データ!P146</f>
        <v>91</v>
      </c>
      <c r="B149" s="27">
        <f t="shared" si="2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IF(OFFSET(マスタ非採用削除!E$4,統合マスタ!$A149,0)="","",OFFSET(マスタ非採用削除!E$4,統合マスタ!$A149,0))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</row>
    <row r="150" spans="1:27">
      <c r="A150" s="40">
        <f>元データ!P147</f>
        <v>13</v>
      </c>
      <c r="B150" s="27">
        <f t="shared" si="2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IF(OFFSET(マスタ非採用削除!E$4,統合マスタ!$A150,0)="","",OFFSET(マスタ非採用削除!E$4,統合マスタ!$A150,0))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</row>
    <row r="151" spans="1:27">
      <c r="A151" s="40">
        <f>元データ!P148</f>
        <v>92</v>
      </c>
      <c r="B151" s="27">
        <f t="shared" si="2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IF(OFFSET(マスタ非採用削除!E$4,統合マスタ!$A151,0)="","",OFFSET(マスタ非採用削除!E$4,統合マスタ!$A151,0))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</row>
    <row r="152" spans="1:27">
      <c r="A152" s="40">
        <f>元データ!P149</f>
        <v>93</v>
      </c>
      <c r="B152" s="27">
        <f t="shared" si="2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IF(OFFSET(マスタ非採用削除!E$4,統合マスタ!$A152,0)="","",OFFSET(マスタ非採用削除!E$4,統合マスタ!$A152,0))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</row>
    <row r="153" spans="1:27">
      <c r="A153" s="40">
        <f>元データ!P150</f>
        <v>94</v>
      </c>
      <c r="B153" s="27">
        <f t="shared" si="2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IF(OFFSET(マスタ非採用削除!E$4,統合マスタ!$A153,0)="","",OFFSET(マスタ非採用削除!E$4,統合マスタ!$A153,0))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</row>
    <row r="154" spans="1:27">
      <c r="A154" s="40" t="str">
        <f>元データ!P151</f>
        <v>非採用</v>
      </c>
      <c r="B154" s="27">
        <f t="shared" si="2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 t="e">
        <f ca="1">IF(OFFSET(マスタ非採用削除!E$4,統合マスタ!$A154,0)="","",OFFSET(マスタ非採用削除!E$4,統合マスタ!$A154,0))</f>
        <v>#VALUE!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4063</v>
      </c>
    </row>
    <row r="155" spans="1:27">
      <c r="A155" s="40">
        <f>元データ!P152</f>
        <v>99</v>
      </c>
      <c r="B155" s="27">
        <f t="shared" si="2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IF(OFFSET(マスタ非採用削除!E$4,統合マスタ!$A155,0)="","",OFFSET(マスタ非採用削除!E$4,統合マスタ!$A155,0))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</row>
    <row r="156" spans="1:27">
      <c r="A156" s="40">
        <f>元データ!P153</f>
        <v>100</v>
      </c>
      <c r="B156" s="27">
        <f t="shared" si="2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IF(OFFSET(マスタ非採用削除!E$4,統合マスタ!$A156,0)="","",OFFSET(マスタ非採用削除!E$4,統合マスタ!$A156,0))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</row>
    <row r="157" spans="1:27">
      <c r="A157" s="40">
        <f>元データ!P154</f>
        <v>102</v>
      </c>
      <c r="B157" s="27">
        <f t="shared" si="2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IF(OFFSET(マスタ非採用削除!E$4,統合マスタ!$A157,0)="","",OFFSET(マスタ非採用削除!E$4,統合マスタ!$A157,0))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</row>
    <row r="158" spans="1:27">
      <c r="A158" s="40">
        <f>元データ!P155</f>
        <v>101</v>
      </c>
      <c r="B158" s="27">
        <f t="shared" si="2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IF(OFFSET(マスタ非採用削除!E$4,統合マスタ!$A158,0)="","",OFFSET(マスタ非採用削除!E$4,統合マスタ!$A158,0))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</row>
    <row r="159" spans="1:27">
      <c r="A159" s="40">
        <f>元データ!P156</f>
        <v>103</v>
      </c>
      <c r="B159" s="27">
        <f t="shared" si="2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IF(OFFSET(マスタ非採用削除!E$4,統合マスタ!$A159,0)="","",OFFSET(マスタ非採用削除!E$4,統合マスタ!$A159,0))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</row>
    <row r="160" spans="1:27">
      <c r="A160" s="40">
        <f>元データ!P157</f>
        <v>105</v>
      </c>
      <c r="B160" s="27">
        <f t="shared" si="2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IF(OFFSET(マスタ非採用削除!E$4,統合マスタ!$A160,0)="","",OFFSET(マスタ非採用削除!E$4,統合マスタ!$A160,0))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</row>
    <row r="161" spans="1:27">
      <c r="A161" s="40">
        <f>元データ!P158</f>
        <v>107</v>
      </c>
      <c r="B161" s="27">
        <f t="shared" si="2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IF(OFFSET(マスタ非採用削除!E$4,統合マスタ!$A161,0)="","",OFFSET(マスタ非採用削除!E$4,統合マスタ!$A161,0))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6</v>
      </c>
      <c r="AA161" s="27"/>
    </row>
    <row r="162" spans="1:27">
      <c r="A162" s="40">
        <f>元データ!P159</f>
        <v>107</v>
      </c>
      <c r="B162" s="27">
        <f t="shared" si="2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IF(OFFSET(マスタ非採用削除!E$4,統合マスタ!$A162,0)="","",OFFSET(マスタ非採用削除!E$4,統合マスタ!$A162,0))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6</v>
      </c>
      <c r="AA162" s="27"/>
    </row>
    <row r="163" spans="1:27">
      <c r="A163" s="40">
        <f>元データ!P160</f>
        <v>106</v>
      </c>
      <c r="B163" s="27">
        <f t="shared" si="2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IF(OFFSET(マスタ非採用削除!E$4,統合マスタ!$A163,0)="","",OFFSET(マスタ非採用削除!E$4,統合マスタ!$A163,0))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6</v>
      </c>
      <c r="AA163" s="27"/>
    </row>
    <row r="164" spans="1:27">
      <c r="A164" s="40">
        <f>元データ!P161</f>
        <v>106</v>
      </c>
      <c r="B164" s="27">
        <f t="shared" si="2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IF(OFFSET(マスタ非採用削除!E$4,統合マスタ!$A164,0)="","",OFFSET(マスタ非採用削除!E$4,統合マスタ!$A164,0))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6</v>
      </c>
      <c r="AA164" s="27"/>
    </row>
    <row r="165" spans="1:27">
      <c r="A165" s="40">
        <f>元データ!P162</f>
        <v>108</v>
      </c>
      <c r="B165" s="27">
        <f t="shared" si="2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IF(OFFSET(マスタ非採用削除!E$4,統合マスタ!$A165,0)="","",OFFSET(マスタ非採用削除!E$4,統合マスタ!$A165,0))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</row>
    <row r="166" spans="1:27">
      <c r="A166" s="40">
        <f>元データ!P163</f>
        <v>109</v>
      </c>
      <c r="B166" s="27">
        <f t="shared" si="2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IF(OFFSET(マスタ非採用削除!E$4,統合マスタ!$A166,0)="","",OFFSET(マスタ非採用削除!E$4,統合マスタ!$A166,0))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</row>
    <row r="167" spans="1:27">
      <c r="A167" s="40">
        <f>元データ!P164</f>
        <v>109</v>
      </c>
      <c r="B167" s="27">
        <f t="shared" si="2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IF(OFFSET(マスタ非採用削除!E$4,統合マスタ!$A167,0)="","",OFFSET(マスタ非採用削除!E$4,統合マスタ!$A167,0))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</row>
    <row r="168" spans="1:27">
      <c r="A168" s="40" t="str">
        <f>元データ!P165</f>
        <v/>
      </c>
      <c r="B168" s="27">
        <f t="shared" si="2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 t="e">
        <f ca="1">IF(OFFSET(マスタ非採用削除!E$4,統合マスタ!$A168,0)="","",OFFSET(マスタ非採用削除!E$4,統合マスタ!$A168,0))</f>
        <v>#VALUE!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/>
    </row>
    <row r="169" spans="1:27">
      <c r="A169" s="40">
        <f>元データ!P166</f>
        <v>110</v>
      </c>
      <c r="B169" s="27">
        <f t="shared" si="2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IF(OFFSET(マスタ非採用削除!E$4,統合マスタ!$A169,0)="","",OFFSET(マスタ非採用削除!E$4,統合マスタ!$A169,0))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</row>
    <row r="170" spans="1:27">
      <c r="A170" s="40">
        <f>元データ!P167</f>
        <v>111</v>
      </c>
      <c r="B170" s="27">
        <f t="shared" si="2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IF(OFFSET(マスタ非採用削除!E$4,統合マスタ!$A170,0)="","",OFFSET(マスタ非採用削除!E$4,統合マスタ!$A170,0))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5</v>
      </c>
      <c r="AA170" s="27"/>
    </row>
    <row r="171" spans="1:27">
      <c r="A171" s="40">
        <f>元データ!P168</f>
        <v>111</v>
      </c>
      <c r="B171" s="27">
        <f t="shared" si="2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IF(OFFSET(マスタ非採用削除!E$4,統合マスタ!$A171,0)="","",OFFSET(マスタ非採用削除!E$4,統合マスタ!$A171,0))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5</v>
      </c>
      <c r="AA171" s="27"/>
    </row>
    <row r="172" spans="1:27">
      <c r="A172" s="40">
        <f>元データ!P169</f>
        <v>114</v>
      </c>
      <c r="B172" s="27">
        <f t="shared" si="2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IF(OFFSET(マスタ非採用削除!E$4,統合マスタ!$A172,0)="","",OFFSET(マスタ非採用削除!E$4,統合マスタ!$A172,0))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</row>
    <row r="173" spans="1:27">
      <c r="A173" s="40">
        <f>元データ!P170</f>
        <v>116</v>
      </c>
      <c r="B173" s="27">
        <f t="shared" si="2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IF(OFFSET(マスタ非採用削除!E$4,統合マスタ!$A173,0)="","",OFFSET(マスタ非採用削除!E$4,統合マスタ!$A173,0))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6</v>
      </c>
      <c r="AA173" s="27"/>
    </row>
    <row r="174" spans="1:27">
      <c r="A174" s="40">
        <f>元データ!P171</f>
        <v>115</v>
      </c>
      <c r="B174" s="27">
        <f t="shared" si="2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IF(OFFSET(マスタ非採用削除!E$4,統合マスタ!$A174,0)="","",OFFSET(マスタ非採用削除!E$4,統合マスタ!$A174,0))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6</v>
      </c>
      <c r="AA174" s="27"/>
    </row>
    <row r="175" spans="1:27">
      <c r="A175" s="40">
        <f>元データ!P172</f>
        <v>117</v>
      </c>
      <c r="B175" s="27">
        <f t="shared" si="2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IF(OFFSET(マスタ非採用削除!E$4,統合マスタ!$A175,0)="","",OFFSET(マスタ非採用削除!E$4,統合マスタ!$A175,0))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</row>
    <row r="176" spans="1:27">
      <c r="A176" s="40">
        <f>元データ!P173</f>
        <v>120</v>
      </c>
      <c r="B176" s="27">
        <f t="shared" si="2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IF(OFFSET(マスタ非採用削除!E$4,統合マスタ!$A176,0)="","",OFFSET(マスタ非採用削除!E$4,統合マスタ!$A176,0))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</row>
    <row r="177" spans="1:27">
      <c r="A177" s="40">
        <f>元データ!P174</f>
        <v>118</v>
      </c>
      <c r="B177" s="27">
        <f t="shared" si="2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IF(OFFSET(マスタ非採用削除!E$4,統合マスタ!$A177,0)="","",OFFSET(マスタ非採用削除!E$4,統合マスタ!$A177,0))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5</v>
      </c>
      <c r="AA177" s="27"/>
    </row>
    <row r="178" spans="1:27">
      <c r="A178" s="40">
        <f>元データ!P175</f>
        <v>119</v>
      </c>
      <c r="B178" s="27">
        <f t="shared" si="2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IF(OFFSET(マスタ非採用削除!E$4,統合マスタ!$A178,0)="","",OFFSET(マスタ非採用削除!E$4,統合マスタ!$A178,0))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5</v>
      </c>
      <c r="AA178" s="27"/>
    </row>
    <row r="179" spans="1:27">
      <c r="A179" s="40">
        <f>元データ!P176</f>
        <v>119</v>
      </c>
      <c r="B179" s="27">
        <f t="shared" si="2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IF(OFFSET(マスタ非採用削除!E$4,統合マスタ!$A179,0)="","",OFFSET(マスタ非採用削除!E$4,統合マスタ!$A179,0))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5</v>
      </c>
      <c r="AA179" s="27"/>
    </row>
    <row r="180" spans="1:27">
      <c r="A180" s="40">
        <f>元データ!P177</f>
        <v>121</v>
      </c>
      <c r="B180" s="27">
        <f t="shared" si="2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IF(OFFSET(マスタ非採用削除!E$4,統合マスタ!$A180,0)="","",OFFSET(マスタ非採用削除!E$4,統合マスタ!$A180,0))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5</v>
      </c>
      <c r="AA180" s="27"/>
    </row>
    <row r="181" spans="1:27">
      <c r="A181" s="40">
        <f>元データ!P178</f>
        <v>122</v>
      </c>
      <c r="B181" s="27">
        <f t="shared" si="2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IF(OFFSET(マスタ非採用削除!E$4,統合マスタ!$A181,0)="","",OFFSET(マスタ非採用削除!E$4,統合マスタ!$A181,0))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5</v>
      </c>
      <c r="AA181" s="27"/>
    </row>
    <row r="182" spans="1:27">
      <c r="A182" s="40">
        <f>元データ!P179</f>
        <v>125</v>
      </c>
      <c r="B182" s="27">
        <f t="shared" si="2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IF(OFFSET(マスタ非採用削除!E$4,統合マスタ!$A182,0)="","",OFFSET(マスタ非採用削除!E$4,統合マスタ!$A182,0))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</row>
    <row r="183" spans="1:27">
      <c r="A183" s="40">
        <f>元データ!P180</f>
        <v>124</v>
      </c>
      <c r="B183" s="27">
        <f t="shared" si="2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IF(OFFSET(マスタ非採用削除!E$4,統合マスタ!$A183,0)="","",OFFSET(マスタ非採用削除!E$4,統合マスタ!$A183,0))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5</v>
      </c>
      <c r="AA183" s="27"/>
    </row>
    <row r="184" spans="1:27">
      <c r="A184" s="40">
        <f>元データ!P181</f>
        <v>124</v>
      </c>
      <c r="B184" s="27">
        <f t="shared" si="2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IF(OFFSET(マスタ非採用削除!E$4,統合マスタ!$A184,0)="","",OFFSET(マスタ非採用削除!E$4,統合マスタ!$A184,0))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5</v>
      </c>
      <c r="AA184" s="27"/>
    </row>
    <row r="185" spans="1:27">
      <c r="A185" s="40">
        <f>元データ!P182</f>
        <v>126</v>
      </c>
      <c r="B185" s="27">
        <f t="shared" si="2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IF(OFFSET(マスタ非採用削除!E$4,統合マスタ!$A185,0)="","",OFFSET(マスタ非採用削除!E$4,統合マスタ!$A185,0))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</row>
    <row r="186" spans="1:27">
      <c r="A186" s="40">
        <f>元データ!P183</f>
        <v>0</v>
      </c>
      <c r="B186" s="27">
        <f t="shared" si="2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str">
        <f ca="1">IF(OFFSET(マスタ非採用削除!A$4,統合マスタ!$A186,0)="","",OFFSET(マスタ非採用削除!A$4,統合マスタ!$A186,0))</f>
        <v>コード(区分値)</v>
      </c>
      <c r="O186" s="53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3" t="str">
        <f ca="1">IF(OFFSET(マスタ非採用削除!D$4,統合マスタ!$A186,0)="","",OFFSET(マスタ非採用削除!D$4,統合マスタ!$A186,0))</f>
        <v>ホストコード</v>
      </c>
      <c r="R186" s="27" t="str">
        <f ca="1">IF(OFFSET(マスタ非採用削除!E$4,統合マスタ!$A186,0)="","",OFFSET(マスタ非採用削除!E$4,統合マスタ!$A186,0))</f>
        <v>採用区分（区分値）(区分値)</v>
      </c>
      <c r="S186" s="53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3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3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棚</v>
      </c>
      <c r="AA186" s="27"/>
    </row>
    <row r="187" spans="1:27">
      <c r="A187" s="40">
        <f>元データ!P184</f>
        <v>128</v>
      </c>
      <c r="B187" s="27">
        <f t="shared" si="2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IF(OFFSET(マスタ非採用削除!E$4,統合マスタ!$A187,0)="","",OFFSET(マスタ非採用削除!E$4,統合マスタ!$A187,0))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</row>
    <row r="188" spans="1:27">
      <c r="A188" s="40">
        <f>元データ!P185</f>
        <v>129</v>
      </c>
      <c r="B188" s="27">
        <f t="shared" si="2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IF(OFFSET(マスタ非採用削除!E$4,統合マスタ!$A188,0)="","",OFFSET(マスタ非採用削除!E$4,統合マスタ!$A188,0))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</row>
    <row r="189" spans="1:27">
      <c r="A189" s="40">
        <f>元データ!P186</f>
        <v>129</v>
      </c>
      <c r="B189" s="27">
        <f t="shared" si="2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IF(OFFSET(マスタ非採用削除!E$4,統合マスタ!$A189,0)="","",OFFSET(マスタ非採用削除!E$4,統合マスタ!$A189,0))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</row>
    <row r="190" spans="1:27">
      <c r="A190" s="40">
        <f>元データ!P187</f>
        <v>135</v>
      </c>
      <c r="B190" s="27">
        <f t="shared" si="2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IF(OFFSET(マスタ非採用削除!E$4,統合マスタ!$A190,0)="","",OFFSET(マスタ非採用削除!E$4,統合マスタ!$A190,0))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</row>
    <row r="191" spans="1:27">
      <c r="A191" s="40" t="str">
        <f>元データ!P188</f>
        <v>非採用</v>
      </c>
      <c r="B191" s="27">
        <f t="shared" si="2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 t="e">
        <f ca="1">IF(OFFSET(マスタ非採用削除!E$4,統合マスタ!$A191,0)="","",OFFSET(マスタ非採用削除!E$4,統合マスタ!$A191,0))</f>
        <v>#VALUE!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">
        <v>5426</v>
      </c>
    </row>
    <row r="192" spans="1:27">
      <c r="A192" s="40">
        <f>元データ!P189</f>
        <v>136</v>
      </c>
      <c r="B192" s="27">
        <f t="shared" si="2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IF(OFFSET(マスタ非採用削除!E$4,統合マスタ!$A192,0)="","",OFFSET(マスタ非採用削除!E$4,統合マスタ!$A192,0))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5</v>
      </c>
      <c r="AA192" s="27"/>
    </row>
    <row r="193" spans="1:27">
      <c r="A193" s="40">
        <f>元データ!P190</f>
        <v>134</v>
      </c>
      <c r="B193" s="27">
        <f t="shared" si="2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IF(OFFSET(マスタ非採用削除!E$4,統合マスタ!$A193,0)="","",OFFSET(マスタ非採用削除!E$4,統合マスタ!$A193,0))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</row>
    <row r="194" spans="1:27">
      <c r="A194" s="40">
        <f>元データ!P191</f>
        <v>132</v>
      </c>
      <c r="B194" s="27">
        <f t="shared" si="2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IF(OFFSET(マスタ非採用削除!E$4,統合マスタ!$A194,0)="","",OFFSET(マスタ非採用削除!E$4,統合マスタ!$A194,0))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6</v>
      </c>
      <c r="AA194" s="27"/>
    </row>
    <row r="195" spans="1:27">
      <c r="A195" s="40">
        <f>元データ!P192</f>
        <v>132</v>
      </c>
      <c r="B195" s="27">
        <f t="shared" si="2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IF(OFFSET(マスタ非採用削除!E$4,統合マスタ!$A195,0)="","",OFFSET(マスタ非採用削除!E$4,統合マスタ!$A195,0))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6</v>
      </c>
      <c r="AA195" s="27"/>
    </row>
    <row r="196" spans="1:27">
      <c r="A196" s="40">
        <f>元データ!P193</f>
        <v>130</v>
      </c>
      <c r="B196" s="27">
        <f t="shared" si="2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IF(OFFSET(マスタ非採用削除!E$4,統合マスタ!$A196,0)="","",OFFSET(マスタ非採用削除!E$4,統合マスタ!$A196,0))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6</v>
      </c>
      <c r="AA196" s="27"/>
    </row>
    <row r="197" spans="1:27">
      <c r="A197" s="40">
        <f>元データ!P194</f>
        <v>130</v>
      </c>
      <c r="B197" s="27">
        <f t="shared" si="2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IF(OFFSET(マスタ非採用削除!E$4,統合マスタ!$A197,0)="","",OFFSET(マスタ非採用削除!E$4,統合マスタ!$A197,0))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6</v>
      </c>
      <c r="AA197" s="27"/>
    </row>
    <row r="198" spans="1:27">
      <c r="A198" s="40">
        <f>元データ!P195</f>
        <v>133</v>
      </c>
      <c r="B198" s="27">
        <f t="shared" si="2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IF(OFFSET(マスタ非採用削除!E$4,統合マスタ!$A198,0)="","",OFFSET(マスタ非採用削除!E$4,統合マスタ!$A198,0))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6</v>
      </c>
      <c r="AA198" s="27"/>
    </row>
    <row r="199" spans="1:27">
      <c r="A199" s="40">
        <f>元データ!P196</f>
        <v>133</v>
      </c>
      <c r="B199" s="27">
        <f t="shared" ref="B199:B262" si="3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IF(OFFSET(マスタ非採用削除!E$4,統合マスタ!$A199,0)="","",OFFSET(マスタ非採用削除!E$4,統合マスタ!$A199,0))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6</v>
      </c>
      <c r="AA199" s="27"/>
    </row>
    <row r="200" spans="1:27">
      <c r="A200" s="40">
        <f>元データ!P197</f>
        <v>131</v>
      </c>
      <c r="B200" s="27">
        <f t="shared" si="3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IF(OFFSET(マスタ非採用削除!E$4,統合マスタ!$A200,0)="","",OFFSET(マスタ非採用削除!E$4,統合マスタ!$A200,0))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6</v>
      </c>
      <c r="AA200" s="27"/>
    </row>
    <row r="201" spans="1:27">
      <c r="A201" s="40">
        <f>元データ!P198</f>
        <v>131</v>
      </c>
      <c r="B201" s="27">
        <f t="shared" si="3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IF(OFFSET(マスタ非採用削除!E$4,統合マスタ!$A201,0)="","",OFFSET(マスタ非採用削除!E$4,統合マスタ!$A201,0))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6</v>
      </c>
      <c r="AA201" s="27"/>
    </row>
    <row r="202" spans="1:27">
      <c r="A202" s="40">
        <f>元データ!P199</f>
        <v>137</v>
      </c>
      <c r="B202" s="27">
        <f t="shared" si="3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IF(OFFSET(マスタ非採用削除!E$4,統合マスタ!$A202,0)="","",OFFSET(マスタ非採用削除!E$4,統合マスタ!$A202,0))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</row>
    <row r="203" spans="1:27">
      <c r="A203" s="40">
        <f>元データ!P200</f>
        <v>138</v>
      </c>
      <c r="B203" s="27">
        <f t="shared" si="3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IF(OFFSET(マスタ非採用削除!E$4,統合マスタ!$A203,0)="","",OFFSET(マスタ非採用削除!E$4,統合マスタ!$A203,0))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5</v>
      </c>
      <c r="AA203" s="27"/>
    </row>
    <row r="204" spans="1:27">
      <c r="A204" s="40" t="str">
        <f>元データ!P201</f>
        <v>非採用</v>
      </c>
      <c r="B204" s="27">
        <f t="shared" si="3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 t="e">
        <f ca="1">IF(OFFSET(マスタ非採用削除!E$4,統合マスタ!$A204,0)="","",OFFSET(マスタ非採用削除!E$4,統合マスタ!$A204,0))</f>
        <v>#VALUE!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4063</v>
      </c>
    </row>
    <row r="205" spans="1:27">
      <c r="A205" s="40">
        <f>元データ!P202</f>
        <v>147</v>
      </c>
      <c r="B205" s="27">
        <f t="shared" si="3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IF(OFFSET(マスタ非採用削除!E$4,統合マスタ!$A205,0)="","",OFFSET(マスタ非採用削除!E$4,統合マスタ!$A205,0))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</row>
    <row r="206" spans="1:27">
      <c r="A206" s="40">
        <f>元データ!P203</f>
        <v>145</v>
      </c>
      <c r="B206" s="27">
        <f t="shared" si="3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IF(OFFSET(マスタ非採用削除!E$4,統合マスタ!$A206,0)="","",OFFSET(マスタ非採用削除!E$4,統合マスタ!$A206,0))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5</v>
      </c>
      <c r="AA206" s="27"/>
    </row>
    <row r="207" spans="1:27">
      <c r="A207" s="40">
        <f>元データ!P204</f>
        <v>146</v>
      </c>
      <c r="B207" s="27">
        <f t="shared" si="3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IF(OFFSET(マスタ非採用削除!E$4,統合マスタ!$A207,0)="","",OFFSET(マスタ非採用削除!E$4,統合マスタ!$A207,0))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</row>
    <row r="208" spans="1:27">
      <c r="A208" s="40">
        <f>元データ!P205</f>
        <v>149</v>
      </c>
      <c r="B208" s="27">
        <f t="shared" si="3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IF(OFFSET(マスタ非採用削除!E$4,統合マスタ!$A208,0)="","",OFFSET(マスタ非採用削除!E$4,統合マスタ!$A208,0))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5</v>
      </c>
      <c r="AA208" s="27"/>
    </row>
    <row r="209" spans="1:27">
      <c r="A209" s="40">
        <f>元データ!P206</f>
        <v>148</v>
      </c>
      <c r="B209" s="27">
        <f t="shared" si="3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IF(OFFSET(マスタ非採用削除!E$4,統合マスタ!$A209,0)="","",OFFSET(マスタ非採用削除!E$4,統合マスタ!$A209,0))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5</v>
      </c>
      <c r="AA209" s="27"/>
    </row>
    <row r="210" spans="1:27">
      <c r="A210" s="40">
        <f>元データ!P207</f>
        <v>150</v>
      </c>
      <c r="B210" s="27">
        <f t="shared" si="3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IF(OFFSET(マスタ非採用削除!E$4,統合マスタ!$A210,0)="","",OFFSET(マスタ非採用削除!E$4,統合マスタ!$A210,0))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</row>
    <row r="211" spans="1:27">
      <c r="A211" s="40">
        <f>元データ!P208</f>
        <v>151</v>
      </c>
      <c r="B211" s="27">
        <f t="shared" si="3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IF(OFFSET(マスタ非採用削除!E$4,統合マスタ!$A211,0)="","",OFFSET(マスタ非採用削除!E$4,統合マスタ!$A211,0))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</row>
    <row r="212" spans="1:27">
      <c r="A212" s="40">
        <f>元データ!P209</f>
        <v>152</v>
      </c>
      <c r="B212" s="27">
        <f t="shared" si="3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IF(OFFSET(マスタ非採用削除!E$4,統合マスタ!$A212,0)="","",OFFSET(マスタ非採用削除!E$4,統合マスタ!$A212,0))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</row>
    <row r="213" spans="1:27">
      <c r="A213" s="40">
        <f>元データ!P210</f>
        <v>153</v>
      </c>
      <c r="B213" s="27">
        <f t="shared" si="3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IF(OFFSET(マスタ非採用削除!E$4,統合マスタ!$A213,0)="","",OFFSET(マスタ非採用削除!E$4,統合マスタ!$A213,0))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5</v>
      </c>
      <c r="AA213" s="27"/>
    </row>
    <row r="214" spans="1:27">
      <c r="A214" s="40">
        <f>元データ!P211</f>
        <v>154</v>
      </c>
      <c r="B214" s="27">
        <f t="shared" si="3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IF(OFFSET(マスタ非採用削除!E$4,統合マスタ!$A214,0)="","",OFFSET(マスタ非採用削除!E$4,統合マスタ!$A214,0))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6</v>
      </c>
      <c r="AA214" s="27"/>
    </row>
    <row r="215" spans="1:27">
      <c r="A215" s="40" t="str">
        <f>元データ!P212</f>
        <v>非採用</v>
      </c>
      <c r="B215" s="27">
        <f t="shared" si="3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 t="e">
        <f ca="1">IF(OFFSET(マスタ非採用削除!E$4,統合マスタ!$A215,0)="","",OFFSET(マスタ非採用削除!E$4,統合マスタ!$A215,0))</f>
        <v>#VALUE!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4063</v>
      </c>
    </row>
    <row r="216" spans="1:27">
      <c r="A216" s="40">
        <f>元データ!P213</f>
        <v>156</v>
      </c>
      <c r="B216" s="27">
        <f t="shared" si="3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IF(OFFSET(マスタ非採用削除!E$4,統合マスタ!$A216,0)="","",OFFSET(マスタ非採用削除!E$4,統合マスタ!$A216,0))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</row>
    <row r="217" spans="1:27">
      <c r="A217" s="40">
        <f>元データ!P214</f>
        <v>157</v>
      </c>
      <c r="B217" s="27">
        <f t="shared" si="3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IF(OFFSET(マスタ非採用削除!E$4,統合マスタ!$A217,0)="","",OFFSET(マスタ非採用削除!E$4,統合マスタ!$A217,0))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</row>
    <row r="218" spans="1:27">
      <c r="A218" s="40">
        <f>元データ!P215</f>
        <v>158</v>
      </c>
      <c r="B218" s="27">
        <f t="shared" si="3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IF(OFFSET(マスタ非採用削除!E$4,統合マスタ!$A218,0)="","",OFFSET(マスタ非採用削除!E$4,統合マスタ!$A218,0))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5</v>
      </c>
      <c r="AA218" s="27"/>
    </row>
    <row r="219" spans="1:27">
      <c r="A219" s="40">
        <f>元データ!P216</f>
        <v>158</v>
      </c>
      <c r="B219" s="27">
        <f t="shared" si="3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IF(OFFSET(マスタ非採用削除!E$4,統合マスタ!$A219,0)="","",OFFSET(マスタ非採用削除!E$4,統合マスタ!$A219,0))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5</v>
      </c>
      <c r="AA219" s="27"/>
    </row>
    <row r="220" spans="1:27">
      <c r="A220" s="40">
        <f>元データ!P217</f>
        <v>159</v>
      </c>
      <c r="B220" s="27">
        <f t="shared" si="3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IF(OFFSET(マスタ非採用削除!E$4,統合マスタ!$A220,0)="","",OFFSET(マスタ非採用削除!E$4,統合マスタ!$A220,0))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</row>
    <row r="221" spans="1:27">
      <c r="A221" s="40">
        <f>元データ!P218</f>
        <v>160</v>
      </c>
      <c r="B221" s="27">
        <f t="shared" si="3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IF(OFFSET(マスタ非採用削除!E$4,統合マスタ!$A221,0)="","",OFFSET(マスタ非採用削除!E$4,統合マスタ!$A221,0))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</row>
    <row r="222" spans="1:27">
      <c r="A222" s="40">
        <f>元データ!P219</f>
        <v>161</v>
      </c>
      <c r="B222" s="27">
        <f t="shared" si="3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IF(OFFSET(マスタ非採用削除!E$4,統合マスタ!$A222,0)="","",OFFSET(マスタ非採用削除!E$4,統合マスタ!$A222,0))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</row>
    <row r="223" spans="1:27">
      <c r="A223" s="40">
        <f>元データ!P220</f>
        <v>162</v>
      </c>
      <c r="B223" s="27">
        <f t="shared" si="3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IF(OFFSET(マスタ非採用削除!E$4,統合マスタ!$A223,0)="","",OFFSET(マスタ非採用削除!E$4,統合マスタ!$A223,0))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</row>
    <row r="224" spans="1:27">
      <c r="A224" s="40">
        <f>元データ!P221</f>
        <v>162</v>
      </c>
      <c r="B224" s="27">
        <f t="shared" si="3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IF(OFFSET(マスタ非採用削除!E$4,統合マスタ!$A224,0)="","",OFFSET(マスタ非採用削除!E$4,統合マスタ!$A224,0))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</row>
    <row r="225" spans="1:27">
      <c r="A225" s="40">
        <f>元データ!P222</f>
        <v>163</v>
      </c>
      <c r="B225" s="27">
        <f t="shared" si="3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IF(OFFSET(マスタ非採用削除!E$4,統合マスタ!$A225,0)="","",OFFSET(マスタ非採用削除!E$4,統合マスタ!$A225,0))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</row>
    <row r="226" spans="1:27">
      <c r="A226" s="40">
        <f>元データ!P223</f>
        <v>167</v>
      </c>
      <c r="B226" s="27">
        <f t="shared" si="3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IF(OFFSET(マスタ非採用削除!E$4,統合マスタ!$A226,0)="","",OFFSET(マスタ非採用削除!E$4,統合マスタ!$A226,0))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</row>
    <row r="227" spans="1:27">
      <c r="A227" s="40">
        <f>元データ!P224</f>
        <v>164</v>
      </c>
      <c r="B227" s="27">
        <f t="shared" si="3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IF(OFFSET(マスタ非採用削除!E$4,統合マスタ!$A227,0)="","",OFFSET(マスタ非採用削除!E$4,統合マスタ!$A227,0))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</row>
    <row r="228" spans="1:27">
      <c r="A228" s="40">
        <f>元データ!P225</f>
        <v>165</v>
      </c>
      <c r="B228" s="27">
        <f t="shared" si="3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IF(OFFSET(マスタ非採用削除!E$4,統合マスタ!$A228,0)="","",OFFSET(マスタ非採用削除!E$4,統合マスタ!$A228,0))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</row>
    <row r="229" spans="1:27">
      <c r="A229" s="40">
        <f>元データ!P226</f>
        <v>166</v>
      </c>
      <c r="B229" s="27">
        <f t="shared" si="3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IF(OFFSET(マスタ非採用削除!E$4,統合マスタ!$A229,0)="","",OFFSET(マスタ非採用削除!E$4,統合マスタ!$A229,0))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</row>
    <row r="230" spans="1:27">
      <c r="A230" s="40" t="str">
        <f>元データ!P227</f>
        <v>非採用</v>
      </c>
      <c r="B230" s="27">
        <f t="shared" si="3"/>
        <v>226</v>
      </c>
      <c r="C230" s="27" t="str">
        <f>DBCS(元データ!A227)</f>
        <v>ケフレックスカプセル２５０ｍｇ</v>
      </c>
      <c r="D230" s="53" t="str">
        <f>元データ!B227</f>
        <v>メディセオ</v>
      </c>
      <c r="E230" s="27" t="str">
        <f>DBCS(元データ!C227)</f>
        <v>ＰＴＰ</v>
      </c>
      <c r="F230" s="27" t="str">
        <f>DBCS(元データ!D227)</f>
        <v>１００Ｔ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3" t="e">
        <f ca="1">IF(OFFSET(マスタ非採用削除!A$4,統合マスタ!$A230,0)="","",OFFSET(マスタ非採用削除!A$4,統合マスタ!$A230,0))</f>
        <v>#VALUE!</v>
      </c>
      <c r="O230" s="53" t="e">
        <f ca="1">IF(OFFSET(マスタ非採用削除!B$4,統合マスタ!$A230,0)="","",OFFSET(マスタ非採用削除!B$4,統合マスタ!$A230,0))</f>
        <v>#VALUE!</v>
      </c>
      <c r="P230" s="27" t="e">
        <f ca="1">IF(OFFSET(マスタ非採用削除!C$4,統合マスタ!$A230,0)="","",OFFSET(マスタ非採用削除!C$4,統合マスタ!$A230,0))</f>
        <v>#VALUE!</v>
      </c>
      <c r="Q230" s="53" t="e">
        <f ca="1">IF(OFFSET(マスタ非採用削除!D$4,統合マスタ!$A230,0)="","",OFFSET(マスタ非採用削除!D$4,統合マスタ!$A230,0))</f>
        <v>#VALUE!</v>
      </c>
      <c r="R230" s="27" t="e">
        <f ca="1">IF(OFFSET(マスタ非採用削除!E$4,統合マスタ!$A230,0)="","",OFFSET(マスタ非採用削除!E$4,統合マスタ!$A230,0))</f>
        <v>#VALUE!</v>
      </c>
      <c r="S230" s="53" t="e">
        <f ca="1">IF(OFFSET(マスタ非採用削除!F$4,統合マスタ!$A230,0)="","",OFFSET(マスタ非採用削除!F$4,統合マスタ!$A230,0))</f>
        <v>#VALUE!</v>
      </c>
      <c r="T230" s="27" t="e">
        <f ca="1">IF(OFFSET(マスタ非採用削除!G$4,統合マスタ!$A230,0)="","",OFFSET(マスタ非採用削除!G$4,統合マスタ!$A230,0))</f>
        <v>#VALUE!</v>
      </c>
      <c r="U230" s="53" t="e">
        <f ca="1">IF(OFFSET(マスタ非採用削除!H$4,統合マスタ!$A230,0)="","",OFFSET(マスタ非採用削除!H$4,統合マスタ!$A230,0))</f>
        <v>#VALUE!</v>
      </c>
      <c r="V230" s="27" t="e">
        <f ca="1">IF(OFFSET(マスタ非採用削除!I$4,統合マスタ!$A230,0)="","",OFFSET(マスタ非採用削除!I$4,統合マスタ!$A230,0))</f>
        <v>#VALUE!</v>
      </c>
      <c r="W230" s="27" t="e">
        <f ca="1">IF(OFFSET(マスタ非採用削除!J$4,統合マスタ!$A230,0)="","",OFFSET(マスタ非採用削除!J$4,統合マスタ!$A230,0))</f>
        <v>#VALUE!</v>
      </c>
      <c r="X230" s="27" t="e">
        <f ca="1">IF(OFFSET(マスタ非採用削除!K$4,統合マスタ!$A230,0)="","",OFFSET(マスタ非採用削除!K$4,統合マスタ!$A230,0))</f>
        <v>#VALUE!</v>
      </c>
      <c r="Y230" s="53" t="e">
        <f ca="1">IF(OFFSET(マスタ非採用削除!L$4,統合マスタ!$A230,0)="","",OFFSET(マスタ非採用削除!L$4,統合マスタ!$A230,0))</f>
        <v>#VALUE!</v>
      </c>
      <c r="Z230" s="27" t="e">
        <f ca="1">IF(OFFSET(マスタ非採用削除!M$4,統合マスタ!$A230,0)="","",OFFSET(マスタ非採用削除!M$4,統合マスタ!$A230,0))</f>
        <v>#VALUE!</v>
      </c>
      <c r="AA230" s="27" t="s">
        <v>5426</v>
      </c>
    </row>
    <row r="231" spans="1:27">
      <c r="A231" s="40">
        <f>元データ!P228</f>
        <v>168</v>
      </c>
      <c r="B231" s="27">
        <f t="shared" si="3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IF(OFFSET(マスタ非採用削除!E$4,統合マスタ!$A231,0)="","",OFFSET(マスタ非採用削除!E$4,統合マスタ!$A231,0))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</row>
    <row r="232" spans="1:27">
      <c r="A232" s="40">
        <f>元データ!P229</f>
        <v>169</v>
      </c>
      <c r="B232" s="27">
        <f t="shared" si="3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IF(OFFSET(マスタ非採用削除!E$4,統合マスタ!$A232,0)="","",OFFSET(マスタ非採用削除!E$4,統合マスタ!$A232,0))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</row>
    <row r="233" spans="1:27">
      <c r="A233" s="40" t="str">
        <f>元データ!P230</f>
        <v>非採用</v>
      </c>
      <c r="B233" s="27">
        <f t="shared" si="3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 t="e">
        <f ca="1">IF(OFFSET(マスタ非採用削除!E$4,統合マスタ!$A233,0)="","",OFFSET(マスタ非採用削除!E$4,統合マスタ!$A233,0))</f>
        <v>#VALUE!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">
        <v>5426</v>
      </c>
    </row>
    <row r="234" spans="1:27">
      <c r="A234" s="40">
        <f>元データ!P231</f>
        <v>173</v>
      </c>
      <c r="B234" s="27">
        <f t="shared" si="3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IF(OFFSET(マスタ非採用削除!E$4,統合マスタ!$A234,0)="","",OFFSET(マスタ非採用削除!E$4,統合マスタ!$A234,0))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</row>
    <row r="235" spans="1:27">
      <c r="A235" s="40">
        <f>元データ!P232</f>
        <v>172</v>
      </c>
      <c r="B235" s="27">
        <f t="shared" si="3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IF(OFFSET(マスタ非採用削除!E$4,統合マスタ!$A235,0)="","",OFFSET(マスタ非採用削除!E$4,統合マスタ!$A235,0))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</row>
    <row r="236" spans="1:27">
      <c r="A236" s="40">
        <f>元データ!P233</f>
        <v>0</v>
      </c>
      <c r="B236" s="27">
        <f t="shared" si="3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str">
        <f ca="1">IF(OFFSET(マスタ非採用削除!A$4,統合マスタ!$A236,0)="","",OFFSET(マスタ非採用削除!A$4,統合マスタ!$A236,0))</f>
        <v>コード(区分値)</v>
      </c>
      <c r="O236" s="53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3" t="str">
        <f ca="1">IF(OFFSET(マスタ非採用削除!D$4,統合マスタ!$A236,0)="","",OFFSET(マスタ非採用削除!D$4,統合マスタ!$A236,0))</f>
        <v>ホストコード</v>
      </c>
      <c r="R236" s="27" t="str">
        <f ca="1">IF(OFFSET(マスタ非採用削除!E$4,統合マスタ!$A236,0)="","",OFFSET(マスタ非採用削除!E$4,統合マスタ!$A236,0))</f>
        <v>採用区分（区分値）(区分値)</v>
      </c>
      <c r="S236" s="53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3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3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棚</v>
      </c>
      <c r="AA236" s="27"/>
    </row>
    <row r="237" spans="1:27">
      <c r="A237" s="40">
        <f>元データ!P234</f>
        <v>0</v>
      </c>
      <c r="B237" s="27">
        <f t="shared" si="3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str">
        <f ca="1">IF(OFFSET(マスタ非採用削除!A$4,統合マスタ!$A237,0)="","",OFFSET(マスタ非採用削除!A$4,統合マスタ!$A237,0))</f>
        <v>コード(区分値)</v>
      </c>
      <c r="O237" s="53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3" t="str">
        <f ca="1">IF(OFFSET(マスタ非採用削除!D$4,統合マスタ!$A237,0)="","",OFFSET(マスタ非採用削除!D$4,統合マスタ!$A237,0))</f>
        <v>ホストコード</v>
      </c>
      <c r="R237" s="27" t="str">
        <f ca="1">IF(OFFSET(マスタ非採用削除!E$4,統合マスタ!$A237,0)="","",OFFSET(マスタ非採用削除!E$4,統合マスタ!$A237,0))</f>
        <v>採用区分（区分値）(区分値)</v>
      </c>
      <c r="S237" s="53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3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3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棚</v>
      </c>
      <c r="AA237" s="27"/>
    </row>
    <row r="238" spans="1:27">
      <c r="A238" s="40">
        <f>元データ!P235</f>
        <v>174</v>
      </c>
      <c r="B238" s="27">
        <f t="shared" si="3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IF(OFFSET(マスタ非採用削除!E$4,統合マスタ!$A238,0)="","",OFFSET(マスタ非採用削除!E$4,統合マスタ!$A238,0))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</row>
    <row r="239" spans="1:27">
      <c r="A239" s="40">
        <f>元データ!P236</f>
        <v>177</v>
      </c>
      <c r="B239" s="27">
        <f t="shared" si="3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IF(OFFSET(マスタ非採用削除!E$4,統合マスタ!$A239,0)="","",OFFSET(マスタ非採用削除!E$4,統合マスタ!$A239,0))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</row>
    <row r="240" spans="1:27">
      <c r="A240" s="40">
        <f>元データ!P237</f>
        <v>175</v>
      </c>
      <c r="B240" s="27">
        <f t="shared" si="3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IF(OFFSET(マスタ非採用削除!E$4,統合マスタ!$A240,0)="","",OFFSET(マスタ非採用削除!E$4,統合マスタ!$A240,0))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6</v>
      </c>
      <c r="AA240" s="27"/>
    </row>
    <row r="241" spans="1:27">
      <c r="A241" s="40">
        <f>元データ!P238</f>
        <v>175</v>
      </c>
      <c r="B241" s="27">
        <f t="shared" si="3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IF(OFFSET(マスタ非採用削除!E$4,統合マスタ!$A241,0)="","",OFFSET(マスタ非採用削除!E$4,統合マスタ!$A241,0))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6</v>
      </c>
      <c r="AA241" s="27"/>
    </row>
    <row r="242" spans="1:27">
      <c r="A242" s="40">
        <f>元データ!P239</f>
        <v>175</v>
      </c>
      <c r="B242" s="27">
        <f t="shared" si="3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IF(OFFSET(マスタ非採用削除!E$4,統合マスタ!$A242,0)="","",OFFSET(マスタ非採用削除!E$4,統合マスタ!$A242,0))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6</v>
      </c>
      <c r="AA242" s="27"/>
    </row>
    <row r="243" spans="1:27">
      <c r="A243" s="40">
        <f>元データ!P240</f>
        <v>176</v>
      </c>
      <c r="B243" s="27">
        <f t="shared" si="3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IF(OFFSET(マスタ非採用削除!E$4,統合マスタ!$A243,0)="","",OFFSET(マスタ非採用削除!E$4,統合マスタ!$A243,0))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5</v>
      </c>
      <c r="AA243" s="27"/>
    </row>
    <row r="244" spans="1:27">
      <c r="A244" s="40">
        <f>元データ!P241</f>
        <v>176</v>
      </c>
      <c r="B244" s="27">
        <f t="shared" si="3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IF(OFFSET(マスタ非採用削除!E$4,統合マスタ!$A244,0)="","",OFFSET(マスタ非採用削除!E$4,統合マスタ!$A244,0))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5</v>
      </c>
      <c r="AA244" s="27"/>
    </row>
    <row r="245" spans="1:27">
      <c r="A245" s="40" t="str">
        <f>元データ!P242</f>
        <v>非採用</v>
      </c>
      <c r="B245" s="27">
        <f t="shared" si="3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 t="e">
        <f ca="1">IF(OFFSET(マスタ非採用削除!E$4,統合マスタ!$A245,0)="","",OFFSET(マスタ非採用削除!E$4,統合マスタ!$A245,0))</f>
        <v>#VALUE!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4074</v>
      </c>
    </row>
    <row r="246" spans="1:27">
      <c r="A246" s="40">
        <f>元データ!P243</f>
        <v>179</v>
      </c>
      <c r="B246" s="27">
        <f t="shared" si="3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IF(OFFSET(マスタ非採用削除!E$4,統合マスタ!$A246,0)="","",OFFSET(マスタ非採用削除!E$4,統合マスタ!$A246,0))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</row>
    <row r="247" spans="1:27">
      <c r="A247" s="40">
        <f>元データ!P244</f>
        <v>181</v>
      </c>
      <c r="B247" s="27">
        <f t="shared" si="3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IF(OFFSET(マスタ非採用削除!E$4,統合マスタ!$A247,0)="","",OFFSET(マスタ非採用削除!E$4,統合マスタ!$A247,0))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</row>
    <row r="248" spans="1:27">
      <c r="A248" s="40">
        <f>元データ!P245</f>
        <v>182</v>
      </c>
      <c r="B248" s="27">
        <f t="shared" si="3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IF(OFFSET(マスタ非採用削除!E$4,統合マスタ!$A248,0)="","",OFFSET(マスタ非採用削除!E$4,統合マスタ!$A248,0))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5</v>
      </c>
      <c r="AA248" s="27"/>
    </row>
    <row r="249" spans="1:27">
      <c r="A249" s="40">
        <f>元データ!P246</f>
        <v>183</v>
      </c>
      <c r="B249" s="27">
        <f t="shared" si="3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IF(OFFSET(マスタ非採用削除!E$4,統合マスタ!$A249,0)="","",OFFSET(マスタ非採用削除!E$4,統合マスタ!$A249,0))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5</v>
      </c>
      <c r="AA249" s="27"/>
    </row>
    <row r="250" spans="1:27">
      <c r="A250" s="40">
        <f>元データ!P247</f>
        <v>184</v>
      </c>
      <c r="B250" s="27">
        <f t="shared" si="3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IF(OFFSET(マスタ非採用削除!E$4,統合マスタ!$A250,0)="","",OFFSET(マスタ非採用削除!E$4,統合マスタ!$A250,0))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</row>
    <row r="251" spans="1:27">
      <c r="A251" s="40">
        <f>元データ!P248</f>
        <v>185</v>
      </c>
      <c r="B251" s="27">
        <f t="shared" si="3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IF(OFFSET(マスタ非採用削除!E$4,統合マスタ!$A251,0)="","",OFFSET(マスタ非採用削除!E$4,統合マスタ!$A251,0))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</row>
    <row r="252" spans="1:27">
      <c r="A252" s="40">
        <f>元データ!P249</f>
        <v>186</v>
      </c>
      <c r="B252" s="27">
        <f t="shared" si="3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IF(OFFSET(マスタ非採用削除!E$4,統合マスタ!$A252,0)="","",OFFSET(マスタ非採用削除!E$4,統合マスタ!$A252,0))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</row>
    <row r="253" spans="1:27">
      <c r="A253" s="40">
        <f>元データ!P250</f>
        <v>195</v>
      </c>
      <c r="B253" s="27">
        <f t="shared" si="3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IF(OFFSET(マスタ非採用削除!E$4,統合マスタ!$A253,0)="","",OFFSET(マスタ非採用削除!E$4,統合マスタ!$A253,0))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</row>
    <row r="254" spans="1:27">
      <c r="A254" s="40">
        <f>元データ!P251</f>
        <v>187</v>
      </c>
      <c r="B254" s="27">
        <f t="shared" si="3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IF(OFFSET(マスタ非採用削除!E$4,統合マスタ!$A254,0)="","",OFFSET(マスタ非採用削除!E$4,統合マスタ!$A254,0))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</row>
    <row r="255" spans="1:27">
      <c r="A255" s="40">
        <f>元データ!P252</f>
        <v>188</v>
      </c>
      <c r="B255" s="27">
        <f t="shared" si="3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IF(OFFSET(マスタ非採用削除!E$4,統合マスタ!$A255,0)="","",OFFSET(マスタ非採用削除!E$4,統合マスタ!$A255,0))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</row>
    <row r="256" spans="1:27">
      <c r="A256" s="40">
        <f>元データ!P253</f>
        <v>189</v>
      </c>
      <c r="B256" s="27">
        <f t="shared" si="3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IF(OFFSET(マスタ非採用削除!E$4,統合マスタ!$A256,0)="","",OFFSET(マスタ非採用削除!E$4,統合マスタ!$A256,0))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</row>
    <row r="257" spans="1:27">
      <c r="A257" s="40">
        <f>元データ!P254</f>
        <v>191</v>
      </c>
      <c r="B257" s="27">
        <f t="shared" si="3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IF(OFFSET(マスタ非採用削除!E$4,統合マスタ!$A257,0)="","",OFFSET(マスタ非採用削除!E$4,統合マスタ!$A257,0))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</row>
    <row r="258" spans="1:27">
      <c r="A258" s="40">
        <f>元データ!P255</f>
        <v>190</v>
      </c>
      <c r="B258" s="27">
        <f t="shared" si="3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IF(OFFSET(マスタ非採用削除!E$4,統合マスタ!$A258,0)="","",OFFSET(マスタ非採用削除!E$4,統合マスタ!$A258,0))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</row>
    <row r="259" spans="1:27">
      <c r="A259" s="40">
        <f>元データ!P256</f>
        <v>193</v>
      </c>
      <c r="B259" s="27">
        <f t="shared" si="3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IF(OFFSET(マスタ非採用削除!E$4,統合マスタ!$A259,0)="","",OFFSET(マスタ非採用削除!E$4,統合マスタ!$A259,0))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</row>
    <row r="260" spans="1:27">
      <c r="A260" s="40">
        <f>元データ!P257</f>
        <v>192</v>
      </c>
      <c r="B260" s="27">
        <f t="shared" si="3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IF(OFFSET(マスタ非採用削除!E$4,統合マスタ!$A260,0)="","",OFFSET(マスタ非採用削除!E$4,統合マスタ!$A260,0))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</row>
    <row r="261" spans="1:27">
      <c r="A261" s="40">
        <f>元データ!P258</f>
        <v>194</v>
      </c>
      <c r="B261" s="27">
        <f t="shared" si="3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IF(OFFSET(マスタ非採用削除!E$4,統合マスタ!$A261,0)="","",OFFSET(マスタ非採用削除!E$4,統合マスタ!$A261,0))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</row>
    <row r="262" spans="1:27">
      <c r="A262" s="40" t="str">
        <f>元データ!P259</f>
        <v>非採用</v>
      </c>
      <c r="B262" s="27">
        <f t="shared" si="3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 t="e">
        <f ca="1">IF(OFFSET(マスタ非採用削除!E$4,統合マスタ!$A262,0)="","",OFFSET(マスタ非採用削除!E$4,統合マスタ!$A262,0))</f>
        <v>#VALUE!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4063</v>
      </c>
    </row>
    <row r="263" spans="1:27">
      <c r="A263" s="40">
        <f>元データ!P260</f>
        <v>196</v>
      </c>
      <c r="B263" s="27">
        <f t="shared" ref="B263:B326" si="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IF(OFFSET(マスタ非採用削除!E$4,統合マスタ!$A263,0)="","",OFFSET(マスタ非採用削除!E$4,統合マスタ!$A263,0))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</row>
    <row r="264" spans="1:27">
      <c r="A264" s="40">
        <f>元データ!P261</f>
        <v>199</v>
      </c>
      <c r="B264" s="27">
        <f t="shared" si="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IF(OFFSET(マスタ非採用削除!E$4,統合マスタ!$A264,0)="","",OFFSET(マスタ非採用削除!E$4,統合マスタ!$A264,0))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</row>
    <row r="265" spans="1:27">
      <c r="A265" s="40">
        <f>元データ!P262</f>
        <v>197</v>
      </c>
      <c r="B265" s="27">
        <f t="shared" si="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IF(OFFSET(マスタ非採用削除!E$4,統合マスタ!$A265,0)="","",OFFSET(マスタ非採用削除!E$4,統合マスタ!$A265,0))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</row>
    <row r="266" spans="1:27">
      <c r="A266" s="40">
        <f>元データ!P263</f>
        <v>198</v>
      </c>
      <c r="B266" s="27">
        <f t="shared" si="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IF(OFFSET(マスタ非採用削除!E$4,統合マスタ!$A266,0)="","",OFFSET(マスタ非採用削除!E$4,統合マスタ!$A266,0))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</row>
    <row r="267" spans="1:27">
      <c r="A267" s="40">
        <f>元データ!P264</f>
        <v>201</v>
      </c>
      <c r="B267" s="27">
        <f t="shared" si="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IF(OFFSET(マスタ非採用削除!E$4,統合マスタ!$A267,0)="","",OFFSET(マスタ非採用削除!E$4,統合マスタ!$A267,0))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</row>
    <row r="268" spans="1:27">
      <c r="A268" s="40">
        <f>元データ!P265</f>
        <v>202</v>
      </c>
      <c r="B268" s="27">
        <f t="shared" si="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IF(OFFSET(マスタ非採用削除!E$4,統合マスタ!$A268,0)="","",OFFSET(マスタ非採用削除!E$4,統合マスタ!$A268,0))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5</v>
      </c>
      <c r="AA268" s="27"/>
    </row>
    <row r="269" spans="1:27">
      <c r="A269" s="40">
        <f>元データ!P266</f>
        <v>202</v>
      </c>
      <c r="B269" s="27">
        <f t="shared" si="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IF(OFFSET(マスタ非採用削除!E$4,統合マスタ!$A269,0)="","",OFFSET(マスタ非採用削除!E$4,統合マスタ!$A269,0))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5</v>
      </c>
      <c r="AA269" s="27"/>
    </row>
    <row r="270" spans="1:27">
      <c r="A270" s="40">
        <f>元データ!P267</f>
        <v>205</v>
      </c>
      <c r="B270" s="27">
        <f t="shared" si="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IF(OFFSET(マスタ非採用削除!E$4,統合マスタ!$A270,0)="","",OFFSET(マスタ非採用削除!E$4,統合マスタ!$A270,0))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5</v>
      </c>
      <c r="AA270" s="27"/>
    </row>
    <row r="271" spans="1:27">
      <c r="A271" s="40">
        <f>元データ!P268</f>
        <v>205</v>
      </c>
      <c r="B271" s="27">
        <f t="shared" si="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IF(OFFSET(マスタ非採用削除!E$4,統合マスタ!$A271,0)="","",OFFSET(マスタ非採用削除!E$4,統合マスタ!$A271,0))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5</v>
      </c>
      <c r="AA271" s="27"/>
    </row>
    <row r="272" spans="1:27">
      <c r="A272" s="40">
        <f>元データ!P269</f>
        <v>206</v>
      </c>
      <c r="B272" s="27">
        <f t="shared" si="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IF(OFFSET(マスタ非採用削除!E$4,統合マスタ!$A272,0)="","",OFFSET(マスタ非採用削除!E$4,統合マスタ!$A272,0))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6</v>
      </c>
      <c r="AA272" s="27"/>
    </row>
    <row r="273" spans="1:27">
      <c r="A273" s="40">
        <f>元データ!P270</f>
        <v>207</v>
      </c>
      <c r="B273" s="27">
        <f t="shared" si="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IF(OFFSET(マスタ非採用削除!E$4,統合マスタ!$A273,0)="","",OFFSET(マスタ非採用削除!E$4,統合マスタ!$A273,0))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5</v>
      </c>
      <c r="AA273" s="27"/>
    </row>
    <row r="274" spans="1:27">
      <c r="A274" s="40">
        <f>元データ!P271</f>
        <v>210</v>
      </c>
      <c r="B274" s="27">
        <f t="shared" si="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IF(OFFSET(マスタ非採用削除!E$4,統合マスタ!$A274,0)="","",OFFSET(マスタ非採用削除!E$4,統合マスタ!$A274,0))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</row>
    <row r="275" spans="1:27">
      <c r="A275" s="40">
        <f>元データ!P272</f>
        <v>211</v>
      </c>
      <c r="B275" s="27">
        <f t="shared" si="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IF(OFFSET(マスタ非採用削除!E$4,統合マスタ!$A275,0)="","",OFFSET(マスタ非採用削除!E$4,統合マスタ!$A275,0))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</row>
    <row r="276" spans="1:27">
      <c r="A276" s="40">
        <f>元データ!P273</f>
        <v>212</v>
      </c>
      <c r="B276" s="27">
        <f t="shared" si="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IF(OFFSET(マスタ非採用削除!E$4,統合マスタ!$A276,0)="","",OFFSET(マスタ非採用削除!E$4,統合マスタ!$A276,0))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</row>
    <row r="277" spans="1:27">
      <c r="A277" s="40">
        <f>元データ!P274</f>
        <v>213</v>
      </c>
      <c r="B277" s="27">
        <f t="shared" si="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IF(OFFSET(マスタ非採用削除!E$4,統合マスタ!$A277,0)="","",OFFSET(マスタ非採用削除!E$4,統合マスタ!$A277,0))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</row>
    <row r="278" spans="1:27">
      <c r="A278" s="40" t="str">
        <f>元データ!P275</f>
        <v>非採用</v>
      </c>
      <c r="B278" s="27">
        <f t="shared" si="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 t="e">
        <f ca="1">IF(OFFSET(マスタ非採用削除!E$4,統合マスタ!$A278,0)="","",OFFSET(マスタ非採用削除!E$4,統合マスタ!$A278,0))</f>
        <v>#VALUE!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4074</v>
      </c>
    </row>
    <row r="279" spans="1:27">
      <c r="A279" s="40">
        <f>元データ!P276</f>
        <v>214</v>
      </c>
      <c r="B279" s="27">
        <f t="shared" si="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IF(OFFSET(マスタ非採用削除!E$4,統合マスタ!$A279,0)="","",OFFSET(マスタ非採用削除!E$4,統合マスタ!$A279,0))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</row>
    <row r="280" spans="1:27">
      <c r="A280" s="40">
        <f>元データ!P277</f>
        <v>215</v>
      </c>
      <c r="B280" s="27">
        <f t="shared" si="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IF(OFFSET(マスタ非採用削除!E$4,統合マスタ!$A280,0)="","",OFFSET(マスタ非採用削除!E$4,統合マスタ!$A280,0))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</row>
    <row r="281" spans="1:27">
      <c r="A281" s="40">
        <f>元データ!P278</f>
        <v>216</v>
      </c>
      <c r="B281" s="27">
        <f t="shared" si="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IF(OFFSET(マスタ非採用削除!E$4,統合マスタ!$A281,0)="","",OFFSET(マスタ非採用削除!E$4,統合マスタ!$A281,0))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</row>
    <row r="282" spans="1:27">
      <c r="A282" s="40">
        <f>元データ!P279</f>
        <v>217</v>
      </c>
      <c r="B282" s="27">
        <f t="shared" si="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IF(OFFSET(マスタ非採用削除!E$4,統合マスタ!$A282,0)="","",OFFSET(マスタ非採用削除!E$4,統合マスタ!$A282,0))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6</v>
      </c>
      <c r="AA282" s="27"/>
    </row>
    <row r="283" spans="1:27">
      <c r="A283" s="40">
        <f>元データ!P280</f>
        <v>218</v>
      </c>
      <c r="B283" s="27">
        <f t="shared" si="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IF(OFFSET(マスタ非採用削除!E$4,統合マスタ!$A283,0)="","",OFFSET(マスタ非採用削除!E$4,統合マスタ!$A283,0))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6</v>
      </c>
      <c r="AA283" s="27"/>
    </row>
    <row r="284" spans="1:27">
      <c r="A284" s="40">
        <f>元データ!P281</f>
        <v>219</v>
      </c>
      <c r="B284" s="27">
        <f t="shared" si="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IF(OFFSET(マスタ非採用削除!E$4,統合マスタ!$A284,0)="","",OFFSET(マスタ非採用削除!E$4,統合マスタ!$A284,0))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5</v>
      </c>
      <c r="AA284" s="27"/>
    </row>
    <row r="285" spans="1:27">
      <c r="A285" s="40">
        <f>元データ!P282</f>
        <v>219</v>
      </c>
      <c r="B285" s="27">
        <f t="shared" si="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IF(OFFSET(マスタ非採用削除!E$4,統合マスタ!$A285,0)="","",OFFSET(マスタ非採用削除!E$4,統合マスタ!$A285,0))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5</v>
      </c>
      <c r="AA285" s="27"/>
    </row>
    <row r="286" spans="1:27">
      <c r="A286" s="40">
        <f>元データ!P283</f>
        <v>0</v>
      </c>
      <c r="B286" s="27">
        <f t="shared" si="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str">
        <f ca="1">IF(OFFSET(マスタ非採用削除!A$4,統合マスタ!$A286,0)="","",OFFSET(マスタ非採用削除!A$4,統合マスタ!$A286,0))</f>
        <v>コード(区分値)</v>
      </c>
      <c r="O286" s="53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3" t="str">
        <f ca="1">IF(OFFSET(マスタ非採用削除!D$4,統合マスタ!$A286,0)="","",OFFSET(マスタ非採用削除!D$4,統合マスタ!$A286,0))</f>
        <v>ホストコード</v>
      </c>
      <c r="R286" s="27" t="str">
        <f ca="1">IF(OFFSET(マスタ非採用削除!E$4,統合マスタ!$A286,0)="","",OFFSET(マスタ非採用削除!E$4,統合マスタ!$A286,0))</f>
        <v>採用区分（区分値）(区分値)</v>
      </c>
      <c r="S286" s="53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3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3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棚</v>
      </c>
      <c r="AA286" s="27"/>
    </row>
    <row r="287" spans="1:27">
      <c r="A287" s="40">
        <f>元データ!P284</f>
        <v>0</v>
      </c>
      <c r="B287" s="27">
        <f t="shared" si="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str">
        <f ca="1">IF(OFFSET(マスタ非採用削除!A$4,統合マスタ!$A287,0)="","",OFFSET(マスタ非採用削除!A$4,統合マスタ!$A287,0))</f>
        <v>コード(区分値)</v>
      </c>
      <c r="O287" s="53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3" t="str">
        <f ca="1">IF(OFFSET(マスタ非採用削除!D$4,統合マスタ!$A287,0)="","",OFFSET(マスタ非採用削除!D$4,統合マスタ!$A287,0))</f>
        <v>ホストコード</v>
      </c>
      <c r="R287" s="27" t="str">
        <f ca="1">IF(OFFSET(マスタ非採用削除!E$4,統合マスタ!$A287,0)="","",OFFSET(マスタ非採用削除!E$4,統合マスタ!$A287,0))</f>
        <v>採用区分（区分値）(区分値)</v>
      </c>
      <c r="S287" s="53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3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3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棚</v>
      </c>
      <c r="AA287" s="27"/>
    </row>
    <row r="288" spans="1:27">
      <c r="A288" s="40">
        <f>元データ!P285</f>
        <v>226</v>
      </c>
      <c r="B288" s="27">
        <f t="shared" si="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IF(OFFSET(マスタ非採用削除!E$4,統合マスタ!$A288,0)="","",OFFSET(マスタ非採用削除!E$4,統合マスタ!$A288,0))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6</v>
      </c>
      <c r="AA288" s="27"/>
    </row>
    <row r="289" spans="1:27">
      <c r="A289" s="40">
        <f>元データ!P286</f>
        <v>226</v>
      </c>
      <c r="B289" s="27">
        <f t="shared" si="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IF(OFFSET(マスタ非採用削除!E$4,統合マスタ!$A289,0)="","",OFFSET(マスタ非採用削除!E$4,統合マスタ!$A289,0))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6</v>
      </c>
      <c r="AA289" s="27"/>
    </row>
    <row r="290" spans="1:27">
      <c r="A290" s="40">
        <f>元データ!P287</f>
        <v>227</v>
      </c>
      <c r="B290" s="27">
        <f t="shared" si="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IF(OFFSET(マスタ非採用削除!E$4,統合マスタ!$A290,0)="","",OFFSET(マスタ非採用削除!E$4,統合マスタ!$A290,0))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5</v>
      </c>
      <c r="AA290" s="27"/>
    </row>
    <row r="291" spans="1:27">
      <c r="A291" s="40">
        <f>元データ!P288</f>
        <v>227</v>
      </c>
      <c r="B291" s="27">
        <f t="shared" si="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IF(OFFSET(マスタ非採用削除!E$4,統合マスタ!$A291,0)="","",OFFSET(マスタ非採用削除!E$4,統合マスタ!$A291,0))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5</v>
      </c>
      <c r="AA291" s="27"/>
    </row>
    <row r="292" spans="1:27">
      <c r="A292" s="40">
        <f>元データ!P289</f>
        <v>228</v>
      </c>
      <c r="B292" s="27">
        <f t="shared" si="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IF(OFFSET(マスタ非採用削除!E$4,統合マスタ!$A292,0)="","",OFFSET(マスタ非採用削除!E$4,統合マスタ!$A292,0))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</row>
    <row r="293" spans="1:27">
      <c r="A293" s="40">
        <f>元データ!P290</f>
        <v>229</v>
      </c>
      <c r="B293" s="27">
        <f t="shared" si="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IF(OFFSET(マスタ非採用削除!E$4,統合マスタ!$A293,0)="","",OFFSET(マスタ非採用削除!E$4,統合マスタ!$A293,0))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</row>
    <row r="294" spans="1:27">
      <c r="A294" s="40">
        <f>元データ!P291</f>
        <v>230</v>
      </c>
      <c r="B294" s="27">
        <f t="shared" si="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IF(OFFSET(マスタ非採用削除!E$4,統合マスタ!$A294,0)="","",OFFSET(マスタ非採用削除!E$4,統合マスタ!$A294,0))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</row>
    <row r="295" spans="1:27">
      <c r="A295" s="40">
        <f>元データ!P292</f>
        <v>231</v>
      </c>
      <c r="B295" s="27">
        <f t="shared" si="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IF(OFFSET(マスタ非採用削除!E$4,統合マスタ!$A295,0)="","",OFFSET(マスタ非採用削除!E$4,統合マスタ!$A295,0))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</row>
    <row r="296" spans="1:27">
      <c r="A296" s="40">
        <f>元データ!P293</f>
        <v>232</v>
      </c>
      <c r="B296" s="27">
        <f t="shared" si="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IF(OFFSET(マスタ非採用削除!E$4,統合マスタ!$A296,0)="","",OFFSET(マスタ非採用削除!E$4,統合マスタ!$A296,0))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</row>
    <row r="297" spans="1:27">
      <c r="A297" s="40">
        <f>元データ!P294</f>
        <v>236</v>
      </c>
      <c r="B297" s="27">
        <f t="shared" si="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IF(OFFSET(マスタ非採用削除!E$4,統合マスタ!$A297,0)="","",OFFSET(マスタ非採用削除!E$4,統合マスタ!$A297,0))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</row>
    <row r="298" spans="1:27">
      <c r="A298" s="40">
        <f>元データ!P295</f>
        <v>237</v>
      </c>
      <c r="B298" s="27">
        <f t="shared" si="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IF(OFFSET(マスタ非採用削除!E$4,統合マスタ!$A298,0)="","",OFFSET(マスタ非採用削除!E$4,統合マスタ!$A298,0))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</row>
    <row r="299" spans="1:27">
      <c r="A299" s="40">
        <f>元データ!P296</f>
        <v>234</v>
      </c>
      <c r="B299" s="27">
        <f t="shared" si="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IF(OFFSET(マスタ非採用削除!E$4,統合マスタ!$A299,0)="","",OFFSET(マスタ非採用削除!E$4,統合マスタ!$A299,0))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</row>
    <row r="300" spans="1:27">
      <c r="A300" s="40">
        <f>元データ!P297</f>
        <v>235</v>
      </c>
      <c r="B300" s="27">
        <f t="shared" si="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IF(OFFSET(マスタ非採用削除!E$4,統合マスタ!$A300,0)="","",OFFSET(マスタ非採用削除!E$4,統合マスタ!$A300,0))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</row>
    <row r="301" spans="1:27">
      <c r="A301" s="40">
        <f>元データ!P298</f>
        <v>238</v>
      </c>
      <c r="B301" s="27">
        <f t="shared" si="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IF(OFFSET(マスタ非採用削除!E$4,統合マスタ!$A301,0)="","",OFFSET(マスタ非採用削除!E$4,統合マスタ!$A301,0))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</row>
    <row r="302" spans="1:27">
      <c r="A302" s="40">
        <f>元データ!P299</f>
        <v>239</v>
      </c>
      <c r="B302" s="27">
        <f t="shared" si="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IF(OFFSET(マスタ非採用削除!E$4,統合マスタ!$A302,0)="","",OFFSET(マスタ非採用削除!E$4,統合マスタ!$A302,0))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6</v>
      </c>
      <c r="AA302" s="27"/>
    </row>
    <row r="303" spans="1:27">
      <c r="A303" s="40">
        <f>元データ!P300</f>
        <v>239</v>
      </c>
      <c r="B303" s="27">
        <f t="shared" si="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IF(OFFSET(マスタ非採用削除!E$4,統合マスタ!$A303,0)="","",OFFSET(マスタ非採用削除!E$4,統合マスタ!$A303,0))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6</v>
      </c>
      <c r="AA303" s="27"/>
    </row>
    <row r="304" spans="1:27">
      <c r="A304" s="40">
        <f>元データ!P301</f>
        <v>240</v>
      </c>
      <c r="B304" s="27">
        <f t="shared" si="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IF(OFFSET(マスタ非採用削除!E$4,統合マスタ!$A304,0)="","",OFFSET(マスタ非採用削除!E$4,統合マスタ!$A304,0))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6</v>
      </c>
      <c r="AA304" s="27"/>
    </row>
    <row r="305" spans="1:27">
      <c r="A305" s="40">
        <f>元データ!P302</f>
        <v>240</v>
      </c>
      <c r="B305" s="27">
        <f t="shared" si="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IF(OFFSET(マスタ非採用削除!E$4,統合マスタ!$A305,0)="","",OFFSET(マスタ非採用削除!E$4,統合マスタ!$A305,0))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6</v>
      </c>
      <c r="AA305" s="27"/>
    </row>
    <row r="306" spans="1:27">
      <c r="A306" s="40">
        <f>元データ!P303</f>
        <v>241</v>
      </c>
      <c r="B306" s="27">
        <f t="shared" si="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IF(OFFSET(マスタ非採用削除!E$4,統合マスタ!$A306,0)="","",OFFSET(マスタ非採用削除!E$4,統合マスタ!$A306,0))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5</v>
      </c>
      <c r="AA306" s="27"/>
    </row>
    <row r="307" spans="1:27">
      <c r="A307" s="40">
        <f>元データ!P304</f>
        <v>242</v>
      </c>
      <c r="B307" s="27">
        <f t="shared" si="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IF(OFFSET(マスタ非採用削除!E$4,統合マスタ!$A307,0)="","",OFFSET(マスタ非採用削除!E$4,統合マスタ!$A307,0))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</row>
    <row r="308" spans="1:27">
      <c r="A308" s="40">
        <f>元データ!P305</f>
        <v>243</v>
      </c>
      <c r="B308" s="27">
        <f t="shared" si="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IF(OFFSET(マスタ非採用削除!E$4,統合マスタ!$A308,0)="","",OFFSET(マスタ非採用削除!E$4,統合マスタ!$A308,0))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</row>
    <row r="309" spans="1:27">
      <c r="A309" s="40">
        <f>元データ!P306</f>
        <v>244</v>
      </c>
      <c r="B309" s="27">
        <f t="shared" si="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IF(OFFSET(マスタ非採用削除!E$4,統合マスタ!$A309,0)="","",OFFSET(マスタ非採用削除!E$4,統合マスタ!$A309,0))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</row>
    <row r="310" spans="1:27">
      <c r="A310" s="40">
        <f>元データ!P307</f>
        <v>245</v>
      </c>
      <c r="B310" s="27">
        <f t="shared" si="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IF(OFFSET(マスタ非採用削除!E$4,統合マスタ!$A310,0)="","",OFFSET(マスタ非採用削除!E$4,統合マスタ!$A310,0))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5</v>
      </c>
      <c r="AA310" s="27"/>
    </row>
    <row r="311" spans="1:27">
      <c r="A311" s="40">
        <f>元データ!P308</f>
        <v>245</v>
      </c>
      <c r="B311" s="27">
        <f t="shared" si="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IF(OFFSET(マスタ非採用削除!E$4,統合マスタ!$A311,0)="","",OFFSET(マスタ非採用削除!E$4,統合マスタ!$A311,0))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5</v>
      </c>
      <c r="AA311" s="27"/>
    </row>
    <row r="312" spans="1:27">
      <c r="A312" s="40">
        <f>元データ!P309</f>
        <v>246</v>
      </c>
      <c r="B312" s="27">
        <f t="shared" si="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IF(OFFSET(マスタ非採用削除!E$4,統合マスタ!$A312,0)="","",OFFSET(マスタ非採用削除!E$4,統合マスタ!$A312,0))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</row>
    <row r="313" spans="1:27">
      <c r="A313" s="40">
        <f>元データ!P310</f>
        <v>247</v>
      </c>
      <c r="B313" s="27">
        <f t="shared" si="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IF(OFFSET(マスタ非採用削除!E$4,統合マスタ!$A313,0)="","",OFFSET(マスタ非採用削除!E$4,統合マスタ!$A313,0))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</row>
    <row r="314" spans="1:27">
      <c r="A314" s="40">
        <f>元データ!P311</f>
        <v>248</v>
      </c>
      <c r="B314" s="27">
        <f t="shared" si="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IF(OFFSET(マスタ非採用削除!E$4,統合マスタ!$A314,0)="","",OFFSET(マスタ非採用削除!E$4,統合マスタ!$A314,0))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</row>
    <row r="315" spans="1:27">
      <c r="A315" s="40">
        <f>元データ!P312</f>
        <v>250</v>
      </c>
      <c r="B315" s="27">
        <f t="shared" si="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IF(OFFSET(マスタ非採用削除!E$4,統合マスタ!$A315,0)="","",OFFSET(マスタ非採用削除!E$4,統合マスタ!$A315,0))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6</v>
      </c>
      <c r="AA315" s="27"/>
    </row>
    <row r="316" spans="1:27">
      <c r="A316" s="40">
        <f>元データ!P313</f>
        <v>249</v>
      </c>
      <c r="B316" s="27">
        <f t="shared" si="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IF(OFFSET(マスタ非採用削除!E$4,統合マスタ!$A316,0)="","",OFFSET(マスタ非採用削除!E$4,統合マスタ!$A316,0))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6</v>
      </c>
      <c r="AA316" s="27"/>
    </row>
    <row r="317" spans="1:27">
      <c r="A317" s="40">
        <f>元データ!P314</f>
        <v>251</v>
      </c>
      <c r="B317" s="27">
        <f t="shared" si="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IF(OFFSET(マスタ非採用削除!E$4,統合マスタ!$A317,0)="","",OFFSET(マスタ非採用削除!E$4,統合マスタ!$A317,0))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5</v>
      </c>
      <c r="AA317" s="27"/>
    </row>
    <row r="318" spans="1:27">
      <c r="A318" s="40">
        <f>元データ!P315</f>
        <v>251</v>
      </c>
      <c r="B318" s="27">
        <f t="shared" si="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IF(OFFSET(マスタ非採用削除!E$4,統合マスタ!$A318,0)="","",OFFSET(マスタ非採用削除!E$4,統合マスタ!$A318,0))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5</v>
      </c>
      <c r="AA318" s="27"/>
    </row>
    <row r="319" spans="1:27">
      <c r="A319" s="40">
        <f>元データ!P316</f>
        <v>252</v>
      </c>
      <c r="B319" s="27">
        <f t="shared" si="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IF(OFFSET(マスタ非採用削除!E$4,統合マスタ!$A319,0)="","",OFFSET(マスタ非採用削除!E$4,統合マスタ!$A319,0))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</row>
    <row r="320" spans="1:27">
      <c r="A320" s="40">
        <f>元データ!P317</f>
        <v>253</v>
      </c>
      <c r="B320" s="27">
        <f t="shared" si="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IF(OFFSET(マスタ非採用削除!E$4,統合マスタ!$A320,0)="","",OFFSET(マスタ非採用削除!E$4,統合マスタ!$A320,0))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</row>
    <row r="321" spans="1:27">
      <c r="A321" s="40">
        <f>元データ!P318</f>
        <v>253</v>
      </c>
      <c r="B321" s="27">
        <f t="shared" si="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IF(OFFSET(マスタ非採用削除!E$4,統合マスタ!$A321,0)="","",OFFSET(マスタ非採用削除!E$4,統合マスタ!$A321,0))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</row>
    <row r="322" spans="1:27">
      <c r="A322" s="40">
        <f>元データ!P319</f>
        <v>254</v>
      </c>
      <c r="B322" s="27">
        <f t="shared" si="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IF(OFFSET(マスタ非採用削除!E$4,統合マスタ!$A322,0)="","",OFFSET(マスタ非採用削除!E$4,統合マスタ!$A322,0))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</row>
    <row r="323" spans="1:27">
      <c r="A323" s="40">
        <f>元データ!P320</f>
        <v>254</v>
      </c>
      <c r="B323" s="27">
        <f t="shared" si="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IF(OFFSET(マスタ非採用削除!E$4,統合マスタ!$A323,0)="","",OFFSET(マスタ非採用削除!E$4,統合マスタ!$A323,0))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</row>
    <row r="324" spans="1:27">
      <c r="A324" s="40">
        <f>元データ!P321</f>
        <v>255</v>
      </c>
      <c r="B324" s="27">
        <f t="shared" si="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IF(OFFSET(マスタ非採用削除!E$4,統合マスタ!$A324,0)="","",OFFSET(マスタ非採用削除!E$4,統合マスタ!$A324,0))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</row>
    <row r="325" spans="1:27">
      <c r="A325" s="40">
        <f>元データ!P322</f>
        <v>255</v>
      </c>
      <c r="B325" s="27">
        <f t="shared" si="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IF(OFFSET(マスタ非採用削除!E$4,統合マスタ!$A325,0)="","",OFFSET(マスタ非採用削除!E$4,統合マスタ!$A325,0))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</row>
    <row r="326" spans="1:27">
      <c r="A326" s="40">
        <f>元データ!P323</f>
        <v>256</v>
      </c>
      <c r="B326" s="27">
        <f t="shared" si="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IF(OFFSET(マスタ非採用削除!E$4,統合マスタ!$A326,0)="","",OFFSET(マスタ非採用削除!E$4,統合マスタ!$A326,0))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</row>
    <row r="327" spans="1:27">
      <c r="A327" s="40">
        <f>元データ!P324</f>
        <v>258</v>
      </c>
      <c r="B327" s="27">
        <f t="shared" ref="B327:B390" si="5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IF(OFFSET(マスタ非採用削除!E$4,統合マスタ!$A327,0)="","",OFFSET(マスタ非採用削除!E$4,統合マスタ!$A327,0))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</row>
    <row r="328" spans="1:27">
      <c r="A328" s="40">
        <f>元データ!P325</f>
        <v>257</v>
      </c>
      <c r="B328" s="27">
        <f t="shared" si="5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IF(OFFSET(マスタ非採用削除!E$4,統合マスタ!$A328,0)="","",OFFSET(マスタ非採用削除!E$4,統合マスタ!$A328,0))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</row>
    <row r="329" spans="1:27">
      <c r="A329" s="40">
        <f>元データ!P326</f>
        <v>268</v>
      </c>
      <c r="B329" s="27">
        <f t="shared" si="5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IF(OFFSET(マスタ非採用削除!E$4,統合マスタ!$A329,0)="","",OFFSET(マスタ非採用削除!E$4,統合マスタ!$A329,0))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</row>
    <row r="330" spans="1:27">
      <c r="A330" s="40">
        <f>元データ!P327</f>
        <v>259</v>
      </c>
      <c r="B330" s="27">
        <f t="shared" si="5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IF(OFFSET(マスタ非採用削除!E$4,統合マスタ!$A330,0)="","",OFFSET(マスタ非採用削除!E$4,統合マスタ!$A330,0))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</row>
    <row r="331" spans="1:27">
      <c r="A331" s="40">
        <f>元データ!P328</f>
        <v>260</v>
      </c>
      <c r="B331" s="27">
        <f t="shared" si="5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IF(OFFSET(マスタ非採用削除!E$4,統合マスタ!$A331,0)="","",OFFSET(マスタ非採用削除!E$4,統合マスタ!$A331,0))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</row>
    <row r="332" spans="1:27">
      <c r="A332" s="40">
        <f>元データ!P329</f>
        <v>261</v>
      </c>
      <c r="B332" s="27">
        <f t="shared" si="5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IF(OFFSET(マスタ非採用削除!E$4,統合マスタ!$A332,0)="","",OFFSET(マスタ非採用削除!E$4,統合マスタ!$A332,0))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</row>
    <row r="333" spans="1:27">
      <c r="A333" s="40">
        <f>元データ!P330</f>
        <v>262</v>
      </c>
      <c r="B333" s="27">
        <f t="shared" si="5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IF(OFFSET(マスタ非採用削除!E$4,統合マスタ!$A333,0)="","",OFFSET(マスタ非採用削除!E$4,統合マスタ!$A333,0))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</row>
    <row r="334" spans="1:27">
      <c r="A334" s="40">
        <f>元データ!P331</f>
        <v>263</v>
      </c>
      <c r="B334" s="27">
        <f t="shared" si="5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IF(OFFSET(マスタ非採用削除!E$4,統合マスタ!$A334,0)="","",OFFSET(マスタ非採用削除!E$4,統合マスタ!$A334,0))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5</v>
      </c>
      <c r="AA334" s="27"/>
    </row>
    <row r="335" spans="1:27">
      <c r="A335" s="40">
        <f>元データ!P332</f>
        <v>263</v>
      </c>
      <c r="B335" s="27">
        <f t="shared" si="5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IF(OFFSET(マスタ非採用削除!E$4,統合マスタ!$A335,0)="","",OFFSET(マスタ非採用削除!E$4,統合マスタ!$A335,0))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5</v>
      </c>
      <c r="AA335" s="27"/>
    </row>
    <row r="336" spans="1:27">
      <c r="A336" s="40">
        <f>元データ!P333</f>
        <v>264</v>
      </c>
      <c r="B336" s="27">
        <f t="shared" si="5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IF(OFFSET(マスタ非採用削除!E$4,統合マスタ!$A336,0)="","",OFFSET(マスタ非採用削除!E$4,統合マスタ!$A336,0))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5</v>
      </c>
      <c r="AA336" s="27"/>
    </row>
    <row r="337" spans="1:27">
      <c r="A337" s="40">
        <f>元データ!P334</f>
        <v>265</v>
      </c>
      <c r="B337" s="27">
        <f t="shared" si="5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IF(OFFSET(マスタ非採用削除!E$4,統合マスタ!$A337,0)="","",OFFSET(マスタ非採用削除!E$4,統合マスタ!$A337,0))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</row>
    <row r="338" spans="1:27">
      <c r="A338" s="40">
        <f>元データ!P335</f>
        <v>266</v>
      </c>
      <c r="B338" s="27">
        <f t="shared" si="5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IF(OFFSET(マスタ非採用削除!E$4,統合マスタ!$A338,0)="","",OFFSET(マスタ非採用削除!E$4,統合マスタ!$A338,0))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</row>
    <row r="339" spans="1:27">
      <c r="A339" s="40">
        <f>元データ!P336</f>
        <v>269</v>
      </c>
      <c r="B339" s="27">
        <f t="shared" si="5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IF(OFFSET(マスタ非採用削除!E$4,統合マスタ!$A339,0)="","",OFFSET(マスタ非採用削除!E$4,統合マスタ!$A339,0))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5</v>
      </c>
      <c r="AA339" s="27"/>
    </row>
    <row r="340" spans="1:27">
      <c r="A340" s="40">
        <f>元データ!P337</f>
        <v>269</v>
      </c>
      <c r="B340" s="27">
        <f t="shared" si="5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IF(OFFSET(マスタ非採用削除!E$4,統合マスタ!$A340,0)="","",OFFSET(マスタ非採用削除!E$4,統合マスタ!$A340,0))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5</v>
      </c>
      <c r="AA340" s="27"/>
    </row>
    <row r="341" spans="1:27">
      <c r="A341" s="40">
        <f>元データ!P338</f>
        <v>270</v>
      </c>
      <c r="B341" s="27">
        <f t="shared" si="5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IF(OFFSET(マスタ非採用削除!E$4,統合マスタ!$A341,0)="","",OFFSET(マスタ非採用削除!E$4,統合マスタ!$A341,0))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</row>
    <row r="342" spans="1:27">
      <c r="A342" s="40">
        <f>元データ!P339</f>
        <v>271</v>
      </c>
      <c r="B342" s="27">
        <f t="shared" si="5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IF(OFFSET(マスタ非採用削除!E$4,統合マスタ!$A342,0)="","",OFFSET(マスタ非採用削除!E$4,統合マスタ!$A342,0))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</row>
    <row r="343" spans="1:27">
      <c r="A343" s="40">
        <f>元データ!P340</f>
        <v>272</v>
      </c>
      <c r="B343" s="27">
        <f t="shared" si="5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IF(OFFSET(マスタ非採用削除!E$4,統合マスタ!$A343,0)="","",OFFSET(マスタ非採用削除!E$4,統合マスタ!$A343,0))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</row>
    <row r="344" spans="1:27">
      <c r="A344" s="40">
        <f>元データ!P341</f>
        <v>273</v>
      </c>
      <c r="B344" s="27">
        <f t="shared" si="5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IF(OFFSET(マスタ非採用削除!E$4,統合マスタ!$A344,0)="","",OFFSET(マスタ非採用削除!E$4,統合マスタ!$A344,0))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</row>
    <row r="345" spans="1:27">
      <c r="A345" s="40">
        <f>元データ!P342</f>
        <v>274</v>
      </c>
      <c r="B345" s="27">
        <f t="shared" si="5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IF(OFFSET(マスタ非採用削除!E$4,統合マスタ!$A345,0)="","",OFFSET(マスタ非採用削除!E$4,統合マスタ!$A345,0))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</row>
    <row r="346" spans="1:27">
      <c r="A346" s="40">
        <f>元データ!P343</f>
        <v>275</v>
      </c>
      <c r="B346" s="27">
        <f t="shared" si="5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IF(OFFSET(マスタ非採用削除!E$4,統合マスタ!$A346,0)="","",OFFSET(マスタ非採用削除!E$4,統合マスタ!$A346,0))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</row>
    <row r="347" spans="1:27">
      <c r="A347" s="40">
        <f>元データ!P344</f>
        <v>276</v>
      </c>
      <c r="B347" s="27">
        <f t="shared" si="5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IF(OFFSET(マスタ非採用削除!E$4,統合マスタ!$A347,0)="","",OFFSET(マスタ非採用削除!E$4,統合マスタ!$A347,0))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</row>
    <row r="348" spans="1:27">
      <c r="A348" s="40">
        <f>元データ!P345</f>
        <v>281</v>
      </c>
      <c r="B348" s="27">
        <f t="shared" si="5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IF(OFFSET(マスタ非採用削除!E$4,統合マスタ!$A348,0)="","",OFFSET(マスタ非採用削除!E$4,統合マスタ!$A348,0))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</row>
    <row r="349" spans="1:27">
      <c r="A349" s="40">
        <f>元データ!P346</f>
        <v>282</v>
      </c>
      <c r="B349" s="27">
        <f t="shared" si="5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IF(OFFSET(マスタ非採用削除!E$4,統合マスタ!$A349,0)="","",OFFSET(マスタ非採用削除!E$4,統合マスタ!$A349,0))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</row>
    <row r="350" spans="1:27">
      <c r="A350" s="40">
        <f>元データ!P347</f>
        <v>283</v>
      </c>
      <c r="B350" s="27">
        <f t="shared" si="5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IF(OFFSET(マスタ非採用削除!E$4,統合マスタ!$A350,0)="","",OFFSET(マスタ非採用削除!E$4,統合マスタ!$A350,0))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</row>
    <row r="351" spans="1:27">
      <c r="A351" s="40">
        <f>元データ!P348</f>
        <v>284</v>
      </c>
      <c r="B351" s="27">
        <f t="shared" si="5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IF(OFFSET(マスタ非採用削除!E$4,統合マスタ!$A351,0)="","",OFFSET(マスタ非採用削除!E$4,統合マスタ!$A351,0))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</row>
    <row r="352" spans="1:27">
      <c r="A352" s="40">
        <f>元データ!P349</f>
        <v>285</v>
      </c>
      <c r="B352" s="27">
        <f t="shared" si="5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IF(OFFSET(マスタ非採用削除!E$4,統合マスタ!$A352,0)="","",OFFSET(マスタ非採用削除!E$4,統合マスタ!$A352,0))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</row>
    <row r="353" spans="1:27">
      <c r="A353" s="40">
        <f>元データ!P350</f>
        <v>286</v>
      </c>
      <c r="B353" s="27">
        <f t="shared" si="5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IF(OFFSET(マスタ非採用削除!E$4,統合マスタ!$A353,0)="","",OFFSET(マスタ非採用削除!E$4,統合マスタ!$A353,0))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</row>
    <row r="354" spans="1:27">
      <c r="A354" s="40">
        <f>元データ!P351</f>
        <v>286</v>
      </c>
      <c r="B354" s="27">
        <f t="shared" si="5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IF(OFFSET(マスタ非採用削除!E$4,統合マスタ!$A354,0)="","",OFFSET(マスタ非採用削除!E$4,統合マスタ!$A354,0))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</row>
    <row r="355" spans="1:27">
      <c r="A355" s="40">
        <f>元データ!P352</f>
        <v>287</v>
      </c>
      <c r="B355" s="27">
        <f t="shared" si="5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IF(OFFSET(マスタ非採用削除!E$4,統合マスタ!$A355,0)="","",OFFSET(マスタ非採用削除!E$4,統合マスタ!$A355,0))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</row>
    <row r="356" spans="1:27">
      <c r="A356" s="40">
        <f>元データ!P353</f>
        <v>291</v>
      </c>
      <c r="B356" s="27">
        <f t="shared" si="5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IF(OFFSET(マスタ非採用削除!E$4,統合マスタ!$A356,0)="","",OFFSET(マスタ非採用削除!E$4,統合マスタ!$A356,0))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6</v>
      </c>
      <c r="AA356" s="27"/>
    </row>
    <row r="357" spans="1:27">
      <c r="A357" s="40">
        <f>元データ!P354</f>
        <v>292</v>
      </c>
      <c r="B357" s="27">
        <f t="shared" si="5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IF(OFFSET(マスタ非採用削除!E$4,統合マスタ!$A357,0)="","",OFFSET(マスタ非採用削除!E$4,統合マスタ!$A357,0))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6</v>
      </c>
      <c r="AA357" s="27"/>
    </row>
    <row r="358" spans="1:27">
      <c r="A358" s="40">
        <f>元データ!P355</f>
        <v>293</v>
      </c>
      <c r="B358" s="27">
        <f t="shared" si="5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IF(OFFSET(マスタ非採用削除!E$4,統合マスタ!$A358,0)="","",OFFSET(マスタ非採用削除!E$4,統合マスタ!$A358,0))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</row>
    <row r="359" spans="1:27">
      <c r="A359" s="40">
        <f>元データ!P356</f>
        <v>294</v>
      </c>
      <c r="B359" s="27">
        <f t="shared" si="5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IF(OFFSET(マスタ非採用削除!E$4,統合マスタ!$A359,0)="","",OFFSET(マスタ非採用削除!E$4,統合マスタ!$A359,0))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</row>
    <row r="360" spans="1:27">
      <c r="A360" s="40">
        <f>元データ!P357</f>
        <v>309</v>
      </c>
      <c r="B360" s="27">
        <f t="shared" si="5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IF(OFFSET(マスタ非採用削除!E$4,統合マスタ!$A360,0)="","",OFFSET(マスタ非採用削除!E$4,統合マスタ!$A360,0))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</row>
    <row r="361" spans="1:27">
      <c r="A361" s="40">
        <f>元データ!P358</f>
        <v>311</v>
      </c>
      <c r="B361" s="27">
        <f t="shared" si="5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IF(OFFSET(マスタ非採用削除!E$4,統合マスタ!$A361,0)="","",OFFSET(マスタ非採用削除!E$4,統合マスタ!$A361,0))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5</v>
      </c>
      <c r="AA361" s="27"/>
    </row>
    <row r="362" spans="1:27">
      <c r="A362" s="40">
        <f>元データ!P359</f>
        <v>311</v>
      </c>
      <c r="B362" s="27">
        <f t="shared" si="5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IF(OFFSET(マスタ非採用削除!E$4,統合マスタ!$A362,0)="","",OFFSET(マスタ非採用削除!E$4,統合マスタ!$A362,0))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5</v>
      </c>
      <c r="AA362" s="27"/>
    </row>
    <row r="363" spans="1:27">
      <c r="A363" s="40">
        <f>元データ!P360</f>
        <v>312</v>
      </c>
      <c r="B363" s="27">
        <f t="shared" si="5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IF(OFFSET(マスタ非採用削除!E$4,統合マスタ!$A363,0)="","",OFFSET(マスタ非採用削除!E$4,統合マスタ!$A363,0))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5</v>
      </c>
      <c r="AA363" s="27"/>
    </row>
    <row r="364" spans="1:27">
      <c r="A364" s="40">
        <f>元データ!P361</f>
        <v>312</v>
      </c>
      <c r="B364" s="27">
        <f t="shared" si="5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IF(OFFSET(マスタ非採用削除!E$4,統合マスタ!$A364,0)="","",OFFSET(マスタ非採用削除!E$4,統合マスタ!$A364,0))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5</v>
      </c>
      <c r="AA364" s="27"/>
    </row>
    <row r="365" spans="1:27">
      <c r="A365" s="40">
        <f>元データ!P362</f>
        <v>313</v>
      </c>
      <c r="B365" s="27">
        <f t="shared" si="5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IF(OFFSET(マスタ非採用削除!E$4,統合マスタ!$A365,0)="","",OFFSET(マスタ非採用削除!E$4,統合マスタ!$A365,0))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</row>
    <row r="366" spans="1:27">
      <c r="A366" s="40">
        <f>元データ!P363</f>
        <v>0</v>
      </c>
      <c r="B366" s="27">
        <f t="shared" si="5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str">
        <f ca="1">IF(OFFSET(マスタ非採用削除!A$4,統合マスタ!$A366,0)="","",OFFSET(マスタ非採用削除!A$4,統合マスタ!$A366,0))</f>
        <v>コード(区分値)</v>
      </c>
      <c r="O366" s="53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3" t="str">
        <f ca="1">IF(OFFSET(マスタ非採用削除!D$4,統合マスタ!$A366,0)="","",OFFSET(マスタ非採用削除!D$4,統合マスタ!$A366,0))</f>
        <v>ホストコード</v>
      </c>
      <c r="R366" s="27" t="str">
        <f ca="1">IF(OFFSET(マスタ非採用削除!E$4,統合マスタ!$A366,0)="","",OFFSET(マスタ非採用削除!E$4,統合マスタ!$A366,0))</f>
        <v>採用区分（区分値）(区分値)</v>
      </c>
      <c r="S366" s="53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3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3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棚</v>
      </c>
      <c r="AA366" s="27"/>
    </row>
    <row r="367" spans="1:27">
      <c r="A367" s="40">
        <f>元データ!P364</f>
        <v>314</v>
      </c>
      <c r="B367" s="27">
        <f t="shared" si="5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IF(OFFSET(マスタ非採用削除!E$4,統合マスタ!$A367,0)="","",OFFSET(マスタ非採用削除!E$4,統合マスタ!$A367,0))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</row>
    <row r="368" spans="1:27">
      <c r="A368" s="40" t="str">
        <f>元データ!P365</f>
        <v/>
      </c>
      <c r="B368" s="27">
        <f t="shared" si="5"/>
        <v>364</v>
      </c>
      <c r="C368" s="27" t="str">
        <f>DBCS(元データ!A365)</f>
        <v>デカドロン注射液６．６ｍｇ</v>
      </c>
      <c r="D368" s="53" t="str">
        <f>元データ!B365</f>
        <v/>
      </c>
      <c r="E368" s="27" t="str">
        <f>DBCS(元データ!C365)</f>
        <v/>
      </c>
      <c r="F368" s="27" t="str">
        <f>DBCS(元データ!D365)</f>
        <v>２ｍｌｘ１０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3" t="e">
        <f ca="1">IF(OFFSET(マスタ非採用削除!A$4,統合マスタ!$A368,0)="","",OFFSET(マスタ非採用削除!A$4,統合マスタ!$A368,0))</f>
        <v>#VALUE!</v>
      </c>
      <c r="O368" s="53" t="e">
        <f ca="1">IF(OFFSET(マスタ非採用削除!B$4,統合マスタ!$A368,0)="","",OFFSET(マスタ非採用削除!B$4,統合マスタ!$A368,0))</f>
        <v>#VALUE!</v>
      </c>
      <c r="P368" s="27" t="e">
        <f ca="1">IF(OFFSET(マスタ非採用削除!C$4,統合マスタ!$A368,0)="","",OFFSET(マスタ非採用削除!C$4,統合マスタ!$A368,0))</f>
        <v>#VALUE!</v>
      </c>
      <c r="Q368" s="53" t="e">
        <f ca="1">IF(OFFSET(マスタ非採用削除!D$4,統合マスタ!$A368,0)="","",OFFSET(マスタ非採用削除!D$4,統合マスタ!$A368,0))</f>
        <v>#VALUE!</v>
      </c>
      <c r="R368" s="27" t="e">
        <f ca="1">IF(OFFSET(マスタ非採用削除!E$4,統合マスタ!$A368,0)="","",OFFSET(マスタ非採用削除!E$4,統合マスタ!$A368,0))</f>
        <v>#VALUE!</v>
      </c>
      <c r="S368" s="53" t="e">
        <f ca="1">IF(OFFSET(マスタ非採用削除!F$4,統合マスタ!$A368,0)="","",OFFSET(マスタ非採用削除!F$4,統合マスタ!$A368,0))</f>
        <v>#VALUE!</v>
      </c>
      <c r="T368" s="27" t="e">
        <f ca="1">IF(OFFSET(マスタ非採用削除!G$4,統合マスタ!$A368,0)="","",OFFSET(マスタ非採用削除!G$4,統合マスタ!$A368,0))</f>
        <v>#VALUE!</v>
      </c>
      <c r="U368" s="53" t="e">
        <f ca="1">IF(OFFSET(マスタ非採用削除!H$4,統合マスタ!$A368,0)="","",OFFSET(マスタ非採用削除!H$4,統合マスタ!$A368,0))</f>
        <v>#VALUE!</v>
      </c>
      <c r="V368" s="27" t="e">
        <f ca="1">IF(OFFSET(マスタ非採用削除!I$4,統合マスタ!$A368,0)="","",OFFSET(マスタ非採用削除!I$4,統合マスタ!$A368,0))</f>
        <v>#VALUE!</v>
      </c>
      <c r="W368" s="27" t="e">
        <f ca="1">IF(OFFSET(マスタ非採用削除!J$4,統合マスタ!$A368,0)="","",OFFSET(マスタ非採用削除!J$4,統合マスタ!$A368,0))</f>
        <v>#VALUE!</v>
      </c>
      <c r="X368" s="27" t="e">
        <f ca="1">IF(OFFSET(マスタ非採用削除!K$4,統合マスタ!$A368,0)="","",OFFSET(マスタ非採用削除!K$4,統合マスタ!$A368,0))</f>
        <v>#VALUE!</v>
      </c>
      <c r="Y368" s="53" t="e">
        <f ca="1">IF(OFFSET(マスタ非採用削除!L$4,統合マスタ!$A368,0)="","",OFFSET(マスタ非採用削除!L$4,統合マスタ!$A368,0))</f>
        <v>#VALUE!</v>
      </c>
      <c r="Z368" s="27" t="e">
        <f ca="1">IF(OFFSET(マスタ非採用削除!M$4,統合マスタ!$A368,0)="","",OFFSET(マスタ非採用削除!M$4,統合マスタ!$A368,0))</f>
        <v>#VALUE!</v>
      </c>
      <c r="AA368" s="27"/>
    </row>
    <row r="369" spans="1:27">
      <c r="A369" s="40">
        <f>元データ!P366</f>
        <v>315</v>
      </c>
      <c r="B369" s="27">
        <f t="shared" si="5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IF(OFFSET(マスタ非採用削除!E$4,統合マスタ!$A369,0)="","",OFFSET(マスタ非採用削除!E$4,統合マスタ!$A369,0))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</row>
    <row r="370" spans="1:27">
      <c r="A370" s="40">
        <f>元データ!P367</f>
        <v>316</v>
      </c>
      <c r="B370" s="27">
        <f t="shared" si="5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IF(OFFSET(マスタ非採用削除!E$4,統合マスタ!$A370,0)="","",OFFSET(マスタ非採用削除!E$4,統合マスタ!$A370,0))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</row>
    <row r="371" spans="1:27">
      <c r="A371" s="40">
        <f>元データ!P368</f>
        <v>317</v>
      </c>
      <c r="B371" s="27">
        <f t="shared" si="5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IF(OFFSET(マスタ非採用削除!E$4,統合マスタ!$A371,0)="","",OFFSET(マスタ非採用削除!E$4,統合マスタ!$A371,0))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</row>
    <row r="372" spans="1:27">
      <c r="A372" s="40">
        <f>元データ!P369</f>
        <v>320</v>
      </c>
      <c r="B372" s="27">
        <f t="shared" si="5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IF(OFFSET(マスタ非採用削除!E$4,統合マスタ!$A372,0)="","",OFFSET(マスタ非採用削除!E$4,統合マスタ!$A372,0))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</row>
    <row r="373" spans="1:27">
      <c r="A373" s="40">
        <f>元データ!P370</f>
        <v>321</v>
      </c>
      <c r="B373" s="27">
        <f t="shared" si="5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27">
        <f ca="1">IF(OFFSET(マスタ非採用削除!E$4,統合マスタ!$A373,0)="","",OFFSET(マスタ非採用削除!E$4,統合マスタ!$A373,0))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</row>
    <row r="374" spans="1:27">
      <c r="A374" s="40">
        <f>元データ!P371</f>
        <v>0</v>
      </c>
      <c r="B374" s="27">
        <f t="shared" si="5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コード(区分値)</v>
      </c>
      <c r="O374" s="53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3" t="str">
        <f ca="1">IF(OFFSET(マスタ非採用削除!D$4,統合マスタ!$A374,0)="","",OFFSET(マスタ非採用削除!D$4,統合マスタ!$A374,0))</f>
        <v>ホストコード</v>
      </c>
      <c r="R374" s="27" t="str">
        <f ca="1">IF(OFFSET(マスタ非採用削除!E$4,統合マスタ!$A374,0)="","",OFFSET(マスタ非採用削除!E$4,統合マスタ!$A374,0))</f>
        <v>採用区分（区分値）(区分値)</v>
      </c>
      <c r="S374" s="53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3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3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棚</v>
      </c>
      <c r="AA374" s="27"/>
    </row>
    <row r="375" spans="1:27">
      <c r="A375" s="40">
        <f>元データ!P372</f>
        <v>322</v>
      </c>
      <c r="B375" s="27">
        <f t="shared" si="5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27">
        <f ca="1">IF(OFFSET(マスタ非採用削除!E$4,統合マスタ!$A375,0)="","",OFFSET(マスタ非採用削除!E$4,統合マスタ!$A375,0))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5</v>
      </c>
      <c r="AA375" s="27"/>
    </row>
    <row r="376" spans="1:27">
      <c r="A376" s="40">
        <f>元データ!P373</f>
        <v>322</v>
      </c>
      <c r="B376" s="27">
        <f t="shared" si="5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27">
        <f ca="1">IF(OFFSET(マスタ非採用削除!E$4,統合マスタ!$A376,0)="","",OFFSET(マスタ非採用削除!E$4,統合マスタ!$A376,0))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5</v>
      </c>
      <c r="AA376" s="27"/>
    </row>
    <row r="377" spans="1:27">
      <c r="A377" s="40">
        <f>元データ!P374</f>
        <v>323</v>
      </c>
      <c r="B377" s="27">
        <f t="shared" si="5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IF(OFFSET(マスタ非採用削除!E$4,統合マスタ!$A377,0)="","",OFFSET(マスタ非採用削除!E$4,統合マスタ!$A377,0))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</row>
    <row r="378" spans="1:27">
      <c r="A378" s="40">
        <f>元データ!P375</f>
        <v>325</v>
      </c>
      <c r="B378" s="27">
        <f t="shared" si="5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IF(OFFSET(マスタ非採用削除!E$4,統合マスタ!$A378,0)="","",OFFSET(マスタ非採用削除!E$4,統合マスタ!$A378,0))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</row>
    <row r="379" spans="1:27">
      <c r="A379" s="40">
        <f>元データ!P376</f>
        <v>324</v>
      </c>
      <c r="B379" s="27">
        <f t="shared" si="5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IF(OFFSET(マスタ非採用削除!E$4,統合マスタ!$A379,0)="","",OFFSET(マスタ非採用削除!E$4,統合マスタ!$A379,0))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</row>
    <row r="380" spans="1:27">
      <c r="A380" s="40">
        <f>元データ!P377</f>
        <v>326</v>
      </c>
      <c r="B380" s="27">
        <f t="shared" si="5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IF(OFFSET(マスタ非採用削除!E$4,統合マスタ!$A380,0)="","",OFFSET(マスタ非採用削除!E$4,統合マスタ!$A380,0))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5</v>
      </c>
      <c r="AA380" s="27"/>
    </row>
    <row r="381" spans="1:27">
      <c r="A381" s="40">
        <f>元データ!P378</f>
        <v>326</v>
      </c>
      <c r="B381" s="27">
        <f t="shared" si="5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IF(OFFSET(マスタ非採用削除!E$4,統合マスタ!$A381,0)="","",OFFSET(マスタ非採用削除!E$4,統合マスタ!$A381,0))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5</v>
      </c>
      <c r="AA381" s="27"/>
    </row>
    <row r="382" spans="1:27">
      <c r="A382" s="40">
        <f>元データ!P379</f>
        <v>327</v>
      </c>
      <c r="B382" s="27">
        <f t="shared" si="5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IF(OFFSET(マスタ非採用削除!E$4,統合マスタ!$A382,0)="","",OFFSET(マスタ非採用削除!E$4,統合マスタ!$A382,0))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</row>
    <row r="383" spans="1:27">
      <c r="A383" s="40">
        <f>元データ!P380</f>
        <v>328</v>
      </c>
      <c r="B383" s="27">
        <f t="shared" si="5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IF(OFFSET(マスタ非採用削除!E$4,統合マスタ!$A383,0)="","",OFFSET(マスタ非採用削除!E$4,統合マスタ!$A383,0))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</row>
    <row r="384" spans="1:27">
      <c r="A384" s="40">
        <f>元データ!P381</f>
        <v>328</v>
      </c>
      <c r="B384" s="27">
        <f t="shared" si="5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IF(OFFSET(マスタ非採用削除!E$4,統合マスタ!$A384,0)="","",OFFSET(マスタ非採用削除!E$4,統合マスタ!$A384,0))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</row>
    <row r="385" spans="1:27">
      <c r="A385" s="40">
        <f>元データ!P382</f>
        <v>329</v>
      </c>
      <c r="B385" s="27">
        <f t="shared" si="5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IF(OFFSET(マスタ非採用削除!E$4,統合マスタ!$A385,0)="","",OFFSET(マスタ非採用削除!E$4,統合マスタ!$A385,0))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</row>
    <row r="386" spans="1:27">
      <c r="A386" s="40">
        <f>元データ!P383</f>
        <v>330</v>
      </c>
      <c r="B386" s="27">
        <f t="shared" si="5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IF(OFFSET(マスタ非採用削除!E$4,統合マスタ!$A386,0)="","",OFFSET(マスタ非採用削除!E$4,統合マスタ!$A386,0))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</row>
    <row r="387" spans="1:27">
      <c r="A387" s="40">
        <f>元データ!P384</f>
        <v>331</v>
      </c>
      <c r="B387" s="27">
        <f t="shared" si="5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IF(OFFSET(マスタ非採用削除!E$4,統合マスタ!$A387,0)="","",OFFSET(マスタ非採用削除!E$4,統合マスタ!$A387,0))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</row>
    <row r="388" spans="1:27">
      <c r="A388" s="40">
        <f>元データ!P385</f>
        <v>332</v>
      </c>
      <c r="B388" s="27">
        <f t="shared" si="5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IF(OFFSET(マスタ非採用削除!E$4,統合マスタ!$A388,0)="","",OFFSET(マスタ非採用削除!E$4,統合マスタ!$A388,0))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5</v>
      </c>
      <c r="AA388" s="27"/>
    </row>
    <row r="389" spans="1:27">
      <c r="A389" s="40">
        <f>元データ!P386</f>
        <v>332</v>
      </c>
      <c r="B389" s="27">
        <f t="shared" si="5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IF(OFFSET(マスタ非採用削除!E$4,統合マスタ!$A389,0)="","",OFFSET(マスタ非採用削除!E$4,統合マスタ!$A389,0))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5</v>
      </c>
      <c r="AA389" s="27"/>
    </row>
    <row r="390" spans="1:27">
      <c r="A390" s="40">
        <f>元データ!P387</f>
        <v>333</v>
      </c>
      <c r="B390" s="27">
        <f t="shared" si="5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IF(OFFSET(マスタ非採用削除!E$4,統合マスタ!$A390,0)="","",OFFSET(マスタ非採用削除!E$4,統合マスタ!$A390,0))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</row>
    <row r="391" spans="1:27">
      <c r="A391" s="40">
        <f>元データ!P388</f>
        <v>333</v>
      </c>
      <c r="B391" s="27">
        <f t="shared" ref="B391:B454" si="6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IF(OFFSET(マスタ非採用削除!E$4,統合マスタ!$A391,0)="","",OFFSET(マスタ非採用削除!E$4,統合マスタ!$A391,0))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</row>
    <row r="392" spans="1:27">
      <c r="A392" s="40" t="str">
        <f>元データ!P389</f>
        <v>非採用</v>
      </c>
      <c r="B392" s="27">
        <f t="shared" si="6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 t="e">
        <f ca="1">IF(OFFSET(マスタ非採用削除!E$4,統合マスタ!$A392,0)="","",OFFSET(マスタ非採用削除!E$4,統合マスタ!$A392,0))</f>
        <v>#VALUE!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">
        <v>5426</v>
      </c>
    </row>
    <row r="393" spans="1:27">
      <c r="A393" s="40">
        <f>元データ!P390</f>
        <v>334</v>
      </c>
      <c r="B393" s="27">
        <f t="shared" si="6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IF(OFFSET(マスタ非採用削除!E$4,統合マスタ!$A393,0)="","",OFFSET(マスタ非採用削除!E$4,統合マスタ!$A393,0))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</row>
    <row r="394" spans="1:27">
      <c r="A394" s="40">
        <f>元データ!P391</f>
        <v>365</v>
      </c>
      <c r="B394" s="27">
        <f t="shared" si="6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IF(OFFSET(マスタ非採用削除!E$4,統合マスタ!$A394,0)="","",OFFSET(マスタ非採用削除!E$4,統合マスタ!$A394,0))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</row>
    <row r="395" spans="1:27">
      <c r="A395" s="40">
        <f>元データ!P392</f>
        <v>339</v>
      </c>
      <c r="B395" s="27">
        <f t="shared" si="6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IF(OFFSET(マスタ非採用削除!E$4,統合マスタ!$A395,0)="","",OFFSET(マスタ非採用削除!E$4,統合マスタ!$A395,0))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6</v>
      </c>
      <c r="AA395" s="27"/>
    </row>
    <row r="396" spans="1:27">
      <c r="A396" s="40">
        <f>元データ!P393</f>
        <v>339</v>
      </c>
      <c r="B396" s="27">
        <f t="shared" si="6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IF(OFFSET(マスタ非採用削除!E$4,統合マスタ!$A396,0)="","",OFFSET(マスタ非採用削除!E$4,統合マスタ!$A396,0))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6</v>
      </c>
      <c r="AA396" s="27"/>
    </row>
    <row r="397" spans="1:27">
      <c r="A397" s="40">
        <f>元データ!P394</f>
        <v>337</v>
      </c>
      <c r="B397" s="27">
        <f t="shared" si="6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IF(OFFSET(マスタ非採用削除!E$4,統合マスタ!$A397,0)="","",OFFSET(マスタ非採用削除!E$4,統合マスタ!$A397,0))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6</v>
      </c>
      <c r="AA397" s="27"/>
    </row>
    <row r="398" spans="1:27">
      <c r="A398" s="40">
        <f>元データ!P395</f>
        <v>337</v>
      </c>
      <c r="B398" s="27">
        <f t="shared" si="6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IF(OFFSET(マスタ非採用削除!E$4,統合マスタ!$A398,0)="","",OFFSET(マスタ非採用削除!E$4,統合マスタ!$A398,0))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6</v>
      </c>
      <c r="AA398" s="27"/>
    </row>
    <row r="399" spans="1:27">
      <c r="A399" s="40">
        <f>元データ!P396</f>
        <v>338</v>
      </c>
      <c r="B399" s="27">
        <f t="shared" si="6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IF(OFFSET(マスタ非採用削除!E$4,統合マスタ!$A399,0)="","",OFFSET(マスタ非採用削除!E$4,統合マスタ!$A399,0))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6</v>
      </c>
      <c r="AA399" s="27"/>
    </row>
    <row r="400" spans="1:27">
      <c r="A400" s="40">
        <f>元データ!P397</f>
        <v>338</v>
      </c>
      <c r="B400" s="27">
        <f t="shared" si="6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IF(OFFSET(マスタ非採用削除!E$4,統合マスタ!$A400,0)="","",OFFSET(マスタ非採用削除!E$4,統合マスタ!$A400,0))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6</v>
      </c>
      <c r="AA400" s="27"/>
    </row>
    <row r="401" spans="1:27">
      <c r="A401" s="40">
        <f>元データ!P398</f>
        <v>340</v>
      </c>
      <c r="B401" s="27">
        <f t="shared" si="6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IF(OFFSET(マスタ非採用削除!E$4,統合マスタ!$A401,0)="","",OFFSET(マスタ非採用削除!E$4,統合マスタ!$A401,0))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</row>
    <row r="402" spans="1:27">
      <c r="A402" s="40">
        <f>元データ!P399</f>
        <v>341</v>
      </c>
      <c r="B402" s="27">
        <f t="shared" si="6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IF(OFFSET(マスタ非採用削除!E$4,統合マスタ!$A402,0)="","",OFFSET(マスタ非採用削除!E$4,統合マスタ!$A402,0))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</row>
    <row r="403" spans="1:27">
      <c r="A403" s="40">
        <f>元データ!P400</f>
        <v>342</v>
      </c>
      <c r="B403" s="27">
        <f t="shared" si="6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IF(OFFSET(マスタ非採用削除!E$4,統合マスタ!$A403,0)="","",OFFSET(マスタ非採用削除!E$4,統合マスタ!$A403,0))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5</v>
      </c>
      <c r="AA403" s="27"/>
    </row>
    <row r="404" spans="1:27">
      <c r="A404" s="40">
        <f>元データ!P401</f>
        <v>343</v>
      </c>
      <c r="B404" s="27">
        <f t="shared" si="6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IF(OFFSET(マスタ非採用削除!E$4,統合マスタ!$A404,0)="","",OFFSET(マスタ非採用削除!E$4,統合マスタ!$A404,0))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</row>
    <row r="405" spans="1:27">
      <c r="A405" s="40">
        <f>元データ!P402</f>
        <v>344</v>
      </c>
      <c r="B405" s="27">
        <f t="shared" si="6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IF(OFFSET(マスタ非採用削除!E$4,統合マスタ!$A405,0)="","",OFFSET(マスタ非採用削除!E$4,統合マスタ!$A405,0))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5</v>
      </c>
      <c r="AA405" s="27"/>
    </row>
    <row r="406" spans="1:27">
      <c r="A406" s="40">
        <f>元データ!P403</f>
        <v>346</v>
      </c>
      <c r="B406" s="27">
        <f t="shared" si="6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IF(OFFSET(マスタ非採用削除!E$4,統合マスタ!$A406,0)="","",OFFSET(マスタ非採用削除!E$4,統合マスタ!$A406,0))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</row>
    <row r="407" spans="1:27">
      <c r="A407" s="40">
        <f>元データ!P404</f>
        <v>345</v>
      </c>
      <c r="B407" s="27">
        <f t="shared" si="6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IF(OFFSET(マスタ非採用削除!E$4,統合マスタ!$A407,0)="","",OFFSET(マスタ非採用削除!E$4,統合マスタ!$A407,0))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</row>
    <row r="408" spans="1:27">
      <c r="A408" s="40">
        <f>元データ!P405</f>
        <v>347</v>
      </c>
      <c r="B408" s="27">
        <f t="shared" si="6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IF(OFFSET(マスタ非採用削除!E$4,統合マスタ!$A408,0)="","",OFFSET(マスタ非採用削除!E$4,統合マスタ!$A408,0))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6</v>
      </c>
      <c r="AA408" s="27"/>
    </row>
    <row r="409" spans="1:27">
      <c r="A409" s="40">
        <f>元データ!P406</f>
        <v>347</v>
      </c>
      <c r="B409" s="27">
        <f t="shared" si="6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IF(OFFSET(マスタ非採用削除!E$4,統合マスタ!$A409,0)="","",OFFSET(マスタ非採用削除!E$4,統合マスタ!$A409,0))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6</v>
      </c>
      <c r="AA409" s="27"/>
    </row>
    <row r="410" spans="1:27">
      <c r="A410" s="40">
        <f>元データ!P407</f>
        <v>348</v>
      </c>
      <c r="B410" s="27">
        <f t="shared" si="6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IF(OFFSET(マスタ非採用削除!E$4,統合マスタ!$A410,0)="","",OFFSET(マスタ非採用削除!E$4,統合マスタ!$A410,0))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</row>
    <row r="411" spans="1:27">
      <c r="A411" s="40">
        <f>元データ!P408</f>
        <v>349</v>
      </c>
      <c r="B411" s="27">
        <f t="shared" si="6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IF(OFFSET(マスタ非採用削除!E$4,統合マスタ!$A411,0)="","",OFFSET(マスタ非採用削除!E$4,統合マスタ!$A411,0))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</row>
    <row r="412" spans="1:27">
      <c r="A412" s="40">
        <f>元データ!P409</f>
        <v>350</v>
      </c>
      <c r="B412" s="27">
        <f t="shared" si="6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IF(OFFSET(マスタ非採用削除!E$4,統合マスタ!$A412,0)="","",OFFSET(マスタ非採用削除!E$4,統合マスタ!$A412,0))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</row>
    <row r="413" spans="1:27">
      <c r="A413" s="40">
        <f>元データ!P410</f>
        <v>0</v>
      </c>
      <c r="B413" s="27">
        <f t="shared" si="6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str">
        <f ca="1">IF(OFFSET(マスタ非採用削除!A$4,統合マスタ!$A413,0)="","",OFFSET(マスタ非採用削除!A$4,統合マスタ!$A413,0))</f>
        <v>コード(区分値)</v>
      </c>
      <c r="O413" s="53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3" t="str">
        <f ca="1">IF(OFFSET(マスタ非採用削除!D$4,統合マスタ!$A413,0)="","",OFFSET(マスタ非採用削除!D$4,統合マスタ!$A413,0))</f>
        <v>ホストコード</v>
      </c>
      <c r="R413" s="27" t="str">
        <f ca="1">IF(OFFSET(マスタ非採用削除!E$4,統合マスタ!$A413,0)="","",OFFSET(マスタ非採用削除!E$4,統合マスタ!$A413,0))</f>
        <v>採用区分（区分値）(区分値)</v>
      </c>
      <c r="S413" s="53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3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3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棚</v>
      </c>
      <c r="AA413" s="27"/>
    </row>
    <row r="414" spans="1:27">
      <c r="A414" s="40" t="str">
        <f>元データ!P411</f>
        <v>非採用</v>
      </c>
      <c r="B414" s="27">
        <f t="shared" si="6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 t="e">
        <f ca="1">IF(OFFSET(マスタ非採用削除!E$4,統合マスタ!$A414,0)="","",OFFSET(マスタ非採用削除!E$4,統合マスタ!$A414,0))</f>
        <v>#VALUE!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">
        <v>5426</v>
      </c>
    </row>
    <row r="415" spans="1:27">
      <c r="A415" s="40">
        <f>元データ!P412</f>
        <v>351</v>
      </c>
      <c r="B415" s="27">
        <f t="shared" si="6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IF(OFFSET(マスタ非採用削除!E$4,統合マスタ!$A415,0)="","",OFFSET(マスタ非採用削除!E$4,統合マスタ!$A415,0))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5</v>
      </c>
      <c r="AA415" s="27"/>
    </row>
    <row r="416" spans="1:27">
      <c r="A416" s="40">
        <f>元データ!P413</f>
        <v>352</v>
      </c>
      <c r="B416" s="27">
        <f t="shared" si="6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IF(OFFSET(マスタ非採用削除!E$4,統合マスタ!$A416,0)="","",OFFSET(マスタ非採用削除!E$4,統合マスタ!$A416,0))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</row>
    <row r="417" spans="1:27">
      <c r="A417" s="40">
        <f>元データ!P414</f>
        <v>353</v>
      </c>
      <c r="B417" s="27">
        <f t="shared" si="6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IF(OFFSET(マスタ非採用削除!E$4,統合マスタ!$A417,0)="","",OFFSET(マスタ非採用削除!E$4,統合マスタ!$A417,0))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</row>
    <row r="418" spans="1:27">
      <c r="A418" s="40">
        <f>元データ!P415</f>
        <v>354</v>
      </c>
      <c r="B418" s="27">
        <f t="shared" si="6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IF(OFFSET(マスタ非採用削除!E$4,統合マスタ!$A418,0)="","",OFFSET(マスタ非採用削除!E$4,統合マスタ!$A418,0))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5</v>
      </c>
      <c r="AA418" s="27"/>
    </row>
    <row r="419" spans="1:27">
      <c r="A419" s="40">
        <f>元データ!P416</f>
        <v>354</v>
      </c>
      <c r="B419" s="27">
        <f t="shared" si="6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IF(OFFSET(マスタ非採用削除!E$4,統合マスタ!$A419,0)="","",OFFSET(マスタ非採用削除!E$4,統合マスタ!$A419,0))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5</v>
      </c>
      <c r="AA419" s="27"/>
    </row>
    <row r="420" spans="1:27">
      <c r="A420" s="40">
        <f>元データ!P417</f>
        <v>355</v>
      </c>
      <c r="B420" s="27">
        <f t="shared" si="6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IF(OFFSET(マスタ非採用削除!E$4,統合マスタ!$A420,0)="","",OFFSET(マスタ非採用削除!E$4,統合マスタ!$A420,0))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5</v>
      </c>
      <c r="AA420" s="27"/>
    </row>
    <row r="421" spans="1:27">
      <c r="A421" s="40">
        <f>元データ!P418</f>
        <v>356</v>
      </c>
      <c r="B421" s="27">
        <f t="shared" si="6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IF(OFFSET(マスタ非採用削除!E$4,統合マスタ!$A421,0)="","",OFFSET(マスタ非採用削除!E$4,統合マスタ!$A421,0))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6</v>
      </c>
      <c r="AA421" s="27"/>
    </row>
    <row r="422" spans="1:27">
      <c r="A422" s="40">
        <f>元データ!P419</f>
        <v>358</v>
      </c>
      <c r="B422" s="27">
        <f t="shared" si="6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IF(OFFSET(マスタ非採用削除!E$4,統合マスタ!$A422,0)="","",OFFSET(マスタ非採用削除!E$4,統合マスタ!$A422,0))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</row>
    <row r="423" spans="1:27">
      <c r="A423" s="40">
        <f>元データ!P420</f>
        <v>359</v>
      </c>
      <c r="B423" s="27">
        <f t="shared" si="6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IF(OFFSET(マスタ非採用削除!E$4,統合マスタ!$A423,0)="","",OFFSET(マスタ非採用削除!E$4,統合マスタ!$A423,0))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</row>
    <row r="424" spans="1:27">
      <c r="A424" s="40">
        <f>元データ!P421</f>
        <v>360</v>
      </c>
      <c r="B424" s="27">
        <f t="shared" si="6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IF(OFFSET(マスタ非採用削除!E$4,統合マスタ!$A424,0)="","",OFFSET(マスタ非採用削除!E$4,統合マスタ!$A424,0))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</row>
    <row r="425" spans="1:27">
      <c r="A425" s="40">
        <f>元データ!P422</f>
        <v>361</v>
      </c>
      <c r="B425" s="27">
        <f t="shared" si="6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IF(OFFSET(マスタ非採用削除!E$4,統合マスタ!$A425,0)="","",OFFSET(マスタ非採用削除!E$4,統合マスタ!$A425,0))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</row>
    <row r="426" spans="1:27">
      <c r="A426" s="40">
        <f>元データ!P423</f>
        <v>362</v>
      </c>
      <c r="B426" s="27">
        <f t="shared" si="6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IF(OFFSET(マスタ非採用削除!E$4,統合マスタ!$A426,0)="","",OFFSET(マスタ非採用削除!E$4,統合マスタ!$A426,0))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6</v>
      </c>
      <c r="AA426" s="27"/>
    </row>
    <row r="427" spans="1:27">
      <c r="A427" s="40">
        <f>元データ!P424</f>
        <v>363</v>
      </c>
      <c r="B427" s="27">
        <f t="shared" si="6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IF(OFFSET(マスタ非採用削除!E$4,統合マスタ!$A427,0)="","",OFFSET(マスタ非採用削除!E$4,統合マスタ!$A427,0))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6</v>
      </c>
      <c r="AA427" s="27"/>
    </row>
    <row r="428" spans="1:27">
      <c r="A428" s="40" t="str">
        <f>元データ!P425</f>
        <v>非採用</v>
      </c>
      <c r="B428" s="27">
        <f t="shared" si="6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 t="e">
        <f ca="1">IF(OFFSET(マスタ非採用削除!E$4,統合マスタ!$A428,0)="","",OFFSET(マスタ非採用削除!E$4,統合マスタ!$A428,0))</f>
        <v>#VALUE!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4074</v>
      </c>
    </row>
    <row r="429" spans="1:27">
      <c r="A429" s="40">
        <f>元データ!P426</f>
        <v>366</v>
      </c>
      <c r="B429" s="27">
        <f t="shared" si="6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IF(OFFSET(マスタ非採用削除!E$4,統合マスタ!$A429,0)="","",OFFSET(マスタ非採用削除!E$4,統合マスタ!$A429,0))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5</v>
      </c>
      <c r="AA429" s="27"/>
    </row>
    <row r="430" spans="1:27">
      <c r="A430" s="40">
        <f>元データ!P427</f>
        <v>367</v>
      </c>
      <c r="B430" s="27">
        <f t="shared" si="6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IF(OFFSET(マスタ非採用削除!E$4,統合マスタ!$A430,0)="","",OFFSET(マスタ非採用削除!E$4,統合マスタ!$A430,0))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</row>
    <row r="431" spans="1:27">
      <c r="A431" s="40">
        <f>元データ!P428</f>
        <v>368</v>
      </c>
      <c r="B431" s="27">
        <f t="shared" si="6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IF(OFFSET(マスタ非採用削除!E$4,統合マスタ!$A431,0)="","",OFFSET(マスタ非採用削除!E$4,統合マスタ!$A431,0))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</row>
    <row r="432" spans="1:27">
      <c r="A432" s="40">
        <f>元データ!P429</f>
        <v>370</v>
      </c>
      <c r="B432" s="27">
        <f t="shared" si="6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IF(OFFSET(マスタ非採用削除!E$4,統合マスタ!$A432,0)="","",OFFSET(マスタ非採用削除!E$4,統合マスタ!$A432,0))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5</v>
      </c>
      <c r="AA432" s="27"/>
    </row>
    <row r="433" spans="1:27">
      <c r="A433" s="40">
        <f>元データ!P430</f>
        <v>371</v>
      </c>
      <c r="B433" s="27">
        <f t="shared" si="6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IF(OFFSET(マスタ非採用削除!E$4,統合マスタ!$A433,0)="","",OFFSET(マスタ非採用削除!E$4,統合マスタ!$A433,0))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5</v>
      </c>
      <c r="AA433" s="27"/>
    </row>
    <row r="434" spans="1:27">
      <c r="A434" s="40">
        <f>元データ!P431</f>
        <v>372</v>
      </c>
      <c r="B434" s="27">
        <f t="shared" si="6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IF(OFFSET(マスタ非採用削除!E$4,統合マスタ!$A434,0)="","",OFFSET(マスタ非採用削除!E$4,統合マスタ!$A434,0))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</row>
    <row r="435" spans="1:27">
      <c r="A435" s="40">
        <f>元データ!P432</f>
        <v>373</v>
      </c>
      <c r="B435" s="27">
        <f t="shared" si="6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IF(OFFSET(マスタ非採用削除!E$4,統合マスタ!$A435,0)="","",OFFSET(マスタ非採用削除!E$4,統合マスタ!$A435,0))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</row>
    <row r="436" spans="1:27">
      <c r="A436" s="40">
        <f>元データ!P433</f>
        <v>374</v>
      </c>
      <c r="B436" s="27">
        <f t="shared" si="6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IF(OFFSET(マスタ非採用削除!E$4,統合マスタ!$A436,0)="","",OFFSET(マスタ非採用削除!E$4,統合マスタ!$A436,0))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</row>
    <row r="437" spans="1:27">
      <c r="A437" s="40">
        <f>元データ!P434</f>
        <v>375</v>
      </c>
      <c r="B437" s="27">
        <f t="shared" si="6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IF(OFFSET(マスタ非採用削除!E$4,統合マスタ!$A437,0)="","",OFFSET(マスタ非採用削除!E$4,統合マスタ!$A437,0))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</row>
    <row r="438" spans="1:27">
      <c r="A438" s="40">
        <f>元データ!P435</f>
        <v>377</v>
      </c>
      <c r="B438" s="27">
        <f t="shared" si="6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IF(OFFSET(マスタ非採用削除!E$4,統合マスタ!$A438,0)="","",OFFSET(マスタ非採用削除!E$4,統合マスタ!$A438,0))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</row>
    <row r="439" spans="1:27">
      <c r="A439" s="40">
        <f>元データ!P436</f>
        <v>378</v>
      </c>
      <c r="B439" s="27">
        <f t="shared" si="6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IF(OFFSET(マスタ非採用削除!E$4,統合マスタ!$A439,0)="","",OFFSET(マスタ非採用削除!E$4,統合マスタ!$A439,0))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</row>
    <row r="440" spans="1:27">
      <c r="A440" s="40">
        <f>元データ!P437</f>
        <v>380</v>
      </c>
      <c r="B440" s="27">
        <f t="shared" si="6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IF(OFFSET(マスタ非採用削除!E$4,統合マスタ!$A440,0)="","",OFFSET(マスタ非採用削除!E$4,統合マスタ!$A440,0))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5</v>
      </c>
      <c r="AA440" s="27"/>
    </row>
    <row r="441" spans="1:27">
      <c r="A441" s="40">
        <f>元データ!P438</f>
        <v>379</v>
      </c>
      <c r="B441" s="27">
        <f t="shared" si="6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IF(OFFSET(マスタ非採用削除!E$4,統合マスタ!$A441,0)="","",OFFSET(マスタ非採用削除!E$4,統合マスタ!$A441,0))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5</v>
      </c>
      <c r="AA441" s="27"/>
    </row>
    <row r="442" spans="1:27">
      <c r="A442" s="40" t="str">
        <f>元データ!P439</f>
        <v>非採用</v>
      </c>
      <c r="B442" s="27">
        <f t="shared" si="6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 t="e">
        <f ca="1">IF(OFFSET(マスタ非採用削除!E$4,統合マスタ!$A442,0)="","",OFFSET(マスタ非採用削除!E$4,統合マスタ!$A442,0))</f>
        <v>#VALUE!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">
        <v>5426</v>
      </c>
    </row>
    <row r="443" spans="1:27">
      <c r="A443" s="40">
        <f>元データ!P440</f>
        <v>382</v>
      </c>
      <c r="B443" s="27">
        <f t="shared" si="6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IF(OFFSET(マスタ非採用削除!E$4,統合マスタ!$A443,0)="","",OFFSET(マスタ非採用削除!E$4,統合マスタ!$A443,0))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</row>
    <row r="444" spans="1:27">
      <c r="A444" s="40">
        <f>元データ!P441</f>
        <v>383</v>
      </c>
      <c r="B444" s="27">
        <f t="shared" si="6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IF(OFFSET(マスタ非採用削除!E$4,統合マスタ!$A444,0)="","",OFFSET(マスタ非採用削除!E$4,統合マスタ!$A444,0))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</row>
    <row r="445" spans="1:27">
      <c r="A445" s="40">
        <f>元データ!P442</f>
        <v>384</v>
      </c>
      <c r="B445" s="27">
        <f t="shared" si="6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IF(OFFSET(マスタ非採用削除!E$4,統合マスタ!$A445,0)="","",OFFSET(マスタ非採用削除!E$4,統合マスタ!$A445,0))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5</v>
      </c>
      <c r="AA445" s="27"/>
    </row>
    <row r="446" spans="1:27">
      <c r="A446" s="40">
        <f>元データ!P443</f>
        <v>386</v>
      </c>
      <c r="B446" s="27">
        <f t="shared" si="6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IF(OFFSET(マスタ非採用削除!E$4,統合マスタ!$A446,0)="","",OFFSET(マスタ非採用削除!E$4,統合マスタ!$A446,0))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</row>
    <row r="447" spans="1:27">
      <c r="A447" s="40">
        <f>元データ!P444</f>
        <v>385</v>
      </c>
      <c r="B447" s="27">
        <f t="shared" si="6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IF(OFFSET(マスタ非採用削除!E$4,統合マスタ!$A447,0)="","",OFFSET(マスタ非採用削除!E$4,統合マスタ!$A447,0))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</row>
    <row r="448" spans="1:27">
      <c r="A448" s="40">
        <f>元データ!P445</f>
        <v>387</v>
      </c>
      <c r="B448" s="27">
        <f t="shared" si="6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IF(OFFSET(マスタ非採用削除!E$4,統合マスタ!$A448,0)="","",OFFSET(マスタ非採用削除!E$4,統合マスタ!$A448,0))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</row>
    <row r="449" spans="1:27">
      <c r="A449" s="40">
        <f>元データ!P446</f>
        <v>388</v>
      </c>
      <c r="B449" s="27">
        <f t="shared" si="6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IF(OFFSET(マスタ非採用削除!E$4,統合マスタ!$A449,0)="","",OFFSET(マスタ非採用削除!E$4,統合マスタ!$A449,0))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5</v>
      </c>
      <c r="AA449" s="27"/>
    </row>
    <row r="450" spans="1:27">
      <c r="A450" s="40">
        <f>元データ!P447</f>
        <v>389</v>
      </c>
      <c r="B450" s="27">
        <f t="shared" si="6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IF(OFFSET(マスタ非採用削除!E$4,統合マスタ!$A450,0)="","",OFFSET(マスタ非採用削除!E$4,統合マスタ!$A450,0))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5</v>
      </c>
      <c r="AA450" s="27"/>
    </row>
    <row r="451" spans="1:27">
      <c r="A451" s="40">
        <f>元データ!P448</f>
        <v>389</v>
      </c>
      <c r="B451" s="27">
        <f t="shared" si="6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IF(OFFSET(マスタ非採用削除!E$4,統合マスタ!$A451,0)="","",OFFSET(マスタ非採用削除!E$4,統合マスタ!$A451,0))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5</v>
      </c>
      <c r="AA451" s="27"/>
    </row>
    <row r="452" spans="1:27">
      <c r="A452" s="40" t="str">
        <f>元データ!P449</f>
        <v>非採用</v>
      </c>
      <c r="B452" s="27">
        <f t="shared" si="6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 t="e">
        <f ca="1">IF(OFFSET(マスタ非採用削除!E$4,統合マスタ!$A452,0)="","",OFFSET(マスタ非採用削除!E$4,統合マスタ!$A452,0))</f>
        <v>#VALUE!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4074</v>
      </c>
    </row>
    <row r="453" spans="1:27">
      <c r="A453" s="40">
        <f>元データ!P450</f>
        <v>390</v>
      </c>
      <c r="B453" s="27">
        <f t="shared" si="6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IF(OFFSET(マスタ非採用削除!E$4,統合マスタ!$A453,0)="","",OFFSET(マスタ非採用削除!E$4,統合マスタ!$A453,0))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</row>
    <row r="454" spans="1:27">
      <c r="A454" s="40">
        <f>元データ!P451</f>
        <v>391</v>
      </c>
      <c r="B454" s="27">
        <f t="shared" si="6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IF(OFFSET(マスタ非採用削除!E$4,統合マスタ!$A454,0)="","",OFFSET(マスタ非採用削除!E$4,統合マスタ!$A454,0))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</row>
    <row r="455" spans="1:27">
      <c r="A455" s="40">
        <f>元データ!P452</f>
        <v>399</v>
      </c>
      <c r="B455" s="27">
        <f t="shared" ref="B455:B518" si="7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IF(OFFSET(マスタ非採用削除!E$4,統合マスタ!$A455,0)="","",OFFSET(マスタ非採用削除!E$4,統合マスタ!$A455,0))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</row>
    <row r="456" spans="1:27">
      <c r="A456" s="40">
        <f>元データ!P453</f>
        <v>392</v>
      </c>
      <c r="B456" s="27">
        <f t="shared" si="7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IF(OFFSET(マスタ非採用削除!E$4,統合マスタ!$A456,0)="","",OFFSET(マスタ非採用削除!E$4,統合マスタ!$A456,0))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6</v>
      </c>
      <c r="AA456" s="27"/>
    </row>
    <row r="457" spans="1:27">
      <c r="A457" s="40">
        <f>元データ!P454</f>
        <v>393</v>
      </c>
      <c r="B457" s="27">
        <f t="shared" si="7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IF(OFFSET(マスタ非採用削除!E$4,統合マスタ!$A457,0)="","",OFFSET(マスタ非採用削除!E$4,統合マスタ!$A457,0))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6</v>
      </c>
      <c r="AA457" s="27"/>
    </row>
    <row r="458" spans="1:27">
      <c r="A458" s="40">
        <f>元データ!P455</f>
        <v>393</v>
      </c>
      <c r="B458" s="27">
        <f t="shared" si="7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IF(OFFSET(マスタ非採用削除!E$4,統合マスタ!$A458,0)="","",OFFSET(マスタ非採用削除!E$4,統合マスタ!$A458,0))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6</v>
      </c>
      <c r="AA458" s="27"/>
    </row>
    <row r="459" spans="1:27">
      <c r="A459" s="40">
        <f>元データ!P456</f>
        <v>397</v>
      </c>
      <c r="B459" s="27">
        <f t="shared" si="7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IF(OFFSET(マスタ非採用削除!E$4,統合マスタ!$A459,0)="","",OFFSET(マスタ非採用削除!E$4,統合マスタ!$A459,0))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5</v>
      </c>
      <c r="AA459" s="27"/>
    </row>
    <row r="460" spans="1:27">
      <c r="A460" s="40">
        <f>元データ!P457</f>
        <v>398</v>
      </c>
      <c r="B460" s="27">
        <f t="shared" si="7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IF(OFFSET(マスタ非採用削除!E$4,統合マスタ!$A460,0)="","",OFFSET(マスタ非採用削除!E$4,統合マスタ!$A460,0))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</row>
    <row r="461" spans="1:27">
      <c r="A461" s="40">
        <f>元データ!P458</f>
        <v>400</v>
      </c>
      <c r="B461" s="27">
        <f t="shared" si="7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IF(OFFSET(マスタ非採用削除!E$4,統合マスタ!$A461,0)="","",OFFSET(マスタ非採用削除!E$4,統合マスタ!$A461,0))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</row>
    <row r="462" spans="1:27">
      <c r="A462" s="40">
        <f>元データ!P459</f>
        <v>401</v>
      </c>
      <c r="B462" s="27">
        <f t="shared" si="7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IF(OFFSET(マスタ非採用削除!E$4,統合マスタ!$A462,0)="","",OFFSET(マスタ非採用削除!E$4,統合マスタ!$A462,0))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</row>
    <row r="463" spans="1:27">
      <c r="A463" s="40">
        <f>元データ!P460</f>
        <v>572</v>
      </c>
      <c r="B463" s="27">
        <f t="shared" si="7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IF(OFFSET(マスタ非採用削除!E$4,統合マスタ!$A463,0)="","",OFFSET(マスタ非採用削除!E$4,統合マスタ!$A463,0))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</row>
    <row r="464" spans="1:27">
      <c r="A464" s="40">
        <f>元データ!P461</f>
        <v>403</v>
      </c>
      <c r="B464" s="27">
        <f t="shared" si="7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IF(OFFSET(マスタ非採用削除!E$4,統合マスタ!$A464,0)="","",OFFSET(マスタ非採用削除!E$4,統合マスタ!$A464,0))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</row>
    <row r="465" spans="1:27">
      <c r="A465" s="40">
        <f>元データ!P462</f>
        <v>402</v>
      </c>
      <c r="B465" s="27">
        <f t="shared" si="7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IF(OFFSET(マスタ非採用削除!E$4,統合マスタ!$A465,0)="","",OFFSET(マスタ非採用削除!E$4,統合マスタ!$A465,0))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5</v>
      </c>
      <c r="AA465" s="27"/>
    </row>
    <row r="466" spans="1:27">
      <c r="A466" s="40">
        <f>元データ!P463</f>
        <v>404</v>
      </c>
      <c r="B466" s="27">
        <f t="shared" si="7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IF(OFFSET(マスタ非採用削除!E$4,統合マスタ!$A466,0)="","",OFFSET(マスタ非採用削除!E$4,統合マスタ!$A466,0))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</row>
    <row r="467" spans="1:27">
      <c r="A467" s="40">
        <f>元データ!P464</f>
        <v>405</v>
      </c>
      <c r="B467" s="27">
        <f t="shared" si="7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IF(OFFSET(マスタ非採用削除!E$4,統合マスタ!$A467,0)="","",OFFSET(マスタ非採用削除!E$4,統合マスタ!$A467,0))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6</v>
      </c>
      <c r="AA467" s="27"/>
    </row>
    <row r="468" spans="1:27">
      <c r="A468" s="40">
        <f>元データ!P465</f>
        <v>405</v>
      </c>
      <c r="B468" s="27">
        <f t="shared" si="7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IF(OFFSET(マスタ非採用削除!E$4,統合マスタ!$A468,0)="","",OFFSET(マスタ非採用削除!E$4,統合マスタ!$A468,0))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6</v>
      </c>
      <c r="AA468" s="27"/>
    </row>
    <row r="469" spans="1:27">
      <c r="A469" s="40">
        <f>元データ!P466</f>
        <v>410</v>
      </c>
      <c r="B469" s="27">
        <f t="shared" si="7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IF(OFFSET(マスタ非採用削除!E$4,統合マスタ!$A469,0)="","",OFFSET(マスタ非採用削除!E$4,統合マスタ!$A469,0))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</row>
    <row r="470" spans="1:27">
      <c r="A470" s="40">
        <f>元データ!P467</f>
        <v>406</v>
      </c>
      <c r="B470" s="27">
        <f t="shared" si="7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IF(OFFSET(マスタ非採用削除!E$4,統合マスタ!$A470,0)="","",OFFSET(マスタ非採用削除!E$4,統合マスタ!$A470,0))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6</v>
      </c>
      <c r="AA470" s="27"/>
    </row>
    <row r="471" spans="1:27">
      <c r="A471" s="40">
        <f>元データ!P468</f>
        <v>408</v>
      </c>
      <c r="B471" s="27">
        <f t="shared" si="7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IF(OFFSET(マスタ非採用削除!E$4,統合マスタ!$A471,0)="","",OFFSET(マスタ非採用削除!E$4,統合マスタ!$A471,0))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6</v>
      </c>
      <c r="AA471" s="27"/>
    </row>
    <row r="472" spans="1:27">
      <c r="A472" s="40">
        <f>元データ!P469</f>
        <v>407</v>
      </c>
      <c r="B472" s="27">
        <f t="shared" si="7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IF(OFFSET(マスタ非採用削除!E$4,統合マスタ!$A472,0)="","",OFFSET(マスタ非採用削除!E$4,統合マスタ!$A472,0))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6</v>
      </c>
      <c r="AA472" s="27"/>
    </row>
    <row r="473" spans="1:27">
      <c r="A473" s="40">
        <f>元データ!P470</f>
        <v>407</v>
      </c>
      <c r="B473" s="27">
        <f t="shared" si="7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IF(OFFSET(マスタ非採用削除!E$4,統合マスタ!$A473,0)="","",OFFSET(マスタ非採用削除!E$4,統合マスタ!$A473,0))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6</v>
      </c>
      <c r="AA473" s="27"/>
    </row>
    <row r="474" spans="1:27">
      <c r="A474" s="40">
        <f>元データ!P471</f>
        <v>409</v>
      </c>
      <c r="B474" s="27">
        <f t="shared" si="7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IF(OFFSET(マスタ非採用削除!E$4,統合マスタ!$A474,0)="","",OFFSET(マスタ非採用削除!E$4,統合マスタ!$A474,0))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6</v>
      </c>
      <c r="AA474" s="27"/>
    </row>
    <row r="475" spans="1:27">
      <c r="A475" s="40">
        <f>元データ!P472</f>
        <v>412</v>
      </c>
      <c r="B475" s="27">
        <f t="shared" si="7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IF(OFFSET(マスタ非採用削除!E$4,統合マスタ!$A475,0)="","",OFFSET(マスタ非採用削除!E$4,統合マスタ!$A475,0))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</row>
    <row r="476" spans="1:27">
      <c r="A476" s="40">
        <f>元データ!P473</f>
        <v>411</v>
      </c>
      <c r="B476" s="27">
        <f t="shared" si="7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IF(OFFSET(マスタ非採用削除!E$4,統合マスタ!$A476,0)="","",OFFSET(マスタ非採用削除!E$4,統合マスタ!$A476,0))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</row>
    <row r="477" spans="1:27">
      <c r="A477" s="40">
        <f>元データ!P474</f>
        <v>413</v>
      </c>
      <c r="B477" s="27">
        <f t="shared" si="7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IF(OFFSET(マスタ非採用削除!E$4,統合マスタ!$A477,0)="","",OFFSET(マスタ非採用削除!E$4,統合マスタ!$A477,0))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</row>
    <row r="478" spans="1:27">
      <c r="A478" s="40">
        <f>元データ!P475</f>
        <v>416</v>
      </c>
      <c r="B478" s="27">
        <f t="shared" si="7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IF(OFFSET(マスタ非採用削除!E$4,統合マスタ!$A478,0)="","",OFFSET(マスタ非採用削除!E$4,統合マスタ!$A478,0))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</row>
    <row r="479" spans="1:27">
      <c r="A479" s="40">
        <f>元データ!P476</f>
        <v>414</v>
      </c>
      <c r="B479" s="27">
        <f t="shared" si="7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IF(OFFSET(マスタ非採用削除!E$4,統合マスタ!$A479,0)="","",OFFSET(マスタ非採用削除!E$4,統合マスタ!$A479,0))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</row>
    <row r="480" spans="1:27">
      <c r="A480" s="40">
        <f>元データ!P477</f>
        <v>415</v>
      </c>
      <c r="B480" s="27">
        <f t="shared" si="7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IF(OFFSET(マスタ非採用削除!E$4,統合マスタ!$A480,0)="","",OFFSET(マスタ非採用削除!E$4,統合マスタ!$A480,0))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5</v>
      </c>
      <c r="AA480" s="27"/>
    </row>
    <row r="481" spans="1:27">
      <c r="A481" s="40">
        <f>元データ!P478</f>
        <v>415</v>
      </c>
      <c r="B481" s="27">
        <f t="shared" si="7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IF(OFFSET(マスタ非採用削除!E$4,統合マスタ!$A481,0)="","",OFFSET(マスタ非採用削除!E$4,統合マスタ!$A481,0))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5</v>
      </c>
      <c r="AA481" s="27"/>
    </row>
    <row r="482" spans="1:27">
      <c r="A482" s="40">
        <f>元データ!P479</f>
        <v>423</v>
      </c>
      <c r="B482" s="27">
        <f t="shared" si="7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IF(OFFSET(マスタ非採用削除!E$4,統合マスタ!$A482,0)="","",OFFSET(マスタ非採用削除!E$4,統合マスタ!$A482,0))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</row>
    <row r="483" spans="1:27">
      <c r="A483" s="40">
        <f>元データ!P480</f>
        <v>417</v>
      </c>
      <c r="B483" s="27">
        <f t="shared" si="7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IF(OFFSET(マスタ非採用削除!E$4,統合マスタ!$A483,0)="","",OFFSET(マスタ非採用削除!E$4,統合マスタ!$A483,0))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</row>
    <row r="484" spans="1:27">
      <c r="A484" s="40">
        <f>元データ!P481</f>
        <v>424</v>
      </c>
      <c r="B484" s="27">
        <f t="shared" si="7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IF(OFFSET(マスタ非採用削除!E$4,統合マスタ!$A484,0)="","",OFFSET(マスタ非採用削除!E$4,統合マスタ!$A484,0))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</row>
    <row r="485" spans="1:27">
      <c r="A485" s="40" t="str">
        <f>元データ!P482</f>
        <v>非採用</v>
      </c>
      <c r="B485" s="27">
        <f t="shared" si="7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 t="e">
        <f ca="1">IF(OFFSET(マスタ非採用削除!E$4,統合マスタ!$A485,0)="","",OFFSET(マスタ非採用削除!E$4,統合マスタ!$A485,0))</f>
        <v>#VALUE!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">
        <v>5426</v>
      </c>
    </row>
    <row r="486" spans="1:27">
      <c r="A486" s="40">
        <f>元データ!P483</f>
        <v>419</v>
      </c>
      <c r="B486" s="27">
        <f t="shared" si="7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IF(OFFSET(マスタ非採用削除!E$4,統合マスタ!$A486,0)="","",OFFSET(マスタ非採用削除!E$4,統合マスタ!$A486,0))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5</v>
      </c>
      <c r="AA486" s="27"/>
    </row>
    <row r="487" spans="1:27">
      <c r="A487" s="40">
        <f>元データ!P484</f>
        <v>419</v>
      </c>
      <c r="B487" s="27">
        <f t="shared" si="7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IF(OFFSET(マスタ非採用削除!E$4,統合マスタ!$A487,0)="","",OFFSET(マスタ非採用削除!E$4,統合マスタ!$A487,0))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5</v>
      </c>
      <c r="AA487" s="27"/>
    </row>
    <row r="488" spans="1:27">
      <c r="A488" s="40">
        <f>元データ!P485</f>
        <v>418</v>
      </c>
      <c r="B488" s="27">
        <f t="shared" si="7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IF(OFFSET(マスタ非採用削除!E$4,統合マスタ!$A488,0)="","",OFFSET(マスタ非採用削除!E$4,統合マスタ!$A488,0))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</row>
    <row r="489" spans="1:27">
      <c r="A489" s="40">
        <f>元データ!P486</f>
        <v>418</v>
      </c>
      <c r="B489" s="27">
        <f t="shared" si="7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IF(OFFSET(マスタ非採用削除!E$4,統合マスタ!$A489,0)="","",OFFSET(マスタ非採用削除!E$4,統合マスタ!$A489,0))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</row>
    <row r="490" spans="1:27">
      <c r="A490" s="40">
        <f>元データ!P487</f>
        <v>418</v>
      </c>
      <c r="B490" s="27">
        <f t="shared" si="7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IF(OFFSET(マスタ非採用削除!E$4,統合マスタ!$A490,0)="","",OFFSET(マスタ非採用削除!E$4,統合マスタ!$A490,0))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</row>
    <row r="491" spans="1:27">
      <c r="A491" s="40">
        <f>元データ!P488</f>
        <v>420</v>
      </c>
      <c r="B491" s="27">
        <f t="shared" si="7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IF(OFFSET(マスタ非採用削除!E$4,統合マスタ!$A491,0)="","",OFFSET(マスタ非採用削除!E$4,統合マスタ!$A491,0))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</row>
    <row r="492" spans="1:27">
      <c r="A492" s="40">
        <f>元データ!P489</f>
        <v>421</v>
      </c>
      <c r="B492" s="27">
        <f t="shared" si="7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IF(OFFSET(マスタ非採用削除!E$4,統合マスタ!$A492,0)="","",OFFSET(マスタ非採用削除!E$4,統合マスタ!$A492,0))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5</v>
      </c>
      <c r="AA492" s="27"/>
    </row>
    <row r="493" spans="1:27">
      <c r="A493" s="40">
        <f>元データ!P490</f>
        <v>421</v>
      </c>
      <c r="B493" s="27">
        <f t="shared" si="7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IF(OFFSET(マスタ非採用削除!E$4,統合マスタ!$A493,0)="","",OFFSET(マスタ非採用削除!E$4,統合マスタ!$A493,0))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5</v>
      </c>
      <c r="AA493" s="27"/>
    </row>
    <row r="494" spans="1:27">
      <c r="A494" s="40">
        <f>元データ!P491</f>
        <v>422</v>
      </c>
      <c r="B494" s="27">
        <f t="shared" si="7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IF(OFFSET(マスタ非採用削除!E$4,統合マスタ!$A494,0)="","",OFFSET(マスタ非採用削除!E$4,統合マスタ!$A494,0))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</row>
    <row r="495" spans="1:27">
      <c r="A495" s="40">
        <f>元データ!P492</f>
        <v>426</v>
      </c>
      <c r="B495" s="27">
        <f t="shared" si="7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IF(OFFSET(マスタ非採用削除!E$4,統合マスタ!$A495,0)="","",OFFSET(マスタ非採用削除!E$4,統合マスタ!$A495,0))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</row>
    <row r="496" spans="1:27">
      <c r="A496" s="40">
        <f>元データ!P493</f>
        <v>425</v>
      </c>
      <c r="B496" s="27">
        <f t="shared" si="7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IF(OFFSET(マスタ非採用削除!E$4,統合マスタ!$A496,0)="","",OFFSET(マスタ非採用削除!E$4,統合マスタ!$A496,0))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</row>
    <row r="497" spans="1:27">
      <c r="A497" s="40">
        <f>元データ!P494</f>
        <v>428</v>
      </c>
      <c r="B497" s="27">
        <f t="shared" si="7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IF(OFFSET(マスタ非採用削除!E$4,統合マスタ!$A497,0)="","",OFFSET(マスタ非採用削除!E$4,統合マスタ!$A497,0))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5</v>
      </c>
      <c r="AA497" s="27"/>
    </row>
    <row r="498" spans="1:27">
      <c r="A498" s="40">
        <f>元データ!P495</f>
        <v>427</v>
      </c>
      <c r="B498" s="27">
        <f t="shared" si="7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IF(OFFSET(マスタ非採用削除!E$4,統合マスタ!$A498,0)="","",OFFSET(マスタ非採用削除!E$4,統合マスタ!$A498,0))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</row>
    <row r="499" spans="1:27">
      <c r="A499" s="40">
        <f>元データ!P496</f>
        <v>429</v>
      </c>
      <c r="B499" s="27">
        <f t="shared" si="7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IF(OFFSET(マスタ非採用削除!E$4,統合マスタ!$A499,0)="","",OFFSET(マスタ非採用削除!E$4,統合マスタ!$A499,0))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</row>
    <row r="500" spans="1:27">
      <c r="A500" s="40">
        <f>元データ!P497</f>
        <v>430</v>
      </c>
      <c r="B500" s="27">
        <f t="shared" si="7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IF(OFFSET(マスタ非採用削除!E$4,統合マスタ!$A500,0)="","",OFFSET(マスタ非採用削除!E$4,統合マスタ!$A500,0))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</row>
    <row r="501" spans="1:27">
      <c r="A501" s="40">
        <f>元データ!P498</f>
        <v>432</v>
      </c>
      <c r="B501" s="27">
        <f t="shared" si="7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IF(OFFSET(マスタ非採用削除!E$4,統合マスタ!$A501,0)="","",OFFSET(マスタ非採用削除!E$4,統合マスタ!$A501,0))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</row>
    <row r="502" spans="1:27">
      <c r="A502" s="40">
        <f>元データ!P499</f>
        <v>432</v>
      </c>
      <c r="B502" s="27">
        <f t="shared" si="7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IF(OFFSET(マスタ非採用削除!E$4,統合マスタ!$A502,0)="","",OFFSET(マスタ非採用削除!E$4,統合マスタ!$A502,0))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</row>
    <row r="503" spans="1:27">
      <c r="A503" s="40">
        <f>元データ!P500</f>
        <v>431</v>
      </c>
      <c r="B503" s="27">
        <f t="shared" si="7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IF(OFFSET(マスタ非採用削除!E$4,統合マスタ!$A503,0)="","",OFFSET(マスタ非採用削除!E$4,統合マスタ!$A503,0))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</row>
    <row r="504" spans="1:27">
      <c r="A504" s="40">
        <f>元データ!P501</f>
        <v>431</v>
      </c>
      <c r="B504" s="27">
        <f t="shared" si="7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IF(OFFSET(マスタ非採用削除!E$4,統合マスタ!$A504,0)="","",OFFSET(マスタ非採用削除!E$4,統合マスタ!$A504,0))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</row>
    <row r="505" spans="1:27">
      <c r="A505" s="40">
        <f>元データ!P502</f>
        <v>433</v>
      </c>
      <c r="B505" s="27">
        <f t="shared" si="7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IF(OFFSET(マスタ非採用削除!E$4,統合マスタ!$A505,0)="","",OFFSET(マスタ非採用削除!E$4,統合マスタ!$A505,0))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5</v>
      </c>
      <c r="AA505" s="27"/>
    </row>
    <row r="506" spans="1:27">
      <c r="A506" s="40">
        <f>元データ!P503</f>
        <v>433</v>
      </c>
      <c r="B506" s="27">
        <f t="shared" si="7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IF(OFFSET(マスタ非採用削除!E$4,統合マスタ!$A506,0)="","",OFFSET(マスタ非採用削除!E$4,統合マスタ!$A506,0))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5</v>
      </c>
      <c r="AA506" s="27"/>
    </row>
    <row r="507" spans="1:27">
      <c r="A507" s="40" t="str">
        <f>元データ!P504</f>
        <v>非採用</v>
      </c>
      <c r="B507" s="27">
        <f t="shared" si="7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 t="e">
        <f ca="1">IF(OFFSET(マスタ非採用削除!E$4,統合マスタ!$A507,0)="","",OFFSET(マスタ非採用削除!E$4,統合マスタ!$A507,0))</f>
        <v>#VALUE!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">
        <v>5426</v>
      </c>
    </row>
    <row r="508" spans="1:27">
      <c r="A508" s="40">
        <f>元データ!P505</f>
        <v>435</v>
      </c>
      <c r="B508" s="27">
        <f t="shared" si="7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IF(OFFSET(マスタ非採用削除!E$4,統合マスタ!$A508,0)="","",OFFSET(マスタ非採用削除!E$4,統合マスタ!$A508,0))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5</v>
      </c>
      <c r="AA508" s="27"/>
    </row>
    <row r="509" spans="1:27">
      <c r="A509" s="40">
        <f>元データ!P506</f>
        <v>435</v>
      </c>
      <c r="B509" s="27">
        <f t="shared" si="7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IF(OFFSET(マスタ非採用削除!E$4,統合マスタ!$A509,0)="","",OFFSET(マスタ非採用削除!E$4,統合マスタ!$A509,0))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5</v>
      </c>
      <c r="AA509" s="27"/>
    </row>
    <row r="510" spans="1:27">
      <c r="A510" s="40" t="str">
        <f>元データ!P507</f>
        <v>非採用</v>
      </c>
      <c r="B510" s="27">
        <f t="shared" si="7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 t="e">
        <f ca="1">IF(OFFSET(マスタ非採用削除!E$4,統合マスタ!$A510,0)="","",OFFSET(マスタ非採用削除!E$4,統合マスタ!$A510,0))</f>
        <v>#VALUE!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4074</v>
      </c>
    </row>
    <row r="511" spans="1:27">
      <c r="A511" s="40" t="str">
        <f>元データ!P508</f>
        <v>非採用</v>
      </c>
      <c r="B511" s="27">
        <f t="shared" si="7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 t="e">
        <f ca="1">IF(OFFSET(マスタ非採用削除!E$4,統合マスタ!$A511,0)="","",OFFSET(マスタ非採用削除!E$4,統合マスタ!$A511,0))</f>
        <v>#VALUE!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4074</v>
      </c>
    </row>
    <row r="512" spans="1:27">
      <c r="A512" s="40">
        <f>元データ!P509</f>
        <v>436</v>
      </c>
      <c r="B512" s="27">
        <f t="shared" si="7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IF(OFFSET(マスタ非採用削除!E$4,統合マスタ!$A512,0)="","",OFFSET(マスタ非採用削除!E$4,統合マスタ!$A512,0))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</row>
    <row r="513" spans="1:27">
      <c r="A513" s="40">
        <f>元データ!P510</f>
        <v>437</v>
      </c>
      <c r="B513" s="27">
        <f t="shared" si="7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IF(OFFSET(マスタ非採用削除!E$4,統合マスタ!$A513,0)="","",OFFSET(マスタ非採用削除!E$4,統合マスタ!$A513,0))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</row>
    <row r="514" spans="1:27">
      <c r="A514" s="40">
        <f>元データ!P511</f>
        <v>438</v>
      </c>
      <c r="B514" s="27">
        <f t="shared" si="7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IF(OFFSET(マスタ非採用削除!E$4,統合マスタ!$A514,0)="","",OFFSET(マスタ非採用削除!E$4,統合マスタ!$A514,0))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</row>
    <row r="515" spans="1:27">
      <c r="A515" s="40" t="str">
        <f>元データ!P512</f>
        <v>非採用</v>
      </c>
      <c r="B515" s="27">
        <f t="shared" si="7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 t="e">
        <f ca="1">IF(OFFSET(マスタ非採用削除!E$4,統合マスタ!$A515,0)="","",OFFSET(マスタ非採用削除!E$4,統合マスタ!$A515,0))</f>
        <v>#VALUE!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4074</v>
      </c>
    </row>
    <row r="516" spans="1:27">
      <c r="A516" s="40">
        <f>元データ!P513</f>
        <v>439</v>
      </c>
      <c r="B516" s="27">
        <f t="shared" si="7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IF(OFFSET(マスタ非採用削除!E$4,統合マスタ!$A516,0)="","",OFFSET(マスタ非採用削除!E$4,統合マスタ!$A516,0))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</row>
    <row r="517" spans="1:27">
      <c r="A517" s="40">
        <f>元データ!P514</f>
        <v>0</v>
      </c>
      <c r="B517" s="27">
        <f t="shared" si="7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str">
        <f ca="1">IF(OFFSET(マスタ非採用削除!A$4,統合マスタ!$A517,0)="","",OFFSET(マスタ非採用削除!A$4,統合マスタ!$A517,0))</f>
        <v>コード(区分値)</v>
      </c>
      <c r="O517" s="53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3" t="str">
        <f ca="1">IF(OFFSET(マスタ非採用削除!D$4,統合マスタ!$A517,0)="","",OFFSET(マスタ非採用削除!D$4,統合マスタ!$A517,0))</f>
        <v>ホストコード</v>
      </c>
      <c r="R517" s="27" t="str">
        <f ca="1">IF(OFFSET(マスタ非採用削除!E$4,統合マスタ!$A517,0)="","",OFFSET(マスタ非採用削除!E$4,統合マスタ!$A517,0))</f>
        <v>採用区分（区分値）(区分値)</v>
      </c>
      <c r="S517" s="53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3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3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棚</v>
      </c>
      <c r="AA517" s="27"/>
    </row>
    <row r="518" spans="1:27">
      <c r="A518" s="40">
        <f>元データ!P515</f>
        <v>440</v>
      </c>
      <c r="B518" s="27">
        <f t="shared" si="7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IF(OFFSET(マスタ非採用削除!E$4,統合マスタ!$A518,0)="","",OFFSET(マスタ非採用削除!E$4,統合マスタ!$A518,0))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5</v>
      </c>
      <c r="AA518" s="27"/>
    </row>
    <row r="519" spans="1:27">
      <c r="A519" s="40">
        <f>元データ!P516</f>
        <v>440</v>
      </c>
      <c r="B519" s="27">
        <f t="shared" ref="B519:B582" si="8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IF(OFFSET(マスタ非採用削除!E$4,統合マスタ!$A519,0)="","",OFFSET(マスタ非採用削除!E$4,統合マスタ!$A519,0))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5</v>
      </c>
      <c r="AA519" s="27"/>
    </row>
    <row r="520" spans="1:27">
      <c r="A520" s="40">
        <f>元データ!P517</f>
        <v>441</v>
      </c>
      <c r="B520" s="27">
        <f t="shared" si="8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IF(OFFSET(マスタ非採用削除!E$4,統合マスタ!$A520,0)="","",OFFSET(マスタ非採用削除!E$4,統合マスタ!$A520,0))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</row>
    <row r="521" spans="1:27">
      <c r="A521" s="40">
        <f>元データ!P518</f>
        <v>445</v>
      </c>
      <c r="B521" s="27">
        <f t="shared" si="8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IF(OFFSET(マスタ非採用削除!E$4,統合マスタ!$A521,0)="","",OFFSET(マスタ非採用削除!E$4,統合マスタ!$A521,0))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</row>
    <row r="522" spans="1:27">
      <c r="A522" s="40">
        <f>元データ!P519</f>
        <v>443</v>
      </c>
      <c r="B522" s="27">
        <f t="shared" si="8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IF(OFFSET(マスタ非採用削除!E$4,統合マスタ!$A522,0)="","",OFFSET(マスタ非採用削除!E$4,統合マスタ!$A522,0))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5</v>
      </c>
      <c r="AA522" s="27"/>
    </row>
    <row r="523" spans="1:27">
      <c r="A523" s="40">
        <f>元データ!P520</f>
        <v>443</v>
      </c>
      <c r="B523" s="27">
        <f t="shared" si="8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IF(OFFSET(マスタ非採用削除!E$4,統合マスタ!$A523,0)="","",OFFSET(マスタ非採用削除!E$4,統合マスタ!$A523,0))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5</v>
      </c>
      <c r="AA523" s="27"/>
    </row>
    <row r="524" spans="1:27">
      <c r="A524" s="40">
        <f>元データ!P521</f>
        <v>444</v>
      </c>
      <c r="B524" s="27">
        <f t="shared" si="8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IF(OFFSET(マスタ非採用削除!E$4,統合マスタ!$A524,0)="","",OFFSET(マスタ非採用削除!E$4,統合マスタ!$A524,0))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6</v>
      </c>
      <c r="AA524" s="27"/>
    </row>
    <row r="525" spans="1:27">
      <c r="A525" s="40">
        <f>元データ!P522</f>
        <v>442</v>
      </c>
      <c r="B525" s="27">
        <f t="shared" si="8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IF(OFFSET(マスタ非採用削除!E$4,統合マスタ!$A525,0)="","",OFFSET(マスタ非採用削除!E$4,統合マスタ!$A525,0))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5</v>
      </c>
      <c r="AA525" s="27"/>
    </row>
    <row r="526" spans="1:27">
      <c r="A526" s="40">
        <f>元データ!P523</f>
        <v>442</v>
      </c>
      <c r="B526" s="27">
        <f t="shared" si="8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IF(OFFSET(マスタ非採用削除!E$4,統合マスタ!$A526,0)="","",OFFSET(マスタ非採用削除!E$4,統合マスタ!$A526,0))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5</v>
      </c>
      <c r="AA526" s="27"/>
    </row>
    <row r="527" spans="1:27">
      <c r="A527" s="40">
        <f>元データ!P524</f>
        <v>446</v>
      </c>
      <c r="B527" s="27">
        <f t="shared" si="8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IF(OFFSET(マスタ非採用削除!E$4,統合マスタ!$A527,0)="","",OFFSET(マスタ非採用削除!E$4,統合マスタ!$A527,0))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</row>
    <row r="528" spans="1:27">
      <c r="A528" s="40">
        <f>元データ!P525</f>
        <v>447</v>
      </c>
      <c r="B528" s="27">
        <f t="shared" si="8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IF(OFFSET(マスタ非採用削除!E$4,統合マスタ!$A528,0)="","",OFFSET(マスタ非採用削除!E$4,統合マスタ!$A528,0))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5</v>
      </c>
      <c r="AA528" s="27"/>
    </row>
    <row r="529" spans="1:27">
      <c r="A529" s="40">
        <f>元データ!P526</f>
        <v>447</v>
      </c>
      <c r="B529" s="27">
        <f t="shared" si="8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IF(OFFSET(マスタ非採用削除!E$4,統合マスタ!$A529,0)="","",OFFSET(マスタ非採用削除!E$4,統合マスタ!$A529,0))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5</v>
      </c>
      <c r="AA529" s="27"/>
    </row>
    <row r="530" spans="1:27">
      <c r="A530" s="40">
        <f>元データ!P527</f>
        <v>448</v>
      </c>
      <c r="B530" s="27">
        <f t="shared" si="8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IF(OFFSET(マスタ非採用削除!E$4,統合マスタ!$A530,0)="","",OFFSET(マスタ非採用削除!E$4,統合マスタ!$A530,0))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</row>
    <row r="531" spans="1:27">
      <c r="A531" s="40">
        <f>元データ!P528</f>
        <v>449</v>
      </c>
      <c r="B531" s="27">
        <f t="shared" si="8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IF(OFFSET(マスタ非採用削除!E$4,統合マスタ!$A531,0)="","",OFFSET(マスタ非採用削除!E$4,統合マスタ!$A531,0))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</row>
    <row r="532" spans="1:27">
      <c r="A532" s="40">
        <f>元データ!P529</f>
        <v>451</v>
      </c>
      <c r="B532" s="27">
        <f t="shared" si="8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IF(OFFSET(マスタ非採用削除!E$4,統合マスタ!$A532,0)="","",OFFSET(マスタ非採用削除!E$4,統合マスタ!$A532,0))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</row>
    <row r="533" spans="1:27">
      <c r="A533" s="40">
        <f>元データ!P530</f>
        <v>452</v>
      </c>
      <c r="B533" s="27">
        <f t="shared" si="8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IF(OFFSET(マスタ非採用削除!E$4,統合マスタ!$A533,0)="","",OFFSET(マスタ非採用削除!E$4,統合マスタ!$A533,0))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</row>
    <row r="534" spans="1:27">
      <c r="A534" s="40">
        <f>元データ!P531</f>
        <v>454</v>
      </c>
      <c r="B534" s="27">
        <f t="shared" si="8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IF(OFFSET(マスタ非採用削除!E$4,統合マスタ!$A534,0)="","",OFFSET(マスタ非採用削除!E$4,統合マスタ!$A534,0))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</row>
    <row r="535" spans="1:27">
      <c r="A535" s="40">
        <f>元データ!P532</f>
        <v>455</v>
      </c>
      <c r="B535" s="27">
        <f t="shared" si="8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IF(OFFSET(マスタ非採用削除!E$4,統合マスタ!$A535,0)="","",OFFSET(マスタ非採用削除!E$4,統合マスタ!$A535,0))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</row>
    <row r="536" spans="1:27">
      <c r="A536" s="40">
        <f>元データ!P533</f>
        <v>453</v>
      </c>
      <c r="B536" s="27">
        <f t="shared" si="8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IF(OFFSET(マスタ非採用削除!E$4,統合マスタ!$A536,0)="","",OFFSET(マスタ非採用削除!E$4,統合マスタ!$A536,0))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/>
    </row>
    <row r="537" spans="1:27">
      <c r="A537" s="40">
        <f>元データ!P534</f>
        <v>456</v>
      </c>
      <c r="B537" s="27">
        <f t="shared" si="8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IF(OFFSET(マスタ非採用削除!E$4,統合マスタ!$A537,0)="","",OFFSET(マスタ非採用削除!E$4,統合マスタ!$A537,0))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5</v>
      </c>
      <c r="AA537" s="27"/>
    </row>
    <row r="538" spans="1:27">
      <c r="A538" s="40">
        <f>元データ!P535</f>
        <v>458</v>
      </c>
      <c r="B538" s="27">
        <f t="shared" si="8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IF(OFFSET(マスタ非採用削除!E$4,統合マスタ!$A538,0)="","",OFFSET(マスタ非採用削除!E$4,統合マスタ!$A538,0))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</row>
    <row r="539" spans="1:27">
      <c r="A539" s="40">
        <f>元データ!P536</f>
        <v>457</v>
      </c>
      <c r="B539" s="27">
        <f t="shared" si="8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IF(OFFSET(マスタ非採用削除!E$4,統合マスタ!$A539,0)="","",OFFSET(マスタ非採用削除!E$4,統合マスタ!$A539,0))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5</v>
      </c>
      <c r="AA539" s="27"/>
    </row>
    <row r="540" spans="1:27">
      <c r="A540" s="40">
        <f>元データ!P537</f>
        <v>457</v>
      </c>
      <c r="B540" s="27">
        <f t="shared" si="8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IF(OFFSET(マスタ非採用削除!E$4,統合マスタ!$A540,0)="","",OFFSET(マスタ非採用削除!E$4,統合マスタ!$A540,0))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5</v>
      </c>
      <c r="AA540" s="27"/>
    </row>
    <row r="541" spans="1:27">
      <c r="A541" s="40" t="str">
        <f>元データ!P538</f>
        <v>非採用</v>
      </c>
      <c r="B541" s="27">
        <f t="shared" si="8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 t="e">
        <f ca="1">IF(OFFSET(マスタ非採用削除!E$4,統合マスタ!$A541,0)="","",OFFSET(マスタ非採用削除!E$4,統合マスタ!$A541,0))</f>
        <v>#VALUE!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">
        <v>5426</v>
      </c>
    </row>
    <row r="542" spans="1:27">
      <c r="A542" s="40">
        <f>元データ!P539</f>
        <v>459</v>
      </c>
      <c r="B542" s="27">
        <f t="shared" si="8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IF(OFFSET(マスタ非採用削除!E$4,統合マスタ!$A542,0)="","",OFFSET(マスタ非採用削除!E$4,統合マスタ!$A542,0))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5</v>
      </c>
      <c r="AA542" s="27"/>
    </row>
    <row r="543" spans="1:27">
      <c r="A543" s="40">
        <f>元データ!P540</f>
        <v>0</v>
      </c>
      <c r="B543" s="27">
        <f t="shared" si="8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コード(区分値)</v>
      </c>
      <c r="O543" s="53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3" t="str">
        <f ca="1">IF(OFFSET(マスタ非採用削除!D$4,統合マスタ!$A543,0)="","",OFFSET(マスタ非採用削除!D$4,統合マスタ!$A543,0))</f>
        <v>ホストコード</v>
      </c>
      <c r="R543" s="27" t="str">
        <f ca="1">IF(OFFSET(マスタ非採用削除!E$4,統合マスタ!$A543,0)="","",OFFSET(マスタ非採用削除!E$4,統合マスタ!$A543,0))</f>
        <v>採用区分（区分値）(区分値)</v>
      </c>
      <c r="S543" s="53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3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3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棚</v>
      </c>
      <c r="AA543" s="27"/>
    </row>
    <row r="544" spans="1:27">
      <c r="A544" s="40">
        <f>元データ!P541</f>
        <v>0</v>
      </c>
      <c r="B544" s="27">
        <f t="shared" si="8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コード(区分値)</v>
      </c>
      <c r="O544" s="53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3" t="str">
        <f ca="1">IF(OFFSET(マスタ非採用削除!D$4,統合マスタ!$A544,0)="","",OFFSET(マスタ非採用削除!D$4,統合マスタ!$A544,0))</f>
        <v>ホストコード</v>
      </c>
      <c r="R544" s="27" t="str">
        <f ca="1">IF(OFFSET(マスタ非採用削除!E$4,統合マスタ!$A544,0)="","",OFFSET(マスタ非採用削除!E$4,統合マスタ!$A544,0))</f>
        <v>採用区分（区分値）(区分値)</v>
      </c>
      <c r="S544" s="53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3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3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棚</v>
      </c>
      <c r="AA544" s="27"/>
    </row>
    <row r="545" spans="1:27">
      <c r="A545" s="40">
        <f>元データ!P542</f>
        <v>0</v>
      </c>
      <c r="B545" s="27">
        <f t="shared" si="8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コード(区分値)</v>
      </c>
      <c r="O545" s="53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3" t="str">
        <f ca="1">IF(OFFSET(マスタ非採用削除!D$4,統合マスタ!$A545,0)="","",OFFSET(マスタ非採用削除!D$4,統合マスタ!$A545,0))</f>
        <v>ホストコード</v>
      </c>
      <c r="R545" s="27" t="str">
        <f ca="1">IF(OFFSET(マスタ非採用削除!E$4,統合マスタ!$A545,0)="","",OFFSET(マスタ非採用削除!E$4,統合マスタ!$A545,0))</f>
        <v>採用区分（区分値）(区分値)</v>
      </c>
      <c r="S545" s="53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3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3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棚</v>
      </c>
      <c r="AA545" s="27"/>
    </row>
    <row r="546" spans="1:27">
      <c r="A546" s="40" t="str">
        <f>元データ!P543</f>
        <v>非採用</v>
      </c>
      <c r="B546" s="27">
        <f t="shared" si="8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 t="e">
        <f ca="1">IF(OFFSET(マスタ非採用削除!E$4,統合マスタ!$A546,0)="","",OFFSET(マスタ非採用削除!E$4,統合マスタ!$A546,0))</f>
        <v>#VALUE!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">
        <v>5426</v>
      </c>
    </row>
    <row r="547" spans="1:27">
      <c r="A547" s="40">
        <f>元データ!P544</f>
        <v>466</v>
      </c>
      <c r="B547" s="27">
        <f t="shared" si="8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IF(OFFSET(マスタ非採用削除!E$4,統合マスタ!$A547,0)="","",OFFSET(マスタ非採用削除!E$4,統合マスタ!$A547,0))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</row>
    <row r="548" spans="1:27">
      <c r="A548" s="40">
        <f>元データ!P545</f>
        <v>464</v>
      </c>
      <c r="B548" s="27">
        <f t="shared" si="8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IF(OFFSET(マスタ非採用削除!E$4,統合マスタ!$A548,0)="","",OFFSET(マスタ非採用削除!E$4,統合マスタ!$A548,0))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/>
    </row>
    <row r="549" spans="1:27">
      <c r="A549" s="40">
        <f>元データ!P546</f>
        <v>468</v>
      </c>
      <c r="B549" s="27">
        <f t="shared" si="8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IF(OFFSET(マスタ非採用削除!E$4,統合マスタ!$A549,0)="","",OFFSET(マスタ非採用削除!E$4,統合マスタ!$A549,0))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</row>
    <row r="550" spans="1:27">
      <c r="A550" s="40">
        <f>元データ!P547</f>
        <v>467</v>
      </c>
      <c r="B550" s="27">
        <f t="shared" si="8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IF(OFFSET(マスタ非採用削除!E$4,統合マスタ!$A550,0)="","",OFFSET(マスタ非採用削除!E$4,統合マスタ!$A550,0))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</row>
    <row r="551" spans="1:27">
      <c r="A551" s="40">
        <f>元データ!P548</f>
        <v>471</v>
      </c>
      <c r="B551" s="27">
        <f t="shared" si="8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IF(OFFSET(マスタ非採用削除!E$4,統合マスタ!$A551,0)="","",OFFSET(マスタ非採用削除!E$4,統合マスタ!$A551,0))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5</v>
      </c>
      <c r="AA551" s="27"/>
    </row>
    <row r="552" spans="1:27">
      <c r="A552" s="40">
        <f>元データ!P549</f>
        <v>471</v>
      </c>
      <c r="B552" s="27">
        <f t="shared" si="8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IF(OFFSET(マスタ非採用削除!E$4,統合マスタ!$A552,0)="","",OFFSET(マスタ非採用削除!E$4,統合マスタ!$A552,0))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5</v>
      </c>
      <c r="AA552" s="27"/>
    </row>
    <row r="553" spans="1:27">
      <c r="A553" s="40">
        <f>元データ!P550</f>
        <v>472</v>
      </c>
      <c r="B553" s="27">
        <f t="shared" si="8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IF(OFFSET(マスタ非採用削除!E$4,統合マスタ!$A553,0)="","",OFFSET(マスタ非採用削除!E$4,統合マスタ!$A553,0))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</row>
    <row r="554" spans="1:27">
      <c r="A554" s="40">
        <f>元データ!P551</f>
        <v>473</v>
      </c>
      <c r="B554" s="27">
        <f t="shared" si="8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IF(OFFSET(マスタ非採用削除!E$4,統合マスタ!$A554,0)="","",OFFSET(マスタ非採用削除!E$4,統合マスタ!$A554,0))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</row>
    <row r="555" spans="1:27">
      <c r="A555" s="40">
        <f>元データ!P552</f>
        <v>475</v>
      </c>
      <c r="B555" s="27">
        <f t="shared" si="8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IF(OFFSET(マスタ非採用削除!E$4,統合マスタ!$A555,0)="","",OFFSET(マスタ非採用削除!E$4,統合マスタ!$A555,0))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</row>
    <row r="556" spans="1:27">
      <c r="A556" s="40">
        <f>元データ!P553</f>
        <v>476</v>
      </c>
      <c r="B556" s="27">
        <f t="shared" si="8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IF(OFFSET(マスタ非採用削除!E$4,統合マスタ!$A556,0)="","",OFFSET(マスタ非採用削除!E$4,統合マスタ!$A556,0))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</row>
    <row r="557" spans="1:27">
      <c r="A557" s="40">
        <f>元データ!P554</f>
        <v>477</v>
      </c>
      <c r="B557" s="27">
        <f t="shared" si="8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IF(OFFSET(マスタ非採用削除!E$4,統合マスタ!$A557,0)="","",OFFSET(マスタ非採用削除!E$4,統合マスタ!$A557,0))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</row>
    <row r="558" spans="1:27">
      <c r="A558" s="40">
        <f>元データ!P555</f>
        <v>479</v>
      </c>
      <c r="B558" s="27">
        <f t="shared" si="8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IF(OFFSET(マスタ非採用削除!E$4,統合マスタ!$A558,0)="","",OFFSET(マスタ非採用削除!E$4,統合マスタ!$A558,0))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</row>
    <row r="559" spans="1:27">
      <c r="A559" s="40">
        <f>元データ!P556</f>
        <v>480</v>
      </c>
      <c r="B559" s="27">
        <f t="shared" si="8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IF(OFFSET(マスタ非採用削除!E$4,統合マスタ!$A559,0)="","",OFFSET(マスタ非採用削除!E$4,統合マスタ!$A559,0))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</row>
    <row r="560" spans="1:27">
      <c r="A560" s="40">
        <f>元データ!P557</f>
        <v>480</v>
      </c>
      <c r="B560" s="27">
        <f t="shared" si="8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IF(OFFSET(マスタ非採用削除!E$4,統合マスタ!$A560,0)="","",OFFSET(マスタ非採用削除!E$4,統合マスタ!$A560,0))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</row>
    <row r="561" spans="1:27">
      <c r="A561" s="40">
        <f>元データ!P558</f>
        <v>481</v>
      </c>
      <c r="B561" s="27">
        <f t="shared" si="8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IF(OFFSET(マスタ非採用削除!E$4,統合マスタ!$A561,0)="","",OFFSET(マスタ非採用削除!E$4,統合マスタ!$A561,0))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</row>
    <row r="562" spans="1:27">
      <c r="A562" s="40">
        <f>元データ!P559</f>
        <v>481</v>
      </c>
      <c r="B562" s="27">
        <f t="shared" si="8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IF(OFFSET(マスタ非採用削除!E$4,統合マスタ!$A562,0)="","",OFFSET(マスタ非採用削除!E$4,統合マスタ!$A562,0))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</row>
    <row r="563" spans="1:27">
      <c r="A563" s="40">
        <f>元データ!P560</f>
        <v>482</v>
      </c>
      <c r="B563" s="27">
        <f t="shared" si="8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IF(OFFSET(マスタ非採用削除!E$4,統合マスタ!$A563,0)="","",OFFSET(マスタ非採用削除!E$4,統合マスタ!$A563,0))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</row>
    <row r="564" spans="1:27">
      <c r="A564" s="40">
        <f>元データ!P561</f>
        <v>483</v>
      </c>
      <c r="B564" s="27">
        <f t="shared" si="8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IF(OFFSET(マスタ非採用削除!E$4,統合マスタ!$A564,0)="","",OFFSET(マスタ非採用削除!E$4,統合マスタ!$A564,0))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</row>
    <row r="565" spans="1:27">
      <c r="A565" s="40">
        <f>元データ!P562</f>
        <v>484</v>
      </c>
      <c r="B565" s="27">
        <f t="shared" si="8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IF(OFFSET(マスタ非採用削除!E$4,統合マスタ!$A565,0)="","",OFFSET(マスタ非採用削除!E$4,統合マスタ!$A565,0))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</row>
    <row r="566" spans="1:27">
      <c r="A566" s="40">
        <f>元データ!P563</f>
        <v>485</v>
      </c>
      <c r="B566" s="27">
        <f t="shared" si="8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IF(OFFSET(マスタ非採用削除!E$4,統合マスタ!$A566,0)="","",OFFSET(マスタ非採用削除!E$4,統合マスタ!$A566,0))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5</v>
      </c>
      <c r="AA566" s="27"/>
    </row>
    <row r="567" spans="1:27">
      <c r="A567" s="40">
        <f>元データ!P564</f>
        <v>487</v>
      </c>
      <c r="B567" s="27">
        <f t="shared" si="8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IF(OFFSET(マスタ非採用削除!E$4,統合マスタ!$A567,0)="","",OFFSET(マスタ非採用削除!E$4,統合マスタ!$A567,0))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</row>
    <row r="568" spans="1:27">
      <c r="A568" s="40">
        <f>元データ!P565</f>
        <v>489</v>
      </c>
      <c r="B568" s="27">
        <f t="shared" si="8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IF(OFFSET(マスタ非採用削除!E$4,統合マスタ!$A568,0)="","",OFFSET(マスタ非採用削除!E$4,統合マスタ!$A568,0))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</row>
    <row r="569" spans="1:27">
      <c r="A569" s="40">
        <f>元データ!P566</f>
        <v>488</v>
      </c>
      <c r="B569" s="27">
        <f t="shared" si="8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IF(OFFSET(マスタ非採用削除!E$4,統合マスタ!$A569,0)="","",OFFSET(マスタ非採用削除!E$4,統合マスタ!$A569,0))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5</v>
      </c>
      <c r="AA569" s="27"/>
    </row>
    <row r="570" spans="1:27">
      <c r="A570" s="40">
        <f>元データ!P567</f>
        <v>0</v>
      </c>
      <c r="B570" s="27">
        <f t="shared" si="8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str">
        <f ca="1">IF(OFFSET(マスタ非採用削除!A$4,統合マスタ!$A570,0)="","",OFFSET(マスタ非採用削除!A$4,統合マスタ!$A570,0))</f>
        <v>コード(区分値)</v>
      </c>
      <c r="O570" s="53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3" t="str">
        <f ca="1">IF(OFFSET(マスタ非採用削除!D$4,統合マスタ!$A570,0)="","",OFFSET(マスタ非採用削除!D$4,統合マスタ!$A570,0))</f>
        <v>ホストコード</v>
      </c>
      <c r="R570" s="27" t="str">
        <f ca="1">IF(OFFSET(マスタ非採用削除!E$4,統合マスタ!$A570,0)="","",OFFSET(マスタ非採用削除!E$4,統合マスタ!$A570,0))</f>
        <v>採用区分（区分値）(区分値)</v>
      </c>
      <c r="S570" s="53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3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3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棚</v>
      </c>
      <c r="AA570" s="27"/>
    </row>
    <row r="571" spans="1:27">
      <c r="A571" s="40">
        <f>元データ!P568</f>
        <v>490</v>
      </c>
      <c r="B571" s="27">
        <f t="shared" si="8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IF(OFFSET(マスタ非採用削除!E$4,統合マスタ!$A571,0)="","",OFFSET(マスタ非採用削除!E$4,統合マスタ!$A571,0))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</row>
    <row r="572" spans="1:27">
      <c r="A572" s="40">
        <f>元データ!P569</f>
        <v>491</v>
      </c>
      <c r="B572" s="27">
        <f t="shared" si="8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IF(OFFSET(マスタ非採用削除!E$4,統合マスタ!$A572,0)="","",OFFSET(マスタ非採用削除!E$4,統合マスタ!$A572,0))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5</v>
      </c>
      <c r="AA572" s="27"/>
    </row>
    <row r="573" spans="1:27">
      <c r="A573" s="40">
        <f>元データ!P570</f>
        <v>491</v>
      </c>
      <c r="B573" s="27">
        <f t="shared" si="8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IF(OFFSET(マスタ非採用削除!E$4,統合マスタ!$A573,0)="","",OFFSET(マスタ非採用削除!E$4,統合マスタ!$A573,0))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5</v>
      </c>
      <c r="AA573" s="27"/>
    </row>
    <row r="574" spans="1:27">
      <c r="A574" s="40">
        <f>元データ!P571</f>
        <v>496</v>
      </c>
      <c r="B574" s="27">
        <f t="shared" si="8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IF(OFFSET(マスタ非採用削除!E$4,統合マスタ!$A574,0)="","",OFFSET(マスタ非採用削除!E$4,統合マスタ!$A574,0))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</row>
    <row r="575" spans="1:27">
      <c r="A575" s="40">
        <f>元データ!P572</f>
        <v>495</v>
      </c>
      <c r="B575" s="27">
        <f t="shared" si="8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IF(OFFSET(マスタ非採用削除!E$4,統合マスタ!$A575,0)="","",OFFSET(マスタ非採用削除!E$4,統合マスタ!$A575,0))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</row>
    <row r="576" spans="1:27">
      <c r="A576" s="40">
        <f>元データ!P573</f>
        <v>492</v>
      </c>
      <c r="B576" s="27">
        <f t="shared" si="8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IF(OFFSET(マスタ非採用削除!E$4,統合マスタ!$A576,0)="","",OFFSET(マスタ非採用削除!E$4,統合マスタ!$A576,0))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6</v>
      </c>
      <c r="AA576" s="27"/>
    </row>
    <row r="577" spans="1:27">
      <c r="A577" s="40">
        <f>元データ!P574</f>
        <v>493</v>
      </c>
      <c r="B577" s="27">
        <f t="shared" si="8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IF(OFFSET(マスタ非採用削除!E$4,統合マスタ!$A577,0)="","",OFFSET(マスタ非採用削除!E$4,統合マスタ!$A577,0))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6</v>
      </c>
      <c r="AA577" s="27"/>
    </row>
    <row r="578" spans="1:27">
      <c r="A578" s="40">
        <f>元データ!P575</f>
        <v>493</v>
      </c>
      <c r="B578" s="27">
        <f t="shared" si="8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IF(OFFSET(マスタ非採用削除!E$4,統合マスタ!$A578,0)="","",OFFSET(マスタ非採用削除!E$4,統合マスタ!$A578,0))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6</v>
      </c>
      <c r="AA578" s="27"/>
    </row>
    <row r="579" spans="1:27">
      <c r="A579" s="40">
        <f>元データ!P576</f>
        <v>494</v>
      </c>
      <c r="B579" s="27">
        <f t="shared" si="8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IF(OFFSET(マスタ非採用削除!E$4,統合マスタ!$A579,0)="","",OFFSET(マスタ非採用削除!E$4,統合マスタ!$A579,0))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6</v>
      </c>
      <c r="AA579" s="27"/>
    </row>
    <row r="580" spans="1:27">
      <c r="A580" s="40">
        <f>元データ!P577</f>
        <v>494</v>
      </c>
      <c r="B580" s="27">
        <f t="shared" si="8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IF(OFFSET(マスタ非採用削除!E$4,統合マスタ!$A580,0)="","",OFFSET(マスタ非採用削除!E$4,統合マスタ!$A580,0))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6</v>
      </c>
      <c r="AA580" s="27"/>
    </row>
    <row r="581" spans="1:27">
      <c r="A581" s="40">
        <f>元データ!P578</f>
        <v>497</v>
      </c>
      <c r="B581" s="27">
        <f t="shared" si="8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IF(OFFSET(マスタ非採用削除!E$4,統合マスタ!$A581,0)="","",OFFSET(マスタ非採用削除!E$4,統合マスタ!$A581,0))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</row>
    <row r="582" spans="1:27">
      <c r="A582" s="40">
        <f>元データ!P579</f>
        <v>497</v>
      </c>
      <c r="B582" s="27">
        <f t="shared" si="8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IF(OFFSET(マスタ非採用削除!E$4,統合マスタ!$A582,0)="","",OFFSET(マスタ非採用削除!E$4,統合マスタ!$A582,0))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</row>
    <row r="583" spans="1:27">
      <c r="A583" s="40">
        <f>元データ!P580</f>
        <v>498</v>
      </c>
      <c r="B583" s="27">
        <f t="shared" ref="B583:B646" si="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IF(OFFSET(マスタ非採用削除!E$4,統合マスタ!$A583,0)="","",OFFSET(マスタ非採用削除!E$4,統合マスタ!$A583,0))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</row>
    <row r="584" spans="1:27">
      <c r="A584" s="40">
        <f>元データ!P581</f>
        <v>502</v>
      </c>
      <c r="B584" s="27">
        <f t="shared" si="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IF(OFFSET(マスタ非採用削除!E$4,統合マスタ!$A584,0)="","",OFFSET(マスタ非採用削除!E$4,統合マスタ!$A584,0))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</row>
    <row r="585" spans="1:27">
      <c r="A585" s="40">
        <f>元データ!P582</f>
        <v>500</v>
      </c>
      <c r="B585" s="27">
        <f t="shared" si="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IF(OFFSET(マスタ非採用削除!E$4,統合マスタ!$A585,0)="","",OFFSET(マスタ非採用削除!E$4,統合マスタ!$A585,0))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</row>
    <row r="586" spans="1:27">
      <c r="A586" s="40">
        <f>元データ!P583</f>
        <v>503</v>
      </c>
      <c r="B586" s="27">
        <f t="shared" si="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IF(OFFSET(マスタ非採用削除!E$4,統合マスタ!$A586,0)="","",OFFSET(マスタ非採用削除!E$4,統合マスタ!$A586,0))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</row>
    <row r="587" spans="1:27">
      <c r="A587" s="40">
        <f>元データ!P584</f>
        <v>499</v>
      </c>
      <c r="B587" s="27">
        <f t="shared" si="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IF(OFFSET(マスタ非採用削除!E$4,統合マスタ!$A587,0)="","",OFFSET(マスタ非採用削除!E$4,統合マスタ!$A587,0))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</row>
    <row r="588" spans="1:27">
      <c r="A588" s="40">
        <f>元データ!P585</f>
        <v>505</v>
      </c>
      <c r="B588" s="27">
        <f t="shared" si="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IF(OFFSET(マスタ非採用削除!E$4,統合マスタ!$A588,0)="","",OFFSET(マスタ非採用削除!E$4,統合マスタ!$A588,0))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5</v>
      </c>
      <c r="AA588" s="27"/>
    </row>
    <row r="589" spans="1:27">
      <c r="A589" s="40">
        <f>元データ!P586</f>
        <v>506</v>
      </c>
      <c r="B589" s="27">
        <f t="shared" si="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IF(OFFSET(マスタ非採用削除!E$4,統合マスタ!$A589,0)="","",OFFSET(マスタ非採用削除!E$4,統合マスタ!$A589,0))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</row>
    <row r="590" spans="1:27">
      <c r="A590" s="40">
        <f>元データ!P587</f>
        <v>507</v>
      </c>
      <c r="B590" s="27">
        <f t="shared" si="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IF(OFFSET(マスタ非採用削除!E$4,統合マスタ!$A590,0)="","",OFFSET(マスタ非採用削除!E$4,統合マスタ!$A590,0))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</row>
    <row r="591" spans="1:27">
      <c r="A591" s="40">
        <f>元データ!P588</f>
        <v>508</v>
      </c>
      <c r="B591" s="27">
        <f t="shared" si="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IF(OFFSET(マスタ非採用削除!E$4,統合マスタ!$A591,0)="","",OFFSET(マスタ非採用削除!E$4,統合マスタ!$A591,0))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5</v>
      </c>
      <c r="AA591" s="27"/>
    </row>
    <row r="592" spans="1:27">
      <c r="A592" s="40">
        <f>元データ!P589</f>
        <v>509</v>
      </c>
      <c r="B592" s="27">
        <f t="shared" si="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IF(OFFSET(マスタ非採用削除!E$4,統合マスタ!$A592,0)="","",OFFSET(マスタ非採用削除!E$4,統合マスタ!$A592,0))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</row>
    <row r="593" spans="1:27">
      <c r="A593" s="40" t="str">
        <f>元データ!P590</f>
        <v>非採用</v>
      </c>
      <c r="B593" s="27">
        <f t="shared" si="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 t="e">
        <f ca="1">IF(OFFSET(マスタ非採用削除!E$4,統合マスタ!$A593,0)="","",OFFSET(マスタ非採用削除!E$4,統合マスタ!$A593,0))</f>
        <v>#VALUE!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4074</v>
      </c>
    </row>
    <row r="594" spans="1:27">
      <c r="A594" s="40">
        <f>元データ!P591</f>
        <v>510</v>
      </c>
      <c r="B594" s="27">
        <f t="shared" si="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IF(OFFSET(マスタ非採用削除!E$4,統合マスタ!$A594,0)="","",OFFSET(マスタ非採用削除!E$4,統合マスタ!$A594,0))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</row>
    <row r="595" spans="1:27">
      <c r="A595" s="40">
        <f>元データ!P592</f>
        <v>513</v>
      </c>
      <c r="B595" s="27">
        <f t="shared" si="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IF(OFFSET(マスタ非採用削除!E$4,統合マスタ!$A595,0)="","",OFFSET(マスタ非採用削除!E$4,統合マスタ!$A595,0))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</row>
    <row r="596" spans="1:27">
      <c r="A596" s="40">
        <f>元データ!P593</f>
        <v>512</v>
      </c>
      <c r="B596" s="27">
        <f t="shared" si="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IF(OFFSET(マスタ非採用削除!E$4,統合マスタ!$A596,0)="","",OFFSET(マスタ非採用削除!E$4,統合マスタ!$A596,0))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</row>
    <row r="597" spans="1:27">
      <c r="A597" s="40">
        <f>元データ!P594</f>
        <v>515</v>
      </c>
      <c r="B597" s="27">
        <f t="shared" si="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IF(OFFSET(マスタ非採用削除!E$4,統合マスタ!$A597,0)="","",OFFSET(マスタ非採用削除!E$4,統合マスタ!$A597,0))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</row>
    <row r="598" spans="1:27">
      <c r="A598" s="40">
        <f>元データ!P595</f>
        <v>514</v>
      </c>
      <c r="B598" s="27">
        <f t="shared" si="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IF(OFFSET(マスタ非採用削除!E$4,統合マスタ!$A598,0)="","",OFFSET(マスタ非採用削除!E$4,統合マスタ!$A598,0))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</row>
    <row r="599" spans="1:27">
      <c r="A599" s="40">
        <f>元データ!P596</f>
        <v>516</v>
      </c>
      <c r="B599" s="27">
        <f t="shared" si="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IF(OFFSET(マスタ非採用削除!E$4,統合マスタ!$A599,0)="","",OFFSET(マスタ非採用削除!E$4,統合マスタ!$A599,0))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</row>
    <row r="600" spans="1:27">
      <c r="A600" s="40">
        <f>元データ!P597</f>
        <v>517</v>
      </c>
      <c r="B600" s="27">
        <f t="shared" si="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IF(OFFSET(マスタ非採用削除!E$4,統合マスタ!$A600,0)="","",OFFSET(マスタ非採用削除!E$4,統合マスタ!$A600,0))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</row>
    <row r="601" spans="1:27">
      <c r="A601" s="40">
        <f>元データ!P598</f>
        <v>518</v>
      </c>
      <c r="B601" s="27">
        <f t="shared" si="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IF(OFFSET(マスタ非採用削除!E$4,統合マスタ!$A601,0)="","",OFFSET(マスタ非採用削除!E$4,統合マスタ!$A601,0))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</row>
    <row r="602" spans="1:27">
      <c r="A602" s="40">
        <f>元データ!P599</f>
        <v>519</v>
      </c>
      <c r="B602" s="27">
        <f t="shared" si="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IF(OFFSET(マスタ非採用削除!E$4,統合マスタ!$A602,0)="","",OFFSET(マスタ非採用削除!E$4,統合マスタ!$A602,0))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</row>
    <row r="603" spans="1:27">
      <c r="A603" s="40">
        <f>元データ!P600</f>
        <v>520</v>
      </c>
      <c r="B603" s="27">
        <f t="shared" si="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IF(OFFSET(マスタ非採用削除!E$4,統合マスタ!$A603,0)="","",OFFSET(マスタ非採用削除!E$4,統合マスタ!$A603,0))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</row>
    <row r="604" spans="1:27">
      <c r="A604" s="40">
        <f>元データ!P601</f>
        <v>521</v>
      </c>
      <c r="B604" s="27">
        <f t="shared" si="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IF(OFFSET(マスタ非採用削除!E$4,統合マスタ!$A604,0)="","",OFFSET(マスタ非採用削除!E$4,統合マスタ!$A604,0))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</row>
    <row r="605" spans="1:27">
      <c r="A605" s="40">
        <f>元データ!P602</f>
        <v>522</v>
      </c>
      <c r="B605" s="27">
        <f t="shared" si="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IF(OFFSET(マスタ非採用削除!E$4,統合マスタ!$A605,0)="","",OFFSET(マスタ非採用削除!E$4,統合マスタ!$A605,0))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</row>
    <row r="606" spans="1:27">
      <c r="A606" s="40">
        <f>元データ!P603</f>
        <v>523</v>
      </c>
      <c r="B606" s="27">
        <f t="shared" si="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IF(OFFSET(マスタ非採用削除!E$4,統合マスタ!$A606,0)="","",OFFSET(マスタ非採用削除!E$4,統合マスタ!$A606,0))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</row>
    <row r="607" spans="1:27">
      <c r="A607" s="40">
        <f>元データ!P604</f>
        <v>524</v>
      </c>
      <c r="B607" s="27">
        <f t="shared" si="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IF(OFFSET(マスタ非採用削除!E$4,統合マスタ!$A607,0)="","",OFFSET(マスタ非採用削除!E$4,統合マスタ!$A607,0))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</row>
    <row r="608" spans="1:27">
      <c r="A608" s="40">
        <f>元データ!P605</f>
        <v>526</v>
      </c>
      <c r="B608" s="27">
        <f t="shared" si="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IF(OFFSET(マスタ非採用削除!E$4,統合マスタ!$A608,0)="","",OFFSET(マスタ非採用削除!E$4,統合マスタ!$A608,0))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</row>
    <row r="609" spans="1:27">
      <c r="A609" s="40">
        <f>元データ!P606</f>
        <v>525</v>
      </c>
      <c r="B609" s="27">
        <f t="shared" si="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IF(OFFSET(マスタ非採用削除!E$4,統合マスタ!$A609,0)="","",OFFSET(マスタ非採用削除!E$4,統合マスタ!$A609,0))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5</v>
      </c>
      <c r="AA609" s="27"/>
    </row>
    <row r="610" spans="1:27">
      <c r="A610" s="40">
        <f>元データ!P607</f>
        <v>525</v>
      </c>
      <c r="B610" s="27">
        <f t="shared" si="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IF(OFFSET(マスタ非採用削除!E$4,統合マスタ!$A610,0)="","",OFFSET(マスタ非採用削除!E$4,統合マスタ!$A610,0))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5</v>
      </c>
      <c r="AA610" s="27"/>
    </row>
    <row r="611" spans="1:27">
      <c r="A611" s="40">
        <f>元データ!P608</f>
        <v>527</v>
      </c>
      <c r="B611" s="27">
        <f t="shared" si="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IF(OFFSET(マスタ非採用削除!E$4,統合マスタ!$A611,0)="","",OFFSET(マスタ非採用削除!E$4,統合マスタ!$A611,0))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</row>
    <row r="612" spans="1:27">
      <c r="A612" s="40">
        <f>元データ!P609</f>
        <v>528</v>
      </c>
      <c r="B612" s="27">
        <f t="shared" si="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IF(OFFSET(マスタ非採用削除!E$4,統合マスタ!$A612,0)="","",OFFSET(マスタ非採用削除!E$4,統合マスタ!$A612,0))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</row>
    <row r="613" spans="1:27">
      <c r="A613" s="40">
        <f>元データ!P610</f>
        <v>529</v>
      </c>
      <c r="B613" s="27">
        <f t="shared" si="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IF(OFFSET(マスタ非採用削除!E$4,統合マスタ!$A613,0)="","",OFFSET(マスタ非採用削除!E$4,統合マスタ!$A613,0))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</row>
    <row r="614" spans="1:27">
      <c r="A614" s="40">
        <f>元データ!P611</f>
        <v>540</v>
      </c>
      <c r="B614" s="27">
        <f t="shared" si="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IF(OFFSET(マスタ非採用削除!E$4,統合マスタ!$A614,0)="","",OFFSET(マスタ非採用削除!E$4,統合マスタ!$A614,0))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</row>
    <row r="615" spans="1:27">
      <c r="A615" s="40">
        <f>元データ!P612</f>
        <v>530</v>
      </c>
      <c r="B615" s="27">
        <f t="shared" si="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IF(OFFSET(マスタ非採用削除!E$4,統合マスタ!$A615,0)="","",OFFSET(マスタ非採用削除!E$4,統合マスタ!$A615,0))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5</v>
      </c>
      <c r="AA615" s="27"/>
    </row>
    <row r="616" spans="1:27">
      <c r="A616" s="40">
        <f>元データ!P613</f>
        <v>530</v>
      </c>
      <c r="B616" s="27">
        <f t="shared" si="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IF(OFFSET(マスタ非採用削除!E$4,統合マスタ!$A616,0)="","",OFFSET(マスタ非採用削除!E$4,統合マスタ!$A616,0))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5</v>
      </c>
      <c r="AA616" s="27"/>
    </row>
    <row r="617" spans="1:27">
      <c r="A617" s="40">
        <f>元データ!P614</f>
        <v>531</v>
      </c>
      <c r="B617" s="27">
        <f t="shared" si="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IF(OFFSET(マスタ非採用削除!E$4,統合マスタ!$A617,0)="","",OFFSET(マスタ非採用削除!E$4,統合マスタ!$A617,0))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</row>
    <row r="618" spans="1:27">
      <c r="A618" s="40">
        <f>元データ!P615</f>
        <v>532</v>
      </c>
      <c r="B618" s="27">
        <f t="shared" si="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IF(OFFSET(マスタ非採用削除!E$4,統合マスタ!$A618,0)="","",OFFSET(マスタ非採用削除!E$4,統合マスタ!$A618,0))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</row>
    <row r="619" spans="1:27">
      <c r="A619" s="40">
        <f>元データ!P616</f>
        <v>533</v>
      </c>
      <c r="B619" s="27">
        <f t="shared" si="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IF(OFFSET(マスタ非採用削除!E$4,統合マスタ!$A619,0)="","",OFFSET(マスタ非採用削除!E$4,統合マスタ!$A619,0))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</row>
    <row r="620" spans="1:27">
      <c r="A620" s="40">
        <f>元データ!P617</f>
        <v>534</v>
      </c>
      <c r="B620" s="27">
        <f t="shared" si="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IF(OFFSET(マスタ非採用削除!E$4,統合マスタ!$A620,0)="","",OFFSET(マスタ非採用削除!E$4,統合マスタ!$A620,0))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</row>
    <row r="621" spans="1:27">
      <c r="A621" s="40">
        <f>元データ!P618</f>
        <v>535</v>
      </c>
      <c r="B621" s="27">
        <f t="shared" si="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IF(OFFSET(マスタ非採用削除!E$4,統合マスタ!$A621,0)="","",OFFSET(マスタ非採用削除!E$4,統合マスタ!$A621,0))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</row>
    <row r="622" spans="1:27">
      <c r="A622" s="40">
        <f>元データ!P619</f>
        <v>536</v>
      </c>
      <c r="B622" s="27">
        <f t="shared" si="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IF(OFFSET(マスタ非採用削除!E$4,統合マスタ!$A622,0)="","",OFFSET(マスタ非採用削除!E$4,統合マスタ!$A622,0))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</row>
    <row r="623" spans="1:27">
      <c r="A623" s="40">
        <f>元データ!P620</f>
        <v>0</v>
      </c>
      <c r="B623" s="27">
        <f t="shared" si="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str">
        <f ca="1">IF(OFFSET(マスタ非採用削除!A$4,統合マスタ!$A623,0)="","",OFFSET(マスタ非採用削除!A$4,統合マスタ!$A623,0))</f>
        <v>コード(区分値)</v>
      </c>
      <c r="O623" s="53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3" t="str">
        <f ca="1">IF(OFFSET(マスタ非採用削除!D$4,統合マスタ!$A623,0)="","",OFFSET(マスタ非採用削除!D$4,統合マスタ!$A623,0))</f>
        <v>ホストコード</v>
      </c>
      <c r="R623" s="27" t="str">
        <f ca="1">IF(OFFSET(マスタ非採用削除!E$4,統合マスタ!$A623,0)="","",OFFSET(マスタ非採用削除!E$4,統合マスタ!$A623,0))</f>
        <v>採用区分（区分値）(区分値)</v>
      </c>
      <c r="S623" s="53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3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3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棚</v>
      </c>
      <c r="AA623" s="27"/>
    </row>
    <row r="624" spans="1:27">
      <c r="A624" s="40">
        <f>元データ!P621</f>
        <v>538</v>
      </c>
      <c r="B624" s="27">
        <f t="shared" si="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IF(OFFSET(マスタ非採用削除!E$4,統合マスタ!$A624,0)="","",OFFSET(マスタ非採用削除!E$4,統合マスタ!$A624,0))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</row>
    <row r="625" spans="1:27">
      <c r="A625" s="40">
        <f>元データ!P622</f>
        <v>539</v>
      </c>
      <c r="B625" s="27">
        <f t="shared" si="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IF(OFFSET(マスタ非採用削除!E$4,統合マスタ!$A625,0)="","",OFFSET(マスタ非採用削除!E$4,統合マスタ!$A625,0))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</row>
    <row r="626" spans="1:27">
      <c r="A626" s="40">
        <f>元データ!P623</f>
        <v>541</v>
      </c>
      <c r="B626" s="27">
        <f t="shared" si="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IF(OFFSET(マスタ非採用削除!E$4,統合マスタ!$A626,0)="","",OFFSET(マスタ非採用削除!E$4,統合マスタ!$A626,0))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</row>
    <row r="627" spans="1:27">
      <c r="A627" s="40">
        <f>元データ!P624</f>
        <v>542</v>
      </c>
      <c r="B627" s="27">
        <f t="shared" si="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IF(OFFSET(マスタ非採用削除!E$4,統合マスタ!$A627,0)="","",OFFSET(マスタ非採用削除!E$4,統合マスタ!$A627,0))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</row>
    <row r="628" spans="1:27">
      <c r="A628" s="40">
        <f>元データ!P625</f>
        <v>548</v>
      </c>
      <c r="B628" s="27">
        <f t="shared" si="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IF(OFFSET(マスタ非採用削除!E$4,統合マスタ!$A628,0)="","",OFFSET(マスタ非採用削除!E$4,統合マスタ!$A628,0))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</row>
    <row r="629" spans="1:27">
      <c r="A629" s="40">
        <f>元データ!P626</f>
        <v>548</v>
      </c>
      <c r="B629" s="27">
        <f t="shared" si="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IF(OFFSET(マスタ非採用削除!E$4,統合マスタ!$A629,0)="","",OFFSET(マスタ非採用削除!E$4,統合マスタ!$A629,0))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</row>
    <row r="630" spans="1:27">
      <c r="A630" s="40">
        <f>元データ!P627</f>
        <v>543</v>
      </c>
      <c r="B630" s="27">
        <f t="shared" si="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IF(OFFSET(マスタ非採用削除!E$4,統合マスタ!$A630,0)="","",OFFSET(マスタ非採用削除!E$4,統合マスタ!$A630,0))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</row>
    <row r="631" spans="1:27">
      <c r="A631" s="40">
        <f>元データ!P628</f>
        <v>545</v>
      </c>
      <c r="B631" s="27">
        <f t="shared" si="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IF(OFFSET(マスタ非採用削除!E$4,統合マスタ!$A631,0)="","",OFFSET(マスタ非採用削除!E$4,統合マスタ!$A631,0))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5</v>
      </c>
      <c r="AA631" s="27"/>
    </row>
    <row r="632" spans="1:27">
      <c r="A632" s="40">
        <f>元データ!P629</f>
        <v>544</v>
      </c>
      <c r="B632" s="27">
        <f t="shared" si="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IF(OFFSET(マスタ非採用削除!E$4,統合マスタ!$A632,0)="","",OFFSET(マスタ非採用削除!E$4,統合マスタ!$A632,0))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5</v>
      </c>
      <c r="AA632" s="27"/>
    </row>
    <row r="633" spans="1:27">
      <c r="A633" s="40">
        <f>元データ!P630</f>
        <v>544</v>
      </c>
      <c r="B633" s="27">
        <f t="shared" si="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IF(OFFSET(マスタ非採用削除!E$4,統合マスタ!$A633,0)="","",OFFSET(マスタ非採用削除!E$4,統合マスタ!$A633,0))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5</v>
      </c>
      <c r="AA633" s="27"/>
    </row>
    <row r="634" spans="1:27">
      <c r="A634" s="40">
        <f>元データ!P631</f>
        <v>546</v>
      </c>
      <c r="B634" s="27">
        <f t="shared" si="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IF(OFFSET(マスタ非採用削除!E$4,統合マスタ!$A634,0)="","",OFFSET(マスタ非採用削除!E$4,統合マスタ!$A634,0))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5</v>
      </c>
      <c r="AA634" s="27"/>
    </row>
    <row r="635" spans="1:27">
      <c r="A635" s="40">
        <f>元データ!P632</f>
        <v>546</v>
      </c>
      <c r="B635" s="27">
        <f t="shared" si="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IF(OFFSET(マスタ非採用削除!E$4,統合マスタ!$A635,0)="","",OFFSET(マスタ非採用削除!E$4,統合マスタ!$A635,0))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5</v>
      </c>
      <c r="AA635" s="27"/>
    </row>
    <row r="636" spans="1:27">
      <c r="A636" s="40">
        <f>元データ!P633</f>
        <v>547</v>
      </c>
      <c r="B636" s="27">
        <f t="shared" si="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IF(OFFSET(マスタ非採用削除!E$4,統合マスタ!$A636,0)="","",OFFSET(マスタ非採用削除!E$4,統合マスタ!$A636,0))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5</v>
      </c>
      <c r="AA636" s="27"/>
    </row>
    <row r="637" spans="1:27">
      <c r="A637" s="40">
        <f>元データ!P634</f>
        <v>547</v>
      </c>
      <c r="B637" s="27">
        <f t="shared" si="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IF(OFFSET(マスタ非採用削除!E$4,統合マスタ!$A637,0)="","",OFFSET(マスタ非採用削除!E$4,統合マスタ!$A637,0))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5</v>
      </c>
      <c r="AA637" s="27"/>
    </row>
    <row r="638" spans="1:27">
      <c r="A638" s="40" t="str">
        <f>元データ!P635</f>
        <v>非採用</v>
      </c>
      <c r="B638" s="27">
        <f t="shared" si="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 t="e">
        <f ca="1">IF(OFFSET(マスタ非採用削除!E$4,統合マスタ!$A638,0)="","",OFFSET(マスタ非採用削除!E$4,統合マスタ!$A638,0))</f>
        <v>#VALUE!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">
        <v>4063</v>
      </c>
    </row>
    <row r="639" spans="1:27">
      <c r="A639" s="40">
        <f>元データ!P636</f>
        <v>549</v>
      </c>
      <c r="B639" s="27">
        <f t="shared" si="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IF(OFFSET(マスタ非採用削除!E$4,統合マスタ!$A639,0)="","",OFFSET(マスタ非採用削除!E$4,統合マスタ!$A639,0))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5</v>
      </c>
      <c r="AA639" s="27"/>
    </row>
    <row r="640" spans="1:27">
      <c r="A640" s="40">
        <f>元データ!P637</f>
        <v>550</v>
      </c>
      <c r="B640" s="27">
        <f t="shared" si="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IF(OFFSET(マスタ非採用削除!E$4,統合マスタ!$A640,0)="","",OFFSET(マスタ非採用削除!E$4,統合マスタ!$A640,0))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5</v>
      </c>
      <c r="AA640" s="27"/>
    </row>
    <row r="641" spans="1:27">
      <c r="A641" s="40">
        <f>元データ!P638</f>
        <v>552</v>
      </c>
      <c r="B641" s="27">
        <f t="shared" si="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IF(OFFSET(マスタ非採用削除!E$4,統合マスタ!$A641,0)="","",OFFSET(マスタ非採用削除!E$4,統合マスタ!$A641,0))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</row>
    <row r="642" spans="1:27">
      <c r="A642" s="40">
        <f>元データ!P639</f>
        <v>553</v>
      </c>
      <c r="B642" s="27">
        <f t="shared" si="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IF(OFFSET(マスタ非採用削除!E$4,統合マスタ!$A642,0)="","",OFFSET(マスタ非採用削除!E$4,統合マスタ!$A642,0))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</row>
    <row r="643" spans="1:27">
      <c r="A643" s="40">
        <f>元データ!P640</f>
        <v>554</v>
      </c>
      <c r="B643" s="27">
        <f t="shared" si="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IF(OFFSET(マスタ非採用削除!E$4,統合マスタ!$A643,0)="","",OFFSET(マスタ非採用削除!E$4,統合マスタ!$A643,0))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5</v>
      </c>
      <c r="AA643" s="27"/>
    </row>
    <row r="644" spans="1:27">
      <c r="A644" s="40">
        <f>元データ!P641</f>
        <v>556</v>
      </c>
      <c r="B644" s="27">
        <f t="shared" si="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IF(OFFSET(マスタ非採用削除!E$4,統合マスタ!$A644,0)="","",OFFSET(マスタ非採用削除!E$4,統合マスタ!$A644,0))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</row>
    <row r="645" spans="1:27">
      <c r="A645" s="40">
        <f>元データ!P642</f>
        <v>557</v>
      </c>
      <c r="B645" s="27">
        <f t="shared" si="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IF(OFFSET(マスタ非採用削除!E$4,統合マスタ!$A645,0)="","",OFFSET(マスタ非採用削除!E$4,統合マスタ!$A645,0))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</row>
    <row r="646" spans="1:27">
      <c r="A646" s="40">
        <f>元データ!P643</f>
        <v>558</v>
      </c>
      <c r="B646" s="27">
        <f t="shared" si="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IF(OFFSET(マスタ非採用削除!E$4,統合マスタ!$A646,0)="","",OFFSET(マスタ非採用削除!E$4,統合マスタ!$A646,0))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6</v>
      </c>
      <c r="AA646" s="27"/>
    </row>
    <row r="647" spans="1:27">
      <c r="A647" s="40">
        <f>元データ!P644</f>
        <v>558</v>
      </c>
      <c r="B647" s="27">
        <f t="shared" ref="B647:B710" si="10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IF(OFFSET(マスタ非採用削除!E$4,統合マスタ!$A647,0)="","",OFFSET(マスタ非採用削除!E$4,統合マスタ!$A647,0))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6</v>
      </c>
      <c r="AA647" s="27"/>
    </row>
    <row r="648" spans="1:27">
      <c r="A648" s="40">
        <f>元データ!P645</f>
        <v>559</v>
      </c>
      <c r="B648" s="27">
        <f t="shared" si="10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IF(OFFSET(マスタ非採用削除!E$4,統合マスタ!$A648,0)="","",OFFSET(マスタ非採用削除!E$4,統合マスタ!$A648,0))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</row>
    <row r="649" spans="1:27">
      <c r="A649" s="40">
        <f>元データ!P646</f>
        <v>560</v>
      </c>
      <c r="B649" s="27">
        <f t="shared" si="10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IF(OFFSET(マスタ非採用削除!E$4,統合マスタ!$A649,0)="","",OFFSET(マスタ非採用削除!E$4,統合マスタ!$A649,0))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5</v>
      </c>
      <c r="AA649" s="27"/>
    </row>
    <row r="650" spans="1:27">
      <c r="A650" s="40">
        <f>元データ!P647</f>
        <v>561</v>
      </c>
      <c r="B650" s="27">
        <f t="shared" si="10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IF(OFFSET(マスタ非採用削除!E$4,統合マスタ!$A650,0)="","",OFFSET(マスタ非採用削除!E$4,統合マスタ!$A650,0))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</row>
    <row r="651" spans="1:27">
      <c r="A651" s="40">
        <f>元データ!P648</f>
        <v>562</v>
      </c>
      <c r="B651" s="27">
        <f t="shared" si="10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IF(OFFSET(マスタ非採用削除!E$4,統合マスタ!$A651,0)="","",OFFSET(マスタ非採用削除!E$4,統合マスタ!$A651,0))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</row>
    <row r="652" spans="1:27">
      <c r="A652" s="40">
        <f>元データ!P649</f>
        <v>563</v>
      </c>
      <c r="B652" s="27">
        <f t="shared" si="10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IF(OFFSET(マスタ非採用削除!E$4,統合マスタ!$A652,0)="","",OFFSET(マスタ非採用削除!E$4,統合マスタ!$A652,0))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5</v>
      </c>
      <c r="AA652" s="27"/>
    </row>
    <row r="653" spans="1:27">
      <c r="A653" s="40">
        <f>元データ!P650</f>
        <v>563</v>
      </c>
      <c r="B653" s="27">
        <f t="shared" si="10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IF(OFFSET(マスタ非採用削除!E$4,統合マスタ!$A653,0)="","",OFFSET(マスタ非採用削除!E$4,統合マスタ!$A653,0))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5</v>
      </c>
      <c r="AA653" s="27"/>
    </row>
    <row r="654" spans="1:27">
      <c r="A654" s="40">
        <f>元データ!P651</f>
        <v>564</v>
      </c>
      <c r="B654" s="27">
        <f t="shared" si="10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IF(OFFSET(マスタ非採用削除!E$4,統合マスタ!$A654,0)="","",OFFSET(マスタ非採用削除!E$4,統合マスタ!$A654,0))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</row>
    <row r="655" spans="1:27">
      <c r="A655" s="40">
        <f>元データ!P652</f>
        <v>565</v>
      </c>
      <c r="B655" s="27">
        <f t="shared" si="10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IF(OFFSET(マスタ非採用削除!E$4,統合マスタ!$A655,0)="","",OFFSET(マスタ非採用削除!E$4,統合マスタ!$A655,0))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6</v>
      </c>
      <c r="AA655" s="27"/>
    </row>
    <row r="656" spans="1:27">
      <c r="A656" s="40">
        <f>元データ!P653</f>
        <v>566</v>
      </c>
      <c r="B656" s="27">
        <f t="shared" si="10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IF(OFFSET(マスタ非採用削除!E$4,統合マスタ!$A656,0)="","",OFFSET(マスタ非採用削除!E$4,統合マスタ!$A656,0))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</row>
    <row r="657" spans="1:27">
      <c r="A657" s="40">
        <f>元データ!P654</f>
        <v>568</v>
      </c>
      <c r="B657" s="27">
        <f t="shared" si="10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IF(OFFSET(マスタ非採用削除!E$4,統合マスタ!$A657,0)="","",OFFSET(マスタ非採用削除!E$4,統合マスタ!$A657,0))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6</v>
      </c>
      <c r="AA657" s="27"/>
    </row>
    <row r="658" spans="1:27">
      <c r="A658" s="40">
        <f>元データ!P655</f>
        <v>568</v>
      </c>
      <c r="B658" s="27">
        <f t="shared" si="10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IF(OFFSET(マスタ非採用削除!E$4,統合マスタ!$A658,0)="","",OFFSET(マスタ非採用削除!E$4,統合マスタ!$A658,0))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6</v>
      </c>
      <c r="AA658" s="27"/>
    </row>
    <row r="659" spans="1:27">
      <c r="A659" s="40">
        <f>元データ!P656</f>
        <v>567</v>
      </c>
      <c r="B659" s="27">
        <f t="shared" si="10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IF(OFFSET(マスタ非採用削除!E$4,統合マスタ!$A659,0)="","",OFFSET(マスタ非採用削除!E$4,統合マスタ!$A659,0))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6</v>
      </c>
      <c r="AA659" s="27"/>
    </row>
    <row r="660" spans="1:27">
      <c r="A660" s="40">
        <f>元データ!P657</f>
        <v>567</v>
      </c>
      <c r="B660" s="27">
        <f t="shared" si="10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IF(OFFSET(マスタ非採用削除!E$4,統合マスタ!$A660,0)="","",OFFSET(マスタ非採用削除!E$4,統合マスタ!$A660,0))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6</v>
      </c>
      <c r="AA660" s="27"/>
    </row>
    <row r="661" spans="1:27">
      <c r="A661" s="40">
        <f>元データ!P658</f>
        <v>569</v>
      </c>
      <c r="B661" s="27">
        <f t="shared" si="10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IF(OFFSET(マスタ非採用削除!E$4,統合マスタ!$A661,0)="","",OFFSET(マスタ非採用削除!E$4,統合マスタ!$A661,0))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</row>
    <row r="662" spans="1:27">
      <c r="A662" s="40">
        <f>元データ!P659</f>
        <v>570</v>
      </c>
      <c r="B662" s="27">
        <f t="shared" si="10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IF(OFFSET(マスタ非採用削除!E$4,統合マスタ!$A662,0)="","",OFFSET(マスタ非採用削除!E$4,統合マスタ!$A662,0))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</row>
    <row r="663" spans="1:27">
      <c r="A663" s="40">
        <f>元データ!P660</f>
        <v>571</v>
      </c>
      <c r="B663" s="27">
        <f t="shared" si="10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IF(OFFSET(マスタ非採用削除!E$4,統合マスタ!$A663,0)="","",OFFSET(マスタ非採用削除!E$4,統合マスタ!$A663,0))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</row>
    <row r="664" spans="1:27">
      <c r="A664" s="40">
        <f>元データ!P661</f>
        <v>574</v>
      </c>
      <c r="B664" s="27">
        <f t="shared" si="10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IF(OFFSET(マスタ非採用削除!E$4,統合マスタ!$A664,0)="","",OFFSET(マスタ非採用削除!E$4,統合マスタ!$A664,0))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</row>
    <row r="665" spans="1:27">
      <c r="A665" s="40">
        <f>元データ!P662</f>
        <v>573</v>
      </c>
      <c r="B665" s="27">
        <f t="shared" si="10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IF(OFFSET(マスタ非採用削除!E$4,統合マスタ!$A665,0)="","",OFFSET(マスタ非採用削除!E$4,統合マスタ!$A665,0))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5</v>
      </c>
      <c r="AA665" s="27"/>
    </row>
    <row r="666" spans="1:27">
      <c r="A666" s="40">
        <f>元データ!P663</f>
        <v>573</v>
      </c>
      <c r="B666" s="27">
        <f t="shared" si="10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IF(OFFSET(マスタ非採用削除!E$4,統合マスタ!$A666,0)="","",OFFSET(マスタ非採用削除!E$4,統合マスタ!$A666,0))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5</v>
      </c>
      <c r="AA666" s="27"/>
    </row>
    <row r="667" spans="1:27">
      <c r="A667" s="40">
        <f>元データ!P664</f>
        <v>575</v>
      </c>
      <c r="B667" s="27">
        <f t="shared" si="10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IF(OFFSET(マスタ非採用削除!E$4,統合マスタ!$A667,0)="","",OFFSET(マスタ非採用削除!E$4,統合マスタ!$A667,0))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</row>
    <row r="668" spans="1:27">
      <c r="A668" s="40">
        <f>元データ!P665</f>
        <v>576</v>
      </c>
      <c r="B668" s="27">
        <f t="shared" si="10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IF(OFFSET(マスタ非採用削除!E$4,統合マスタ!$A668,0)="","",OFFSET(マスタ非採用削除!E$4,統合マスタ!$A668,0))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</row>
    <row r="669" spans="1:27">
      <c r="A669" s="40">
        <f>元データ!P666</f>
        <v>579</v>
      </c>
      <c r="B669" s="27">
        <f t="shared" si="10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IF(OFFSET(マスタ非採用削除!E$4,統合マスタ!$A669,0)="","",OFFSET(マスタ非採用削除!E$4,統合マスタ!$A669,0))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5</v>
      </c>
      <c r="AA669" s="27"/>
    </row>
    <row r="670" spans="1:27">
      <c r="A670" s="40">
        <f>元データ!P667</f>
        <v>577</v>
      </c>
      <c r="B670" s="27">
        <f t="shared" si="10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IF(OFFSET(マスタ非採用削除!E$4,統合マスタ!$A670,0)="","",OFFSET(マスタ非採用削除!E$4,統合マスタ!$A670,0))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</row>
    <row r="671" spans="1:27">
      <c r="A671" s="40" t="str">
        <f>元データ!P668</f>
        <v>非採用</v>
      </c>
      <c r="B671" s="27">
        <f t="shared" si="10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 t="e">
        <f ca="1">IF(OFFSET(マスタ非採用削除!E$4,統合マスタ!$A671,0)="","",OFFSET(マスタ非採用削除!E$4,統合マスタ!$A671,0))</f>
        <v>#VALUE!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4074</v>
      </c>
    </row>
    <row r="672" spans="1:27">
      <c r="A672" s="40">
        <f>元データ!P669</f>
        <v>578</v>
      </c>
      <c r="B672" s="27">
        <f t="shared" si="10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IF(OFFSET(マスタ非採用削除!E$4,統合マスタ!$A672,0)="","",OFFSET(マスタ非採用削除!E$4,統合マスタ!$A672,0))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</row>
    <row r="673" spans="1:27">
      <c r="A673" s="40">
        <f>元データ!P670</f>
        <v>580</v>
      </c>
      <c r="B673" s="27">
        <f t="shared" si="10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IF(OFFSET(マスタ非採用削除!E$4,統合マスタ!$A673,0)="","",OFFSET(マスタ非採用削除!E$4,統合マスタ!$A673,0))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</row>
    <row r="674" spans="1:27">
      <c r="A674" s="40">
        <f>元データ!P671</f>
        <v>582</v>
      </c>
      <c r="B674" s="27">
        <f t="shared" si="10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IF(OFFSET(マスタ非採用削除!E$4,統合マスタ!$A674,0)="","",OFFSET(マスタ非採用削除!E$4,統合マスタ!$A674,0))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</row>
    <row r="675" spans="1:27">
      <c r="A675" s="40">
        <f>元データ!P672</f>
        <v>583</v>
      </c>
      <c r="B675" s="27">
        <f t="shared" si="10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IF(OFFSET(マスタ非採用削除!E$4,統合マスタ!$A675,0)="","",OFFSET(マスタ非採用削除!E$4,統合マスタ!$A675,0))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</row>
    <row r="676" spans="1:27">
      <c r="A676" s="40">
        <f>元データ!P673</f>
        <v>586</v>
      </c>
      <c r="B676" s="27">
        <f t="shared" si="10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IF(OFFSET(マスタ非採用削除!E$4,統合マスタ!$A676,0)="","",OFFSET(マスタ非採用削除!E$4,統合マスタ!$A676,0))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</row>
    <row r="677" spans="1:27">
      <c r="A677" s="40">
        <f>元データ!P674</f>
        <v>585</v>
      </c>
      <c r="B677" s="27">
        <f t="shared" si="10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IF(OFFSET(マスタ非採用削除!E$4,統合マスタ!$A677,0)="","",OFFSET(マスタ非採用削除!E$4,統合マスタ!$A677,0))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</row>
    <row r="678" spans="1:27">
      <c r="A678" s="40">
        <f>元データ!P675</f>
        <v>584</v>
      </c>
      <c r="B678" s="27">
        <f t="shared" si="10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IF(OFFSET(マスタ非採用削除!E$4,統合マスタ!$A678,0)="","",OFFSET(マスタ非採用削除!E$4,統合マスタ!$A678,0))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</row>
    <row r="679" spans="1:27">
      <c r="A679" s="40">
        <f>元データ!P676</f>
        <v>587</v>
      </c>
      <c r="B679" s="27">
        <f t="shared" si="10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IF(OFFSET(マスタ非採用削除!E$4,統合マスタ!$A679,0)="","",OFFSET(マスタ非採用削除!E$4,統合マスタ!$A679,0))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</row>
    <row r="680" spans="1:27">
      <c r="A680" s="40">
        <f>元データ!P677</f>
        <v>587</v>
      </c>
      <c r="B680" s="27">
        <f t="shared" si="10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IF(OFFSET(マスタ非採用削除!E$4,統合マスタ!$A680,0)="","",OFFSET(マスタ非採用削除!E$4,統合マスタ!$A680,0))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</row>
    <row r="681" spans="1:27">
      <c r="A681" s="40">
        <f>元データ!P678</f>
        <v>588</v>
      </c>
      <c r="B681" s="27">
        <f t="shared" si="10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IF(OFFSET(マスタ非採用削除!E$4,統合マスタ!$A681,0)="","",OFFSET(マスタ非採用削除!E$4,統合マスタ!$A681,0))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</row>
    <row r="682" spans="1:27">
      <c r="A682" s="40">
        <f>元データ!P679</f>
        <v>589</v>
      </c>
      <c r="B682" s="27">
        <f t="shared" si="10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IF(OFFSET(マスタ非採用削除!E$4,統合マスタ!$A682,0)="","",OFFSET(マスタ非採用削除!E$4,統合マスタ!$A682,0))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</row>
    <row r="683" spans="1:27">
      <c r="A683" s="40">
        <f>元データ!P680</f>
        <v>590</v>
      </c>
      <c r="B683" s="27">
        <f t="shared" si="10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IF(OFFSET(マスタ非採用削除!E$4,統合マスタ!$A683,0)="","",OFFSET(マスタ非採用削除!E$4,統合マスタ!$A683,0))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6</v>
      </c>
      <c r="AA683" s="27"/>
    </row>
    <row r="684" spans="1:27">
      <c r="A684" s="40">
        <f>元データ!P681</f>
        <v>590</v>
      </c>
      <c r="B684" s="27">
        <f t="shared" si="10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IF(OFFSET(マスタ非採用削除!E$4,統合マスタ!$A684,0)="","",OFFSET(マスタ非採用削除!E$4,統合マスタ!$A684,0))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6</v>
      </c>
      <c r="AA684" s="27"/>
    </row>
    <row r="685" spans="1:27">
      <c r="A685" s="40">
        <f>元データ!P682</f>
        <v>591</v>
      </c>
      <c r="B685" s="27">
        <f t="shared" si="10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IF(OFFSET(マスタ非採用削除!E$4,統合マスタ!$A685,0)="","",OFFSET(マスタ非採用削除!E$4,統合マスタ!$A685,0))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6</v>
      </c>
      <c r="AA685" s="27"/>
    </row>
    <row r="686" spans="1:27">
      <c r="A686" s="40">
        <f>元データ!P683</f>
        <v>591</v>
      </c>
      <c r="B686" s="27">
        <f t="shared" si="10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IF(OFFSET(マスタ非採用削除!E$4,統合マスタ!$A686,0)="","",OFFSET(マスタ非採用削除!E$4,統合マスタ!$A686,0))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6</v>
      </c>
      <c r="AA686" s="27"/>
    </row>
    <row r="687" spans="1:27">
      <c r="A687" s="40">
        <f>元データ!P684</f>
        <v>592</v>
      </c>
      <c r="B687" s="27">
        <f t="shared" si="10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IF(OFFSET(マスタ非採用削除!E$4,統合マスタ!$A687,0)="","",OFFSET(マスタ非採用削除!E$4,統合マスタ!$A687,0))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</row>
    <row r="688" spans="1:27">
      <c r="A688" s="40">
        <f>元データ!P685</f>
        <v>593</v>
      </c>
      <c r="B688" s="27">
        <f t="shared" si="10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IF(OFFSET(マスタ非採用削除!E$4,統合マスタ!$A688,0)="","",OFFSET(マスタ非採用削除!E$4,統合マスタ!$A688,0))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5</v>
      </c>
      <c r="AA688" s="27"/>
    </row>
    <row r="689" spans="1:27">
      <c r="A689" s="40">
        <f>元データ!P686</f>
        <v>593</v>
      </c>
      <c r="B689" s="27">
        <f t="shared" si="10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IF(OFFSET(マスタ非採用削除!E$4,統合マスタ!$A689,0)="","",OFFSET(マスタ非採用削除!E$4,統合マスタ!$A689,0))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5</v>
      </c>
      <c r="AA689" s="27"/>
    </row>
    <row r="690" spans="1:27">
      <c r="A690" s="40">
        <f>元データ!P687</f>
        <v>595</v>
      </c>
      <c r="B690" s="27">
        <f t="shared" si="10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IF(OFFSET(マスタ非採用削除!E$4,統合マスタ!$A690,0)="","",OFFSET(マスタ非採用削除!E$4,統合マスタ!$A690,0))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6</v>
      </c>
      <c r="AA690" s="27"/>
    </row>
    <row r="691" spans="1:27">
      <c r="A691" s="40">
        <f>元データ!P688</f>
        <v>595</v>
      </c>
      <c r="B691" s="27">
        <f t="shared" si="10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IF(OFFSET(マスタ非採用削除!E$4,統合マスタ!$A691,0)="","",OFFSET(マスタ非採用削除!E$4,統合マスタ!$A691,0))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6</v>
      </c>
      <c r="AA691" s="27"/>
    </row>
    <row r="692" spans="1:27">
      <c r="A692" s="40">
        <f>元データ!P689</f>
        <v>594</v>
      </c>
      <c r="B692" s="27">
        <f t="shared" si="10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IF(OFFSET(マスタ非採用削除!E$4,統合マスタ!$A692,0)="","",OFFSET(マスタ非採用削除!E$4,統合マスタ!$A692,0))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6</v>
      </c>
      <c r="AA692" s="27"/>
    </row>
    <row r="693" spans="1:27">
      <c r="A693" s="40">
        <f>元データ!P690</f>
        <v>594</v>
      </c>
      <c r="B693" s="27">
        <f t="shared" si="10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IF(OFFSET(マスタ非採用削除!E$4,統合マスタ!$A693,0)="","",OFFSET(マスタ非採用削除!E$4,統合マスタ!$A693,0))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6</v>
      </c>
      <c r="AA693" s="27"/>
    </row>
    <row r="694" spans="1:27">
      <c r="A694" s="40">
        <f>元データ!P691</f>
        <v>596</v>
      </c>
      <c r="B694" s="27">
        <f t="shared" si="10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IF(OFFSET(マスタ非採用削除!E$4,統合マスタ!$A694,0)="","",OFFSET(マスタ非採用削除!E$4,統合マスタ!$A694,0))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5</v>
      </c>
      <c r="AA694" s="27"/>
    </row>
    <row r="695" spans="1:27">
      <c r="A695" s="40">
        <f>元データ!P692</f>
        <v>596</v>
      </c>
      <c r="B695" s="27">
        <f t="shared" si="10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IF(OFFSET(マスタ非採用削除!E$4,統合マスタ!$A695,0)="","",OFFSET(マスタ非採用削除!E$4,統合マスタ!$A695,0))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5</v>
      </c>
      <c r="AA695" s="27"/>
    </row>
    <row r="696" spans="1:27">
      <c r="A696" s="40" t="str">
        <f>元データ!P693</f>
        <v>非採用</v>
      </c>
      <c r="B696" s="27">
        <f t="shared" si="10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 t="e">
        <f ca="1">IF(OFFSET(マスタ非採用削除!E$4,統合マスタ!$A696,0)="","",OFFSET(マスタ非採用削除!E$4,統合マスタ!$A696,0))</f>
        <v>#VALUE!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4074</v>
      </c>
    </row>
    <row r="697" spans="1:27">
      <c r="A697" s="40">
        <f>元データ!P694</f>
        <v>597</v>
      </c>
      <c r="B697" s="27">
        <f t="shared" si="10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IF(OFFSET(マスタ非採用削除!E$4,統合マスタ!$A697,0)="","",OFFSET(マスタ非採用削除!E$4,統合マスタ!$A697,0))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</row>
    <row r="698" spans="1:27">
      <c r="A698" s="40">
        <f>元データ!P695</f>
        <v>619</v>
      </c>
      <c r="B698" s="27">
        <f t="shared" si="10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IF(OFFSET(マスタ非採用削除!E$4,統合マスタ!$A698,0)="","",OFFSET(マスタ非採用削除!E$4,統合マスタ!$A698,0))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</row>
    <row r="699" spans="1:27">
      <c r="A699" s="40">
        <f>元データ!P696</f>
        <v>598</v>
      </c>
      <c r="B699" s="27">
        <f t="shared" si="10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IF(OFFSET(マスタ非採用削除!E$4,統合マスタ!$A699,0)="","",OFFSET(マスタ非採用削除!E$4,統合マスタ!$A699,0))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</row>
    <row r="700" spans="1:27">
      <c r="A700" s="40">
        <f>元データ!P697</f>
        <v>599</v>
      </c>
      <c r="B700" s="27">
        <f t="shared" si="10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IF(OFFSET(マスタ非採用削除!E$4,統合マスタ!$A700,0)="","",OFFSET(マスタ非採用削除!E$4,統合マスタ!$A700,0))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5</v>
      </c>
      <c r="AA700" s="27"/>
    </row>
    <row r="701" spans="1:27">
      <c r="A701" s="40">
        <f>元データ!P698</f>
        <v>600</v>
      </c>
      <c r="B701" s="27">
        <f t="shared" si="10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IF(OFFSET(マスタ非採用削除!E$4,統合マスタ!$A701,0)="","",OFFSET(マスタ非採用削除!E$4,統合マスタ!$A701,0))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</row>
    <row r="702" spans="1:27">
      <c r="A702" s="40">
        <f>元データ!P699</f>
        <v>609</v>
      </c>
      <c r="B702" s="27">
        <f t="shared" si="10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IF(OFFSET(マスタ非採用削除!E$4,統合マスタ!$A702,0)="","",OFFSET(マスタ非採用削除!E$4,統合マスタ!$A702,0))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</row>
    <row r="703" spans="1:27">
      <c r="A703" s="40">
        <f>元データ!P700</f>
        <v>611</v>
      </c>
      <c r="B703" s="27">
        <f t="shared" si="10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IF(OFFSET(マスタ非採用削除!E$4,統合マスタ!$A703,0)="","",OFFSET(マスタ非採用削除!E$4,統合マスタ!$A703,0))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</row>
    <row r="704" spans="1:27">
      <c r="A704" s="40">
        <f>元データ!P701</f>
        <v>608</v>
      </c>
      <c r="B704" s="27">
        <f t="shared" si="10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IF(OFFSET(マスタ非採用削除!E$4,統合マスタ!$A704,0)="","",OFFSET(マスタ非採用削除!E$4,統合マスタ!$A704,0))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</row>
    <row r="705" spans="1:27">
      <c r="A705" s="40">
        <f>元データ!P702</f>
        <v>602</v>
      </c>
      <c r="B705" s="27">
        <f t="shared" si="10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IF(OFFSET(マスタ非採用削除!E$4,統合マスタ!$A705,0)="","",OFFSET(マスタ非採用削除!E$4,統合マスタ!$A705,0))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6</v>
      </c>
      <c r="AA705" s="27"/>
    </row>
    <row r="706" spans="1:27">
      <c r="A706" s="40">
        <f>元データ!P703</f>
        <v>602</v>
      </c>
      <c r="B706" s="27">
        <f t="shared" si="10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IF(OFFSET(マスタ非採用削除!E$4,統合マスタ!$A706,0)="","",OFFSET(マスタ非採用削除!E$4,統合マスタ!$A706,0))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6</v>
      </c>
      <c r="AA706" s="27"/>
    </row>
    <row r="707" spans="1:27">
      <c r="A707" s="40">
        <f>元データ!P704</f>
        <v>606</v>
      </c>
      <c r="B707" s="27">
        <f t="shared" si="10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IF(OFFSET(マスタ非採用削除!E$4,統合マスタ!$A707,0)="","",OFFSET(マスタ非採用削除!E$4,統合マスタ!$A707,0))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6</v>
      </c>
      <c r="AA707" s="27"/>
    </row>
    <row r="708" spans="1:27">
      <c r="A708" s="40">
        <f>元データ!P705</f>
        <v>606</v>
      </c>
      <c r="B708" s="27">
        <f t="shared" si="10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IF(OFFSET(マスタ非採用削除!E$4,統合マスタ!$A708,0)="","",OFFSET(マスタ非採用削除!E$4,統合マスタ!$A708,0))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6</v>
      </c>
      <c r="AA708" s="27"/>
    </row>
    <row r="709" spans="1:27">
      <c r="A709" s="40">
        <f>元データ!P706</f>
        <v>607</v>
      </c>
      <c r="B709" s="27">
        <f t="shared" si="10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IF(OFFSET(マスタ非採用削除!E$4,統合マスタ!$A709,0)="","",OFFSET(マスタ非採用削除!E$4,統合マスタ!$A709,0))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6</v>
      </c>
      <c r="AA709" s="27"/>
    </row>
    <row r="710" spans="1:27">
      <c r="A710" s="40">
        <f>元データ!P707</f>
        <v>607</v>
      </c>
      <c r="B710" s="27">
        <f t="shared" si="10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IF(OFFSET(マスタ非採用削除!E$4,統合マスタ!$A710,0)="","",OFFSET(マスタ非採用削除!E$4,統合マスタ!$A710,0))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6</v>
      </c>
      <c r="AA710" s="27"/>
    </row>
    <row r="711" spans="1:27">
      <c r="A711" s="40">
        <f>元データ!P708</f>
        <v>604</v>
      </c>
      <c r="B711" s="27">
        <f t="shared" ref="B711:B774" si="11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IF(OFFSET(マスタ非採用削除!E$4,統合マスタ!$A711,0)="","",OFFSET(マスタ非採用削除!E$4,統合マスタ!$A711,0))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</row>
    <row r="712" spans="1:27">
      <c r="A712" s="40">
        <f>元データ!P709</f>
        <v>605</v>
      </c>
      <c r="B712" s="27">
        <f t="shared" si="11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IF(OFFSET(マスタ非採用削除!E$4,統合マスタ!$A712,0)="","",OFFSET(マスタ非採用削除!E$4,統合マスタ!$A712,0))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</row>
    <row r="713" spans="1:27">
      <c r="A713" s="40">
        <f>元データ!P710</f>
        <v>603</v>
      </c>
      <c r="B713" s="27">
        <f t="shared" si="11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IF(OFFSET(マスタ非採用削除!E$4,統合マスタ!$A713,0)="","",OFFSET(マスタ非採用削除!E$4,統合マスタ!$A713,0))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</row>
    <row r="714" spans="1:27">
      <c r="A714" s="40">
        <f>元データ!P711</f>
        <v>614</v>
      </c>
      <c r="B714" s="27">
        <f t="shared" si="11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IF(OFFSET(マスタ非採用削除!E$4,統合マスタ!$A714,0)="","",OFFSET(マスタ非採用削除!E$4,統合マスタ!$A714,0))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6</v>
      </c>
      <c r="AA714" s="27"/>
    </row>
    <row r="715" spans="1:27">
      <c r="A715" s="40">
        <f>元データ!P712</f>
        <v>614</v>
      </c>
      <c r="B715" s="27">
        <f t="shared" si="11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IF(OFFSET(マスタ非採用削除!E$4,統合マスタ!$A715,0)="","",OFFSET(マスタ非採用削除!E$4,統合マスタ!$A715,0))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6</v>
      </c>
      <c r="AA715" s="27"/>
    </row>
    <row r="716" spans="1:27">
      <c r="A716" s="40">
        <f>元データ!P713</f>
        <v>615</v>
      </c>
      <c r="B716" s="27">
        <f t="shared" si="11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IF(OFFSET(マスタ非採用削除!E$4,統合マスタ!$A716,0)="","",OFFSET(マスタ非採用削除!E$4,統合マスタ!$A716,0))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6</v>
      </c>
      <c r="AA716" s="27"/>
    </row>
    <row r="717" spans="1:27">
      <c r="A717" s="40">
        <f>元データ!P714</f>
        <v>615</v>
      </c>
      <c r="B717" s="27">
        <f t="shared" si="11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IF(OFFSET(マスタ非採用削除!E$4,統合マスタ!$A717,0)="","",OFFSET(マスタ非採用削除!E$4,統合マスタ!$A717,0))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6</v>
      </c>
      <c r="AA717" s="27"/>
    </row>
    <row r="718" spans="1:27">
      <c r="A718" s="40">
        <f>元データ!P715</f>
        <v>616</v>
      </c>
      <c r="B718" s="27">
        <f t="shared" si="11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IF(OFFSET(マスタ非採用削除!E$4,統合マスタ!$A718,0)="","",OFFSET(マスタ非採用削除!E$4,統合マスタ!$A718,0))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6</v>
      </c>
      <c r="AA718" s="27"/>
    </row>
    <row r="719" spans="1:27">
      <c r="A719" s="40">
        <f>元データ!P716</f>
        <v>616</v>
      </c>
      <c r="B719" s="27">
        <f t="shared" si="11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IF(OFFSET(マスタ非採用削除!E$4,統合マスタ!$A719,0)="","",OFFSET(マスタ非採用削除!E$4,統合マスタ!$A719,0))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6</v>
      </c>
      <c r="AA719" s="27"/>
    </row>
    <row r="720" spans="1:27">
      <c r="A720" s="40">
        <f>元データ!P717</f>
        <v>617</v>
      </c>
      <c r="B720" s="27">
        <f t="shared" si="11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IF(OFFSET(マスタ非採用削除!E$4,統合マスタ!$A720,0)="","",OFFSET(マスタ非採用削除!E$4,統合マスタ!$A720,0))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6</v>
      </c>
      <c r="AA720" s="27"/>
    </row>
    <row r="721" spans="1:27">
      <c r="A721" s="40">
        <f>元データ!P718</f>
        <v>617</v>
      </c>
      <c r="B721" s="27">
        <f t="shared" si="11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IF(OFFSET(マスタ非採用削除!E$4,統合マスタ!$A721,0)="","",OFFSET(マスタ非採用削除!E$4,統合マスタ!$A721,0))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6</v>
      </c>
      <c r="AA721" s="27"/>
    </row>
    <row r="722" spans="1:27">
      <c r="A722" s="40" t="str">
        <f>元データ!P719</f>
        <v>非採用</v>
      </c>
      <c r="B722" s="27">
        <f t="shared" si="11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 t="e">
        <f ca="1">IF(OFFSET(マスタ非採用削除!E$4,統合マスタ!$A722,0)="","",OFFSET(マスタ非採用削除!E$4,統合マスタ!$A722,0))</f>
        <v>#VALUE!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4074</v>
      </c>
    </row>
    <row r="723" spans="1:27">
      <c r="A723" s="40">
        <f>元データ!P720</f>
        <v>614</v>
      </c>
      <c r="B723" s="27">
        <f t="shared" si="11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IF(OFFSET(マスタ非採用削除!E$4,統合マスタ!$A723,0)="","",OFFSET(マスタ非採用削除!E$4,統合マスタ!$A723,0))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6</v>
      </c>
      <c r="AA723" s="27"/>
    </row>
    <row r="724" spans="1:27">
      <c r="A724" s="40">
        <f>元データ!P721</f>
        <v>615</v>
      </c>
      <c r="B724" s="27">
        <f t="shared" si="11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IF(OFFSET(マスタ非採用削除!E$4,統合マスタ!$A724,0)="","",OFFSET(マスタ非採用削除!E$4,統合マスタ!$A724,0))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6</v>
      </c>
      <c r="AA724" s="27"/>
    </row>
    <row r="725" spans="1:27">
      <c r="A725" s="40">
        <f>元データ!P722</f>
        <v>612</v>
      </c>
      <c r="B725" s="27">
        <f t="shared" si="11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IF(OFFSET(マスタ非採用削除!E$4,統合マスタ!$A725,0)="","",OFFSET(マスタ非採用削除!E$4,統合マスタ!$A725,0))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</row>
    <row r="726" spans="1:27">
      <c r="A726" s="40">
        <f>元データ!P723</f>
        <v>613</v>
      </c>
      <c r="B726" s="27">
        <f t="shared" si="11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IF(OFFSET(マスタ非採用削除!E$4,統合マスタ!$A726,0)="","",OFFSET(マスタ非採用削除!E$4,統合マスタ!$A726,0))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</row>
    <row r="727" spans="1:27">
      <c r="A727" s="40">
        <f>元データ!P724</f>
        <v>618</v>
      </c>
      <c r="B727" s="27">
        <f t="shared" si="11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IF(OFFSET(マスタ非採用削除!E$4,統合マスタ!$A727,0)="","",OFFSET(マスタ非採用削除!E$4,統合マスタ!$A727,0))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5</v>
      </c>
      <c r="AA727" s="27"/>
    </row>
    <row r="728" spans="1:27">
      <c r="A728" s="40">
        <f>元データ!P725</f>
        <v>620</v>
      </c>
      <c r="B728" s="27">
        <f t="shared" si="11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IF(OFFSET(マスタ非採用削除!E$4,統合マスタ!$A728,0)="","",OFFSET(マスタ非採用削除!E$4,統合マスタ!$A728,0))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</row>
    <row r="729" spans="1:27">
      <c r="A729" s="40">
        <f>元データ!P726</f>
        <v>625</v>
      </c>
      <c r="B729" s="27">
        <f t="shared" si="11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IF(OFFSET(マスタ非採用削除!E$4,統合マスタ!$A729,0)="","",OFFSET(マスタ非採用削除!E$4,統合マスタ!$A729,0))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</row>
    <row r="730" spans="1:27">
      <c r="A730" s="40">
        <f>元データ!P727</f>
        <v>623</v>
      </c>
      <c r="B730" s="27">
        <f t="shared" si="11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IF(OFFSET(マスタ非採用削除!E$4,統合マスタ!$A730,0)="","",OFFSET(マスタ非採用削除!E$4,統合マスタ!$A730,0))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</row>
    <row r="731" spans="1:27">
      <c r="A731" s="40">
        <f>元データ!P728</f>
        <v>624</v>
      </c>
      <c r="B731" s="27">
        <f t="shared" si="11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IF(OFFSET(マスタ非採用削除!E$4,統合マスタ!$A731,0)="","",OFFSET(マスタ非採用削除!E$4,統合マスタ!$A731,0))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</row>
    <row r="732" spans="1:27">
      <c r="A732" s="40">
        <f>元データ!P729</f>
        <v>621</v>
      </c>
      <c r="B732" s="27">
        <f t="shared" si="11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IF(OFFSET(マスタ非採用削除!E$4,統合マスタ!$A732,0)="","",OFFSET(マスタ非採用削除!E$4,統合マスタ!$A732,0))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</row>
    <row r="733" spans="1:27">
      <c r="A733" s="40">
        <f>元データ!P730</f>
        <v>622</v>
      </c>
      <c r="B733" s="27">
        <f t="shared" si="11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IF(OFFSET(マスタ非採用削除!E$4,統合マスタ!$A733,0)="","",OFFSET(マスタ非採用削除!E$4,統合マスタ!$A733,0))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</row>
    <row r="734" spans="1:27">
      <c r="A734" s="40" t="str">
        <f>元データ!P731</f>
        <v>非採用</v>
      </c>
      <c r="B734" s="27">
        <f t="shared" si="11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 t="e">
        <f ca="1">IF(OFFSET(マスタ非採用削除!E$4,統合マスタ!$A734,0)="","",OFFSET(マスタ非採用削除!E$4,統合マスタ!$A734,0))</f>
        <v>#VALUE!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4074</v>
      </c>
    </row>
    <row r="735" spans="1:27">
      <c r="A735" s="40">
        <f>元データ!P732</f>
        <v>626</v>
      </c>
      <c r="B735" s="27">
        <f t="shared" si="11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IF(OFFSET(マスタ非採用削除!E$4,統合マスタ!$A735,0)="","",OFFSET(マスタ非採用削除!E$4,統合マスタ!$A735,0))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5</v>
      </c>
      <c r="AA735" s="27"/>
    </row>
    <row r="736" spans="1:27">
      <c r="A736" s="40">
        <f>元データ!P733</f>
        <v>626</v>
      </c>
      <c r="B736" s="27">
        <f t="shared" si="11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IF(OFFSET(マスタ非採用削除!E$4,統合マスタ!$A736,0)="","",OFFSET(マスタ非採用削除!E$4,統合マスタ!$A736,0))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5</v>
      </c>
      <c r="AA736" s="27"/>
    </row>
    <row r="737" spans="1:27">
      <c r="A737" s="40">
        <f>元データ!P734</f>
        <v>627</v>
      </c>
      <c r="B737" s="27">
        <f t="shared" si="11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IF(OFFSET(マスタ非採用削除!E$4,統合マスタ!$A737,0)="","",OFFSET(マスタ非採用削除!E$4,統合マスタ!$A737,0))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5</v>
      </c>
      <c r="AA737" s="27"/>
    </row>
    <row r="738" spans="1:27">
      <c r="A738" s="40">
        <f>元データ!P735</f>
        <v>627</v>
      </c>
      <c r="B738" s="27">
        <f t="shared" si="11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IF(OFFSET(マスタ非採用削除!E$4,統合マスタ!$A738,0)="","",OFFSET(マスタ非採用削除!E$4,統合マスタ!$A738,0))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5</v>
      </c>
      <c r="AA738" s="27"/>
    </row>
    <row r="739" spans="1:27">
      <c r="A739" s="40">
        <f>元データ!P736</f>
        <v>628</v>
      </c>
      <c r="B739" s="27">
        <f t="shared" si="11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IF(OFFSET(マスタ非採用削除!E$4,統合マスタ!$A739,0)="","",OFFSET(マスタ非採用削除!E$4,統合マスタ!$A739,0))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</row>
    <row r="740" spans="1:27">
      <c r="A740" s="40">
        <f>元データ!P737</f>
        <v>629</v>
      </c>
      <c r="B740" s="27">
        <f t="shared" si="11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IF(OFFSET(マスタ非採用削除!E$4,統合マスタ!$A740,0)="","",OFFSET(マスタ非採用削除!E$4,統合マスタ!$A740,0))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5</v>
      </c>
      <c r="AA740" s="27"/>
    </row>
    <row r="741" spans="1:27">
      <c r="A741" s="40">
        <f>元データ!P738</f>
        <v>630</v>
      </c>
      <c r="B741" s="27">
        <f t="shared" si="11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IF(OFFSET(マスタ非採用削除!E$4,統合マスタ!$A741,0)="","",OFFSET(マスタ非採用削除!E$4,統合マスタ!$A741,0))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</row>
    <row r="742" spans="1:27">
      <c r="A742" s="40">
        <f>元データ!P739</f>
        <v>631</v>
      </c>
      <c r="B742" s="27">
        <f t="shared" si="11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IF(OFFSET(マスタ非採用削除!E$4,統合マスタ!$A742,0)="","",OFFSET(マスタ非採用削除!E$4,統合マスタ!$A742,0))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</row>
    <row r="743" spans="1:27">
      <c r="A743" s="40">
        <f>元データ!P740</f>
        <v>632</v>
      </c>
      <c r="B743" s="27">
        <f t="shared" si="11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IF(OFFSET(マスタ非採用削除!E$4,統合マスタ!$A743,0)="","",OFFSET(マスタ非採用削除!E$4,統合マスタ!$A743,0))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</row>
    <row r="744" spans="1:27">
      <c r="A744" s="40">
        <f>元データ!P741</f>
        <v>634</v>
      </c>
      <c r="B744" s="27">
        <f t="shared" si="11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IF(OFFSET(マスタ非採用削除!E$4,統合マスタ!$A744,0)="","",OFFSET(マスタ非採用削除!E$4,統合マスタ!$A744,0))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</row>
    <row r="745" spans="1:27">
      <c r="A745" s="40">
        <f>元データ!P742</f>
        <v>636</v>
      </c>
      <c r="B745" s="27">
        <f t="shared" si="11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IF(OFFSET(マスタ非採用削除!E$4,統合マスタ!$A745,0)="","",OFFSET(マスタ非採用削除!E$4,統合マスタ!$A745,0))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</row>
    <row r="746" spans="1:27">
      <c r="A746" s="40">
        <f>元データ!P743</f>
        <v>633</v>
      </c>
      <c r="B746" s="27">
        <f t="shared" si="11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IF(OFFSET(マスタ非採用削除!E$4,統合マスタ!$A746,0)="","",OFFSET(マスタ非採用削除!E$4,統合マスタ!$A746,0))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</row>
    <row r="747" spans="1:27">
      <c r="A747" s="40">
        <f>元データ!P744</f>
        <v>637</v>
      </c>
      <c r="B747" s="27">
        <f t="shared" si="11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IF(OFFSET(マスタ非採用削除!E$4,統合マスタ!$A747,0)="","",OFFSET(マスタ非採用削除!E$4,統合マスタ!$A747,0))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6</v>
      </c>
      <c r="AA747" s="27"/>
    </row>
    <row r="748" spans="1:27">
      <c r="A748" s="40">
        <f>元データ!P745</f>
        <v>637</v>
      </c>
      <c r="B748" s="27">
        <f t="shared" si="11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IF(OFFSET(マスタ非採用削除!E$4,統合マスタ!$A748,0)="","",OFFSET(マスタ非採用削除!E$4,統合マスタ!$A748,0))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6</v>
      </c>
      <c r="AA748" s="27"/>
    </row>
    <row r="749" spans="1:27">
      <c r="A749" s="40">
        <f>元データ!P746</f>
        <v>638</v>
      </c>
      <c r="B749" s="27">
        <f t="shared" si="11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IF(OFFSET(マスタ非採用削除!E$4,統合マスタ!$A749,0)="","",OFFSET(マスタ非採用削除!E$4,統合マスタ!$A749,0))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6</v>
      </c>
      <c r="AA749" s="27"/>
    </row>
    <row r="750" spans="1:27">
      <c r="A750" s="40">
        <f>元データ!P747</f>
        <v>638</v>
      </c>
      <c r="B750" s="27">
        <f t="shared" si="11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IF(OFFSET(マスタ非採用削除!E$4,統合マスタ!$A750,0)="","",OFFSET(マスタ非採用削除!E$4,統合マスタ!$A750,0))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6</v>
      </c>
      <c r="AA750" s="27"/>
    </row>
    <row r="751" spans="1:27">
      <c r="A751" s="40">
        <f>元データ!P748</f>
        <v>641</v>
      </c>
      <c r="B751" s="27">
        <f t="shared" si="11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IF(OFFSET(マスタ非採用削除!E$4,統合マスタ!$A751,0)="","",OFFSET(マスタ非採用削除!E$4,統合マスタ!$A751,0))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6</v>
      </c>
      <c r="AA751" s="27"/>
    </row>
    <row r="752" spans="1:27">
      <c r="A752" s="40">
        <f>元データ!P749</f>
        <v>641</v>
      </c>
      <c r="B752" s="27">
        <f t="shared" si="11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IF(OFFSET(マスタ非採用削除!E$4,統合マスタ!$A752,0)="","",OFFSET(マスタ非採用削除!E$4,統合マスタ!$A752,0))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6</v>
      </c>
      <c r="AA752" s="27"/>
    </row>
    <row r="753" spans="1:27">
      <c r="A753" s="40">
        <f>元データ!P750</f>
        <v>639</v>
      </c>
      <c r="B753" s="27">
        <f t="shared" si="11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IF(OFFSET(マスタ非採用削除!E$4,統合マスタ!$A753,0)="","",OFFSET(マスタ非採用削除!E$4,統合マスタ!$A753,0))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6</v>
      </c>
      <c r="AA753" s="27"/>
    </row>
    <row r="754" spans="1:27">
      <c r="A754" s="40">
        <f>元データ!P751</f>
        <v>639</v>
      </c>
      <c r="B754" s="27">
        <f t="shared" si="11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IF(OFFSET(マスタ非採用削除!E$4,統合マスタ!$A754,0)="","",OFFSET(マスタ非採用削除!E$4,統合マスタ!$A754,0))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6</v>
      </c>
      <c r="AA754" s="27"/>
    </row>
    <row r="755" spans="1:27">
      <c r="A755" s="40">
        <f>元データ!P752</f>
        <v>640</v>
      </c>
      <c r="B755" s="27">
        <f t="shared" si="11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IF(OFFSET(マスタ非採用削除!E$4,統合マスタ!$A755,0)="","",OFFSET(マスタ非採用削除!E$4,統合マスタ!$A755,0))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6</v>
      </c>
      <c r="AA755" s="27"/>
    </row>
    <row r="756" spans="1:27">
      <c r="A756" s="40">
        <f>元データ!P753</f>
        <v>640</v>
      </c>
      <c r="B756" s="27">
        <f t="shared" si="11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IF(OFFSET(マスタ非採用削除!E$4,統合マスタ!$A756,0)="","",OFFSET(マスタ非採用削除!E$4,統合マスタ!$A756,0))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6</v>
      </c>
      <c r="AA756" s="27"/>
    </row>
    <row r="757" spans="1:27">
      <c r="A757" s="40">
        <f>元データ!P754</f>
        <v>642</v>
      </c>
      <c r="B757" s="27">
        <f t="shared" si="11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IF(OFFSET(マスタ非採用削除!E$4,統合マスタ!$A757,0)="","",OFFSET(マスタ非採用削除!E$4,統合マスタ!$A757,0))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5</v>
      </c>
      <c r="AA757" s="27"/>
    </row>
    <row r="758" spans="1:27">
      <c r="A758" s="40">
        <f>元データ!P755</f>
        <v>642</v>
      </c>
      <c r="B758" s="27">
        <f t="shared" si="11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IF(OFFSET(マスタ非採用削除!E$4,統合マスタ!$A758,0)="","",OFFSET(マスタ非採用削除!E$4,統合マスタ!$A758,0))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5</v>
      </c>
      <c r="AA758" s="27"/>
    </row>
    <row r="759" spans="1:27">
      <c r="A759" s="40">
        <f>元データ!P756</f>
        <v>643</v>
      </c>
      <c r="B759" s="27">
        <f t="shared" si="11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IF(OFFSET(マスタ非採用削除!E$4,統合マスタ!$A759,0)="","",OFFSET(マスタ非採用削除!E$4,統合マスタ!$A759,0))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5</v>
      </c>
      <c r="AA759" s="27"/>
    </row>
    <row r="760" spans="1:27">
      <c r="A760" s="40">
        <f>元データ!P757</f>
        <v>643</v>
      </c>
      <c r="B760" s="27">
        <f t="shared" si="11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IF(OFFSET(マスタ非採用削除!E$4,統合マスタ!$A760,0)="","",OFFSET(マスタ非採用削除!E$4,統合マスタ!$A760,0))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5</v>
      </c>
      <c r="AA760" s="27"/>
    </row>
    <row r="761" spans="1:27">
      <c r="A761" s="40">
        <f>元データ!P758</f>
        <v>645</v>
      </c>
      <c r="B761" s="27">
        <f t="shared" si="11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IF(OFFSET(マスタ非採用削除!E$4,統合マスタ!$A761,0)="","",OFFSET(マスタ非採用削除!E$4,統合マスタ!$A761,0))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5</v>
      </c>
      <c r="AA761" s="27"/>
    </row>
    <row r="762" spans="1:27">
      <c r="A762" s="40">
        <f>元データ!P759</f>
        <v>645</v>
      </c>
      <c r="B762" s="27">
        <f t="shared" si="11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IF(OFFSET(マスタ非採用削除!E$4,統合マスタ!$A762,0)="","",OFFSET(マスタ非採用削除!E$4,統合マスタ!$A762,0))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5</v>
      </c>
      <c r="AA762" s="27"/>
    </row>
    <row r="763" spans="1:27">
      <c r="A763" s="40">
        <f>元データ!P760</f>
        <v>646</v>
      </c>
      <c r="B763" s="27">
        <f t="shared" si="11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IF(OFFSET(マスタ非採用削除!E$4,統合マスタ!$A763,0)="","",OFFSET(マスタ非採用削除!E$4,統合マスタ!$A763,0))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</row>
    <row r="764" spans="1:27">
      <c r="A764" s="40">
        <f>元データ!P761</f>
        <v>647</v>
      </c>
      <c r="B764" s="27">
        <f t="shared" si="11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IF(OFFSET(マスタ非採用削除!E$4,統合マスタ!$A764,0)="","",OFFSET(マスタ非採用削除!E$4,統合マスタ!$A764,0))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</row>
    <row r="765" spans="1:27">
      <c r="A765" s="40">
        <f>元データ!P762</f>
        <v>648</v>
      </c>
      <c r="B765" s="27">
        <f t="shared" si="11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IF(OFFSET(マスタ非採用削除!E$4,統合マスタ!$A765,0)="","",OFFSET(マスタ非採用削除!E$4,統合マスタ!$A765,0))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</row>
    <row r="766" spans="1:27">
      <c r="A766" s="40">
        <f>元データ!P763</f>
        <v>649</v>
      </c>
      <c r="B766" s="27">
        <f t="shared" si="11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IF(OFFSET(マスタ非採用削除!E$4,統合マスタ!$A766,0)="","",OFFSET(マスタ非採用削除!E$4,統合マスタ!$A766,0))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5</v>
      </c>
      <c r="AA766" s="27"/>
    </row>
    <row r="767" spans="1:27">
      <c r="A767" s="40">
        <f>元データ!P764</f>
        <v>649</v>
      </c>
      <c r="B767" s="27">
        <f t="shared" si="11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IF(OFFSET(マスタ非採用削除!E$4,統合マスタ!$A767,0)="","",OFFSET(マスタ非採用削除!E$4,統合マスタ!$A767,0))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5</v>
      </c>
      <c r="AA767" s="27"/>
    </row>
    <row r="768" spans="1:27">
      <c r="A768" s="40">
        <f>元データ!P765</f>
        <v>653</v>
      </c>
      <c r="B768" s="27">
        <f t="shared" si="11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IF(OFFSET(マスタ非採用削除!E$4,統合マスタ!$A768,0)="","",OFFSET(マスタ非採用削除!E$4,統合マスタ!$A768,0))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</row>
    <row r="769" spans="1:27">
      <c r="A769" s="40">
        <f>元データ!P766</f>
        <v>652</v>
      </c>
      <c r="B769" s="27">
        <f t="shared" si="11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IF(OFFSET(マスタ非採用削除!E$4,統合マスタ!$A769,0)="","",OFFSET(マスタ非採用削除!E$4,統合マスタ!$A769,0))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5</v>
      </c>
      <c r="AA769" s="27"/>
    </row>
    <row r="770" spans="1:27">
      <c r="A770" s="40">
        <f>元データ!P767</f>
        <v>652</v>
      </c>
      <c r="B770" s="27">
        <f t="shared" si="11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IF(OFFSET(マスタ非採用削除!E$4,統合マスタ!$A770,0)="","",OFFSET(マスタ非採用削除!E$4,統合マスタ!$A770,0))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5</v>
      </c>
      <c r="AA770" s="27"/>
    </row>
    <row r="771" spans="1:27">
      <c r="A771" s="40">
        <f>元データ!P768</f>
        <v>651</v>
      </c>
      <c r="B771" s="27">
        <f t="shared" si="11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IF(OFFSET(マスタ非採用削除!E$4,統合マスタ!$A771,0)="","",OFFSET(マスタ非採用削除!E$4,統合マスタ!$A771,0))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</row>
    <row r="772" spans="1:27">
      <c r="A772" s="40">
        <f>元データ!P769</f>
        <v>654</v>
      </c>
      <c r="B772" s="27">
        <f t="shared" si="11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IF(OFFSET(マスタ非採用削除!E$4,統合マスタ!$A772,0)="","",OFFSET(マスタ非採用削除!E$4,統合マスタ!$A772,0))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</row>
    <row r="773" spans="1:27">
      <c r="A773" s="40">
        <f>元データ!P770</f>
        <v>655</v>
      </c>
      <c r="B773" s="27">
        <f t="shared" si="11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IF(OFFSET(マスタ非採用削除!E$4,統合マスタ!$A773,0)="","",OFFSET(マスタ非採用削除!E$4,統合マスタ!$A773,0))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</row>
    <row r="774" spans="1:27">
      <c r="A774" s="40">
        <f>元データ!P771</f>
        <v>656</v>
      </c>
      <c r="B774" s="27">
        <f t="shared" si="11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IF(OFFSET(マスタ非採用削除!E$4,統合マスタ!$A774,0)="","",OFFSET(マスタ非採用削除!E$4,統合マスタ!$A774,0))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</row>
    <row r="775" spans="1:27">
      <c r="A775" s="40">
        <f>元データ!P772</f>
        <v>658</v>
      </c>
      <c r="B775" s="27">
        <f t="shared" ref="B775:B837" si="12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IF(OFFSET(マスタ非採用削除!E$4,統合マスタ!$A775,0)="","",OFFSET(マスタ非採用削除!E$4,統合マスタ!$A775,0))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</row>
    <row r="776" spans="1:27">
      <c r="A776" s="40">
        <f>元データ!P773</f>
        <v>657</v>
      </c>
      <c r="B776" s="27">
        <f t="shared" si="12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IF(OFFSET(マスタ非採用削除!E$4,統合マスタ!$A776,0)="","",OFFSET(マスタ非採用削除!E$4,統合マスタ!$A776,0))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</row>
    <row r="777" spans="1:27">
      <c r="A777" s="40">
        <f>元データ!P774</f>
        <v>659</v>
      </c>
      <c r="B777" s="27">
        <f t="shared" si="12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IF(OFFSET(マスタ非採用削除!E$4,統合マスタ!$A777,0)="","",OFFSET(マスタ非採用削除!E$4,統合マスタ!$A777,0))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</row>
    <row r="778" spans="1:27">
      <c r="A778" s="40">
        <f>元データ!P775</f>
        <v>660</v>
      </c>
      <c r="B778" s="27">
        <f t="shared" si="12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IF(OFFSET(マスタ非採用削除!E$4,統合マスタ!$A778,0)="","",OFFSET(マスタ非採用削除!E$4,統合マスタ!$A778,0))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</row>
    <row r="779" spans="1:27">
      <c r="A779" s="40">
        <f>元データ!P776</f>
        <v>662</v>
      </c>
      <c r="B779" s="27">
        <f t="shared" si="12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IF(OFFSET(マスタ非採用削除!E$4,統合マスタ!$A779,0)="","",OFFSET(マスタ非採用削除!E$4,統合マスタ!$A779,0))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</row>
    <row r="780" spans="1:27">
      <c r="A780" s="40">
        <f>元データ!P777</f>
        <v>661</v>
      </c>
      <c r="B780" s="27">
        <f t="shared" si="12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IF(OFFSET(マスタ非採用削除!E$4,統合マスタ!$A780,0)="","",OFFSET(マスタ非採用削除!E$4,統合マスタ!$A780,0))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</row>
    <row r="781" spans="1:27">
      <c r="A781" s="40">
        <f>元データ!P778</f>
        <v>0</v>
      </c>
      <c r="B781" s="27">
        <f t="shared" si="12"/>
        <v>777</v>
      </c>
      <c r="C781" s="27" t="str">
        <f>DBCS(元データ!A778)</f>
        <v>ロイコボリン注３ｍｇ</v>
      </c>
      <c r="D781" s="53" t="str">
        <f>元データ!B778</f>
        <v/>
      </c>
      <c r="E781" s="27" t="str">
        <f>DBCS(元データ!C778)</f>
        <v/>
      </c>
      <c r="F781" s="27" t="str">
        <f>DBCS(元データ!D778)</f>
        <v>１ｍｌｘ１０Ａ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3" t="str">
        <f ca="1">IF(OFFSET(マスタ非採用削除!A$4,統合マスタ!$A781,0)="","",OFFSET(マスタ非採用削除!A$4,統合マスタ!$A781,0))</f>
        <v>コード(区分値)</v>
      </c>
      <c r="O781" s="53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3" t="str">
        <f ca="1">IF(OFFSET(マスタ非採用削除!D$4,統合マスタ!$A781,0)="","",OFFSET(マスタ非採用削除!D$4,統合マスタ!$A781,0))</f>
        <v>ホストコード</v>
      </c>
      <c r="R781" s="27" t="str">
        <f ca="1">IF(OFFSET(マスタ非採用削除!E$4,統合マスタ!$A781,0)="","",OFFSET(マスタ非採用削除!E$4,統合マスタ!$A781,0))</f>
        <v>採用区分（区分値）(区分値)</v>
      </c>
      <c r="S781" s="53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3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3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棚</v>
      </c>
      <c r="AA781" s="27"/>
    </row>
    <row r="782" spans="1:27">
      <c r="A782" s="40">
        <f>元データ!P779</f>
        <v>664</v>
      </c>
      <c r="B782" s="27">
        <f t="shared" si="12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IF(OFFSET(マスタ非採用削除!E$4,統合マスタ!$A782,0)="","",OFFSET(マスタ非採用削除!E$4,統合マスタ!$A782,0))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</row>
    <row r="783" spans="1:27">
      <c r="A783" s="40">
        <f>元データ!P780</f>
        <v>665</v>
      </c>
      <c r="B783" s="27">
        <f t="shared" si="12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IF(OFFSET(マスタ非採用削除!E$4,統合マスタ!$A783,0)="","",OFFSET(マスタ非採用削除!E$4,統合マスタ!$A783,0))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</row>
    <row r="784" spans="1:27">
      <c r="A784" s="40">
        <f>元データ!P781</f>
        <v>663</v>
      </c>
      <c r="B784" s="27">
        <f t="shared" si="12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IF(OFFSET(マスタ非採用削除!E$4,統合マスタ!$A784,0)="","",OFFSET(マスタ非採用削除!E$4,統合マスタ!$A784,0))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5</v>
      </c>
      <c r="AA784" s="27"/>
    </row>
    <row r="785" spans="1:27">
      <c r="A785" s="40">
        <f>元データ!P782</f>
        <v>663</v>
      </c>
      <c r="B785" s="27">
        <f t="shared" si="12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IF(OFFSET(マスタ非採用削除!E$4,統合マスタ!$A785,0)="","",OFFSET(マスタ非採用削除!E$4,統合マスタ!$A785,0))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5</v>
      </c>
      <c r="AA785" s="27"/>
    </row>
    <row r="786" spans="1:27">
      <c r="A786" s="40">
        <f>元データ!P783</f>
        <v>666</v>
      </c>
      <c r="B786" s="27">
        <f t="shared" si="12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IF(OFFSET(マスタ非採用削除!E$4,統合マスタ!$A786,0)="","",OFFSET(マスタ非採用削除!E$4,統合マスタ!$A786,0))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</row>
    <row r="787" spans="1:27">
      <c r="A787" s="40">
        <f>元データ!P784</f>
        <v>667</v>
      </c>
      <c r="B787" s="27">
        <f t="shared" si="12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IF(OFFSET(マスタ非採用削除!E$4,統合マスタ!$A787,0)="","",OFFSET(マスタ非採用削除!E$4,統合マスタ!$A787,0))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</row>
    <row r="788" spans="1:27">
      <c r="A788" s="40">
        <f>元データ!P785</f>
        <v>668</v>
      </c>
      <c r="B788" s="27">
        <f t="shared" si="12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IF(OFFSET(マスタ非採用削除!E$4,統合マスタ!$A788,0)="","",OFFSET(マスタ非採用削除!E$4,統合マスタ!$A788,0))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5</v>
      </c>
      <c r="AA788" s="27"/>
    </row>
    <row r="789" spans="1:27">
      <c r="A789" s="40">
        <f>元データ!P786</f>
        <v>668</v>
      </c>
      <c r="B789" s="27">
        <f t="shared" si="12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IF(OFFSET(マスタ非採用削除!E$4,統合マスタ!$A789,0)="","",OFFSET(マスタ非採用削除!E$4,統合マスタ!$A789,0))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5</v>
      </c>
      <c r="AA789" s="27"/>
    </row>
    <row r="790" spans="1:27">
      <c r="A790" s="40">
        <f>元データ!P787</f>
        <v>669</v>
      </c>
      <c r="B790" s="27">
        <f t="shared" si="12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IF(OFFSET(マスタ非採用削除!E$4,統合マスタ!$A790,0)="","",OFFSET(マスタ非採用削除!E$4,統合マスタ!$A790,0))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</row>
    <row r="791" spans="1:27">
      <c r="A791" s="40">
        <f>元データ!P788</f>
        <v>672</v>
      </c>
      <c r="B791" s="27">
        <f t="shared" si="12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IF(OFFSET(マスタ非採用削除!E$4,統合マスタ!$A791,0)="","",OFFSET(マスタ非採用削除!E$4,統合マスタ!$A791,0))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</row>
    <row r="792" spans="1:27">
      <c r="A792" s="40">
        <f>元データ!P789</f>
        <v>670</v>
      </c>
      <c r="B792" s="27">
        <f t="shared" si="12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IF(OFFSET(マスタ非採用削除!E$4,統合マスタ!$A792,0)="","",OFFSET(マスタ非採用削除!E$4,統合マスタ!$A792,0))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6</v>
      </c>
      <c r="AA792" s="27"/>
    </row>
    <row r="793" spans="1:27">
      <c r="A793" s="40">
        <f>元データ!P790</f>
        <v>670</v>
      </c>
      <c r="B793" s="27">
        <f t="shared" si="12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IF(OFFSET(マスタ非採用削除!E$4,統合マスタ!$A793,0)="","",OFFSET(マスタ非採用削除!E$4,統合マスタ!$A793,0))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6</v>
      </c>
      <c r="AA793" s="27"/>
    </row>
    <row r="794" spans="1:27">
      <c r="A794" s="40">
        <f>元データ!P791</f>
        <v>671</v>
      </c>
      <c r="B794" s="27">
        <f t="shared" si="12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IF(OFFSET(マスタ非採用削除!E$4,統合マスタ!$A794,0)="","",OFFSET(マスタ非採用削除!E$4,統合マスタ!$A794,0))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6</v>
      </c>
      <c r="AA794" s="27"/>
    </row>
    <row r="795" spans="1:27">
      <c r="A795" s="40">
        <f>元データ!P792</f>
        <v>671</v>
      </c>
      <c r="B795" s="27">
        <f t="shared" si="12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IF(OFFSET(マスタ非採用削除!E$4,統合マスタ!$A795,0)="","",OFFSET(マスタ非採用削除!E$4,統合マスタ!$A795,0))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6</v>
      </c>
      <c r="AA795" s="27"/>
    </row>
    <row r="796" spans="1:27">
      <c r="A796" s="40">
        <f>元データ!P793</f>
        <v>673</v>
      </c>
      <c r="B796" s="27">
        <f t="shared" si="12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IF(OFFSET(マスタ非採用削除!E$4,統合マスタ!$A796,0)="","",OFFSET(マスタ非採用削除!E$4,統合マスタ!$A796,0))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</row>
    <row r="797" spans="1:27">
      <c r="A797" s="40">
        <f>元データ!P794</f>
        <v>674</v>
      </c>
      <c r="B797" s="27">
        <f t="shared" si="12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IF(OFFSET(マスタ非採用削除!E$4,統合マスタ!$A797,0)="","",OFFSET(マスタ非採用削除!E$4,統合マスタ!$A797,0))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</row>
    <row r="798" spans="1:27">
      <c r="A798" s="40">
        <f>元データ!P795</f>
        <v>675</v>
      </c>
      <c r="B798" s="27">
        <f t="shared" si="12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IF(OFFSET(マスタ非採用削除!E$4,統合マスタ!$A798,0)="","",OFFSET(マスタ非採用削除!E$4,統合マスタ!$A798,0))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</row>
    <row r="799" spans="1:27">
      <c r="A799" s="40">
        <f>元データ!P796</f>
        <v>676</v>
      </c>
      <c r="B799" s="27">
        <f t="shared" si="12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IF(OFFSET(マスタ非採用削除!E$4,統合マスタ!$A799,0)="","",OFFSET(マスタ非採用削除!E$4,統合マスタ!$A799,0))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5</v>
      </c>
      <c r="AA799" s="27"/>
    </row>
    <row r="800" spans="1:27">
      <c r="A800" s="40">
        <f>元データ!P797</f>
        <v>677</v>
      </c>
      <c r="B800" s="27">
        <f t="shared" si="12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IF(OFFSET(マスタ非採用削除!E$4,統合マスタ!$A800,0)="","",OFFSET(マスタ非採用削除!E$4,統合マスタ!$A800,0))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5</v>
      </c>
      <c r="AA800" s="27"/>
    </row>
    <row r="801" spans="1:27">
      <c r="A801" s="40">
        <f>元データ!P798</f>
        <v>677</v>
      </c>
      <c r="B801" s="27">
        <f t="shared" si="12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IF(OFFSET(マスタ非採用削除!E$4,統合マスタ!$A801,0)="","",OFFSET(マスタ非採用削除!E$4,統合マスタ!$A801,0))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5</v>
      </c>
      <c r="AA801" s="27"/>
    </row>
    <row r="802" spans="1:27">
      <c r="A802" s="40">
        <f>元データ!P799</f>
        <v>681</v>
      </c>
      <c r="B802" s="27">
        <f t="shared" si="12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IF(OFFSET(マスタ非採用削除!E$4,統合マスタ!$A802,0)="","",OFFSET(マスタ非採用削除!E$4,統合マスタ!$A802,0))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5</v>
      </c>
      <c r="AA802" s="27"/>
    </row>
    <row r="803" spans="1:27">
      <c r="A803" s="40">
        <f>元データ!P800</f>
        <v>678</v>
      </c>
      <c r="B803" s="27">
        <f t="shared" si="12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IF(OFFSET(マスタ非採用削除!E$4,統合マスタ!$A803,0)="","",OFFSET(マスタ非採用削除!E$4,統合マスタ!$A803,0))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</row>
    <row r="804" spans="1:27">
      <c r="A804" s="40">
        <f>元データ!P801</f>
        <v>680</v>
      </c>
      <c r="B804" s="27">
        <f t="shared" si="12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IF(OFFSET(マスタ非採用削除!E$4,統合マスタ!$A804,0)="","",OFFSET(マスタ非採用削除!E$4,統合マスタ!$A804,0))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</row>
    <row r="805" spans="1:27">
      <c r="A805" s="40">
        <f>元データ!P802</f>
        <v>679</v>
      </c>
      <c r="B805" s="27">
        <f t="shared" si="12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IF(OFFSET(マスタ非採用削除!E$4,統合マスタ!$A805,0)="","",OFFSET(マスタ非採用削除!E$4,統合マスタ!$A805,0))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</row>
    <row r="806" spans="1:27">
      <c r="A806" s="40">
        <f>元データ!P803</f>
        <v>683</v>
      </c>
      <c r="B806" s="27">
        <f t="shared" si="12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IF(OFFSET(マスタ非採用削除!E$4,統合マスタ!$A806,0)="","",OFFSET(マスタ非採用削除!E$4,統合マスタ!$A806,0))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</row>
    <row r="807" spans="1:27">
      <c r="A807" s="40">
        <f>元データ!P804</f>
        <v>682</v>
      </c>
      <c r="B807" s="27">
        <f t="shared" si="12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IF(OFFSET(マスタ非採用削除!E$4,統合マスタ!$A807,0)="","",OFFSET(マスタ非採用削除!E$4,統合マスタ!$A807,0))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</row>
    <row r="808" spans="1:27">
      <c r="A808" s="40">
        <f>元データ!P805</f>
        <v>1</v>
      </c>
      <c r="B808" s="27">
        <f t="shared" si="12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IF(OFFSET(マスタ非採用削除!E$4,統合マスタ!$A808,0)="","",OFFSET(マスタ非採用削除!E$4,統合マスタ!$A808,0))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</row>
    <row r="809" spans="1:27">
      <c r="A809" s="40">
        <f>元データ!P806</f>
        <v>96</v>
      </c>
      <c r="B809" s="27">
        <f t="shared" si="12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IF(OFFSET(マスタ非採用削除!E$4,統合マスタ!$A809,0)="","",OFFSET(マスタ非採用削除!E$4,統合マスタ!$A809,0))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</row>
    <row r="810" spans="1:27">
      <c r="A810" s="40">
        <f>元データ!P807</f>
        <v>97</v>
      </c>
      <c r="B810" s="27">
        <f t="shared" si="12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IF(OFFSET(マスタ非採用削除!E$4,統合マスタ!$A810,0)="","",OFFSET(マスタ非採用削除!E$4,統合マスタ!$A810,0))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</row>
    <row r="811" spans="1:27">
      <c r="A811" s="40" t="str">
        <f>元データ!P808</f>
        <v>非採用</v>
      </c>
      <c r="B811" s="27">
        <f t="shared" si="12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 t="e">
        <f ca="1">IF(OFFSET(マスタ非採用削除!E$4,統合マスタ!$A811,0)="","",OFFSET(マスタ非採用削除!E$4,統合マスタ!$A811,0))</f>
        <v>#VALUE!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">
        <v>4063</v>
      </c>
    </row>
    <row r="812" spans="1:27">
      <c r="A812" s="40">
        <f>元データ!P809</f>
        <v>0</v>
      </c>
      <c r="B812" s="27">
        <f t="shared" si="12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str">
        <f ca="1">IF(OFFSET(マスタ非採用削除!A$4,統合マスタ!$A812,0)="","",OFFSET(マスタ非採用削除!A$4,統合マスタ!$A812,0))</f>
        <v>コード(区分値)</v>
      </c>
      <c r="O812" s="53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3" t="str">
        <f ca="1">IF(OFFSET(マスタ非採用削除!D$4,統合マスタ!$A812,0)="","",OFFSET(マスタ非採用削除!D$4,統合マスタ!$A812,0))</f>
        <v>ホストコード</v>
      </c>
      <c r="R812" s="27" t="str">
        <f ca="1">IF(OFFSET(マスタ非採用削除!E$4,統合マスタ!$A812,0)="","",OFFSET(マスタ非採用削除!E$4,統合マスタ!$A812,0))</f>
        <v>採用区分（区分値）(区分値)</v>
      </c>
      <c r="S812" s="53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3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3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棚</v>
      </c>
      <c r="AA812" s="27"/>
    </row>
    <row r="813" spans="1:27">
      <c r="A813" s="40" t="str">
        <f>元データ!P810</f>
        <v/>
      </c>
      <c r="B813" s="27">
        <f t="shared" si="12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e">
        <f ca="1">IF(OFFSET(マスタ非採用削除!A$4,統合マスタ!$A813,0)="","",OFFSET(マスタ非採用削除!A$4,統合マスタ!$A813,0))</f>
        <v>#VALUE!</v>
      </c>
      <c r="O813" s="53" t="e">
        <f ca="1">IF(OFFSET(マスタ非採用削除!B$4,統合マスタ!$A813,0)="","",OFFSET(マスタ非採用削除!B$4,統合マスタ!$A813,0))</f>
        <v>#VALUE!</v>
      </c>
      <c r="P813" s="27" t="e">
        <f ca="1">IF(OFFSET(マスタ非採用削除!C$4,統合マスタ!$A813,0)="","",OFFSET(マスタ非採用削除!C$4,統合マスタ!$A813,0))</f>
        <v>#VALUE!</v>
      </c>
      <c r="Q813" s="53" t="e">
        <f ca="1">IF(OFFSET(マスタ非採用削除!D$4,統合マスタ!$A813,0)="","",OFFSET(マスタ非採用削除!D$4,統合マスタ!$A813,0))</f>
        <v>#VALUE!</v>
      </c>
      <c r="R813" s="27" t="e">
        <f ca="1">IF(OFFSET(マスタ非採用削除!E$4,統合マスタ!$A813,0)="","",OFFSET(マスタ非採用削除!E$4,統合マスタ!$A813,0))</f>
        <v>#VALUE!</v>
      </c>
      <c r="S813" s="53" t="e">
        <f ca="1">IF(OFFSET(マスタ非採用削除!F$4,統合マスタ!$A813,0)="","",OFFSET(マスタ非採用削除!F$4,統合マスタ!$A813,0))</f>
        <v>#VALUE!</v>
      </c>
      <c r="T813" s="27" t="e">
        <f ca="1">IF(OFFSET(マスタ非採用削除!G$4,統合マスタ!$A813,0)="","",OFFSET(マスタ非採用削除!G$4,統合マスタ!$A813,0))</f>
        <v>#VALUE!</v>
      </c>
      <c r="U813" s="53" t="e">
        <f ca="1">IF(OFFSET(マスタ非採用削除!H$4,統合マスタ!$A813,0)="","",OFFSET(マスタ非採用削除!H$4,統合マスタ!$A813,0))</f>
        <v>#VALUE!</v>
      </c>
      <c r="V813" s="27" t="e">
        <f ca="1">IF(OFFSET(マスタ非採用削除!I$4,統合マスタ!$A813,0)="","",OFFSET(マスタ非採用削除!I$4,統合マスタ!$A813,0))</f>
        <v>#VALUE!</v>
      </c>
      <c r="W813" s="27" t="e">
        <f ca="1">IF(OFFSET(マスタ非採用削除!J$4,統合マスタ!$A813,0)="","",OFFSET(マスタ非採用削除!J$4,統合マスタ!$A813,0))</f>
        <v>#VALUE!</v>
      </c>
      <c r="X813" s="27" t="e">
        <f ca="1">IF(OFFSET(マスタ非採用削除!K$4,統合マスタ!$A813,0)="","",OFFSET(マスタ非採用削除!K$4,統合マスタ!$A813,0))</f>
        <v>#VALUE!</v>
      </c>
      <c r="Y813" s="53" t="e">
        <f ca="1">IF(OFFSET(マスタ非採用削除!L$4,統合マスタ!$A813,0)="","",OFFSET(マスタ非採用削除!L$4,統合マスタ!$A813,0))</f>
        <v>#VALUE!</v>
      </c>
      <c r="Z813" s="27" t="e">
        <f ca="1">IF(OFFSET(マスタ非採用削除!M$4,統合マスタ!$A813,0)="","",OFFSET(マスタ非採用削除!M$4,統合マスタ!$A813,0))</f>
        <v>#VALUE!</v>
      </c>
      <c r="AA813" s="27"/>
    </row>
    <row r="814" spans="1:27">
      <c r="A814" s="40">
        <f>元データ!P811</f>
        <v>203</v>
      </c>
      <c r="B814" s="27">
        <f t="shared" si="12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IF(OFFSET(マスタ非採用削除!E$4,統合マスタ!$A814,0)="","",OFFSET(マスタ非採用削除!E$4,統合マスタ!$A814,0))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</row>
    <row r="815" spans="1:27">
      <c r="A815" s="40">
        <f>元データ!P812</f>
        <v>208</v>
      </c>
      <c r="B815" s="27">
        <f t="shared" si="12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IF(OFFSET(マスタ非採用削除!E$4,統合マスタ!$A815,0)="","",OFFSET(マスタ非採用削除!E$4,統合マスタ!$A815,0))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</row>
    <row r="816" spans="1:27">
      <c r="A816" s="40">
        <f>元データ!P813</f>
        <v>209</v>
      </c>
      <c r="B816" s="27">
        <f t="shared" si="12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IF(OFFSET(マスタ非採用削除!E$4,統合マスタ!$A816,0)="","",OFFSET(マスタ非採用削除!E$4,統合マスタ!$A816,0))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</row>
    <row r="817" spans="1:27">
      <c r="A817" s="40">
        <f>元データ!P814</f>
        <v>486</v>
      </c>
      <c r="B817" s="27">
        <f t="shared" si="12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IF(OFFSET(マスタ非採用削除!E$4,統合マスタ!$A817,0)="","",OFFSET(マスタ非採用削除!E$4,統合マスタ!$A817,0))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</row>
    <row r="818" spans="1:27">
      <c r="A818" s="40">
        <f>元データ!P815</f>
        <v>0</v>
      </c>
      <c r="B818" s="27">
        <f t="shared" si="12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コード(区分値)</v>
      </c>
      <c r="O818" s="53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3" t="str">
        <f ca="1">IF(OFFSET(マスタ非採用削除!D$4,統合マスタ!$A818,0)="","",OFFSET(マスタ非採用削除!D$4,統合マスタ!$A818,0))</f>
        <v>ホストコード</v>
      </c>
      <c r="R818" s="27" t="str">
        <f ca="1">IF(OFFSET(マスタ非採用削除!E$4,統合マスタ!$A818,0)="","",OFFSET(マスタ非採用削除!E$4,統合マスタ!$A818,0))</f>
        <v>採用区分（区分値）(区分値)</v>
      </c>
      <c r="S818" s="53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3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3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棚</v>
      </c>
      <c r="AA818" s="27"/>
    </row>
    <row r="819" spans="1:27">
      <c r="A819" s="40">
        <f>元データ!P816</f>
        <v>222</v>
      </c>
      <c r="B819" s="27">
        <f t="shared" si="12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IF(OFFSET(マスタ非採用削除!E$4,統合マスタ!$A819,0)="","",OFFSET(マスタ非採用削除!E$4,統合マスタ!$A819,0))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</row>
    <row r="820" spans="1:27">
      <c r="A820" s="40">
        <f>元データ!P817</f>
        <v>224</v>
      </c>
      <c r="B820" s="27">
        <f t="shared" si="12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IF(OFFSET(マスタ非採用削除!E$4,統合マスタ!$A820,0)="","",OFFSET(マスタ非採用削除!E$4,統合マスタ!$A820,0))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</row>
    <row r="821" spans="1:27">
      <c r="A821" s="40">
        <f>元データ!P818</f>
        <v>0</v>
      </c>
      <c r="B821" s="27">
        <f t="shared" si="12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コード(区分値)</v>
      </c>
      <c r="O821" s="53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3" t="str">
        <f ca="1">IF(OFFSET(マスタ非採用削除!D$4,統合マスタ!$A821,0)="","",OFFSET(マスタ非採用削除!D$4,統合マスタ!$A821,0))</f>
        <v>ホストコード</v>
      </c>
      <c r="R821" s="27" t="str">
        <f ca="1">IF(OFFSET(マスタ非採用削除!E$4,統合マスタ!$A821,0)="","",OFFSET(マスタ非採用削除!E$4,統合マスタ!$A821,0))</f>
        <v>採用区分（区分値）(区分値)</v>
      </c>
      <c r="S821" s="53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3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3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棚</v>
      </c>
      <c r="AA821" s="27"/>
    </row>
    <row r="822" spans="1:27">
      <c r="A822" s="40">
        <f>元データ!P819</f>
        <v>0</v>
      </c>
      <c r="B822" s="27">
        <f t="shared" si="12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str">
        <f ca="1">IF(OFFSET(マスタ非採用削除!A$4,統合マスタ!$A822,0)="","",OFFSET(マスタ非採用削除!A$4,統合マスタ!$A822,0))</f>
        <v>コード(区分値)</v>
      </c>
      <c r="O822" s="53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3" t="str">
        <f ca="1">IF(OFFSET(マスタ非採用削除!D$4,統合マスタ!$A822,0)="","",OFFSET(マスタ非採用削除!D$4,統合マスタ!$A822,0))</f>
        <v>ホストコード</v>
      </c>
      <c r="R822" s="27" t="str">
        <f ca="1">IF(OFFSET(マスタ非採用削除!E$4,統合マスタ!$A822,0)="","",OFFSET(マスタ非採用削除!E$4,統合マスタ!$A822,0))</f>
        <v>採用区分（区分値）(区分値)</v>
      </c>
      <c r="S822" s="53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3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3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棚</v>
      </c>
      <c r="AA822" s="27"/>
    </row>
    <row r="823" spans="1:27">
      <c r="A823" s="40" t="str">
        <f>元データ!P820</f>
        <v>非採用</v>
      </c>
      <c r="B823" s="27">
        <f t="shared" si="12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 t="e">
        <f ca="1">IF(OFFSET(マスタ非採用削除!E$4,統合マスタ!$A823,0)="","",OFFSET(マスタ非採用削除!E$4,統合マスタ!$A823,0))</f>
        <v>#VALUE!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4074</v>
      </c>
    </row>
    <row r="824" spans="1:27">
      <c r="A824" s="40">
        <f>元データ!P821</f>
        <v>0</v>
      </c>
      <c r="B824" s="27">
        <f t="shared" si="12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コード(区分値)</v>
      </c>
      <c r="O824" s="53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3" t="str">
        <f ca="1">IF(OFFSET(マスタ非採用削除!D$4,統合マスタ!$A824,0)="","",OFFSET(マスタ非採用削除!D$4,統合マスタ!$A824,0))</f>
        <v>ホストコード</v>
      </c>
      <c r="R824" s="27" t="str">
        <f ca="1">IF(OFFSET(マスタ非採用削除!E$4,統合マスタ!$A824,0)="","",OFFSET(マスタ非採用削除!E$4,統合マスタ!$A824,0))</f>
        <v>採用区分（区分値）(区分値)</v>
      </c>
      <c r="S824" s="53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3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3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棚</v>
      </c>
      <c r="AA824" s="27"/>
    </row>
    <row r="825" spans="1:27">
      <c r="A825" s="40">
        <f>元データ!P822</f>
        <v>0</v>
      </c>
      <c r="B825" s="27">
        <f t="shared" si="12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コード(区分値)</v>
      </c>
      <c r="O825" s="53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3" t="str">
        <f ca="1">IF(OFFSET(マスタ非採用削除!D$4,統合マスタ!$A825,0)="","",OFFSET(マスタ非採用削除!D$4,統合マスタ!$A825,0))</f>
        <v>ホストコード</v>
      </c>
      <c r="R825" s="27" t="str">
        <f ca="1">IF(OFFSET(マスタ非採用削除!E$4,統合マスタ!$A825,0)="","",OFFSET(マスタ非採用削除!E$4,統合マスタ!$A825,0))</f>
        <v>採用区分（区分値）(区分値)</v>
      </c>
      <c r="S825" s="53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3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3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棚</v>
      </c>
      <c r="AA825" s="27"/>
    </row>
    <row r="826" spans="1:27">
      <c r="A826" s="40">
        <f>元データ!P823</f>
        <v>335</v>
      </c>
      <c r="B826" s="27">
        <f t="shared" si="12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IF(OFFSET(マスタ非採用削除!E$4,統合マスタ!$A826,0)="","",OFFSET(マスタ非採用削除!E$4,統合マスタ!$A826,0))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</row>
    <row r="827" spans="1:27">
      <c r="A827" s="40">
        <f>元データ!P824</f>
        <v>0</v>
      </c>
      <c r="B827" s="27">
        <f t="shared" si="12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コード(区分値)</v>
      </c>
      <c r="O827" s="53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3" t="str">
        <f ca="1">IF(OFFSET(マスタ非採用削除!D$4,統合マスタ!$A827,0)="","",OFFSET(マスタ非採用削除!D$4,統合マスタ!$A827,0))</f>
        <v>ホストコード</v>
      </c>
      <c r="R827" s="27" t="str">
        <f ca="1">IF(OFFSET(マスタ非採用削除!E$4,統合マスタ!$A827,0)="","",OFFSET(マスタ非採用削除!E$4,統合マスタ!$A827,0))</f>
        <v>採用区分（区分値）(区分値)</v>
      </c>
      <c r="S827" s="53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3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3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棚</v>
      </c>
      <c r="AA827" s="27"/>
    </row>
    <row r="828" spans="1:27">
      <c r="A828" s="40">
        <f>元データ!P825</f>
        <v>280</v>
      </c>
      <c r="B828" s="27">
        <f t="shared" si="12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IF(OFFSET(マスタ非採用削除!E$4,統合マスタ!$A828,0)="","",OFFSET(マスタ非採用削除!E$4,統合マスタ!$A828,0))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6</v>
      </c>
      <c r="AA828" s="27"/>
    </row>
    <row r="829" spans="1:27">
      <c r="A829" s="40">
        <f>元データ!P826</f>
        <v>280</v>
      </c>
      <c r="B829" s="27">
        <f t="shared" si="12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IF(OFFSET(マスタ非採用削除!E$4,統合マスタ!$A829,0)="","",OFFSET(マスタ非採用削除!E$4,統合マスタ!$A829,0))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6</v>
      </c>
      <c r="AA829" s="27"/>
    </row>
    <row r="830" spans="1:27">
      <c r="A830" s="40">
        <f>元データ!P827</f>
        <v>279</v>
      </c>
      <c r="B830" s="27">
        <f t="shared" si="12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IF(OFFSET(マスタ非採用削除!E$4,統合マスタ!$A830,0)="","",OFFSET(マスタ非採用削除!E$4,統合マスタ!$A830,0))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6</v>
      </c>
      <c r="AA830" s="27"/>
    </row>
    <row r="831" spans="1:27">
      <c r="A831" s="40">
        <f>元データ!P828</f>
        <v>279</v>
      </c>
      <c r="B831" s="27">
        <f t="shared" si="12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IF(OFFSET(マスタ非採用削除!E$4,統合マスタ!$A831,0)="","",OFFSET(マスタ非採用削除!E$4,統合マスタ!$A831,0))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6</v>
      </c>
      <c r="AA831" s="27"/>
    </row>
    <row r="832" spans="1:27">
      <c r="A832" s="40">
        <f>元データ!P829</f>
        <v>278</v>
      </c>
      <c r="B832" s="27">
        <f t="shared" si="12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IF(OFFSET(マスタ非採用削除!E$4,統合マスタ!$A832,0)="","",OFFSET(マスタ非採用削除!E$4,統合マスタ!$A832,0))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</row>
    <row r="833" spans="1:27">
      <c r="A833" s="40">
        <f>元データ!P830</f>
        <v>0</v>
      </c>
      <c r="B833" s="27">
        <f t="shared" si="12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str">
        <f ca="1">IF(OFFSET(マスタ非採用削除!A$4,統合マスタ!$A833,0)="","",OFFSET(マスタ非採用削除!A$4,統合マスタ!$A833,0))</f>
        <v>コード(区分値)</v>
      </c>
      <c r="O833" s="53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3" t="str">
        <f ca="1">IF(OFFSET(マスタ非採用削除!D$4,統合マスタ!$A833,0)="","",OFFSET(マスタ非採用削除!D$4,統合マスタ!$A833,0))</f>
        <v>ホストコード</v>
      </c>
      <c r="R833" s="27" t="str">
        <f ca="1">IF(OFFSET(マスタ非採用削除!E$4,統合マスタ!$A833,0)="","",OFFSET(マスタ非採用削除!E$4,統合マスタ!$A833,0))</f>
        <v>採用区分（区分値）(区分値)</v>
      </c>
      <c r="S833" s="53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3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3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棚</v>
      </c>
      <c r="AA833" s="27"/>
    </row>
    <row r="834" spans="1:27">
      <c r="A834" s="40">
        <f>元データ!P831</f>
        <v>0</v>
      </c>
      <c r="B834" s="27">
        <f t="shared" si="12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コード(区分値)</v>
      </c>
      <c r="O834" s="53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3" t="str">
        <f ca="1">IF(OFFSET(マスタ非採用削除!D$4,統合マスタ!$A834,0)="","",OFFSET(マスタ非採用削除!D$4,統合マスタ!$A834,0))</f>
        <v>ホストコード</v>
      </c>
      <c r="R834" s="27" t="str">
        <f ca="1">IF(OFFSET(マスタ非採用削除!E$4,統合マスタ!$A834,0)="","",OFFSET(マスタ非採用削除!E$4,統合マスタ!$A834,0))</f>
        <v>採用区分（区分値）(区分値)</v>
      </c>
      <c r="S834" s="53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3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3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棚</v>
      </c>
      <c r="AA834" s="27"/>
    </row>
    <row r="835" spans="1:27">
      <c r="A835" s="40">
        <f>元データ!P832</f>
        <v>0</v>
      </c>
      <c r="B835" s="27">
        <f t="shared" si="12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コード(区分値)</v>
      </c>
      <c r="O835" s="53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3" t="str">
        <f ca="1">IF(OFFSET(マスタ非採用削除!D$4,統合マスタ!$A835,0)="","",OFFSET(マスタ非採用削除!D$4,統合マスタ!$A835,0))</f>
        <v>ホストコード</v>
      </c>
      <c r="R835" s="27" t="str">
        <f ca="1">IF(OFFSET(マスタ非採用削除!E$4,統合マスタ!$A835,0)="","",OFFSET(マスタ非採用削除!E$4,統合マスタ!$A835,0))</f>
        <v>採用区分（区分値）(区分値)</v>
      </c>
      <c r="S835" s="53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3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3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棚</v>
      </c>
      <c r="AA835" s="27"/>
    </row>
    <row r="836" spans="1:27">
      <c r="A836" s="40">
        <f>元データ!P833</f>
        <v>381</v>
      </c>
      <c r="B836" s="27">
        <f t="shared" si="12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IF(OFFSET(マスタ非採用削除!E$4,統合マスタ!$A836,0)="","",OFFSET(マスタ非採用削除!E$4,統合マスタ!$A836,0))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</row>
    <row r="837" spans="1:27">
      <c r="A837" s="40">
        <f>元データ!P834</f>
        <v>0</v>
      </c>
      <c r="B837" s="27">
        <f t="shared" si="12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コード(区分値)</v>
      </c>
      <c r="O837" s="53" t="str">
        <f ca="1">IF(OFFSET(マスタ非採用削除!B$4,統合マスタ!$A837,0)="","",OFFSET(マスタ非採用削除!B$4,統合マスタ!$A837,0))</f>
        <v>コード</v>
      </c>
      <c r="P837" s="27" t="str">
        <f ca="1">IF(OFFSET(マスタ非採用削除!C$4,統合マスタ!$A837,0)="","",OFFSET(マスタ非採用削除!C$4,統合マスタ!$A837,0))</f>
        <v>名称</v>
      </c>
      <c r="Q837" s="53" t="str">
        <f ca="1">IF(OFFSET(マスタ非採用削除!D$4,統合マスタ!$A837,0)="","",OFFSET(マスタ非採用削除!D$4,統合マスタ!$A837,0))</f>
        <v>ホストコード</v>
      </c>
      <c r="R837" s="27" t="str">
        <f ca="1">IF(OFFSET(マスタ非採用削除!E$4,統合マスタ!$A837,0)="","",OFFSET(マスタ非採用削除!E$4,統合マスタ!$A837,0))</f>
        <v>採用区分（区分値）(区分値)</v>
      </c>
      <c r="S837" s="53" t="str">
        <f ca="1">IF(OFFSET(マスタ非採用削除!F$4,統合マスタ!$A837,0)="","",OFFSET(マスタ非採用削除!F$4,統合マスタ!$A837,0))</f>
        <v>採用区分（区分値）</v>
      </c>
      <c r="T837" s="27" t="str">
        <f ca="1">IF(OFFSET(マスタ非採用削除!G$4,統合マスタ!$A837,0)="","",OFFSET(マスタ非採用削除!G$4,統合マスタ!$A837,0))</f>
        <v>薬価</v>
      </c>
      <c r="U837" s="53" t="str">
        <f ca="1">IF(OFFSET(マスタ非採用削除!H$4,統合マスタ!$A837,0)="","",OFFSET(マスタ非採用削除!H$4,統合マスタ!$A837,0))</f>
        <v>カナ名称</v>
      </c>
      <c r="V837" s="27" t="str">
        <f ca="1">IF(OFFSET(マスタ非採用削除!I$4,統合マスタ!$A837,0)="","",OFFSET(マスタ非採用削除!I$4,統合マスタ!$A837,0))</f>
        <v>剤形(区分値)</v>
      </c>
      <c r="W837" s="27" t="str">
        <f ca="1">IF(OFFSET(マスタ非採用削除!J$4,統合マスタ!$A837,0)="","",OFFSET(マスタ非採用削除!J$4,統合マスタ!$A837,0))</f>
        <v>剤形</v>
      </c>
      <c r="X837" s="27" t="str">
        <f ca="1">IF(OFFSET(マスタ非採用削除!K$4,統合マスタ!$A837,0)="","",OFFSET(マスタ非採用削除!K$4,統合マスタ!$A837,0))</f>
        <v>毒劇薬（区分値）(区分値)</v>
      </c>
      <c r="Y837" s="53" t="str">
        <f ca="1">IF(OFFSET(マスタ非採用削除!L$4,統合マスタ!$A837,0)="","",OFFSET(マスタ非採用削除!L$4,統合マスタ!$A837,0))</f>
        <v>毒劇薬（区分値）</v>
      </c>
      <c r="Z837" s="27" t="str">
        <f ca="1">IF(OFFSET(マスタ非採用削除!M$4,統合マスタ!$A837,0)="","",OFFSET(マスタ非採用削除!M$4,統合マスタ!$A837,0))</f>
        <v>棚</v>
      </c>
      <c r="AA837" s="27"/>
    </row>
  </sheetData>
  <autoFilter ref="A4:AA837" xr:uid="{C6429F29-E88E-486B-9255-D1035979C151}"/>
  <mergeCells count="2">
    <mergeCell ref="C3:M3"/>
    <mergeCell ref="N3:Z3"/>
  </mergeCells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B2:H304"/>
  <sheetViews>
    <sheetView workbookViewId="0">
      <selection activeCell="J19" sqref="J19"/>
    </sheetView>
  </sheetViews>
  <sheetFormatPr defaultRowHeight="13.2"/>
  <cols>
    <col min="1" max="2" width="8.88671875" style="29"/>
    <col min="3" max="3" width="61.5546875" style="29" bestFit="1" customWidth="1"/>
    <col min="4" max="6" width="5.77734375" style="29" customWidth="1"/>
    <col min="7" max="7" width="14.33203125" style="29" bestFit="1" customWidth="1"/>
    <col min="8" max="8" width="20.109375" style="29" bestFit="1" customWidth="1"/>
    <col min="9" max="16384" width="8.88671875" style="29"/>
  </cols>
  <sheetData>
    <row r="2" spans="2:8" ht="16.2">
      <c r="B2" s="28" t="str" cm="1">
        <f t="array" aca="1" ref="B2" ca="1">RIGHT(CELL("filename",A1),LEN(CELL("filename",A1))-FIND("]",CELL("filename",A1)))</f>
        <v>臨時</v>
      </c>
    </row>
    <row r="4" spans="2:8" s="68" customFormat="1" ht="26.4">
      <c r="B4" s="67" t="s">
        <v>4038</v>
      </c>
      <c r="C4" s="67" t="s">
        <v>4039</v>
      </c>
      <c r="D4" s="67" t="s">
        <v>4040</v>
      </c>
      <c r="E4" s="67" t="s">
        <v>4062</v>
      </c>
      <c r="F4" s="67" t="s">
        <v>4064</v>
      </c>
      <c r="G4" s="67" t="s">
        <v>4065</v>
      </c>
      <c r="H4" s="67" t="s">
        <v>4113</v>
      </c>
    </row>
    <row r="5" spans="2:8">
      <c r="B5" s="27">
        <v>1</v>
      </c>
      <c r="C5" s="27" t="str" cm="1">
        <f t="array" aca="1" ref="C5:G148" ca="1">_xlfn._xlws.SORT(_xlfn.CHOOSECOLS(_xlfn._xlws.FILTER(IFERROR(統合マスタ!B5:Z1491,""),IFERROR(統合マスタ!R5:R1491=2,FALSE)),2,23,25,4,5),2,1)</f>
        <v>００７　ツムラ　ハチミジオウガン</v>
      </c>
      <c r="D5" s="27">
        <f ca="1"/>
        <v>0</v>
      </c>
      <c r="E5" s="54">
        <f ca="1"/>
        <v>4</v>
      </c>
      <c r="F5" s="54" t="str">
        <f ca="1"/>
        <v>粉</v>
      </c>
      <c r="G5" s="54" t="str">
        <f ca="1"/>
        <v>２．５ｇｘ１８９</v>
      </c>
      <c r="H5" s="54" t="str">
        <f ca="1">IF(E5="","",OFFSET(分類!$B$29,臨時!E5,0))</f>
        <v>漢方薬</v>
      </c>
    </row>
    <row r="6" spans="2:8">
      <c r="B6" s="27">
        <f>B5+1</f>
        <v>2</v>
      </c>
      <c r="C6" s="27" t="str">
        <f ca="1"/>
        <v>００７　ツムラ　ハチミジオウガン</v>
      </c>
      <c r="D6" s="27">
        <f ca="1"/>
        <v>0</v>
      </c>
      <c r="E6" s="54">
        <f ca="1"/>
        <v>4</v>
      </c>
      <c r="F6" s="54" t="str">
        <f ca="1"/>
        <v>粉</v>
      </c>
      <c r="G6" s="54" t="str">
        <f ca="1"/>
        <v>２．５ｇｘ４２</v>
      </c>
      <c r="H6" s="54" t="str">
        <f ca="1">IF(E6="","",OFFSET(分類!$B$29,臨時!E6,0))</f>
        <v>漢方薬</v>
      </c>
    </row>
    <row r="7" spans="2:8">
      <c r="B7" s="27">
        <f t="shared" ref="B7:B70" si="0">B6+1</f>
        <v>3</v>
      </c>
      <c r="C7" s="27" t="str">
        <f ca="1"/>
        <v>０１２　ツムラ　サイコカリュウコツボレイトウ</v>
      </c>
      <c r="D7" s="27">
        <f ca="1"/>
        <v>0</v>
      </c>
      <c r="E7" s="54">
        <f ca="1"/>
        <v>4</v>
      </c>
      <c r="F7" s="54" t="str">
        <f ca="1"/>
        <v>粉</v>
      </c>
      <c r="G7" s="54" t="str">
        <f ca="1"/>
        <v>２．５ｇｘ１８９</v>
      </c>
      <c r="H7" s="54" t="str">
        <f ca="1">IF(E7="","",OFFSET(分類!$B$29,臨時!E7,0))</f>
        <v>漢方薬</v>
      </c>
    </row>
    <row r="8" spans="2:8">
      <c r="B8" s="27">
        <f t="shared" si="0"/>
        <v>4</v>
      </c>
      <c r="C8" s="27" t="str">
        <f ca="1"/>
        <v>０１６　ツムラ　ハンゲコウボクトウ</v>
      </c>
      <c r="D8" s="27">
        <f ca="1"/>
        <v>0</v>
      </c>
      <c r="E8" s="54">
        <f ca="1"/>
        <v>4</v>
      </c>
      <c r="F8" s="54" t="str">
        <f ca="1"/>
        <v>粉</v>
      </c>
      <c r="G8" s="54" t="str">
        <f ca="1"/>
        <v>２．５ｇｘ１８９</v>
      </c>
      <c r="H8" s="54" t="str">
        <f ca="1">IF(E8="","",OFFSET(分類!$B$29,臨時!E8,0))</f>
        <v>漢方薬</v>
      </c>
    </row>
    <row r="9" spans="2:8">
      <c r="B9" s="27">
        <f t="shared" si="0"/>
        <v>5</v>
      </c>
      <c r="C9" s="27" t="str">
        <f ca="1"/>
        <v>０１９　ツムラ　ショウセイリュウトウ</v>
      </c>
      <c r="D9" s="27">
        <f ca="1"/>
        <v>0</v>
      </c>
      <c r="E9" s="54">
        <f ca="1"/>
        <v>4</v>
      </c>
      <c r="F9" s="54" t="str">
        <f ca="1"/>
        <v>粉</v>
      </c>
      <c r="G9" s="54" t="str">
        <f ca="1"/>
        <v>３ｇＸ４２</v>
      </c>
      <c r="H9" s="54" t="str">
        <f ca="1">IF(E9="","",OFFSET(分類!$B$29,臨時!E9,0))</f>
        <v>漢方薬</v>
      </c>
    </row>
    <row r="10" spans="2:8">
      <c r="B10" s="27">
        <f t="shared" si="0"/>
        <v>6</v>
      </c>
      <c r="C10" s="27" t="str">
        <f ca="1"/>
        <v>０４３　ツムラ　リツクンシトウ</v>
      </c>
      <c r="D10" s="27">
        <f ca="1"/>
        <v>0</v>
      </c>
      <c r="E10" s="54">
        <f ca="1"/>
        <v>4</v>
      </c>
      <c r="F10" s="54" t="str">
        <f ca="1"/>
        <v>粉</v>
      </c>
      <c r="G10" s="54" t="str">
        <f ca="1"/>
        <v>２．５ｇｘ１８９</v>
      </c>
      <c r="H10" s="54" t="str">
        <f ca="1">IF(E10="","",OFFSET(分類!$B$29,臨時!E10,0))</f>
        <v>漢方薬</v>
      </c>
    </row>
    <row r="11" spans="2:8">
      <c r="B11" s="27">
        <f t="shared" si="0"/>
        <v>7</v>
      </c>
      <c r="C11" s="27" t="str">
        <f ca="1"/>
        <v>１０８　ツムラ　ニンジンヨウエイトウ</v>
      </c>
      <c r="D11" s="27">
        <f ca="1"/>
        <v>0</v>
      </c>
      <c r="E11" s="54">
        <f ca="1"/>
        <v>4</v>
      </c>
      <c r="F11" s="54" t="str">
        <f ca="1"/>
        <v>粉</v>
      </c>
      <c r="G11" s="54" t="str">
        <f ca="1"/>
        <v>３ｇｘ４２包</v>
      </c>
      <c r="H11" s="54" t="str">
        <f ca="1">IF(E11="","",OFFSET(分類!$B$29,臨時!E11,0))</f>
        <v>漢方薬</v>
      </c>
    </row>
    <row r="12" spans="2:8">
      <c r="B12" s="27">
        <f t="shared" si="0"/>
        <v>8</v>
      </c>
      <c r="C12" s="27" t="str">
        <f ca="1"/>
        <v>１１２　ツムラ　チョレイトウゴウシモットウ</v>
      </c>
      <c r="D12" s="27">
        <f ca="1"/>
        <v>0</v>
      </c>
      <c r="E12" s="54">
        <f ca="1"/>
        <v>4</v>
      </c>
      <c r="F12" s="54" t="str">
        <f ca="1"/>
        <v>粉</v>
      </c>
      <c r="G12" s="54" t="str">
        <f ca="1"/>
        <v>２．５ｇｘ４２</v>
      </c>
      <c r="H12" s="54" t="str">
        <f ca="1">IF(E12="","",OFFSET(分類!$B$29,臨時!E12,0))</f>
        <v>漢方薬</v>
      </c>
    </row>
    <row r="13" spans="2:8">
      <c r="B13" s="27">
        <f t="shared" si="0"/>
        <v>9</v>
      </c>
      <c r="C13" s="27" t="str">
        <f ca="1"/>
        <v>ＥＫ１１４　柴苓湯　　　　　　　　　　　</v>
      </c>
      <c r="D13" s="27">
        <f ca="1"/>
        <v>0</v>
      </c>
      <c r="E13" s="54">
        <f ca="1"/>
        <v>4</v>
      </c>
      <c r="F13" s="54" t="str">
        <f ca="1"/>
        <v>粉</v>
      </c>
      <c r="G13" s="54" t="str">
        <f ca="1"/>
        <v>２．７ｇ×２９４</v>
      </c>
      <c r="H13" s="54" t="str">
        <f ca="1">IF(E13="","",OFFSET(分類!$B$29,臨時!E13,0))</f>
        <v>漢方薬</v>
      </c>
    </row>
    <row r="14" spans="2:8">
      <c r="B14" s="27">
        <f t="shared" si="0"/>
        <v>10</v>
      </c>
      <c r="C14" s="27" t="str">
        <f ca="1"/>
        <v>ＥＫ１５　黄連解毒湯エキス細粒</v>
      </c>
      <c r="D14" s="27">
        <f ca="1"/>
        <v>0</v>
      </c>
      <c r="E14" s="54">
        <f ca="1"/>
        <v>4</v>
      </c>
      <c r="F14" s="54" t="str">
        <f ca="1"/>
        <v>粉</v>
      </c>
      <c r="G14" s="54" t="str">
        <f ca="1"/>
        <v>２ｇｘ４２包</v>
      </c>
      <c r="H14" s="54" t="str">
        <f ca="1">IF(E14="","",OFFSET(分類!$B$29,臨時!E14,0))</f>
        <v>漢方薬</v>
      </c>
    </row>
    <row r="15" spans="2:8">
      <c r="B15" s="27">
        <f t="shared" si="0"/>
        <v>11</v>
      </c>
      <c r="C15" s="27" t="str">
        <f ca="1"/>
        <v>ＥＫ４０　猪苓湯エキス細粒</v>
      </c>
      <c r="D15" s="27">
        <f ca="1"/>
        <v>0</v>
      </c>
      <c r="E15" s="54">
        <f ca="1"/>
        <v>4</v>
      </c>
      <c r="F15" s="54" t="str">
        <f ca="1"/>
        <v>粉</v>
      </c>
      <c r="G15" s="54" t="str">
        <f ca="1"/>
        <v>２ｇｘ４２包</v>
      </c>
      <c r="H15" s="54" t="str">
        <f ca="1">IF(E15="","",OFFSET(分類!$B$29,臨時!E15,0))</f>
        <v>漢方薬</v>
      </c>
    </row>
    <row r="16" spans="2:8">
      <c r="B16" s="27">
        <f t="shared" si="0"/>
        <v>12</v>
      </c>
      <c r="C16" s="27" t="str">
        <f ca="1"/>
        <v>Ｔ７２　ヨクイニンエキス錠「コタロー」</v>
      </c>
      <c r="D16" s="27">
        <f ca="1"/>
        <v>0</v>
      </c>
      <c r="E16" s="54">
        <f ca="1"/>
        <v>15</v>
      </c>
      <c r="F16" s="54" t="str">
        <f ca="1"/>
        <v>バラ</v>
      </c>
      <c r="G16" s="54" t="str">
        <f ca="1"/>
        <v>１２６Ｔｘ１０</v>
      </c>
      <c r="H16" s="54" t="str">
        <f ca="1">IF(E16="","",OFFSET(分類!$B$29,臨時!E16,0))</f>
        <v>不良在庫</v>
      </c>
    </row>
    <row r="17" spans="2:8">
      <c r="B17" s="27">
        <f t="shared" si="0"/>
        <v>13</v>
      </c>
      <c r="C17" s="27" t="str">
        <f ca="1"/>
        <v>アザルフィジンＥＮ錠５００ｍｇ</v>
      </c>
      <c r="D17" s="27">
        <f ca="1"/>
        <v>0</v>
      </c>
      <c r="E17" s="54">
        <f ca="1"/>
        <v>3</v>
      </c>
      <c r="F17" s="54" t="str">
        <f ca="1"/>
        <v>ＰＴＰ</v>
      </c>
      <c r="G17" s="54" t="str">
        <f ca="1"/>
        <v>１００Ｔ</v>
      </c>
      <c r="H17" s="54" t="str">
        <f ca="1">IF(E17="","",OFFSET(分類!$B$29,臨時!E17,0))</f>
        <v>外用.臨時.散薬ヒート</v>
      </c>
    </row>
    <row r="18" spans="2:8">
      <c r="B18" s="27">
        <f t="shared" si="0"/>
        <v>14</v>
      </c>
      <c r="C18" s="27" t="str">
        <f ca="1"/>
        <v>アシクロビル点滴静注用２５０ｍｇ「サワイ」</v>
      </c>
      <c r="D18" s="27">
        <f ca="1"/>
        <v>0</v>
      </c>
      <c r="E18" s="54">
        <f ca="1"/>
        <v>9</v>
      </c>
      <c r="F18" s="54" t="str">
        <f ca="1"/>
        <v/>
      </c>
      <c r="G18" s="54" t="str">
        <f ca="1"/>
        <v>１０Ｖ</v>
      </c>
      <c r="H18" s="54" t="str">
        <f ca="1">IF(E18="","",OFFSET(分類!$B$29,臨時!E18,0))</f>
        <v>注射</v>
      </c>
    </row>
    <row r="19" spans="2:8">
      <c r="B19" s="27">
        <f t="shared" si="0"/>
        <v>15</v>
      </c>
      <c r="C19" s="27" t="str">
        <f ca="1"/>
        <v>アゾセミド錠３０ｍｇ「ＤＳＥＰ」</v>
      </c>
      <c r="D19" s="27">
        <f ca="1"/>
        <v>0</v>
      </c>
      <c r="E19" s="54">
        <f ca="1"/>
        <v>3</v>
      </c>
      <c r="F19" s="54" t="str">
        <f ca="1"/>
        <v>ＰＴＰ</v>
      </c>
      <c r="G19" s="54" t="str">
        <f ca="1"/>
        <v>１００Ｔ</v>
      </c>
      <c r="H19" s="54" t="str">
        <f ca="1">IF(E19="","",OFFSET(分類!$B$29,臨時!E19,0))</f>
        <v>外用.臨時.散薬ヒート</v>
      </c>
    </row>
    <row r="20" spans="2:8">
      <c r="B20" s="27">
        <f t="shared" si="0"/>
        <v>16</v>
      </c>
      <c r="C20" s="27" t="str">
        <f ca="1"/>
        <v>アドエア５００ディスカス
６０吸入用</v>
      </c>
      <c r="D20" s="27">
        <f ca="1"/>
        <v>0</v>
      </c>
      <c r="E20" s="54">
        <f ca="1"/>
        <v>3</v>
      </c>
      <c r="F20" s="54" t="str">
        <f ca="1"/>
        <v/>
      </c>
      <c r="G20" s="54" t="str">
        <f ca="1"/>
        <v>６０ブリスターｘ１</v>
      </c>
      <c r="H20" s="54" t="str">
        <f ca="1">IF(E20="","",OFFSET(分類!$B$29,臨時!E20,0))</f>
        <v>外用.臨時.散薬ヒート</v>
      </c>
    </row>
    <row r="21" spans="2:8">
      <c r="B21" s="27">
        <f t="shared" si="0"/>
        <v>17</v>
      </c>
      <c r="C21" s="27" t="str">
        <f ca="1"/>
        <v>アミノレバン点滴静注</v>
      </c>
      <c r="D21" s="27">
        <f ca="1"/>
        <v>0</v>
      </c>
      <c r="E21" s="54">
        <f ca="1"/>
        <v>15</v>
      </c>
      <c r="F21" s="54" t="str">
        <f ca="1"/>
        <v/>
      </c>
      <c r="G21" s="54" t="str">
        <f ca="1"/>
        <v>５００ｍｌｘ２０</v>
      </c>
      <c r="H21" s="54" t="str">
        <f ca="1">IF(E21="","",OFFSET(分類!$B$29,臨時!E21,0))</f>
        <v>不良在庫</v>
      </c>
    </row>
    <row r="22" spans="2:8">
      <c r="B22" s="27">
        <f t="shared" si="0"/>
        <v>18</v>
      </c>
      <c r="C22" s="27" t="str">
        <f ca="1"/>
        <v>イノソリッド配合経腸用半固形剤</v>
      </c>
      <c r="D22" s="27">
        <f ca="1"/>
        <v>0</v>
      </c>
      <c r="E22" s="54">
        <f ca="1"/>
        <v>7</v>
      </c>
      <c r="F22" s="54" t="str">
        <f ca="1"/>
        <v/>
      </c>
      <c r="G22" s="54" t="str">
        <f ca="1"/>
        <v>３００ｇｘ１８バッグ</v>
      </c>
      <c r="H22" s="54" t="str">
        <f ca="1">IF(E22="","",OFFSET(分類!$B$29,臨時!E22,0))</f>
        <v>軟膏</v>
      </c>
    </row>
    <row r="23" spans="2:8">
      <c r="B23" s="27">
        <f t="shared" si="0"/>
        <v>19</v>
      </c>
      <c r="C23" s="27" t="str">
        <f ca="1"/>
        <v>イントラリポス輸液２０％　　　　　　ソフトバッグ　１００ｍｌ</v>
      </c>
      <c r="D23" s="27">
        <f ca="1"/>
        <v>0</v>
      </c>
      <c r="E23" s="54">
        <f ca="1"/>
        <v>8</v>
      </c>
      <c r="F23" s="54" t="str">
        <f ca="1"/>
        <v/>
      </c>
      <c r="G23" s="54" t="str">
        <f ca="1"/>
        <v>１００ｍｌｘ１０</v>
      </c>
      <c r="H23" s="54" t="str">
        <f ca="1">IF(E23="","",OFFSET(分類!$B$29,臨時!E23,0))</f>
        <v>抗生剤.小輸液</v>
      </c>
    </row>
    <row r="24" spans="2:8">
      <c r="B24" s="27">
        <f t="shared" si="0"/>
        <v>20</v>
      </c>
      <c r="C24" s="27" t="str">
        <f ca="1"/>
        <v>エイゾプト懸濁性点眼液１％</v>
      </c>
      <c r="D24" s="27">
        <f ca="1"/>
        <v>0</v>
      </c>
      <c r="E24" s="54">
        <f ca="1"/>
        <v>15</v>
      </c>
      <c r="F24" s="54" t="str">
        <f ca="1"/>
        <v/>
      </c>
      <c r="G24" s="54" t="str">
        <f ca="1"/>
        <v>５ｍｌｘ１０</v>
      </c>
      <c r="H24" s="54" t="str">
        <f ca="1">IF(E24="","",OFFSET(分類!$B$29,臨時!E24,0))</f>
        <v>不良在庫</v>
      </c>
    </row>
    <row r="25" spans="2:8">
      <c r="B25" s="27">
        <f t="shared" si="0"/>
        <v>21</v>
      </c>
      <c r="C25" s="27" t="str">
        <f ca="1"/>
        <v>エゼチミブＯＤ錠１０ｍｇ「トーワ」</v>
      </c>
      <c r="D25" s="27">
        <f ca="1"/>
        <v>0</v>
      </c>
      <c r="E25" s="54">
        <f ca="1"/>
        <v>3</v>
      </c>
      <c r="F25" s="54" t="str">
        <f ca="1"/>
        <v>ＰＴＰ</v>
      </c>
      <c r="G25" s="54" t="str">
        <f ca="1"/>
        <v>１００Ｔ</v>
      </c>
      <c r="H25" s="54" t="str">
        <f ca="1">IF(E25="","",OFFSET(分類!$B$29,臨時!E25,0))</f>
        <v>外用.臨時.散薬ヒート</v>
      </c>
    </row>
    <row r="26" spans="2:8">
      <c r="B26" s="27">
        <f t="shared" si="0"/>
        <v>22</v>
      </c>
      <c r="C26" s="27" t="str">
        <f ca="1"/>
        <v>エフィエント錠２．５ｍｇ</v>
      </c>
      <c r="D26" s="27">
        <f ca="1"/>
        <v>0</v>
      </c>
      <c r="E26" s="54">
        <f ca="1"/>
        <v>15</v>
      </c>
      <c r="F26" s="54" t="str">
        <f ca="1"/>
        <v>ＰＴＰ</v>
      </c>
      <c r="G26" s="54" t="str">
        <f ca="1"/>
        <v>１００Ｔ</v>
      </c>
      <c r="H26" s="54" t="str">
        <f ca="1">IF(E26="","",OFFSET(分類!$B$29,臨時!E26,0))</f>
        <v>不良在庫</v>
      </c>
    </row>
    <row r="27" spans="2:8">
      <c r="B27" s="27">
        <f t="shared" si="0"/>
        <v>23</v>
      </c>
      <c r="C27" s="27" t="str">
        <f ca="1"/>
        <v>エフィナコナゾール爪外用液１０％「サワイ」　３．５６ｇ</v>
      </c>
      <c r="D27" s="27">
        <f ca="1"/>
        <v>0</v>
      </c>
      <c r="E27" s="54">
        <f ca="1"/>
        <v>3</v>
      </c>
      <c r="F27" s="54" t="str">
        <f ca="1"/>
        <v/>
      </c>
      <c r="G27" s="54" t="str">
        <f ca="1"/>
        <v>４．１ｍｌｘ５</v>
      </c>
      <c r="H27" s="54" t="str">
        <f ca="1">IF(E27="","",OFFSET(分類!$B$29,臨時!E27,0))</f>
        <v>外用.臨時.散薬ヒート</v>
      </c>
    </row>
    <row r="28" spans="2:8">
      <c r="B28" s="27">
        <f t="shared" si="0"/>
        <v>24</v>
      </c>
      <c r="C28" s="27" t="str">
        <f ca="1"/>
        <v>エリキュース錠２．５ｍｇ</v>
      </c>
      <c r="D28" s="27">
        <f ca="1"/>
        <v>0</v>
      </c>
      <c r="E28" s="54">
        <f ca="1"/>
        <v>3</v>
      </c>
      <c r="F28" s="54" t="str">
        <f ca="1"/>
        <v>ＰＴＰ</v>
      </c>
      <c r="G28" s="54" t="str">
        <f ca="1"/>
        <v>１００Ｔ</v>
      </c>
      <c r="H28" s="54" t="str">
        <f ca="1">IF(E28="","",OFFSET(分類!$B$29,臨時!E28,0))</f>
        <v>外用.臨時.散薬ヒート</v>
      </c>
    </row>
    <row r="29" spans="2:8">
      <c r="B29" s="27">
        <f t="shared" si="0"/>
        <v>25</v>
      </c>
      <c r="C29" s="27" t="str">
        <f ca="1"/>
        <v>エリスロシン錠２００ｍｇ</v>
      </c>
      <c r="D29" s="27">
        <f ca="1"/>
        <v>0</v>
      </c>
      <c r="E29" s="54">
        <f ca="1"/>
        <v>15</v>
      </c>
      <c r="F29" s="54" t="str">
        <f ca="1"/>
        <v>ＰＴＰ</v>
      </c>
      <c r="G29" s="54" t="str">
        <f ca="1"/>
        <v>１００Ｔ</v>
      </c>
      <c r="H29" s="54" t="str">
        <f ca="1">IF(E29="","",OFFSET(分類!$B$29,臨時!E29,0))</f>
        <v>不良在庫</v>
      </c>
    </row>
    <row r="30" spans="2:8">
      <c r="B30" s="27">
        <f t="shared" si="0"/>
        <v>26</v>
      </c>
      <c r="C30" s="27" t="str">
        <f ca="1"/>
        <v>エンレスト錠１００ｍｇ</v>
      </c>
      <c r="D30" s="27">
        <f ca="1"/>
        <v>0</v>
      </c>
      <c r="E30" s="54">
        <f ca="1"/>
        <v>3</v>
      </c>
      <c r="F30" s="54" t="str">
        <f ca="1"/>
        <v>ＰＴＰ</v>
      </c>
      <c r="G30" s="54" t="str">
        <f ca="1"/>
        <v>１００Ｔ</v>
      </c>
      <c r="H30" s="54" t="str">
        <f ca="1">IF(E30="","",OFFSET(分類!$B$29,臨時!E30,0))</f>
        <v>外用.臨時.散薬ヒート</v>
      </c>
    </row>
    <row r="31" spans="2:8">
      <c r="B31" s="27">
        <f t="shared" si="0"/>
        <v>27</v>
      </c>
      <c r="C31" s="27" t="str">
        <f ca="1"/>
        <v>オーグメンチン配合錠２５０ＲＳ（３７５ｍｇ）</v>
      </c>
      <c r="D31" s="27">
        <f ca="1"/>
        <v>0</v>
      </c>
      <c r="E31" s="54">
        <f ca="1"/>
        <v>15</v>
      </c>
      <c r="F31" s="54" t="str">
        <f ca="1"/>
        <v>ＰＴＰ</v>
      </c>
      <c r="G31" s="54" t="str">
        <f ca="1"/>
        <v>３０Ｔ</v>
      </c>
      <c r="H31" s="54" t="str">
        <f ca="1">IF(E31="","",OFFSET(分類!$B$29,臨時!E31,0))</f>
        <v>不良在庫</v>
      </c>
    </row>
    <row r="32" spans="2:8">
      <c r="B32" s="27">
        <f t="shared" si="0"/>
        <v>28</v>
      </c>
      <c r="C32" s="27" t="str">
        <f ca="1"/>
        <v>オルメテックＯＤ錠１０ｍｇ</v>
      </c>
      <c r="D32" s="27">
        <f ca="1"/>
        <v>0</v>
      </c>
      <c r="E32" s="54">
        <f ca="1"/>
        <v>3</v>
      </c>
      <c r="F32" s="54" t="str">
        <f ca="1"/>
        <v>ＰＴＰ</v>
      </c>
      <c r="G32" s="54" t="str">
        <f ca="1"/>
        <v>１００Ｔ</v>
      </c>
      <c r="H32" s="54" t="str">
        <f ca="1">IF(E32="","",OFFSET(分類!$B$29,臨時!E32,0))</f>
        <v>外用.臨時.散薬ヒート</v>
      </c>
    </row>
    <row r="33" spans="2:8">
      <c r="B33" s="27">
        <f t="shared" si="0"/>
        <v>29</v>
      </c>
      <c r="C33" s="27" t="str">
        <f ca="1"/>
        <v>カリメートドライシロップ９２．５９％</v>
      </c>
      <c r="D33" s="27">
        <f ca="1"/>
        <v>0</v>
      </c>
      <c r="E33" s="54">
        <f ca="1"/>
        <v>15</v>
      </c>
      <c r="F33" s="54" t="str">
        <f ca="1"/>
        <v/>
      </c>
      <c r="G33" s="54" t="str">
        <f ca="1"/>
        <v>５．４ｇｘ１２６包</v>
      </c>
      <c r="H33" s="54" t="str">
        <f ca="1">IF(E33="","",OFFSET(分類!$B$29,臨時!E33,0))</f>
        <v>不良在庫</v>
      </c>
    </row>
    <row r="34" spans="2:8">
      <c r="B34" s="27">
        <f t="shared" si="0"/>
        <v>30</v>
      </c>
      <c r="C34" s="27" t="str">
        <f ca="1"/>
        <v>グラアルファ配合点眼液</v>
      </c>
      <c r="D34" s="27">
        <f ca="1"/>
        <v>0</v>
      </c>
      <c r="E34" s="54">
        <f ca="1"/>
        <v>3</v>
      </c>
      <c r="F34" s="54" t="str">
        <f ca="1"/>
        <v/>
      </c>
      <c r="G34" s="54" t="str">
        <f ca="1"/>
        <v>５ｍｌｘ５</v>
      </c>
      <c r="H34" s="54" t="str">
        <f ca="1">IF(E34="","",OFFSET(分類!$B$29,臨時!E34,0))</f>
        <v>外用.臨時.散薬ヒート</v>
      </c>
    </row>
    <row r="35" spans="2:8">
      <c r="B35" s="27">
        <f t="shared" si="0"/>
        <v>31</v>
      </c>
      <c r="C35" s="27" t="str">
        <f ca="1"/>
        <v>クロピドグレル錠２５ｍｇ「ＪＧ」</v>
      </c>
      <c r="D35" s="27">
        <f ca="1"/>
        <v>0</v>
      </c>
      <c r="E35" s="54">
        <f ca="1"/>
        <v>3</v>
      </c>
      <c r="F35" s="54" t="str">
        <f ca="1"/>
        <v>ＰＴＰ</v>
      </c>
      <c r="G35" s="54" t="str">
        <f ca="1"/>
        <v>１００Ｔ</v>
      </c>
      <c r="H35" s="54" t="str">
        <f ca="1">IF(E35="","",OFFSET(分類!$B$29,臨時!E35,0))</f>
        <v>外用.臨時.散薬ヒート</v>
      </c>
    </row>
    <row r="36" spans="2:8">
      <c r="B36" s="27">
        <f t="shared" si="0"/>
        <v>32</v>
      </c>
      <c r="C36" s="27" t="str">
        <f ca="1"/>
        <v>クロフェクトン錠２５ｍｇ</v>
      </c>
      <c r="D36" s="27">
        <f ca="1"/>
        <v>0</v>
      </c>
      <c r="E36" s="54">
        <f ca="1"/>
        <v>3</v>
      </c>
      <c r="F36" s="54" t="str">
        <f ca="1"/>
        <v>ＰＴＰ</v>
      </c>
      <c r="G36" s="54" t="str">
        <f ca="1"/>
        <v>１００Ｔ</v>
      </c>
      <c r="H36" s="54" t="str">
        <f ca="1">IF(E36="","",OFFSET(分類!$B$29,臨時!E36,0))</f>
        <v>外用.臨時.散薬ヒート</v>
      </c>
    </row>
    <row r="37" spans="2:8">
      <c r="B37" s="27">
        <f t="shared" si="0"/>
        <v>33</v>
      </c>
      <c r="C37" s="27" t="str">
        <f ca="1"/>
        <v>コソプト配合点眼液</v>
      </c>
      <c r="D37" s="27">
        <f ca="1"/>
        <v>0</v>
      </c>
      <c r="E37" s="54">
        <f ca="1"/>
        <v>3</v>
      </c>
      <c r="F37" s="54" t="str">
        <f ca="1"/>
        <v/>
      </c>
      <c r="G37" s="54" t="str">
        <f ca="1"/>
        <v>５ｍｌｘ１０</v>
      </c>
      <c r="H37" s="54" t="str">
        <f ca="1">IF(E37="","",OFFSET(分類!$B$29,臨時!E37,0))</f>
        <v>外用.臨時.散薬ヒート</v>
      </c>
    </row>
    <row r="38" spans="2:8">
      <c r="B38" s="27">
        <f t="shared" si="0"/>
        <v>34</v>
      </c>
      <c r="C38" s="27" t="str">
        <f ca="1"/>
        <v>ジクアス点眼液３％</v>
      </c>
      <c r="D38" s="27">
        <f ca="1"/>
        <v>0</v>
      </c>
      <c r="E38" s="54">
        <f ca="1"/>
        <v>3</v>
      </c>
      <c r="F38" s="54" t="str">
        <f ca="1"/>
        <v/>
      </c>
      <c r="G38" s="54" t="str">
        <f ca="1"/>
        <v>５ｍｌｘ１０</v>
      </c>
      <c r="H38" s="54" t="str">
        <f ca="1">IF(E38="","",OFFSET(分類!$B$29,臨時!E38,0))</f>
        <v>外用.臨時.散薬ヒート</v>
      </c>
    </row>
    <row r="39" spans="2:8">
      <c r="B39" s="27">
        <f t="shared" si="0"/>
        <v>35</v>
      </c>
      <c r="C39" s="27" t="str">
        <f ca="1"/>
        <v>スミスリンローション５％</v>
      </c>
      <c r="D39" s="27">
        <f ca="1"/>
        <v>0</v>
      </c>
      <c r="E39" s="54">
        <f ca="1"/>
        <v>3</v>
      </c>
      <c r="F39" s="54" t="str">
        <f ca="1"/>
        <v/>
      </c>
      <c r="G39" s="54" t="str">
        <f ca="1"/>
        <v>３０ｇｘ２</v>
      </c>
      <c r="H39" s="54" t="str">
        <f ca="1">IF(E39="","",OFFSET(分類!$B$29,臨時!E39,0))</f>
        <v>外用.臨時.散薬ヒート</v>
      </c>
    </row>
    <row r="40" spans="2:8">
      <c r="B40" s="27">
        <f t="shared" si="0"/>
        <v>36</v>
      </c>
      <c r="C40" s="27" t="str">
        <f ca="1"/>
        <v>セララ錠５０ｍｇ</v>
      </c>
      <c r="D40" s="27">
        <f ca="1"/>
        <v>0</v>
      </c>
      <c r="E40" s="54">
        <f ca="1"/>
        <v>3</v>
      </c>
      <c r="F40" s="54" t="str">
        <f ca="1"/>
        <v>ＰＴＰ</v>
      </c>
      <c r="G40" s="54" t="str">
        <f ca="1"/>
        <v>１００Ｔ</v>
      </c>
      <c r="H40" s="54" t="str">
        <f ca="1">IF(E40="","",OFFSET(分類!$B$29,臨時!E40,0))</f>
        <v>外用.臨時.散薬ヒート</v>
      </c>
    </row>
    <row r="41" spans="2:8">
      <c r="B41" s="27">
        <f t="shared" si="0"/>
        <v>37</v>
      </c>
      <c r="C41" s="27" t="str">
        <f ca="1"/>
        <v>ソタロール塩酸塩錠８０ｍｇ「ＴＥ」</v>
      </c>
      <c r="D41" s="27">
        <f ca="1"/>
        <v>0</v>
      </c>
      <c r="E41" s="54">
        <f ca="1"/>
        <v>15</v>
      </c>
      <c r="F41" s="54" t="str">
        <f ca="1"/>
        <v>ＰＴＰ</v>
      </c>
      <c r="G41" s="54" t="str">
        <f ca="1"/>
        <v>１４０Ｔ</v>
      </c>
      <c r="H41" s="54" t="str">
        <f ca="1">IF(E41="","",OFFSET(分類!$B$29,臨時!E41,0))</f>
        <v>不良在庫</v>
      </c>
    </row>
    <row r="42" spans="2:8">
      <c r="B42" s="27">
        <f t="shared" si="0"/>
        <v>38</v>
      </c>
      <c r="C42" s="27" t="str">
        <f ca="1"/>
        <v>ダイフェン配合錠</v>
      </c>
      <c r="D42" s="27">
        <f ca="1"/>
        <v>0</v>
      </c>
      <c r="E42" s="54">
        <f ca="1"/>
        <v>15</v>
      </c>
      <c r="F42" s="54" t="str">
        <f ca="1"/>
        <v>ＰＴＰ</v>
      </c>
      <c r="G42" s="54" t="str">
        <f ca="1"/>
        <v>１００Ｔ</v>
      </c>
      <c r="H42" s="54" t="str">
        <f ca="1">IF(E42="","",OFFSET(分類!$B$29,臨時!E42,0))</f>
        <v>不良在庫</v>
      </c>
    </row>
    <row r="43" spans="2:8">
      <c r="B43" s="27">
        <f t="shared" si="0"/>
        <v>39</v>
      </c>
      <c r="C43" s="27" t="str">
        <f ca="1"/>
        <v>タチオン錠５０ｍｇ</v>
      </c>
      <c r="D43" s="27">
        <f ca="1"/>
        <v>0</v>
      </c>
      <c r="E43" s="54">
        <f ca="1"/>
        <v>3</v>
      </c>
      <c r="F43" s="54" t="str">
        <f ca="1"/>
        <v>ＰＴＰ</v>
      </c>
      <c r="G43" s="54" t="str">
        <f ca="1"/>
        <v>１２０Ｔ</v>
      </c>
      <c r="H43" s="54" t="str">
        <f ca="1">IF(E43="","",OFFSET(分類!$B$29,臨時!E43,0))</f>
        <v>外用.臨時.散薬ヒート</v>
      </c>
    </row>
    <row r="44" spans="2:8">
      <c r="B44" s="27">
        <f t="shared" si="0"/>
        <v>40</v>
      </c>
      <c r="C44" s="27" t="str">
        <f ca="1"/>
        <v>ダラシンカプセル１５０ｍｇ</v>
      </c>
      <c r="D44" s="27">
        <f ca="1"/>
        <v>0</v>
      </c>
      <c r="E44" s="54">
        <f ca="1"/>
        <v>15</v>
      </c>
      <c r="F44" s="54" t="str">
        <f ca="1"/>
        <v>ＰＴＰ</v>
      </c>
      <c r="G44" s="54" t="str">
        <f ca="1"/>
        <v>１００Ｔ</v>
      </c>
      <c r="H44" s="54" t="str">
        <f ca="1">IF(E44="","",OFFSET(分類!$B$29,臨時!E44,0))</f>
        <v>不良在庫</v>
      </c>
    </row>
    <row r="45" spans="2:8">
      <c r="B45" s="27">
        <f t="shared" si="0"/>
        <v>41</v>
      </c>
      <c r="C45" s="27" t="str">
        <f ca="1"/>
        <v>タリージェ錠５ｍｇ</v>
      </c>
      <c r="D45" s="27">
        <f ca="1"/>
        <v>0</v>
      </c>
      <c r="E45" s="54">
        <f ca="1"/>
        <v>3</v>
      </c>
      <c r="F45" s="54" t="str">
        <f ca="1"/>
        <v>ＰＴＰ</v>
      </c>
      <c r="G45" s="54" t="str">
        <f ca="1"/>
        <v>１００Ｔ</v>
      </c>
      <c r="H45" s="54" t="str">
        <f ca="1">IF(E45="","",OFFSET(分類!$B$29,臨時!E45,0))</f>
        <v>外用.臨時.散薬ヒート</v>
      </c>
    </row>
    <row r="46" spans="2:8">
      <c r="B46" s="27">
        <f t="shared" si="0"/>
        <v>42</v>
      </c>
      <c r="C46" s="27" t="str">
        <f ca="1"/>
        <v>チエナム点滴静注用０．５ｇ</v>
      </c>
      <c r="D46" s="27">
        <f ca="1"/>
        <v>0</v>
      </c>
      <c r="E46" s="54">
        <f ca="1"/>
        <v>8</v>
      </c>
      <c r="F46" s="54" t="str">
        <f ca="1"/>
        <v/>
      </c>
      <c r="G46" s="54" t="str">
        <f ca="1"/>
        <v>１０瓶</v>
      </c>
      <c r="H46" s="54" t="str">
        <f ca="1">IF(E46="","",OFFSET(分類!$B$29,臨時!E46,0))</f>
        <v>抗生剤.小輸液</v>
      </c>
    </row>
    <row r="47" spans="2:8">
      <c r="B47" s="27">
        <f t="shared" si="0"/>
        <v>43</v>
      </c>
      <c r="C47" s="27" t="str">
        <f ca="1"/>
        <v>チモロール点眼液０．５％「ニッテン」</v>
      </c>
      <c r="D47" s="27">
        <f ca="1"/>
        <v>0</v>
      </c>
      <c r="E47" s="54">
        <f ca="1"/>
        <v>3</v>
      </c>
      <c r="F47" s="54" t="str">
        <f ca="1"/>
        <v/>
      </c>
      <c r="G47" s="54" t="str">
        <f ca="1"/>
        <v>５ＭＬＸ１０</v>
      </c>
      <c r="H47" s="54" t="str">
        <f ca="1">IF(E47="","",OFFSET(分類!$B$29,臨時!E47,0))</f>
        <v>外用.臨時.散薬ヒート</v>
      </c>
    </row>
    <row r="48" spans="2:8">
      <c r="B48" s="27">
        <f t="shared" si="0"/>
        <v>44</v>
      </c>
      <c r="C48" s="27" t="str">
        <f ca="1"/>
        <v>ツイミーグ錠５００ｍｇ</v>
      </c>
      <c r="D48" s="27">
        <f ca="1"/>
        <v>0</v>
      </c>
      <c r="E48" s="54">
        <f ca="1"/>
        <v>3</v>
      </c>
      <c r="F48" s="54" t="str">
        <f ca="1"/>
        <v>ＰＴＰ</v>
      </c>
      <c r="G48" s="54" t="str">
        <f ca="1"/>
        <v>１００Ｔ</v>
      </c>
      <c r="H48" s="54" t="str">
        <f ca="1">IF(E48="","",OFFSET(分類!$B$29,臨時!E48,0))</f>
        <v>外用.臨時.散薬ヒート</v>
      </c>
    </row>
    <row r="49" spans="2:8">
      <c r="B49" s="27">
        <f t="shared" si="0"/>
        <v>45</v>
      </c>
      <c r="C49" s="27" t="str">
        <f ca="1"/>
        <v>デキストロメトルファン臭化水素酸塩錠１５ｍｇ「トーワ」</v>
      </c>
      <c r="D49" s="27">
        <f ca="1"/>
        <v>0</v>
      </c>
      <c r="E49" s="54">
        <f ca="1"/>
        <v>3</v>
      </c>
      <c r="F49" s="54" t="str">
        <f ca="1"/>
        <v>バラ</v>
      </c>
      <c r="G49" s="54" t="str">
        <f ca="1"/>
        <v>１０００Ｔ</v>
      </c>
      <c r="H49" s="54" t="str">
        <f ca="1">IF(E49="","",OFFSET(分類!$B$29,臨時!E49,0))</f>
        <v>外用.臨時.散薬ヒート</v>
      </c>
    </row>
    <row r="50" spans="2:8">
      <c r="B50" s="27">
        <f t="shared" si="0"/>
        <v>46</v>
      </c>
      <c r="C50" s="27" t="str">
        <f ca="1"/>
        <v>デパス細粒１％</v>
      </c>
      <c r="D50" s="27">
        <f ca="1"/>
        <v>0</v>
      </c>
      <c r="E50" s="54">
        <f ca="1"/>
        <v>2</v>
      </c>
      <c r="F50" s="54" t="str">
        <f ca="1"/>
        <v>粉</v>
      </c>
      <c r="G50" s="54" t="str">
        <f ca="1"/>
        <v>１００ｇ</v>
      </c>
      <c r="H50" s="54" t="str">
        <f ca="1">IF(E50="","",OFFSET(分類!$B$29,臨時!E50,0))</f>
        <v>散薬調剤台</v>
      </c>
    </row>
    <row r="51" spans="2:8">
      <c r="B51" s="27">
        <f t="shared" si="0"/>
        <v>47</v>
      </c>
      <c r="C51" s="27" t="str">
        <f ca="1"/>
        <v>テリボン皮下注用５６．５μｇ　溶解液付</v>
      </c>
      <c r="D51" s="27">
        <f ca="1"/>
        <v>0</v>
      </c>
      <c r="E51" s="54">
        <f ca="1"/>
        <v>15</v>
      </c>
      <c r="F51" s="54" t="str">
        <f ca="1"/>
        <v/>
      </c>
      <c r="G51" s="54" t="str">
        <f ca="1"/>
        <v>１瓶</v>
      </c>
      <c r="H51" s="54" t="str">
        <f ca="1">IF(E51="","",OFFSET(分類!$B$29,臨時!E51,0))</f>
        <v>不良在庫</v>
      </c>
    </row>
    <row r="52" spans="2:8">
      <c r="B52" s="27">
        <f t="shared" si="0"/>
        <v>48</v>
      </c>
      <c r="C52" s="27" t="str">
        <f ca="1"/>
        <v>ドパストン静注５０ｍｇ</v>
      </c>
      <c r="D52" s="27">
        <f ca="1"/>
        <v>0</v>
      </c>
      <c r="E52" s="54">
        <f ca="1"/>
        <v>9</v>
      </c>
      <c r="F52" s="54" t="str">
        <f ca="1"/>
        <v/>
      </c>
      <c r="G52" s="54" t="str">
        <f ca="1"/>
        <v>２０ｍｌｘ１０Ａ</v>
      </c>
      <c r="H52" s="54" t="str">
        <f ca="1">IF(E52="","",OFFSET(分類!$B$29,臨時!E52,0))</f>
        <v>注射</v>
      </c>
    </row>
    <row r="53" spans="2:8">
      <c r="B53" s="27">
        <f t="shared" si="0"/>
        <v>49</v>
      </c>
      <c r="C53" s="27" t="str">
        <f ca="1"/>
        <v>トラセミド錠４ｍｇ「ＫＯ」</v>
      </c>
      <c r="D53" s="27">
        <f ca="1"/>
        <v>0</v>
      </c>
      <c r="E53" s="54">
        <f ca="1"/>
        <v>3</v>
      </c>
      <c r="F53" s="54" t="str">
        <f ca="1"/>
        <v>ＰＴＰ</v>
      </c>
      <c r="G53" s="54" t="str">
        <f ca="1"/>
        <v>１００Ｔ</v>
      </c>
      <c r="H53" s="54" t="str">
        <f ca="1">IF(E53="","",OFFSET(分類!$B$29,臨時!E53,0))</f>
        <v>外用.臨時.散薬ヒート</v>
      </c>
    </row>
    <row r="54" spans="2:8">
      <c r="B54" s="27">
        <f t="shared" si="0"/>
        <v>50</v>
      </c>
      <c r="C54" s="27" t="str">
        <f ca="1"/>
        <v>トラゼンタ錠５ｍｇ</v>
      </c>
      <c r="D54" s="27">
        <f ca="1"/>
        <v>0</v>
      </c>
      <c r="E54" s="54">
        <f ca="1"/>
        <v>3</v>
      </c>
      <c r="F54" s="54" t="str">
        <f ca="1"/>
        <v>ＰＴＰ</v>
      </c>
      <c r="G54" s="54" t="str">
        <f ca="1"/>
        <v>１００Ｔ</v>
      </c>
      <c r="H54" s="54" t="str">
        <f ca="1">IF(E54="","",OFFSET(分類!$B$29,臨時!E54,0))</f>
        <v>外用.臨時.散薬ヒート</v>
      </c>
    </row>
    <row r="55" spans="2:8">
      <c r="B55" s="27">
        <f t="shared" si="0"/>
        <v>51</v>
      </c>
      <c r="C55" s="27" t="str">
        <f ca="1"/>
        <v>ドルミカム注射液１０ｍｇ</v>
      </c>
      <c r="D55" s="27">
        <f ca="1"/>
        <v>0</v>
      </c>
      <c r="E55" s="54">
        <f ca="1"/>
        <v>15</v>
      </c>
      <c r="F55" s="54" t="str">
        <f ca="1"/>
        <v/>
      </c>
      <c r="G55" s="54" t="str">
        <f ca="1"/>
        <v>２ｍｌｘ１０Ａ</v>
      </c>
      <c r="H55" s="54" t="str">
        <f ca="1">IF(E55="","",OFFSET(分類!$B$29,臨時!E55,0))</f>
        <v>不良在庫</v>
      </c>
    </row>
    <row r="56" spans="2:8">
      <c r="B56" s="27">
        <f t="shared" si="0"/>
        <v>52</v>
      </c>
      <c r="C56" s="27" t="str">
        <f ca="1"/>
        <v>ネイリンカプセル１００ｍｇ</v>
      </c>
      <c r="D56" s="27">
        <f ca="1"/>
        <v>0</v>
      </c>
      <c r="E56" s="54">
        <f ca="1"/>
        <v>3</v>
      </c>
      <c r="F56" s="54" t="str">
        <f ca="1"/>
        <v>ＰＴＰ</v>
      </c>
      <c r="G56" s="54" t="str">
        <f ca="1"/>
        <v>８４Ｔ</v>
      </c>
      <c r="H56" s="54" t="str">
        <f ca="1">IF(E56="","",OFFSET(分類!$B$29,臨時!E56,0))</f>
        <v>外用.臨時.散薬ヒート</v>
      </c>
    </row>
    <row r="57" spans="2:8">
      <c r="B57" s="27">
        <f t="shared" si="0"/>
        <v>53</v>
      </c>
      <c r="C57" s="27" t="str">
        <f ca="1"/>
        <v>バルプロ酸ＮＡ徐放顆粒４０％「フジナガ」</v>
      </c>
      <c r="D57" s="27">
        <f ca="1"/>
        <v>0</v>
      </c>
      <c r="E57" s="54">
        <f ca="1"/>
        <v>15</v>
      </c>
      <c r="F57" s="54" t="str">
        <f ca="1"/>
        <v>粉</v>
      </c>
      <c r="G57" s="54" t="str">
        <f ca="1"/>
        <v>５００ｇ</v>
      </c>
      <c r="H57" s="54" t="str">
        <f ca="1">IF(E57="","",OFFSET(分類!$B$29,臨時!E57,0))</f>
        <v>不良在庫</v>
      </c>
    </row>
    <row r="58" spans="2:8">
      <c r="B58" s="27">
        <f t="shared" si="0"/>
        <v>54</v>
      </c>
      <c r="C58" s="27" t="str">
        <f ca="1"/>
        <v>ピーゼットシー糖衣錠４ｍｇ</v>
      </c>
      <c r="D58" s="27">
        <f ca="1"/>
        <v>0</v>
      </c>
      <c r="E58" s="54">
        <f ca="1"/>
        <v>3</v>
      </c>
      <c r="F58" s="54" t="str">
        <f ca="1"/>
        <v>ＰＴＰ</v>
      </c>
      <c r="G58" s="54" t="str">
        <f ca="1"/>
        <v>１００Ｔ</v>
      </c>
      <c r="H58" s="54" t="str">
        <f ca="1">IF(E58="","",OFFSET(分類!$B$29,臨時!E58,0))</f>
        <v>外用.臨時.散薬ヒート</v>
      </c>
    </row>
    <row r="59" spans="2:8">
      <c r="B59" s="27">
        <f t="shared" si="0"/>
        <v>55</v>
      </c>
      <c r="C59" s="27" t="str">
        <f ca="1"/>
        <v>ビソノテープ２ｍｇ</v>
      </c>
      <c r="D59" s="27">
        <f ca="1"/>
        <v>0</v>
      </c>
      <c r="E59" s="54">
        <f ca="1"/>
        <v>3</v>
      </c>
      <c r="F59" s="54" t="str">
        <f ca="1"/>
        <v/>
      </c>
      <c r="G59" s="54" t="str">
        <f ca="1"/>
        <v>７０枚</v>
      </c>
      <c r="H59" s="54" t="str">
        <f ca="1">IF(E59="","",OFFSET(分類!$B$29,臨時!E59,0))</f>
        <v>外用.臨時.散薬ヒート</v>
      </c>
    </row>
    <row r="60" spans="2:8">
      <c r="B60" s="27">
        <f t="shared" si="0"/>
        <v>56</v>
      </c>
      <c r="C60" s="27" t="str">
        <f ca="1"/>
        <v>ビソノテープ４ｍｇ</v>
      </c>
      <c r="D60" s="27">
        <f ca="1"/>
        <v>0</v>
      </c>
      <c r="E60" s="54">
        <f ca="1"/>
        <v>3</v>
      </c>
      <c r="F60" s="54" t="str">
        <f ca="1"/>
        <v/>
      </c>
      <c r="G60" s="54" t="str">
        <f ca="1"/>
        <v>７０枚</v>
      </c>
      <c r="H60" s="54" t="str">
        <f ca="1">IF(E60="","",OFFSET(分類!$B$29,臨時!E60,0))</f>
        <v>外用.臨時.散薬ヒート</v>
      </c>
    </row>
    <row r="61" spans="2:8">
      <c r="B61" s="27">
        <f t="shared" si="0"/>
        <v>57</v>
      </c>
      <c r="C61" s="27" t="str">
        <f ca="1"/>
        <v>ピモベンダン錠１．２５ｍｇ「ＴＥ」</v>
      </c>
      <c r="D61" s="27">
        <f ca="1"/>
        <v>0</v>
      </c>
      <c r="E61" s="54">
        <f ca="1"/>
        <v>15</v>
      </c>
      <c r="F61" s="54" t="str">
        <f ca="1"/>
        <v>ＰＴＰ</v>
      </c>
      <c r="G61" s="54" t="str">
        <f ca="1"/>
        <v>１００Ｔ</v>
      </c>
      <c r="H61" s="54" t="str">
        <f ca="1">IF(E61="","",OFFSET(分類!$B$29,臨時!E61,0))</f>
        <v>不良在庫</v>
      </c>
    </row>
    <row r="62" spans="2:8">
      <c r="B62" s="27">
        <f t="shared" si="0"/>
        <v>58</v>
      </c>
      <c r="C62" s="27" t="str">
        <f ca="1"/>
        <v>ピレノキシン懸濁性点眼液０．００５％「参天」</v>
      </c>
      <c r="D62" s="27">
        <f ca="1"/>
        <v>0</v>
      </c>
      <c r="E62" s="54">
        <f ca="1"/>
        <v>3</v>
      </c>
      <c r="F62" s="54" t="str">
        <f ca="1"/>
        <v/>
      </c>
      <c r="G62" s="54" t="str">
        <f ca="1"/>
        <v>５ｍｌｘ１０</v>
      </c>
      <c r="H62" s="54" t="str">
        <f ca="1">IF(E62="","",OFFSET(分類!$B$29,臨時!E62,0))</f>
        <v>外用.臨時.散薬ヒート</v>
      </c>
    </row>
    <row r="63" spans="2:8">
      <c r="B63" s="27">
        <f t="shared" si="0"/>
        <v>59</v>
      </c>
      <c r="C63" s="27" t="str">
        <f ca="1"/>
        <v>フラジール内服錠２５０ｍｇ</v>
      </c>
      <c r="D63" s="27">
        <f ca="1"/>
        <v>0</v>
      </c>
      <c r="E63" s="54">
        <f ca="1"/>
        <v>3</v>
      </c>
      <c r="F63" s="54" t="str">
        <f ca="1"/>
        <v>ＰＴＰ</v>
      </c>
      <c r="G63" s="54" t="str">
        <f ca="1"/>
        <v>１００錠</v>
      </c>
      <c r="H63" s="54" t="str">
        <f ca="1">IF(E63="","",OFFSET(分類!$B$29,臨時!E63,0))</f>
        <v>外用.臨時.散薬ヒート</v>
      </c>
    </row>
    <row r="64" spans="2:8">
      <c r="B64" s="27">
        <f t="shared" si="0"/>
        <v>60</v>
      </c>
      <c r="C64" s="27" t="str">
        <f ca="1"/>
        <v>フラジール腟錠２５０ｍｇ</v>
      </c>
      <c r="D64" s="27">
        <f ca="1"/>
        <v>0</v>
      </c>
      <c r="E64" s="54">
        <f ca="1"/>
        <v>15</v>
      </c>
      <c r="F64" s="54" t="str">
        <f ca="1"/>
        <v>ＰＴＰ</v>
      </c>
      <c r="G64" s="54" t="str">
        <f ca="1"/>
        <v>６０Ｔ</v>
      </c>
      <c r="H64" s="54" t="str">
        <f ca="1">IF(E64="","",OFFSET(分類!$B$29,臨時!E64,0))</f>
        <v>不良在庫</v>
      </c>
    </row>
    <row r="65" spans="2:8">
      <c r="B65" s="27">
        <f t="shared" si="0"/>
        <v>61</v>
      </c>
      <c r="C65" s="27" t="str">
        <f ca="1"/>
        <v>フルイトラン錠２ｍｇ</v>
      </c>
      <c r="D65" s="27">
        <f ca="1"/>
        <v>0</v>
      </c>
      <c r="E65" s="54">
        <f ca="1"/>
        <v>3</v>
      </c>
      <c r="F65" s="54" t="str">
        <f ca="1"/>
        <v>ＰＴＰ</v>
      </c>
      <c r="G65" s="54" t="str">
        <f ca="1"/>
        <v>１００Ｔ</v>
      </c>
      <c r="H65" s="54" t="str">
        <f ca="1">IF(E65="","",OFFSET(分類!$B$29,臨時!E65,0))</f>
        <v>外用.臨時.散薬ヒート</v>
      </c>
    </row>
    <row r="66" spans="2:8">
      <c r="B66" s="27">
        <f t="shared" si="0"/>
        <v>62</v>
      </c>
      <c r="C66" s="27" t="str">
        <f ca="1"/>
        <v>フルオロメトロン点眼液０．１％「ＮＩＴ」</v>
      </c>
      <c r="D66" s="27">
        <f ca="1"/>
        <v>0</v>
      </c>
      <c r="E66" s="54">
        <f ca="1"/>
        <v>3</v>
      </c>
      <c r="F66" s="54" t="str">
        <f ca="1"/>
        <v/>
      </c>
      <c r="G66" s="54" t="str">
        <f ca="1"/>
        <v>５ｍｌｘ１０</v>
      </c>
      <c r="H66" s="54" t="str">
        <f ca="1">IF(E66="","",OFFSET(分類!$B$29,臨時!E66,0))</f>
        <v>外用.臨時.散薬ヒート</v>
      </c>
    </row>
    <row r="67" spans="2:8">
      <c r="B67" s="27">
        <f t="shared" si="0"/>
        <v>63</v>
      </c>
      <c r="C67" s="27" t="str">
        <f ca="1"/>
        <v>プレガバリンＯＤ錠２５ｍｇ「サワイ」</v>
      </c>
      <c r="D67" s="27">
        <f ca="1"/>
        <v>0</v>
      </c>
      <c r="E67" s="54">
        <f ca="1"/>
        <v>1</v>
      </c>
      <c r="F67" s="54" t="str">
        <f ca="1"/>
        <v>ＰＴＰ</v>
      </c>
      <c r="G67" s="54" t="str">
        <f ca="1"/>
        <v>１００Ｔ</v>
      </c>
      <c r="H67" s="54" t="str">
        <f ca="1">IF(E67="","",OFFSET(分類!$B$29,臨時!E67,0))</f>
        <v>調剤棚</v>
      </c>
    </row>
    <row r="68" spans="2:8">
      <c r="B68" s="27">
        <f t="shared" si="0"/>
        <v>64</v>
      </c>
      <c r="C68" s="27" t="str">
        <f ca="1"/>
        <v>プレガバリンＯＤ錠７５ｍｇ「サワイ」</v>
      </c>
      <c r="D68" s="27">
        <f ca="1"/>
        <v>0</v>
      </c>
      <c r="E68" s="54">
        <f ca="1"/>
        <v>1</v>
      </c>
      <c r="F68" s="54" t="str">
        <f ca="1"/>
        <v>ＰＴＰ</v>
      </c>
      <c r="G68" s="54" t="str">
        <f ca="1"/>
        <v>１００Ｔ</v>
      </c>
      <c r="H68" s="54" t="str">
        <f ca="1">IF(E68="","",OFFSET(分類!$B$29,臨時!E68,0))</f>
        <v>調剤棚</v>
      </c>
    </row>
    <row r="69" spans="2:8">
      <c r="B69" s="27">
        <f t="shared" si="0"/>
        <v>65</v>
      </c>
      <c r="C69" s="27" t="str">
        <f ca="1"/>
        <v>プレドニゾロン錠１ｍｇ「ＶＴＲＳ」</v>
      </c>
      <c r="D69" s="27">
        <f ca="1"/>
        <v>0</v>
      </c>
      <c r="E69" s="54">
        <f ca="1"/>
        <v>1</v>
      </c>
      <c r="F69" s="54" t="str">
        <f ca="1"/>
        <v>ＰＴＰ</v>
      </c>
      <c r="G69" s="54" t="str">
        <f ca="1"/>
        <v>１００Ｔ</v>
      </c>
      <c r="H69" s="54" t="str">
        <f ca="1">IF(E69="","",OFFSET(分類!$B$29,臨時!E69,0))</f>
        <v>調剤棚</v>
      </c>
    </row>
    <row r="70" spans="2:8">
      <c r="B70" s="27">
        <f t="shared" si="0"/>
        <v>66</v>
      </c>
      <c r="C70" s="27" t="str">
        <f ca="1"/>
        <v>ブロナック点眼液０．１％</v>
      </c>
      <c r="D70" s="27">
        <f ca="1"/>
        <v>0</v>
      </c>
      <c r="E70" s="54">
        <f ca="1"/>
        <v>3</v>
      </c>
      <c r="F70" s="54" t="str">
        <f ca="1"/>
        <v/>
      </c>
      <c r="G70" s="54" t="str">
        <f ca="1"/>
        <v>５ｍｌｘ１０</v>
      </c>
      <c r="H70" s="54" t="str">
        <f ca="1">IF(E70="","",OFFSET(分類!$B$29,臨時!E70,0))</f>
        <v>外用.臨時.散薬ヒート</v>
      </c>
    </row>
    <row r="71" spans="2:8">
      <c r="B71" s="27">
        <f t="shared" ref="B71:B134" si="1">B70+1</f>
        <v>67</v>
      </c>
      <c r="C71" s="27" t="str">
        <f ca="1"/>
        <v>ベタナミン錠１０ｍｇ</v>
      </c>
      <c r="D71" s="27">
        <f ca="1"/>
        <v>0</v>
      </c>
      <c r="E71" s="54">
        <f ca="1"/>
        <v>15</v>
      </c>
      <c r="F71" s="54" t="str">
        <f ca="1"/>
        <v>ＰＴＰ</v>
      </c>
      <c r="G71" s="54" t="str">
        <f ca="1"/>
        <v>１００Ｔ</v>
      </c>
      <c r="H71" s="54" t="str">
        <f ca="1">IF(E71="","",OFFSET(分類!$B$29,臨時!E71,0))</f>
        <v>不良在庫</v>
      </c>
    </row>
    <row r="72" spans="2:8">
      <c r="B72" s="27">
        <f t="shared" si="1"/>
        <v>68</v>
      </c>
      <c r="C72" s="27" t="str">
        <f ca="1"/>
        <v>ペンタサ顆粒９４％　５００ｍｇ含有</v>
      </c>
      <c r="D72" s="27">
        <f ca="1"/>
        <v>0</v>
      </c>
      <c r="E72" s="54">
        <f ca="1"/>
        <v>1</v>
      </c>
      <c r="F72" s="54" t="str">
        <f ca="1"/>
        <v>粉</v>
      </c>
      <c r="G72" s="54" t="str">
        <f ca="1"/>
        <v>０．５３ｇｘ１００包</v>
      </c>
      <c r="H72" s="54" t="str">
        <f ca="1">IF(E72="","",OFFSET(分類!$B$29,臨時!E72,0))</f>
        <v>調剤棚</v>
      </c>
    </row>
    <row r="73" spans="2:8">
      <c r="B73" s="27">
        <f t="shared" si="1"/>
        <v>69</v>
      </c>
      <c r="C73" s="27" t="str">
        <f ca="1"/>
        <v>ホーリンＶ膣用錠１ｍｇ</v>
      </c>
      <c r="D73" s="27">
        <f ca="1"/>
        <v>0</v>
      </c>
      <c r="E73" s="54">
        <f ca="1"/>
        <v>3</v>
      </c>
      <c r="F73" s="54" t="str">
        <f ca="1"/>
        <v>ＰＴＰ</v>
      </c>
      <c r="G73" s="54" t="str">
        <f ca="1"/>
        <v>１００Ｔ</v>
      </c>
      <c r="H73" s="54" t="str">
        <f ca="1">IF(E73="","",OFFSET(分類!$B$29,臨時!E73,0))</f>
        <v>外用.臨時.散薬ヒート</v>
      </c>
    </row>
    <row r="74" spans="2:8">
      <c r="B74" s="27">
        <f t="shared" si="1"/>
        <v>70</v>
      </c>
      <c r="C74" s="27" t="str">
        <f ca="1"/>
        <v>ホスリボン配合顆粒</v>
      </c>
      <c r="D74" s="27">
        <f ca="1"/>
        <v>0</v>
      </c>
      <c r="E74" s="54">
        <f ca="1"/>
        <v>15</v>
      </c>
      <c r="F74" s="54" t="str">
        <f ca="1"/>
        <v>粉</v>
      </c>
      <c r="G74" s="54" t="str">
        <f ca="1"/>
        <v>２００包</v>
      </c>
      <c r="H74" s="54" t="str">
        <f ca="1">IF(E74="","",OFFSET(分類!$B$29,臨時!E74,0))</f>
        <v>不良在庫</v>
      </c>
    </row>
    <row r="75" spans="2:8">
      <c r="B75" s="27">
        <f t="shared" si="1"/>
        <v>71</v>
      </c>
      <c r="C75" s="27" t="str">
        <f ca="1"/>
        <v>ポララミン注５ｍｇ</v>
      </c>
      <c r="D75" s="27">
        <f ca="1"/>
        <v>0</v>
      </c>
      <c r="E75" s="54">
        <f ca="1"/>
        <v>15</v>
      </c>
      <c r="F75" s="54" t="str">
        <f ca="1"/>
        <v/>
      </c>
      <c r="G75" s="54" t="str">
        <f ca="1"/>
        <v>１ｍｌｘ１０Ａ</v>
      </c>
      <c r="H75" s="54" t="str">
        <f ca="1">IF(E75="","",OFFSET(分類!$B$29,臨時!E75,0))</f>
        <v>不良在庫</v>
      </c>
    </row>
    <row r="76" spans="2:8">
      <c r="B76" s="27">
        <f t="shared" si="1"/>
        <v>72</v>
      </c>
      <c r="C76" s="27" t="str">
        <f ca="1"/>
        <v>ボルズイ錠５ｍｇ</v>
      </c>
      <c r="D76" s="27">
        <f ca="1"/>
        <v>0</v>
      </c>
      <c r="E76" s="54">
        <f ca="1"/>
        <v>3</v>
      </c>
      <c r="F76" s="54" t="str">
        <f ca="1"/>
        <v>ＰＴＰ</v>
      </c>
      <c r="G76" s="54" t="str">
        <f ca="1"/>
        <v>１００Ｔ</v>
      </c>
      <c r="H76" s="54" t="str">
        <f ca="1">IF(E76="","",OFFSET(分類!$B$29,臨時!E76,0))</f>
        <v>外用.臨時.散薬ヒート</v>
      </c>
    </row>
    <row r="77" spans="2:8">
      <c r="B77" s="27">
        <f t="shared" si="1"/>
        <v>73</v>
      </c>
      <c r="C77" s="27" t="str">
        <f ca="1"/>
        <v>ミケルナ配合点眼液</v>
      </c>
      <c r="D77" s="27">
        <f ca="1"/>
        <v>0</v>
      </c>
      <c r="E77" s="54">
        <f ca="1"/>
        <v>3</v>
      </c>
      <c r="F77" s="54" t="str">
        <f ca="1"/>
        <v/>
      </c>
      <c r="G77" s="54" t="str">
        <f ca="1"/>
        <v>２．５ｍｌｘ１０</v>
      </c>
      <c r="H77" s="54" t="str">
        <f ca="1">IF(E77="","",OFFSET(分類!$B$29,臨時!E77,0))</f>
        <v>外用.臨時.散薬ヒート</v>
      </c>
    </row>
    <row r="78" spans="2:8">
      <c r="B78" s="27">
        <f t="shared" si="1"/>
        <v>74</v>
      </c>
      <c r="C78" s="27" t="str">
        <f ca="1"/>
        <v>ムコスタ点眼液ＵＤ２％</v>
      </c>
      <c r="D78" s="27">
        <f ca="1"/>
        <v>0</v>
      </c>
      <c r="E78" s="54">
        <f ca="1"/>
        <v>3</v>
      </c>
      <c r="F78" s="54" t="str">
        <f ca="1"/>
        <v/>
      </c>
      <c r="G78" s="54" t="str">
        <f ca="1"/>
        <v>０．３５ｍｌｘ１１２</v>
      </c>
      <c r="H78" s="54" t="str">
        <f ca="1">IF(E78="","",OFFSET(分類!$B$29,臨時!E78,0))</f>
        <v>外用.臨時.散薬ヒート</v>
      </c>
    </row>
    <row r="79" spans="2:8">
      <c r="B79" s="27">
        <f t="shared" si="1"/>
        <v>75</v>
      </c>
      <c r="C79" s="27" t="str">
        <f ca="1"/>
        <v>メリスロン錠６ｍｇ</v>
      </c>
      <c r="D79" s="27">
        <f ca="1"/>
        <v>0</v>
      </c>
      <c r="E79" s="54">
        <f ca="1"/>
        <v>3</v>
      </c>
      <c r="F79" s="54" t="str">
        <f ca="1"/>
        <v>ＰＴＰ</v>
      </c>
      <c r="G79" s="54" t="str">
        <f ca="1"/>
        <v>１００Ｔ</v>
      </c>
      <c r="H79" s="54" t="str">
        <f ca="1">IF(E79="","",OFFSET(分類!$B$29,臨時!E79,0))</f>
        <v>外用.臨時.散薬ヒート</v>
      </c>
    </row>
    <row r="80" spans="2:8">
      <c r="B80" s="27">
        <f t="shared" si="1"/>
        <v>76</v>
      </c>
      <c r="C80" s="27" t="str">
        <f ca="1"/>
        <v>メルカゾール錠５ｍｇ</v>
      </c>
      <c r="D80" s="27">
        <f ca="1"/>
        <v>0</v>
      </c>
      <c r="E80" s="54">
        <f ca="1"/>
        <v>3</v>
      </c>
      <c r="F80" s="54" t="str">
        <f ca="1"/>
        <v>ＰＴＰ</v>
      </c>
      <c r="G80" s="54" t="str">
        <f ca="1"/>
        <v>１００Ｔ</v>
      </c>
      <c r="H80" s="54" t="str">
        <f ca="1">IF(E80="","",OFFSET(分類!$B$29,臨時!E80,0))</f>
        <v>外用.臨時.散薬ヒート</v>
      </c>
    </row>
    <row r="81" spans="2:8">
      <c r="B81" s="27">
        <f t="shared" si="1"/>
        <v>77</v>
      </c>
      <c r="C81" s="27" t="str">
        <f ca="1"/>
        <v>ユリス錠２ｍｇ</v>
      </c>
      <c r="D81" s="27">
        <f ca="1"/>
        <v>0</v>
      </c>
      <c r="E81" s="54">
        <f ca="1"/>
        <v>1</v>
      </c>
      <c r="F81" s="54" t="str">
        <f ca="1"/>
        <v>ＰＴＰ</v>
      </c>
      <c r="G81" s="54" t="str">
        <f ca="1"/>
        <v>１００Ｔ</v>
      </c>
      <c r="H81" s="54" t="str">
        <f ca="1">IF(E81="","",OFFSET(分類!$B$29,臨時!E81,0))</f>
        <v>調剤棚</v>
      </c>
    </row>
    <row r="82" spans="2:8">
      <c r="B82" s="27">
        <f t="shared" si="1"/>
        <v>78</v>
      </c>
      <c r="C82" s="27" t="str">
        <f ca="1"/>
        <v>ヨウ化カリウム丸５０ｍｇ「日医工」</v>
      </c>
      <c r="D82" s="27">
        <f ca="1"/>
        <v>0</v>
      </c>
      <c r="E82" s="54">
        <f ca="1"/>
        <v>15</v>
      </c>
      <c r="F82" s="54" t="str">
        <f ca="1"/>
        <v>ＰＴＰ</v>
      </c>
      <c r="G82" s="54" t="str">
        <f ca="1"/>
        <v>１０００丸</v>
      </c>
      <c r="H82" s="54" t="str">
        <f ca="1">IF(E82="","",OFFSET(分類!$B$29,臨時!E82,0))</f>
        <v>不良在庫</v>
      </c>
    </row>
    <row r="83" spans="2:8">
      <c r="B83" s="27">
        <f t="shared" si="1"/>
        <v>79</v>
      </c>
      <c r="C83" s="27" t="str">
        <f ca="1"/>
        <v>ラジカット内用懸濁液２．１％　　　３５ｍｌ</v>
      </c>
      <c r="D83" s="27">
        <f ca="1"/>
        <v>0</v>
      </c>
      <c r="E83" s="54">
        <f ca="1"/>
        <v>15</v>
      </c>
      <c r="F83" s="54" t="str">
        <f ca="1"/>
        <v/>
      </c>
      <c r="G83" s="54" t="str">
        <f ca="1"/>
        <v>３５ｍｌｘ１</v>
      </c>
      <c r="H83" s="54" t="str">
        <f ca="1">IF(E83="","",OFFSET(分類!$B$29,臨時!E83,0))</f>
        <v>不良在庫</v>
      </c>
    </row>
    <row r="84" spans="2:8">
      <c r="B84" s="27">
        <f t="shared" si="1"/>
        <v>80</v>
      </c>
      <c r="C84" s="27" t="str">
        <f ca="1"/>
        <v>ラジカット内用懸濁液２．１％　　　５０ｍｌ</v>
      </c>
      <c r="D84" s="27">
        <f ca="1"/>
        <v>0</v>
      </c>
      <c r="E84" s="54">
        <f ca="1"/>
        <v>15</v>
      </c>
      <c r="F84" s="54" t="str">
        <f ca="1"/>
        <v/>
      </c>
      <c r="G84" s="54" t="str">
        <f ca="1"/>
        <v>５０ｍｌｘ１</v>
      </c>
      <c r="H84" s="54" t="str">
        <f ca="1">IF(E84="","",OFFSET(分類!$B$29,臨時!E84,0))</f>
        <v>不良在庫</v>
      </c>
    </row>
    <row r="85" spans="2:8">
      <c r="B85" s="27">
        <f t="shared" si="1"/>
        <v>81</v>
      </c>
      <c r="C85" s="27" t="str">
        <f ca="1"/>
        <v>ラピアクタ点滴静注バッグ３００ｍｇ</v>
      </c>
      <c r="D85" s="27">
        <f ca="1"/>
        <v>0</v>
      </c>
      <c r="E85" s="54">
        <f ca="1"/>
        <v>6</v>
      </c>
      <c r="F85" s="54" t="str">
        <f ca="1"/>
        <v/>
      </c>
      <c r="G85" s="54" t="str">
        <f ca="1"/>
        <v>６０ｍｌｘ１</v>
      </c>
      <c r="H85" s="54" t="str">
        <f ca="1">IF(E85="","",OFFSET(分類!$B$29,臨時!E85,0))</f>
        <v>劇薬バラ</v>
      </c>
    </row>
    <row r="86" spans="2:8">
      <c r="B86" s="27">
        <f t="shared" si="1"/>
        <v>82</v>
      </c>
      <c r="C86" s="27" t="str">
        <f ca="1"/>
        <v>リドメックスコーワ軟膏０．３％</v>
      </c>
      <c r="D86" s="27">
        <f ca="1"/>
        <v>0</v>
      </c>
      <c r="E86" s="54">
        <f ca="1"/>
        <v>3</v>
      </c>
      <c r="F86" s="54" t="str">
        <f ca="1"/>
        <v/>
      </c>
      <c r="G86" s="54" t="str">
        <f ca="1"/>
        <v>１０ｇｘ１０</v>
      </c>
      <c r="H86" s="54" t="str">
        <f ca="1">IF(E86="","",OFFSET(分類!$B$29,臨時!E86,0))</f>
        <v>外用.臨時.散薬ヒート</v>
      </c>
    </row>
    <row r="87" spans="2:8">
      <c r="B87" s="27">
        <f t="shared" si="1"/>
        <v>83</v>
      </c>
      <c r="C87" s="27" t="str">
        <f ca="1"/>
        <v>リルゾール錠５０ｍｇ「ニプロ」</v>
      </c>
      <c r="D87" s="27">
        <f ca="1"/>
        <v>0</v>
      </c>
      <c r="E87" s="54">
        <f ca="1"/>
        <v>15</v>
      </c>
      <c r="F87" s="54" t="str">
        <f ca="1"/>
        <v>ＰＴＰ</v>
      </c>
      <c r="G87" s="54" t="str">
        <f ca="1"/>
        <v>５６Ｔ</v>
      </c>
      <c r="H87" s="54" t="str">
        <f ca="1">IF(E87="","",OFFSET(分類!$B$29,臨時!E87,0))</f>
        <v>不良在庫</v>
      </c>
    </row>
    <row r="88" spans="2:8">
      <c r="B88" s="27">
        <f t="shared" si="1"/>
        <v>84</v>
      </c>
      <c r="C88" s="27" t="str">
        <f ca="1"/>
        <v>リンデロン懸濁注２．５ｍｇ</v>
      </c>
      <c r="D88" s="27">
        <f ca="1"/>
        <v>0</v>
      </c>
      <c r="E88" s="54">
        <f ca="1"/>
        <v>11</v>
      </c>
      <c r="F88" s="54" t="str">
        <f ca="1"/>
        <v/>
      </c>
      <c r="G88" s="54" t="str">
        <f ca="1"/>
        <v>０．５ｘ１０Ａ</v>
      </c>
      <c r="H88" s="54" t="str">
        <f ca="1">IF(E88="","",OFFSET(分類!$B$29,臨時!E88,0))</f>
        <v>冷蔵庫</v>
      </c>
    </row>
    <row r="89" spans="2:8">
      <c r="B89" s="27">
        <f t="shared" si="1"/>
        <v>85</v>
      </c>
      <c r="C89" s="27" t="str">
        <f ca="1"/>
        <v>レボカルニチンＦＦ錠２５０ｍｇ「アメル」</v>
      </c>
      <c r="D89" s="27">
        <f ca="1"/>
        <v>0</v>
      </c>
      <c r="E89" s="54">
        <f ca="1"/>
        <v>15</v>
      </c>
      <c r="F89" s="54" t="str">
        <f ca="1"/>
        <v>ＰＴＰ</v>
      </c>
      <c r="G89" s="54" t="str">
        <f ca="1"/>
        <v>１００Ｔ</v>
      </c>
      <c r="H89" s="54" t="str">
        <f ca="1">IF(E89="","",OFFSET(分類!$B$29,臨時!E89,0))</f>
        <v>不良在庫</v>
      </c>
    </row>
    <row r="90" spans="2:8">
      <c r="B90" s="27">
        <f t="shared" si="1"/>
        <v>86</v>
      </c>
      <c r="C90" s="27" t="str">
        <f ca="1"/>
        <v>レボフロキサシン細粒１０％「ＤＳＥＰ」</v>
      </c>
      <c r="D90" s="27">
        <f ca="1"/>
        <v>0</v>
      </c>
      <c r="E90" s="54">
        <f ca="1"/>
        <v>2</v>
      </c>
      <c r="F90" s="54" t="str">
        <f ca="1"/>
        <v>粉</v>
      </c>
      <c r="G90" s="54" t="str">
        <f ca="1"/>
        <v>１００ｇ</v>
      </c>
      <c r="H90" s="54" t="str">
        <f ca="1">IF(E90="","",OFFSET(分類!$B$29,臨時!E90,0))</f>
        <v>散薬調剤台</v>
      </c>
    </row>
    <row r="91" spans="2:8">
      <c r="B91" s="27">
        <f t="shared" si="1"/>
        <v>87</v>
      </c>
      <c r="C91" s="27" t="str">
        <f ca="1"/>
        <v>レボフロキサシン点眼液１．５％「ニットー」</v>
      </c>
      <c r="D91" s="27">
        <f ca="1"/>
        <v>0</v>
      </c>
      <c r="E91" s="54">
        <f ca="1"/>
        <v>3</v>
      </c>
      <c r="F91" s="54" t="str">
        <f ca="1"/>
        <v/>
      </c>
      <c r="G91" s="54" t="str">
        <f ca="1"/>
        <v>５ｍｌｘ１０</v>
      </c>
      <c r="H91" s="54" t="str">
        <f ca="1">IF(E91="","",OFFSET(分類!$B$29,臨時!E91,0))</f>
        <v>外用.臨時.散薬ヒート</v>
      </c>
    </row>
    <row r="92" spans="2:8">
      <c r="B92" s="27">
        <f t="shared" si="1"/>
        <v>88</v>
      </c>
      <c r="C92" s="27" t="str">
        <f ca="1"/>
        <v>レルベア１００エリプタ３０吸入用</v>
      </c>
      <c r="D92" s="27">
        <f ca="1"/>
        <v>0</v>
      </c>
      <c r="E92" s="54">
        <f ca="1"/>
        <v>3</v>
      </c>
      <c r="F92" s="54" t="str">
        <f ca="1"/>
        <v/>
      </c>
      <c r="G92" s="54" t="str">
        <f ca="1"/>
        <v>１個</v>
      </c>
      <c r="H92" s="54" t="str">
        <f ca="1">IF(E92="","",OFFSET(分類!$B$29,臨時!E92,0))</f>
        <v>外用.臨時.散薬ヒート</v>
      </c>
    </row>
    <row r="93" spans="2:8">
      <c r="B93" s="27">
        <f t="shared" si="1"/>
        <v>89</v>
      </c>
      <c r="C93" s="27" t="str">
        <f ca="1"/>
        <v>レルベア２００エリプタ３０吸入用</v>
      </c>
      <c r="D93" s="27">
        <f ca="1"/>
        <v>0</v>
      </c>
      <c r="E93" s="54">
        <f ca="1"/>
        <v>3</v>
      </c>
      <c r="F93" s="54" t="str">
        <f ca="1"/>
        <v/>
      </c>
      <c r="G93" s="54" t="str">
        <f ca="1"/>
        <v>１個</v>
      </c>
      <c r="H93" s="54" t="str">
        <f ca="1">IF(E93="","",OFFSET(分類!$B$29,臨時!E93,0))</f>
        <v>外用.臨時.散薬ヒート</v>
      </c>
    </row>
    <row r="94" spans="2:8">
      <c r="B94" s="27">
        <f t="shared" si="1"/>
        <v>90</v>
      </c>
      <c r="C94" s="27" t="str">
        <f ca="1"/>
        <v>ロケルマ懸濁用散分包５ｇ</v>
      </c>
      <c r="D94" s="27">
        <f ca="1"/>
        <v>0</v>
      </c>
      <c r="E94" s="54">
        <f ca="1"/>
        <v>3</v>
      </c>
      <c r="F94" s="54" t="str">
        <f ca="1"/>
        <v>粉</v>
      </c>
      <c r="G94" s="54" t="str">
        <f ca="1"/>
        <v>２８包</v>
      </c>
      <c r="H94" s="54" t="str">
        <f ca="1">IF(E94="","",OFFSET(分類!$B$29,臨時!E94,0))</f>
        <v>外用.臨時.散薬ヒート</v>
      </c>
    </row>
    <row r="95" spans="2:8">
      <c r="B95" s="27">
        <f t="shared" si="1"/>
        <v>91</v>
      </c>
      <c r="C95" s="27" t="str">
        <f ca="1"/>
        <v>ロゼレム錠８ｍｇ</v>
      </c>
      <c r="D95" s="27">
        <f ca="1"/>
        <v>0</v>
      </c>
      <c r="E95" s="54">
        <f ca="1"/>
        <v>3</v>
      </c>
      <c r="F95" s="54" t="str">
        <f ca="1"/>
        <v>ＰＴＰ</v>
      </c>
      <c r="G95" s="54" t="str">
        <f ca="1"/>
        <v>１００Ｔ</v>
      </c>
      <c r="H95" s="54" t="str">
        <f ca="1">IF(E95="","",OFFSET(分類!$B$29,臨時!E95,0))</f>
        <v>外用.臨時.散薬ヒート</v>
      </c>
    </row>
    <row r="96" spans="2:8">
      <c r="B96" s="27">
        <f t="shared" si="1"/>
        <v>92</v>
      </c>
      <c r="C96" s="27" t="str">
        <f ca="1"/>
        <v>水溶性プレドニン１０ｍｇ</v>
      </c>
      <c r="D96" s="27">
        <f ca="1"/>
        <v>0</v>
      </c>
      <c r="E96" s="54">
        <f ca="1"/>
        <v>9</v>
      </c>
      <c r="F96" s="54" t="str">
        <f ca="1"/>
        <v/>
      </c>
      <c r="G96" s="54" t="str">
        <f ca="1"/>
        <v>１０Ａ</v>
      </c>
      <c r="H96" s="54" t="str">
        <f ca="1">IF(E96="","",OFFSET(分類!$B$29,臨時!E96,0))</f>
        <v>注射</v>
      </c>
    </row>
    <row r="97" spans="2:8">
      <c r="B97" s="27">
        <f t="shared" si="1"/>
        <v>93</v>
      </c>
      <c r="C97" s="27" t="str">
        <f ca="1"/>
        <v>アセリオ静注液１０００ｍｇバッグ</v>
      </c>
      <c r="D97" s="27">
        <f ca="1"/>
        <v>2</v>
      </c>
      <c r="E97" s="54">
        <f ca="1"/>
        <v>8</v>
      </c>
      <c r="F97" s="54" t="str">
        <f ca="1"/>
        <v/>
      </c>
      <c r="G97" s="54" t="str">
        <f ca="1"/>
        <v>１００ｍｌｘ２０</v>
      </c>
      <c r="H97" s="54" t="str">
        <f ca="1">IF(E97="","",OFFSET(分類!$B$29,臨時!E97,0))</f>
        <v>抗生剤.小輸液</v>
      </c>
    </row>
    <row r="98" spans="2:8">
      <c r="B98" s="27">
        <f t="shared" si="1"/>
        <v>94</v>
      </c>
      <c r="C98" s="27" t="str">
        <f ca="1"/>
        <v>アセレンド注１００μｇ</v>
      </c>
      <c r="D98" s="27">
        <f ca="1"/>
        <v>2</v>
      </c>
      <c r="E98" s="54">
        <f ca="1"/>
        <v>9</v>
      </c>
      <c r="F98" s="54" t="str">
        <f ca="1"/>
        <v/>
      </c>
      <c r="G98" s="54" t="str">
        <f ca="1"/>
        <v>２ｍｌｘ１０Ａ</v>
      </c>
      <c r="H98" s="54" t="str">
        <f ca="1">IF(E98="","",OFFSET(分類!$B$29,臨時!E98,0))</f>
        <v>注射</v>
      </c>
    </row>
    <row r="99" spans="2:8">
      <c r="B99" s="27">
        <f t="shared" si="1"/>
        <v>95</v>
      </c>
      <c r="C99" s="27" t="str">
        <f ca="1"/>
        <v>アナストロゾール錠１ｍｇ「サワイ」</v>
      </c>
      <c r="D99" s="27">
        <f ca="1"/>
        <v>2</v>
      </c>
      <c r="E99" s="54">
        <f ca="1"/>
        <v>3</v>
      </c>
      <c r="F99" s="54" t="str">
        <f ca="1"/>
        <v>ＰＴＰ</v>
      </c>
      <c r="G99" s="54" t="str">
        <f ca="1"/>
        <v>３０Ｔ</v>
      </c>
      <c r="H99" s="54" t="str">
        <f ca="1">IF(E99="","",OFFSET(分類!$B$29,臨時!E99,0))</f>
        <v>外用.臨時.散薬ヒート</v>
      </c>
    </row>
    <row r="100" spans="2:8">
      <c r="B100" s="27">
        <f t="shared" si="1"/>
        <v>96</v>
      </c>
      <c r="C100" s="27" t="str">
        <f ca="1"/>
        <v>イリボー錠５μｇ</v>
      </c>
      <c r="D100" s="27">
        <f ca="1"/>
        <v>2</v>
      </c>
      <c r="E100" s="54">
        <f ca="1"/>
        <v>15</v>
      </c>
      <c r="F100" s="54" t="str">
        <f ca="1"/>
        <v>ＰＴＰ</v>
      </c>
      <c r="G100" s="54" t="str">
        <f ca="1"/>
        <v>１００Ｔ</v>
      </c>
      <c r="H100" s="54" t="str">
        <f ca="1">IF(E100="","",OFFSET(分類!$B$29,臨時!E100,0))</f>
        <v>不良在庫</v>
      </c>
    </row>
    <row r="101" spans="2:8">
      <c r="B101" s="27">
        <f t="shared" si="1"/>
        <v>97</v>
      </c>
      <c r="C101" s="27" t="str">
        <f ca="1"/>
        <v>インチュニブ錠１ｍｇ</v>
      </c>
      <c r="D101" s="27">
        <f ca="1"/>
        <v>2</v>
      </c>
      <c r="E101" s="54">
        <f ca="1"/>
        <v>3</v>
      </c>
      <c r="F101" s="54" t="str">
        <f ca="1"/>
        <v>ＰＴＰ</v>
      </c>
      <c r="G101" s="54" t="str">
        <f ca="1"/>
        <v>１００Ｔ</v>
      </c>
      <c r="H101" s="54" t="str">
        <f ca="1">IF(E101="","",OFFSET(分類!$B$29,臨時!E101,0))</f>
        <v>外用.臨時.散薬ヒート</v>
      </c>
    </row>
    <row r="102" spans="2:8">
      <c r="B102" s="27">
        <f t="shared" si="1"/>
        <v>98</v>
      </c>
      <c r="C102" s="27" t="str">
        <f ca="1"/>
        <v>コンサータ錠１８ｍｇ</v>
      </c>
      <c r="D102" s="27">
        <f ca="1"/>
        <v>2</v>
      </c>
      <c r="E102" s="54">
        <f ca="1"/>
        <v>3</v>
      </c>
      <c r="F102" s="54" t="str">
        <f ca="1"/>
        <v>ＰＴＰ</v>
      </c>
      <c r="G102" s="54" t="str">
        <f ca="1"/>
        <v>１００Ｔ</v>
      </c>
      <c r="H102" s="54" t="str">
        <f ca="1">IF(E102="","",OFFSET(分類!$B$29,臨時!E102,0))</f>
        <v>外用.臨時.散薬ヒート</v>
      </c>
    </row>
    <row r="103" spans="2:8">
      <c r="B103" s="27">
        <f t="shared" si="1"/>
        <v>99</v>
      </c>
      <c r="C103" s="27" t="str">
        <f ca="1"/>
        <v>サンリズムカプセル２５ｍｇ</v>
      </c>
      <c r="D103" s="27">
        <f ca="1"/>
        <v>2</v>
      </c>
      <c r="E103" s="54">
        <f ca="1"/>
        <v>2</v>
      </c>
      <c r="F103" s="54" t="str">
        <f ca="1"/>
        <v>ＰＴＰ</v>
      </c>
      <c r="G103" s="54" t="str">
        <f ca="1"/>
        <v>１００Ｐ</v>
      </c>
      <c r="H103" s="54" t="str">
        <f ca="1">IF(E103="","",OFFSET(分類!$B$29,臨時!E103,0))</f>
        <v>散薬調剤台</v>
      </c>
    </row>
    <row r="104" spans="2:8">
      <c r="B104" s="27">
        <f t="shared" si="1"/>
        <v>100</v>
      </c>
      <c r="C104" s="27" t="str">
        <f ca="1"/>
        <v>シクロスポリンカプセル５０ｍｇ「トーワ」</v>
      </c>
      <c r="D104" s="27">
        <f ca="1"/>
        <v>2</v>
      </c>
      <c r="E104" s="54">
        <f ca="1"/>
        <v>3</v>
      </c>
      <c r="F104" s="54" t="str">
        <f ca="1"/>
        <v>ＰＴＰ</v>
      </c>
      <c r="G104" s="54" t="str">
        <f ca="1"/>
        <v>１００ｃａｐ</v>
      </c>
      <c r="H104" s="54" t="str">
        <f ca="1">IF(E104="","",OFFSET(分類!$B$29,臨時!E104,0))</f>
        <v>外用.臨時.散薬ヒート</v>
      </c>
    </row>
    <row r="105" spans="2:8">
      <c r="B105" s="27">
        <f t="shared" si="1"/>
        <v>101</v>
      </c>
      <c r="C105" s="27" t="str">
        <f ca="1"/>
        <v>シベンゾリンコハク酸塩錠１００ｍｇ「サワイ」</v>
      </c>
      <c r="D105" s="27">
        <f ca="1"/>
        <v>2</v>
      </c>
      <c r="E105" s="54">
        <f ca="1"/>
        <v>3</v>
      </c>
      <c r="F105" s="54" t="str">
        <f ca="1"/>
        <v>ＰＴＰ</v>
      </c>
      <c r="G105" s="54" t="str">
        <f ca="1"/>
        <v>１００Ｔ</v>
      </c>
      <c r="H105" s="54" t="str">
        <f ca="1">IF(E105="","",OFFSET(分類!$B$29,臨時!E105,0))</f>
        <v>外用.臨時.散薬ヒート</v>
      </c>
    </row>
    <row r="106" spans="2:8">
      <c r="B106" s="27">
        <f t="shared" si="1"/>
        <v>102</v>
      </c>
      <c r="C106" s="27" t="str">
        <f ca="1"/>
        <v>ストロメクトール錠３ｍｇ</v>
      </c>
      <c r="D106" s="27">
        <f ca="1"/>
        <v>2</v>
      </c>
      <c r="E106" s="54">
        <f ca="1"/>
        <v>3</v>
      </c>
      <c r="F106" s="54" t="str">
        <f ca="1"/>
        <v>ＰＴＰ</v>
      </c>
      <c r="G106" s="54" t="str">
        <f ca="1"/>
        <v>１０Ｔ</v>
      </c>
      <c r="H106" s="54" t="str">
        <f ca="1">IF(E106="","",OFFSET(分類!$B$29,臨時!E106,0))</f>
        <v>外用.臨時.散薬ヒート</v>
      </c>
    </row>
    <row r="107" spans="2:8">
      <c r="B107" s="27">
        <f t="shared" si="1"/>
        <v>103</v>
      </c>
      <c r="C107" s="27" t="str">
        <f ca="1"/>
        <v>セパミット細粒１％</v>
      </c>
      <c r="D107" s="27">
        <f ca="1"/>
        <v>2</v>
      </c>
      <c r="E107" s="54">
        <f ca="1"/>
        <v>3</v>
      </c>
      <c r="F107" s="54" t="str">
        <f ca="1"/>
        <v>粉</v>
      </c>
      <c r="G107" s="54" t="str">
        <f ca="1"/>
        <v>１ｇｘ３００包</v>
      </c>
      <c r="H107" s="54" t="str">
        <f ca="1">IF(E107="","",OFFSET(分類!$B$29,臨時!E107,0))</f>
        <v>外用.臨時.散薬ヒート</v>
      </c>
    </row>
    <row r="108" spans="2:8">
      <c r="B108" s="27">
        <f t="shared" si="1"/>
        <v>104</v>
      </c>
      <c r="C108" s="27" t="str">
        <f ca="1"/>
        <v>ソルダクトン静注用１００ｍｇ</v>
      </c>
      <c r="D108" s="27">
        <f ca="1"/>
        <v>2</v>
      </c>
      <c r="E108" s="54">
        <f ca="1"/>
        <v>9</v>
      </c>
      <c r="F108" s="54" t="str">
        <f ca="1"/>
        <v/>
      </c>
      <c r="G108" s="54" t="str">
        <f ca="1"/>
        <v>１０管</v>
      </c>
      <c r="H108" s="54" t="str">
        <f ca="1">IF(E108="","",OFFSET(分類!$B$29,臨時!E108,0))</f>
        <v>注射</v>
      </c>
    </row>
    <row r="109" spans="2:8">
      <c r="B109" s="27">
        <f t="shared" si="1"/>
        <v>105</v>
      </c>
      <c r="C109" s="27" t="str">
        <f ca="1"/>
        <v>ダーブロック錠２ｍｇ</v>
      </c>
      <c r="D109" s="27">
        <f ca="1"/>
        <v>2</v>
      </c>
      <c r="E109" s="54">
        <f ca="1"/>
        <v>15</v>
      </c>
      <c r="F109" s="54" t="str">
        <f ca="1"/>
        <v>ＰＴＰ</v>
      </c>
      <c r="G109" s="54" t="str">
        <f ca="1"/>
        <v>１００Ｔ</v>
      </c>
      <c r="H109" s="54" t="str">
        <f ca="1">IF(E109="","",OFFSET(分類!$B$29,臨時!E109,0))</f>
        <v>不良在庫</v>
      </c>
    </row>
    <row r="110" spans="2:8">
      <c r="B110" s="27">
        <f t="shared" si="1"/>
        <v>106</v>
      </c>
      <c r="C110" s="27" t="str">
        <f ca="1"/>
        <v>タクロリムスカプセル１ｍｇ「ニプロ」</v>
      </c>
      <c r="D110" s="27">
        <f ca="1"/>
        <v>2</v>
      </c>
      <c r="E110" s="54">
        <f ca="1"/>
        <v>15</v>
      </c>
      <c r="F110" s="54" t="str">
        <f ca="1"/>
        <v>ＰＴＰ</v>
      </c>
      <c r="G110" s="54" t="str">
        <f ca="1"/>
        <v>１００ｃａｐ</v>
      </c>
      <c r="H110" s="54" t="str">
        <f ca="1">IF(E110="","",OFFSET(分類!$B$29,臨時!E110,0))</f>
        <v>不良在庫</v>
      </c>
    </row>
    <row r="111" spans="2:8">
      <c r="B111" s="27">
        <f t="shared" si="1"/>
        <v>107</v>
      </c>
      <c r="C111" s="27" t="str">
        <f ca="1"/>
        <v>ダルベポエチン　アルファＢＳ注１２０μｇシリンジ「三和」</v>
      </c>
      <c r="D111" s="27">
        <f ca="1"/>
        <v>2</v>
      </c>
      <c r="E111" s="54">
        <f ca="1"/>
        <v>11</v>
      </c>
      <c r="F111" s="54" t="str">
        <f ca="1"/>
        <v/>
      </c>
      <c r="G111" s="54" t="str">
        <f ca="1"/>
        <v>１シリンジ</v>
      </c>
      <c r="H111" s="54" t="str">
        <f ca="1">IF(E111="","",OFFSET(分類!$B$29,臨時!E111,0))</f>
        <v>冷蔵庫</v>
      </c>
    </row>
    <row r="112" spans="2:8">
      <c r="B112" s="27">
        <f t="shared" si="1"/>
        <v>108</v>
      </c>
      <c r="C112" s="27" t="str">
        <f ca="1"/>
        <v>ダルベポエチン　アルファＢＳ注３０μｇシリンジ「三和」</v>
      </c>
      <c r="D112" s="27">
        <f ca="1"/>
        <v>2</v>
      </c>
      <c r="E112" s="54">
        <f ca="1"/>
        <v>15</v>
      </c>
      <c r="F112" s="54" t="str">
        <f ca="1"/>
        <v/>
      </c>
      <c r="G112" s="54" t="str">
        <f ca="1"/>
        <v>１シリンジ</v>
      </c>
      <c r="H112" s="54" t="str">
        <f ca="1">IF(E112="","",OFFSET(分類!$B$29,臨時!E112,0))</f>
        <v>不良在庫</v>
      </c>
    </row>
    <row r="113" spans="2:8">
      <c r="B113" s="27">
        <f t="shared" si="1"/>
        <v>109</v>
      </c>
      <c r="C113" s="27" t="str">
        <f ca="1"/>
        <v>ダルベポエチンアルファＢＳ注６０μｇシリンジ「三和」</v>
      </c>
      <c r="D113" s="27">
        <f ca="1"/>
        <v>2</v>
      </c>
      <c r="E113" s="54">
        <f ca="1"/>
        <v>15</v>
      </c>
      <c r="F113" s="54" t="str">
        <f ca="1"/>
        <v/>
      </c>
      <c r="G113" s="54" t="str">
        <f ca="1"/>
        <v>１シリンジ</v>
      </c>
      <c r="H113" s="54" t="str">
        <f ca="1">IF(E113="","",OFFSET(分類!$B$29,臨時!E113,0))</f>
        <v>不良在庫</v>
      </c>
    </row>
    <row r="114" spans="2:8">
      <c r="B114" s="27">
        <f t="shared" si="1"/>
        <v>110</v>
      </c>
      <c r="C114" s="27" t="str">
        <f ca="1"/>
        <v>タンボコール錠５０ｍｇ</v>
      </c>
      <c r="D114" s="27">
        <f ca="1"/>
        <v>2</v>
      </c>
      <c r="E114" s="54">
        <f ca="1"/>
        <v>8</v>
      </c>
      <c r="F114" s="54" t="str">
        <f ca="1"/>
        <v>ＰＴＰ</v>
      </c>
      <c r="G114" s="54" t="str">
        <f ca="1"/>
        <v>１００Ｔ</v>
      </c>
      <c r="H114" s="54" t="str">
        <f ca="1">IF(E114="","",OFFSET(分類!$B$29,臨時!E114,0))</f>
        <v>抗生剤.小輸液</v>
      </c>
    </row>
    <row r="115" spans="2:8">
      <c r="B115" s="27">
        <f t="shared" si="1"/>
        <v>111</v>
      </c>
      <c r="C115" s="27" t="str">
        <f ca="1"/>
        <v>チラーヂンＳ静注液２００μｇ</v>
      </c>
      <c r="D115" s="27">
        <f ca="1"/>
        <v>2</v>
      </c>
      <c r="E115" s="54">
        <f ca="1"/>
        <v>15</v>
      </c>
      <c r="F115" s="54" t="str">
        <f ca="1"/>
        <v/>
      </c>
      <c r="G115" s="54" t="str">
        <f ca="1"/>
        <v>１ｍｌｘ２Ａ</v>
      </c>
      <c r="H115" s="54" t="str">
        <f ca="1">IF(E115="","",OFFSET(分類!$B$29,臨時!E115,0))</f>
        <v>不良在庫</v>
      </c>
    </row>
    <row r="116" spans="2:8">
      <c r="B116" s="27">
        <f t="shared" si="1"/>
        <v>112</v>
      </c>
      <c r="C116" s="27" t="str">
        <f ca="1"/>
        <v>デュタステリドカプセル０．５ｍｇＡＶ「サワイ」</v>
      </c>
      <c r="D116" s="27">
        <f ca="1"/>
        <v>2</v>
      </c>
      <c r="E116" s="54">
        <f ca="1"/>
        <v>3</v>
      </c>
      <c r="F116" s="54" t="str">
        <f ca="1"/>
        <v>ＰＴＰ</v>
      </c>
      <c r="G116" s="54" t="str">
        <f ca="1"/>
        <v>３０Ｐ</v>
      </c>
      <c r="H116" s="54" t="str">
        <f ca="1">IF(E116="","",OFFSET(分類!$B$29,臨時!E116,0))</f>
        <v>外用.臨時.散薬ヒート</v>
      </c>
    </row>
    <row r="117" spans="2:8">
      <c r="B117" s="27">
        <f t="shared" si="1"/>
        <v>113</v>
      </c>
      <c r="C117" s="27" t="str">
        <f ca="1"/>
        <v>トアラセット配合錠「オーハラ」</v>
      </c>
      <c r="D117" s="27">
        <f ca="1"/>
        <v>2</v>
      </c>
      <c r="E117" s="54">
        <f ca="1"/>
        <v>3</v>
      </c>
      <c r="F117" s="54" t="str">
        <f ca="1"/>
        <v>ＰＴＰ</v>
      </c>
      <c r="G117" s="54" t="str">
        <f ca="1"/>
        <v>１００Ｔ</v>
      </c>
      <c r="H117" s="54" t="str">
        <f ca="1">IF(E117="","",OFFSET(分類!$B$29,臨時!E117,0))</f>
        <v>外用.臨時.散薬ヒート</v>
      </c>
    </row>
    <row r="118" spans="2:8">
      <c r="B118" s="27">
        <f t="shared" si="1"/>
        <v>114</v>
      </c>
      <c r="C118" s="27" t="str">
        <f ca="1"/>
        <v>トラマールＯＤ錠２５ｍｇ</v>
      </c>
      <c r="D118" s="27">
        <f ca="1"/>
        <v>2</v>
      </c>
      <c r="E118" s="54">
        <f ca="1"/>
        <v>3</v>
      </c>
      <c r="F118" s="54" t="str">
        <f ca="1"/>
        <v>ＰＴＰ</v>
      </c>
      <c r="G118" s="54" t="str">
        <f ca="1"/>
        <v>１００Ｔ</v>
      </c>
      <c r="H118" s="54" t="str">
        <f ca="1">IF(E118="","",OFFSET(分類!$B$29,臨時!E118,0))</f>
        <v>外用.臨時.散薬ヒート</v>
      </c>
    </row>
    <row r="119" spans="2:8">
      <c r="B119" s="27">
        <f t="shared" si="1"/>
        <v>115</v>
      </c>
      <c r="C119" s="27" t="str">
        <f ca="1"/>
        <v>トルバプタンＯＤ錠７．５ｍｇ「ＴＥ」</v>
      </c>
      <c r="D119" s="27">
        <f ca="1"/>
        <v>2</v>
      </c>
      <c r="E119" s="54">
        <f ca="1"/>
        <v>3</v>
      </c>
      <c r="F119" s="54" t="str">
        <f ca="1"/>
        <v>ＰＴＰ</v>
      </c>
      <c r="G119" s="54" t="str">
        <f ca="1"/>
        <v>２０Ｔ</v>
      </c>
      <c r="H119" s="54" t="str">
        <f ca="1">IF(E119="","",OFFSET(分類!$B$29,臨時!E119,0))</f>
        <v>外用.臨時.散薬ヒート</v>
      </c>
    </row>
    <row r="120" spans="2:8">
      <c r="B120" s="27">
        <f t="shared" si="1"/>
        <v>116</v>
      </c>
      <c r="C120" s="27" t="str">
        <f ca="1"/>
        <v>トルリシティ皮下注０．７５ｍｇアテオス</v>
      </c>
      <c r="D120" s="27">
        <f ca="1"/>
        <v>2</v>
      </c>
      <c r="E120" s="54">
        <f ca="1"/>
        <v>11</v>
      </c>
      <c r="F120" s="54" t="str">
        <f ca="1"/>
        <v/>
      </c>
      <c r="G120" s="54" t="str">
        <f ca="1"/>
        <v>２ｋｉｔ</v>
      </c>
      <c r="H120" s="54" t="str">
        <f ca="1">IF(E120="","",OFFSET(分類!$B$29,臨時!E120,0))</f>
        <v>冷蔵庫</v>
      </c>
    </row>
    <row r="121" spans="2:8">
      <c r="B121" s="27">
        <f t="shared" si="1"/>
        <v>117</v>
      </c>
      <c r="C121" s="27" t="str">
        <f ca="1"/>
        <v>トレシーバ注フレックスタッチ</v>
      </c>
      <c r="D121" s="27">
        <f ca="1"/>
        <v>2</v>
      </c>
      <c r="E121" s="54">
        <f ca="1"/>
        <v>11</v>
      </c>
      <c r="F121" s="54" t="str">
        <f ca="1"/>
        <v/>
      </c>
      <c r="G121" s="54" t="str">
        <f ca="1"/>
        <v>３ｍｌｘ２</v>
      </c>
      <c r="H121" s="54" t="str">
        <f ca="1">IF(E121="","",OFFSET(分類!$B$29,臨時!E121,0))</f>
        <v>冷蔵庫</v>
      </c>
    </row>
    <row r="122" spans="2:8">
      <c r="B122" s="27">
        <f t="shared" si="1"/>
        <v>118</v>
      </c>
      <c r="C122" s="27" t="str">
        <f ca="1"/>
        <v>ニュープロパッチ４．５ｍｇ</v>
      </c>
      <c r="D122" s="27">
        <f ca="1"/>
        <v>2</v>
      </c>
      <c r="E122" s="54">
        <f ca="1"/>
        <v>3</v>
      </c>
      <c r="F122" s="54" t="str">
        <f ca="1"/>
        <v/>
      </c>
      <c r="G122" s="54" t="str">
        <f ca="1"/>
        <v>２８枚</v>
      </c>
      <c r="H122" s="54" t="str">
        <f ca="1">IF(E122="","",OFFSET(分類!$B$29,臨時!E122,0))</f>
        <v>外用.臨時.散薬ヒート</v>
      </c>
    </row>
    <row r="123" spans="2:8">
      <c r="B123" s="27">
        <f t="shared" si="1"/>
        <v>119</v>
      </c>
      <c r="C123" s="27" t="str">
        <f ca="1"/>
        <v>ニューモバックスＮＰシリンジ</v>
      </c>
      <c r="D123" s="27">
        <f ca="1"/>
        <v>2</v>
      </c>
      <c r="E123" s="54">
        <f ca="1"/>
        <v>15</v>
      </c>
      <c r="F123" s="54" t="str">
        <f ca="1"/>
        <v/>
      </c>
      <c r="G123" s="54" t="str">
        <f ca="1"/>
        <v>０．５ｍｌｘ１</v>
      </c>
      <c r="H123" s="54" t="str">
        <f ca="1">IF(E123="","",OFFSET(分類!$B$29,臨時!E123,0))</f>
        <v>不良在庫</v>
      </c>
    </row>
    <row r="124" spans="2:8">
      <c r="B124" s="27">
        <f t="shared" si="1"/>
        <v>120</v>
      </c>
      <c r="C124" s="27" t="str">
        <f ca="1"/>
        <v>ノベルジン錠２５ｍｇ</v>
      </c>
      <c r="D124" s="27">
        <f ca="1"/>
        <v>2</v>
      </c>
      <c r="E124" s="54">
        <f ca="1"/>
        <v>3</v>
      </c>
      <c r="F124" s="54" t="str">
        <f ca="1"/>
        <v>ＰＴＰ</v>
      </c>
      <c r="G124" s="54" t="str">
        <f ca="1"/>
        <v>１００Ｔ</v>
      </c>
      <c r="H124" s="54" t="str">
        <f ca="1">IF(E124="","",OFFSET(分類!$B$29,臨時!E124,0))</f>
        <v>外用.臨時.散薬ヒート</v>
      </c>
    </row>
    <row r="125" spans="2:8">
      <c r="B125" s="27">
        <f t="shared" si="1"/>
        <v>121</v>
      </c>
      <c r="C125" s="27" t="str">
        <f ca="1"/>
        <v>ハーフジゴキシンＫＹ錠０．１２５</v>
      </c>
      <c r="D125" s="27">
        <f ca="1"/>
        <v>2</v>
      </c>
      <c r="E125" s="54">
        <f ca="1"/>
        <v>15</v>
      </c>
      <c r="F125" s="54" t="str">
        <f ca="1"/>
        <v>ＰＴＰ</v>
      </c>
      <c r="G125" s="54" t="str">
        <f ca="1"/>
        <v>１００Ｔ</v>
      </c>
      <c r="H125" s="54" t="str">
        <f ca="1">IF(E125="","",OFFSET(分類!$B$29,臨時!E125,0))</f>
        <v>不良在庫</v>
      </c>
    </row>
    <row r="126" spans="2:8">
      <c r="B126" s="27">
        <f t="shared" si="1"/>
        <v>122</v>
      </c>
      <c r="C126" s="27" t="str">
        <f ca="1"/>
        <v>ビ・シフロール錠０．１２５ｍｇ</v>
      </c>
      <c r="D126" s="27">
        <f ca="1"/>
        <v>2</v>
      </c>
      <c r="E126" s="54">
        <f ca="1"/>
        <v>3</v>
      </c>
      <c r="F126" s="54" t="str">
        <f ca="1"/>
        <v>ＰＴＰ</v>
      </c>
      <c r="G126" s="54" t="str">
        <f ca="1"/>
        <v>１００Ｔ</v>
      </c>
      <c r="H126" s="54" t="str">
        <f ca="1">IF(E126="","",OFFSET(分類!$B$29,臨時!E126,0))</f>
        <v>外用.臨時.散薬ヒート</v>
      </c>
    </row>
    <row r="127" spans="2:8">
      <c r="B127" s="27">
        <f t="shared" si="1"/>
        <v>123</v>
      </c>
      <c r="C127" s="27" t="str">
        <f ca="1"/>
        <v>ビカルタミド錠８０ｍｇ「オーハラ」</v>
      </c>
      <c r="D127" s="27">
        <f ca="1"/>
        <v>2</v>
      </c>
      <c r="E127" s="54">
        <f ca="1"/>
        <v>3</v>
      </c>
      <c r="F127" s="54" t="str">
        <f ca="1"/>
        <v>ＰＴＰ</v>
      </c>
      <c r="G127" s="54" t="str">
        <f ca="1"/>
        <v>３０Ｔ</v>
      </c>
      <c r="H127" s="54" t="str">
        <f ca="1">IF(E127="","",OFFSET(分類!$B$29,臨時!E127,0))</f>
        <v>外用.臨時.散薬ヒート</v>
      </c>
    </row>
    <row r="128" spans="2:8">
      <c r="B128" s="27">
        <f t="shared" si="1"/>
        <v>124</v>
      </c>
      <c r="C128" s="27" t="str">
        <f ca="1"/>
        <v>ビプレッソ徐放錠１５０ｍｇ</v>
      </c>
      <c r="D128" s="27">
        <f ca="1"/>
        <v>2</v>
      </c>
      <c r="E128" s="54">
        <f ca="1"/>
        <v>3</v>
      </c>
      <c r="F128" s="54" t="str">
        <f ca="1"/>
        <v>ＰＴＰ</v>
      </c>
      <c r="G128" s="54" t="str">
        <f ca="1"/>
        <v>１００Ｔ</v>
      </c>
      <c r="H128" s="54" t="str">
        <f ca="1">IF(E128="","",OFFSET(分類!$B$29,臨時!E128,0))</f>
        <v>外用.臨時.散薬ヒート</v>
      </c>
    </row>
    <row r="129" spans="2:8">
      <c r="B129" s="27">
        <f t="shared" si="1"/>
        <v>125</v>
      </c>
      <c r="C129" s="27" t="str">
        <f ca="1"/>
        <v>ビプレッソ徐放錠１５０ｍｇ</v>
      </c>
      <c r="D129" s="27">
        <f ca="1"/>
        <v>2</v>
      </c>
      <c r="E129" s="54">
        <f ca="1"/>
        <v>3</v>
      </c>
      <c r="F129" s="54" t="str">
        <f ca="1"/>
        <v>バラ</v>
      </c>
      <c r="G129" s="54" t="str">
        <f ca="1"/>
        <v>１００Ｔ</v>
      </c>
      <c r="H129" s="54" t="str">
        <f ca="1">IF(E129="","",OFFSET(分類!$B$29,臨時!E129,0))</f>
        <v>外用.臨時.散薬ヒート</v>
      </c>
    </row>
    <row r="130" spans="2:8">
      <c r="B130" s="27">
        <f t="shared" si="1"/>
        <v>126</v>
      </c>
      <c r="C130" s="27" t="str">
        <f ca="1"/>
        <v>ビプレッソ徐放錠５０ｍｇ</v>
      </c>
      <c r="D130" s="27">
        <f ca="1"/>
        <v>2</v>
      </c>
      <c r="E130" s="54">
        <f ca="1"/>
        <v>3</v>
      </c>
      <c r="F130" s="54" t="str">
        <f ca="1"/>
        <v>ＰＴＰ</v>
      </c>
      <c r="G130" s="54" t="str">
        <f ca="1"/>
        <v>１００Ｔ</v>
      </c>
      <c r="H130" s="54" t="str">
        <f ca="1">IF(E130="","",OFFSET(分類!$B$29,臨時!E130,0))</f>
        <v>外用.臨時.散薬ヒート</v>
      </c>
    </row>
    <row r="131" spans="2:8">
      <c r="B131" s="27">
        <f t="shared" si="1"/>
        <v>127</v>
      </c>
      <c r="C131" s="27" t="str">
        <f ca="1"/>
        <v>ビプレッソ徐放錠５０ｍｇ</v>
      </c>
      <c r="D131" s="27">
        <f ca="1"/>
        <v>2</v>
      </c>
      <c r="E131" s="54">
        <f ca="1"/>
        <v>3</v>
      </c>
      <c r="F131" s="54" t="str">
        <f ca="1"/>
        <v>バラ</v>
      </c>
      <c r="G131" s="54" t="str">
        <f ca="1"/>
        <v>１００Ｔ</v>
      </c>
      <c r="H131" s="54" t="str">
        <f ca="1">IF(E131="","",OFFSET(分類!$B$29,臨時!E131,0))</f>
        <v>外用.臨時.散薬ヒート</v>
      </c>
    </row>
    <row r="132" spans="2:8">
      <c r="B132" s="27">
        <f t="shared" si="1"/>
        <v>128</v>
      </c>
      <c r="C132" s="27" t="str">
        <f ca="1"/>
        <v>ピメノールカプセル５０ｍｇ</v>
      </c>
      <c r="D132" s="27">
        <f ca="1"/>
        <v>2</v>
      </c>
      <c r="E132" s="54">
        <f ca="1"/>
        <v>3</v>
      </c>
      <c r="F132" s="54" t="str">
        <f ca="1"/>
        <v>ＰＴＰ</v>
      </c>
      <c r="G132" s="54" t="str">
        <f ca="1"/>
        <v>１００Ｔ</v>
      </c>
      <c r="H132" s="54" t="str">
        <f ca="1">IF(E132="","",OFFSET(分類!$B$29,臨時!E132,0))</f>
        <v>外用.臨時.散薬ヒート</v>
      </c>
    </row>
    <row r="133" spans="2:8">
      <c r="B133" s="27">
        <f t="shared" si="1"/>
        <v>129</v>
      </c>
      <c r="C133" s="27" t="str">
        <f ca="1"/>
        <v>ヒューマログミックス５０注ミリオペン　３００単位</v>
      </c>
      <c r="D133" s="27">
        <f ca="1"/>
        <v>2</v>
      </c>
      <c r="E133" s="54">
        <f ca="1"/>
        <v>11</v>
      </c>
      <c r="F133" s="54" t="str">
        <f ca="1"/>
        <v/>
      </c>
      <c r="G133" s="54" t="str">
        <f ca="1"/>
        <v>３ｍｌｘ２</v>
      </c>
      <c r="H133" s="54" t="str">
        <f ca="1">IF(E133="","",OFFSET(分類!$B$29,臨時!E133,0))</f>
        <v>冷蔵庫</v>
      </c>
    </row>
    <row r="134" spans="2:8">
      <c r="B134" s="27">
        <f t="shared" si="1"/>
        <v>130</v>
      </c>
      <c r="C134" s="27" t="str">
        <f ca="1"/>
        <v>フェノバール錠３０ｍｇ</v>
      </c>
      <c r="D134" s="27">
        <f ca="1"/>
        <v>2</v>
      </c>
      <c r="E134" s="54">
        <f ca="1"/>
        <v>3</v>
      </c>
      <c r="F134" s="54" t="str">
        <f ca="1"/>
        <v>ＰＴＰ</v>
      </c>
      <c r="G134" s="54" t="str">
        <f ca="1"/>
        <v>１００Ｔ</v>
      </c>
      <c r="H134" s="54" t="str">
        <f ca="1">IF(E134="","",OFFSET(分類!$B$29,臨時!E134,0))</f>
        <v>外用.臨時.散薬ヒート</v>
      </c>
    </row>
    <row r="135" spans="2:8">
      <c r="B135" s="27">
        <f t="shared" ref="B135:B198" si="2">B134+1</f>
        <v>131</v>
      </c>
      <c r="C135" s="27" t="str">
        <f ca="1"/>
        <v>プラリア皮下注６０ｍｇシリンジ</v>
      </c>
      <c r="D135" s="27">
        <f ca="1"/>
        <v>2</v>
      </c>
      <c r="E135" s="54">
        <f ca="1"/>
        <v>15</v>
      </c>
      <c r="F135" s="54" t="str">
        <f ca="1"/>
        <v/>
      </c>
      <c r="G135" s="54" t="str">
        <f ca="1"/>
        <v>１ｍｌｘ１本</v>
      </c>
      <c r="H135" s="54" t="str">
        <f ca="1">IF(E135="","",OFFSET(分類!$B$29,臨時!E135,0))</f>
        <v>不良在庫</v>
      </c>
    </row>
    <row r="136" spans="2:8">
      <c r="B136" s="27">
        <f t="shared" si="2"/>
        <v>132</v>
      </c>
      <c r="C136" s="27" t="str">
        <f ca="1"/>
        <v>ベサコリン散５％</v>
      </c>
      <c r="D136" s="27">
        <f ca="1"/>
        <v>2</v>
      </c>
      <c r="E136" s="54">
        <f ca="1"/>
        <v>2</v>
      </c>
      <c r="F136" s="54" t="str">
        <f ca="1"/>
        <v>粉</v>
      </c>
      <c r="G136" s="54" t="str">
        <f ca="1"/>
        <v>１００ｇ</v>
      </c>
      <c r="H136" s="54" t="str">
        <f ca="1">IF(E136="","",OFFSET(分類!$B$29,臨時!E136,0))</f>
        <v>散薬調剤台</v>
      </c>
    </row>
    <row r="137" spans="2:8">
      <c r="B137" s="27">
        <f t="shared" si="2"/>
        <v>133</v>
      </c>
      <c r="C137" s="27" t="str">
        <f ca="1"/>
        <v>ベプリコール錠５０ｍｇ</v>
      </c>
      <c r="D137" s="27">
        <f ca="1"/>
        <v>2</v>
      </c>
      <c r="E137" s="54">
        <f ca="1"/>
        <v>3</v>
      </c>
      <c r="F137" s="54" t="str">
        <f ca="1"/>
        <v>ＰＴＰ</v>
      </c>
      <c r="G137" s="54" t="str">
        <f ca="1"/>
        <v>１００Ｔ</v>
      </c>
      <c r="H137" s="54" t="str">
        <f ca="1">IF(E137="","",OFFSET(分類!$B$29,臨時!E137,0))</f>
        <v>外用.臨時.散薬ヒート</v>
      </c>
    </row>
    <row r="138" spans="2:8">
      <c r="B138" s="27">
        <f t="shared" si="2"/>
        <v>134</v>
      </c>
      <c r="C138" s="27" t="str">
        <f ca="1"/>
        <v>ボルタレン錠２５ｍｇ</v>
      </c>
      <c r="D138" s="27">
        <f ca="1"/>
        <v>2</v>
      </c>
      <c r="E138" s="54">
        <f ca="1"/>
        <v>2</v>
      </c>
      <c r="F138" s="54" t="str">
        <f ca="1"/>
        <v>ＰＴＰ</v>
      </c>
      <c r="G138" s="54" t="str">
        <f ca="1"/>
        <v>１００Ｔ</v>
      </c>
      <c r="H138" s="54" t="str">
        <f ca="1">IF(E138="","",OFFSET(分類!$B$29,臨時!E138,0))</f>
        <v>散薬調剤台</v>
      </c>
    </row>
    <row r="139" spans="2:8">
      <c r="B139" s="27">
        <f t="shared" si="2"/>
        <v>135</v>
      </c>
      <c r="C139" s="27" t="str">
        <f ca="1"/>
        <v>メトトレキサート錠２ｍｇ「あゆみ」</v>
      </c>
      <c r="D139" s="27">
        <f ca="1"/>
        <v>2</v>
      </c>
      <c r="E139" s="54">
        <f ca="1"/>
        <v>3</v>
      </c>
      <c r="F139" s="54" t="str">
        <f ca="1"/>
        <v>ＰＴＰ</v>
      </c>
      <c r="G139" s="54" t="str">
        <f ca="1"/>
        <v>４８Ｔ</v>
      </c>
      <c r="H139" s="54" t="str">
        <f ca="1">IF(E139="","",OFFSET(分類!$B$29,臨時!E139,0))</f>
        <v>外用.臨時.散薬ヒート</v>
      </c>
    </row>
    <row r="140" spans="2:8">
      <c r="B140" s="27">
        <f t="shared" si="2"/>
        <v>136</v>
      </c>
      <c r="C140" s="27" t="str">
        <f ca="1"/>
        <v>ラコサミド錠５０ｍｇ「ＪＧ」</v>
      </c>
      <c r="D140" s="27">
        <f ca="1"/>
        <v>2</v>
      </c>
      <c r="E140" s="54">
        <f ca="1"/>
        <v>3</v>
      </c>
      <c r="F140" s="54" t="str">
        <f ca="1"/>
        <v>ＰＴＰ</v>
      </c>
      <c r="G140" s="54" t="str">
        <f ca="1"/>
        <v>１００Ｔ</v>
      </c>
      <c r="H140" s="54" t="str">
        <f ca="1">IF(E140="","",OFFSET(分類!$B$29,臨時!E140,0))</f>
        <v>外用.臨時.散薬ヒート</v>
      </c>
    </row>
    <row r="141" spans="2:8">
      <c r="B141" s="27">
        <f t="shared" si="2"/>
        <v>137</v>
      </c>
      <c r="C141" s="27" t="str">
        <f ca="1"/>
        <v>ランタス注ソロスター３００単位</v>
      </c>
      <c r="D141" s="27">
        <f ca="1"/>
        <v>2</v>
      </c>
      <c r="E141" s="54">
        <f ca="1"/>
        <v>11</v>
      </c>
      <c r="F141" s="54" t="str">
        <f ca="1"/>
        <v/>
      </c>
      <c r="G141" s="54" t="str">
        <f ca="1"/>
        <v>３ｍｌｘ２本</v>
      </c>
      <c r="H141" s="54" t="str">
        <f ca="1">IF(E141="","",OFFSET(分類!$B$29,臨時!E141,0))</f>
        <v>冷蔵庫</v>
      </c>
    </row>
    <row r="142" spans="2:8">
      <c r="B142" s="27">
        <f t="shared" si="2"/>
        <v>138</v>
      </c>
      <c r="C142" s="27" t="str">
        <f ca="1"/>
        <v>リオレサール錠５ｍｇ</v>
      </c>
      <c r="D142" s="27">
        <f ca="1"/>
        <v>2</v>
      </c>
      <c r="E142" s="54">
        <f ca="1"/>
        <v>3</v>
      </c>
      <c r="F142" s="54" t="str">
        <f ca="1"/>
        <v>ＰＴＰ</v>
      </c>
      <c r="G142" s="54" t="str">
        <f ca="1"/>
        <v>１００Ｔ</v>
      </c>
      <c r="H142" s="54" t="str">
        <f ca="1">IF(E142="","",OFFSET(分類!$B$29,臨時!E142,0))</f>
        <v>外用.臨時.散薬ヒート</v>
      </c>
    </row>
    <row r="143" spans="2:8">
      <c r="B143" s="27">
        <f t="shared" si="2"/>
        <v>139</v>
      </c>
      <c r="C143" s="27" t="str">
        <f ca="1"/>
        <v>リクラスト点滴静注液５ｍｇ</v>
      </c>
      <c r="D143" s="27">
        <f ca="1"/>
        <v>2</v>
      </c>
      <c r="E143" s="54">
        <f ca="1"/>
        <v>9</v>
      </c>
      <c r="F143" s="54" t="str">
        <f ca="1"/>
        <v/>
      </c>
      <c r="G143" s="54" t="str">
        <f ca="1"/>
        <v>１袋</v>
      </c>
      <c r="H143" s="54" t="str">
        <f ca="1">IF(E143="","",OFFSET(分類!$B$29,臨時!E143,0))</f>
        <v>注射</v>
      </c>
    </row>
    <row r="144" spans="2:8">
      <c r="B144" s="27">
        <f t="shared" si="2"/>
        <v>140</v>
      </c>
      <c r="C144" s="27" t="str">
        <f ca="1"/>
        <v>リマチル錠１００ｍｇ</v>
      </c>
      <c r="D144" s="27">
        <f ca="1"/>
        <v>2</v>
      </c>
      <c r="E144" s="54">
        <f ca="1"/>
        <v>1</v>
      </c>
      <c r="F144" s="54" t="str">
        <f ca="1"/>
        <v>ＰＴＰ</v>
      </c>
      <c r="G144" s="54" t="str">
        <f ca="1"/>
        <v>１００Ｔ</v>
      </c>
      <c r="H144" s="54" t="str">
        <f ca="1">IF(E144="","",OFFSET(分類!$B$29,臨時!E144,0))</f>
        <v>調剤棚</v>
      </c>
    </row>
    <row r="145" spans="2:8">
      <c r="B145" s="27">
        <f t="shared" si="2"/>
        <v>141</v>
      </c>
      <c r="C145" s="27" t="str">
        <f ca="1"/>
        <v>リュープロレリン酢酸塩注射用キット３．７５ｍｇ「あすか」</v>
      </c>
      <c r="D145" s="27">
        <f ca="1"/>
        <v>2</v>
      </c>
      <c r="E145" s="54">
        <f ca="1"/>
        <v>15</v>
      </c>
      <c r="F145" s="54" t="str">
        <f ca="1"/>
        <v/>
      </c>
      <c r="G145" s="54" t="str">
        <f ca="1"/>
        <v>１筒</v>
      </c>
      <c r="H145" s="54" t="str">
        <f ca="1">IF(E145="","",OFFSET(分類!$B$29,臨時!E145,0))</f>
        <v>不良在庫</v>
      </c>
    </row>
    <row r="146" spans="2:8">
      <c r="B146" s="27">
        <f t="shared" si="2"/>
        <v>142</v>
      </c>
      <c r="C146" s="27" t="str">
        <f ca="1"/>
        <v>レトロゾール錠２．５ｍｇ「サワイ」</v>
      </c>
      <c r="D146" s="27">
        <f ca="1"/>
        <v>2</v>
      </c>
      <c r="E146" s="54">
        <f ca="1"/>
        <v>3</v>
      </c>
      <c r="F146" s="54" t="str">
        <f ca="1"/>
        <v>ＰＴＰ</v>
      </c>
      <c r="G146" s="54" t="str">
        <f ca="1"/>
        <v>３０Ｔ</v>
      </c>
      <c r="H146" s="54" t="str">
        <f ca="1">IF(E146="","",OFFSET(分類!$B$29,臨時!E146,0))</f>
        <v>外用.臨時.散薬ヒート</v>
      </c>
    </row>
    <row r="147" spans="2:8">
      <c r="B147" s="27">
        <f t="shared" si="2"/>
        <v>143</v>
      </c>
      <c r="C147" s="27" t="str">
        <f ca="1"/>
        <v>レボレード錠１２．５ｍｇ</v>
      </c>
      <c r="D147" s="27">
        <f ca="1"/>
        <v>2</v>
      </c>
      <c r="E147" s="54">
        <f ca="1"/>
        <v>15</v>
      </c>
      <c r="F147" s="54" t="str">
        <f ca="1"/>
        <v>ＰＴＰ</v>
      </c>
      <c r="G147" s="54" t="str">
        <f ca="1"/>
        <v>７０Ｔ</v>
      </c>
      <c r="H147" s="54" t="str">
        <f ca="1">IF(E147="","",OFFSET(分類!$B$29,臨時!E147,0))</f>
        <v>不良在庫</v>
      </c>
    </row>
    <row r="148" spans="2:8">
      <c r="B148" s="27">
        <f t="shared" si="2"/>
        <v>144</v>
      </c>
      <c r="C148" s="27" t="str">
        <f ca="1"/>
        <v>レルパックス錠２０ｍｇ</v>
      </c>
      <c r="D148" s="27">
        <f ca="1"/>
        <v>2</v>
      </c>
      <c r="E148" s="54">
        <f ca="1"/>
        <v>3</v>
      </c>
      <c r="F148" s="54" t="str">
        <f ca="1"/>
        <v>ＰＴＰ</v>
      </c>
      <c r="G148" s="54" t="str">
        <f ca="1"/>
        <v>１０Ｔ</v>
      </c>
      <c r="H148" s="54" t="str">
        <f ca="1">IF(E148="","",OFFSET(分類!$B$29,臨時!E148,0))</f>
        <v>外用.臨時.散薬ヒート</v>
      </c>
    </row>
    <row r="149" spans="2:8">
      <c r="B149" s="27">
        <f t="shared" si="2"/>
        <v>145</v>
      </c>
      <c r="C149" s="27"/>
      <c r="D149" s="27"/>
      <c r="E149" s="54"/>
      <c r="F149" s="54"/>
      <c r="G149" s="54"/>
      <c r="H149" s="54" t="str">
        <f ca="1">IF(E149="","",OFFSET(分類!$B$29,臨時!E149,0))</f>
        <v/>
      </c>
    </row>
    <row r="150" spans="2:8">
      <c r="B150" s="27">
        <f t="shared" si="2"/>
        <v>146</v>
      </c>
      <c r="C150" s="27"/>
      <c r="D150" s="27"/>
      <c r="E150" s="54"/>
      <c r="F150" s="54"/>
      <c r="G150" s="54"/>
      <c r="H150" s="54" t="str">
        <f ca="1">IF(E150="","",OFFSET(分類!$B$29,臨時!E150,0))</f>
        <v/>
      </c>
    </row>
    <row r="151" spans="2:8">
      <c r="B151" s="27">
        <f t="shared" si="2"/>
        <v>147</v>
      </c>
      <c r="C151" s="27"/>
      <c r="D151" s="27"/>
      <c r="E151" s="54"/>
      <c r="F151" s="54"/>
      <c r="G151" s="54"/>
      <c r="H151" s="54" t="str">
        <f ca="1">IF(E151="","",OFFSET(分類!$B$29,臨時!E151,0))</f>
        <v/>
      </c>
    </row>
    <row r="152" spans="2:8">
      <c r="B152" s="27">
        <f t="shared" si="2"/>
        <v>148</v>
      </c>
      <c r="C152" s="27"/>
      <c r="D152" s="27"/>
      <c r="E152" s="54"/>
      <c r="F152" s="54"/>
      <c r="G152" s="54"/>
      <c r="H152" s="54" t="str">
        <f ca="1">IF(E152="","",OFFSET(分類!$B$29,臨時!E152,0))</f>
        <v/>
      </c>
    </row>
    <row r="153" spans="2:8">
      <c r="B153" s="27">
        <f t="shared" si="2"/>
        <v>149</v>
      </c>
      <c r="C153" s="27"/>
      <c r="D153" s="27"/>
      <c r="E153" s="54"/>
      <c r="F153" s="54"/>
      <c r="G153" s="54"/>
      <c r="H153" s="54" t="str">
        <f ca="1">IF(E153="","",OFFSET(分類!$B$29,臨時!E153,0))</f>
        <v/>
      </c>
    </row>
    <row r="154" spans="2:8">
      <c r="B154" s="27">
        <f t="shared" si="2"/>
        <v>150</v>
      </c>
      <c r="C154" s="27"/>
      <c r="D154" s="27"/>
      <c r="E154" s="54"/>
      <c r="F154" s="54"/>
      <c r="G154" s="54"/>
      <c r="H154" s="54" t="str">
        <f ca="1">IF(E154="","",OFFSET(分類!$B$29,臨時!E154,0))</f>
        <v/>
      </c>
    </row>
    <row r="155" spans="2:8">
      <c r="B155" s="27">
        <f t="shared" si="2"/>
        <v>151</v>
      </c>
      <c r="C155" s="27"/>
      <c r="D155" s="27"/>
      <c r="E155" s="54"/>
      <c r="F155" s="54"/>
      <c r="G155" s="54"/>
      <c r="H155" s="54" t="str">
        <f ca="1">IF(E155="","",OFFSET(分類!$B$29,臨時!E155,0))</f>
        <v/>
      </c>
    </row>
    <row r="156" spans="2:8">
      <c r="B156" s="27">
        <f t="shared" si="2"/>
        <v>152</v>
      </c>
      <c r="C156" s="27"/>
      <c r="D156" s="27"/>
      <c r="E156" s="54"/>
      <c r="F156" s="54"/>
      <c r="G156" s="54"/>
      <c r="H156" s="54" t="str">
        <f ca="1">IF(E156="","",OFFSET(分類!$B$29,臨時!E156,0))</f>
        <v/>
      </c>
    </row>
    <row r="157" spans="2:8">
      <c r="B157" s="27">
        <f t="shared" si="2"/>
        <v>153</v>
      </c>
      <c r="C157" s="27"/>
      <c r="D157" s="27"/>
      <c r="E157" s="54"/>
      <c r="F157" s="54"/>
      <c r="G157" s="54"/>
      <c r="H157" s="54" t="str">
        <f ca="1">IF(E157="","",OFFSET(分類!$B$29,臨時!E157,0))</f>
        <v/>
      </c>
    </row>
    <row r="158" spans="2:8">
      <c r="B158" s="27">
        <f t="shared" si="2"/>
        <v>154</v>
      </c>
      <c r="C158" s="27"/>
      <c r="D158" s="27"/>
      <c r="E158" s="54"/>
      <c r="F158" s="54"/>
      <c r="G158" s="54"/>
      <c r="H158" s="54" t="str">
        <f ca="1">IF(E158="","",OFFSET(分類!$B$29,臨時!E158,0))</f>
        <v/>
      </c>
    </row>
    <row r="159" spans="2:8">
      <c r="B159" s="27">
        <f t="shared" si="2"/>
        <v>155</v>
      </c>
      <c r="C159" s="27"/>
      <c r="D159" s="27"/>
      <c r="E159" s="54"/>
      <c r="F159" s="54"/>
      <c r="G159" s="54"/>
      <c r="H159" s="54" t="str">
        <f ca="1">IF(E159="","",OFFSET(分類!$B$29,臨時!E159,0))</f>
        <v/>
      </c>
    </row>
    <row r="160" spans="2:8">
      <c r="B160" s="27">
        <f t="shared" si="2"/>
        <v>156</v>
      </c>
      <c r="C160" s="27"/>
      <c r="D160" s="27"/>
      <c r="E160" s="54"/>
      <c r="F160" s="54"/>
      <c r="G160" s="54"/>
      <c r="H160" s="54" t="str">
        <f ca="1">IF(E160="","",OFFSET(分類!$B$29,臨時!E160,0))</f>
        <v/>
      </c>
    </row>
    <row r="161" spans="2:8">
      <c r="B161" s="27">
        <f t="shared" si="2"/>
        <v>157</v>
      </c>
      <c r="C161" s="27"/>
      <c r="D161" s="27"/>
      <c r="E161" s="54"/>
      <c r="F161" s="54"/>
      <c r="G161" s="54"/>
      <c r="H161" s="54" t="str">
        <f ca="1">IF(E161="","",OFFSET(分類!$B$29,臨時!E161,0))</f>
        <v/>
      </c>
    </row>
    <row r="162" spans="2:8">
      <c r="B162" s="27">
        <f t="shared" si="2"/>
        <v>158</v>
      </c>
      <c r="C162" s="27"/>
      <c r="D162" s="27"/>
      <c r="E162" s="54"/>
      <c r="F162" s="54"/>
      <c r="G162" s="54"/>
      <c r="H162" s="54" t="str">
        <f ca="1">IF(E162="","",OFFSET(分類!$B$29,臨時!E162,0))</f>
        <v/>
      </c>
    </row>
    <row r="163" spans="2:8">
      <c r="B163" s="27">
        <f t="shared" si="2"/>
        <v>159</v>
      </c>
      <c r="C163" s="27"/>
      <c r="D163" s="27"/>
      <c r="E163" s="54"/>
      <c r="F163" s="54"/>
      <c r="G163" s="54"/>
      <c r="H163" s="54" t="str">
        <f ca="1">IF(E163="","",OFFSET(分類!$B$29,臨時!E163,0))</f>
        <v/>
      </c>
    </row>
    <row r="164" spans="2:8">
      <c r="B164" s="27">
        <f t="shared" si="2"/>
        <v>160</v>
      </c>
      <c r="C164" s="27"/>
      <c r="D164" s="27"/>
      <c r="E164" s="54"/>
      <c r="F164" s="54"/>
      <c r="G164" s="54"/>
      <c r="H164" s="54" t="str">
        <f ca="1">IF(E164="","",OFFSET(分類!$B$29,臨時!E164,0))</f>
        <v/>
      </c>
    </row>
    <row r="165" spans="2:8">
      <c r="B165" s="27">
        <f t="shared" si="2"/>
        <v>161</v>
      </c>
      <c r="C165" s="27"/>
      <c r="D165" s="27"/>
      <c r="E165" s="54"/>
      <c r="F165" s="54"/>
      <c r="G165" s="54"/>
      <c r="H165" s="54" t="str">
        <f ca="1">IF(E165="","",OFFSET(分類!$B$29,臨時!E165,0))</f>
        <v/>
      </c>
    </row>
    <row r="166" spans="2:8">
      <c r="B166" s="27">
        <f t="shared" si="2"/>
        <v>162</v>
      </c>
      <c r="C166" s="27"/>
      <c r="D166" s="27"/>
      <c r="E166" s="54"/>
      <c r="F166" s="54"/>
      <c r="G166" s="54"/>
      <c r="H166" s="54" t="str">
        <f ca="1">IF(E166="","",OFFSET(分類!$B$29,臨時!E166,0))</f>
        <v/>
      </c>
    </row>
    <row r="167" spans="2:8">
      <c r="B167" s="27">
        <f t="shared" si="2"/>
        <v>163</v>
      </c>
      <c r="C167" s="27"/>
      <c r="D167" s="27"/>
      <c r="E167" s="54"/>
      <c r="F167" s="54"/>
      <c r="G167" s="54"/>
      <c r="H167" s="54" t="str">
        <f ca="1">IF(E167="","",OFFSET(分類!$B$29,臨時!E167,0))</f>
        <v/>
      </c>
    </row>
    <row r="168" spans="2:8">
      <c r="B168" s="27">
        <f t="shared" si="2"/>
        <v>164</v>
      </c>
      <c r="C168" s="27"/>
      <c r="D168" s="27"/>
      <c r="E168" s="54"/>
      <c r="F168" s="54"/>
      <c r="G168" s="54"/>
      <c r="H168" s="54" t="str">
        <f ca="1">IF(E168="","",OFFSET(分類!$B$29,臨時!E168,0))</f>
        <v/>
      </c>
    </row>
    <row r="169" spans="2:8">
      <c r="B169" s="27">
        <f t="shared" si="2"/>
        <v>165</v>
      </c>
      <c r="C169" s="27"/>
      <c r="D169" s="27"/>
      <c r="E169" s="54"/>
      <c r="F169" s="54"/>
      <c r="G169" s="54"/>
      <c r="H169" s="54" t="str">
        <f ca="1">IF(E169="","",OFFSET(分類!$B$29,臨時!E169,0))</f>
        <v/>
      </c>
    </row>
    <row r="170" spans="2:8">
      <c r="B170" s="27">
        <f t="shared" si="2"/>
        <v>166</v>
      </c>
      <c r="C170" s="27"/>
      <c r="D170" s="27"/>
      <c r="E170" s="54"/>
      <c r="F170" s="54"/>
      <c r="G170" s="54"/>
      <c r="H170" s="54" t="str">
        <f ca="1">IF(E170="","",OFFSET(分類!$B$29,臨時!E170,0))</f>
        <v/>
      </c>
    </row>
    <row r="171" spans="2:8">
      <c r="B171" s="27">
        <f t="shared" si="2"/>
        <v>167</v>
      </c>
      <c r="C171" s="27"/>
      <c r="D171" s="27"/>
      <c r="E171" s="54"/>
      <c r="F171" s="54"/>
      <c r="G171" s="54"/>
      <c r="H171" s="54" t="str">
        <f ca="1">IF(E171="","",OFFSET(分類!$B$29,臨時!E171,0))</f>
        <v/>
      </c>
    </row>
    <row r="172" spans="2:8">
      <c r="B172" s="27">
        <f t="shared" si="2"/>
        <v>168</v>
      </c>
      <c r="C172" s="27"/>
      <c r="D172" s="27"/>
      <c r="E172" s="54"/>
      <c r="F172" s="54"/>
      <c r="G172" s="54"/>
      <c r="H172" s="54" t="str">
        <f ca="1">IF(E172="","",OFFSET(分類!$B$29,臨時!E172,0))</f>
        <v/>
      </c>
    </row>
    <row r="173" spans="2:8">
      <c r="B173" s="27">
        <f t="shared" si="2"/>
        <v>169</v>
      </c>
      <c r="C173" s="27"/>
      <c r="D173" s="27"/>
      <c r="E173" s="54"/>
      <c r="F173" s="54"/>
      <c r="G173" s="54"/>
      <c r="H173" s="54" t="str">
        <f ca="1">IF(E173="","",OFFSET(分類!$B$29,臨時!E173,0))</f>
        <v/>
      </c>
    </row>
    <row r="174" spans="2:8">
      <c r="B174" s="27">
        <f t="shared" si="2"/>
        <v>170</v>
      </c>
      <c r="C174" s="27"/>
      <c r="D174" s="27"/>
      <c r="E174" s="54"/>
      <c r="F174" s="54"/>
      <c r="G174" s="54"/>
      <c r="H174" s="54" t="str">
        <f ca="1">IF(E174="","",OFFSET(分類!$B$29,臨時!E174,0))</f>
        <v/>
      </c>
    </row>
    <row r="175" spans="2:8">
      <c r="B175" s="27">
        <f t="shared" si="2"/>
        <v>171</v>
      </c>
      <c r="C175" s="27"/>
      <c r="D175" s="27"/>
      <c r="E175" s="54"/>
      <c r="F175" s="54"/>
      <c r="G175" s="54"/>
      <c r="H175" s="54" t="str">
        <f ca="1">IF(E175="","",OFFSET(分類!$B$29,臨時!E175,0))</f>
        <v/>
      </c>
    </row>
    <row r="176" spans="2:8">
      <c r="B176" s="27">
        <f t="shared" si="2"/>
        <v>172</v>
      </c>
      <c r="C176" s="27"/>
      <c r="D176" s="27"/>
      <c r="E176" s="54"/>
      <c r="F176" s="54"/>
      <c r="G176" s="54"/>
      <c r="H176" s="54" t="str">
        <f ca="1">IF(E176="","",OFFSET(分類!$B$29,臨時!E176,0))</f>
        <v/>
      </c>
    </row>
    <row r="177" spans="2:8">
      <c r="B177" s="27">
        <f t="shared" si="2"/>
        <v>173</v>
      </c>
      <c r="C177" s="27"/>
      <c r="D177" s="27"/>
      <c r="E177" s="54"/>
      <c r="F177" s="54"/>
      <c r="G177" s="54"/>
      <c r="H177" s="54" t="str">
        <f ca="1">IF(E177="","",OFFSET(分類!$B$29,臨時!E177,0))</f>
        <v/>
      </c>
    </row>
    <row r="178" spans="2:8">
      <c r="B178" s="27">
        <f t="shared" si="2"/>
        <v>174</v>
      </c>
      <c r="C178" s="27"/>
      <c r="D178" s="27"/>
      <c r="E178" s="54"/>
      <c r="F178" s="54"/>
      <c r="G178" s="54"/>
      <c r="H178" s="54" t="str">
        <f ca="1">IF(E178="","",OFFSET(分類!$B$29,臨時!E178,0))</f>
        <v/>
      </c>
    </row>
    <row r="179" spans="2:8">
      <c r="B179" s="27">
        <f t="shared" si="2"/>
        <v>175</v>
      </c>
      <c r="C179" s="27"/>
      <c r="D179" s="27"/>
      <c r="E179" s="54"/>
      <c r="F179" s="54"/>
      <c r="G179" s="54"/>
      <c r="H179" s="54" t="str">
        <f ca="1">IF(E179="","",OFFSET(分類!$B$29,臨時!E179,0))</f>
        <v/>
      </c>
    </row>
    <row r="180" spans="2:8">
      <c r="B180" s="27">
        <f t="shared" si="2"/>
        <v>176</v>
      </c>
      <c r="C180" s="27"/>
      <c r="D180" s="27"/>
      <c r="E180" s="54"/>
      <c r="F180" s="54"/>
      <c r="G180" s="54"/>
      <c r="H180" s="54" t="str">
        <f ca="1">IF(E180="","",OFFSET(分類!$B$29,臨時!E180,0))</f>
        <v/>
      </c>
    </row>
    <row r="181" spans="2:8">
      <c r="B181" s="27">
        <f t="shared" si="2"/>
        <v>177</v>
      </c>
      <c r="C181" s="27"/>
      <c r="D181" s="27"/>
      <c r="E181" s="54"/>
      <c r="F181" s="54"/>
      <c r="G181" s="54"/>
      <c r="H181" s="54" t="str">
        <f ca="1">IF(E181="","",OFFSET(分類!$B$29,臨時!E181,0))</f>
        <v/>
      </c>
    </row>
    <row r="182" spans="2:8">
      <c r="B182" s="27">
        <f t="shared" si="2"/>
        <v>178</v>
      </c>
      <c r="C182" s="27"/>
      <c r="D182" s="27"/>
      <c r="E182" s="54"/>
      <c r="F182" s="54"/>
      <c r="G182" s="54"/>
      <c r="H182" s="54" t="str">
        <f ca="1">IF(E182="","",OFFSET(分類!$B$29,臨時!E182,0))</f>
        <v/>
      </c>
    </row>
    <row r="183" spans="2:8">
      <c r="B183" s="27">
        <f t="shared" si="2"/>
        <v>179</v>
      </c>
      <c r="C183" s="27"/>
      <c r="D183" s="27"/>
      <c r="E183" s="54"/>
      <c r="F183" s="54"/>
      <c r="G183" s="54"/>
      <c r="H183" s="54" t="str">
        <f ca="1">IF(E183="","",OFFSET(分類!$B$29,臨時!E183,0))</f>
        <v/>
      </c>
    </row>
    <row r="184" spans="2:8">
      <c r="B184" s="27">
        <f t="shared" si="2"/>
        <v>180</v>
      </c>
      <c r="C184" s="27"/>
      <c r="D184" s="27"/>
      <c r="E184" s="54"/>
      <c r="F184" s="54"/>
      <c r="G184" s="54"/>
      <c r="H184" s="54" t="str">
        <f ca="1">IF(E184="","",OFFSET(分類!$B$29,臨時!E184,0))</f>
        <v/>
      </c>
    </row>
    <row r="185" spans="2:8">
      <c r="B185" s="27">
        <f t="shared" si="2"/>
        <v>181</v>
      </c>
      <c r="C185" s="27"/>
      <c r="D185" s="27"/>
      <c r="E185" s="54"/>
      <c r="F185" s="54"/>
      <c r="G185" s="54"/>
      <c r="H185" s="54" t="str">
        <f ca="1">IF(E185="","",OFFSET(分類!$B$29,臨時!E185,0))</f>
        <v/>
      </c>
    </row>
    <row r="186" spans="2:8">
      <c r="B186" s="27">
        <f t="shared" si="2"/>
        <v>182</v>
      </c>
      <c r="C186" s="27"/>
      <c r="D186" s="27"/>
      <c r="E186" s="54"/>
      <c r="F186" s="54"/>
      <c r="G186" s="54"/>
      <c r="H186" s="54" t="str">
        <f ca="1">IF(E186="","",OFFSET(分類!$B$29,臨時!E186,0))</f>
        <v/>
      </c>
    </row>
    <row r="187" spans="2:8">
      <c r="B187" s="27">
        <f t="shared" si="2"/>
        <v>183</v>
      </c>
      <c r="C187" s="27"/>
      <c r="D187" s="27"/>
      <c r="E187" s="54"/>
      <c r="F187" s="54"/>
      <c r="G187" s="54"/>
      <c r="H187" s="54" t="str">
        <f ca="1">IF(E187="","",OFFSET(分類!$B$29,臨時!E187,0))</f>
        <v/>
      </c>
    </row>
    <row r="188" spans="2:8">
      <c r="B188" s="27">
        <f t="shared" si="2"/>
        <v>184</v>
      </c>
      <c r="C188" s="27"/>
      <c r="D188" s="27"/>
      <c r="E188" s="54"/>
      <c r="F188" s="54"/>
      <c r="G188" s="54"/>
      <c r="H188" s="54" t="str">
        <f ca="1">IF(E188="","",OFFSET(分類!$B$29,臨時!E188,0))</f>
        <v/>
      </c>
    </row>
    <row r="189" spans="2:8">
      <c r="B189" s="27">
        <f t="shared" si="2"/>
        <v>185</v>
      </c>
      <c r="C189" s="27"/>
      <c r="D189" s="27"/>
      <c r="E189" s="54"/>
      <c r="F189" s="54"/>
      <c r="G189" s="54"/>
      <c r="H189" s="54" t="str">
        <f ca="1">IF(E189="","",OFFSET(分類!$B$29,臨時!E189,0))</f>
        <v/>
      </c>
    </row>
    <row r="190" spans="2:8">
      <c r="B190" s="27">
        <f t="shared" si="2"/>
        <v>186</v>
      </c>
      <c r="C190" s="27"/>
      <c r="D190" s="27"/>
      <c r="E190" s="54"/>
      <c r="F190" s="54"/>
      <c r="G190" s="54"/>
      <c r="H190" s="54" t="str">
        <f ca="1">IF(E190="","",OFFSET(分類!$B$29,臨時!E190,0))</f>
        <v/>
      </c>
    </row>
    <row r="191" spans="2:8">
      <c r="B191" s="27">
        <f t="shared" si="2"/>
        <v>187</v>
      </c>
      <c r="C191" s="27"/>
      <c r="D191" s="27"/>
      <c r="E191" s="54"/>
      <c r="F191" s="54"/>
      <c r="G191" s="54"/>
      <c r="H191" s="54" t="str">
        <f ca="1">IF(E191="","",OFFSET(分類!$B$29,臨時!E191,0))</f>
        <v/>
      </c>
    </row>
    <row r="192" spans="2:8">
      <c r="B192" s="27">
        <f t="shared" si="2"/>
        <v>188</v>
      </c>
      <c r="C192" s="27"/>
      <c r="D192" s="27"/>
      <c r="E192" s="54"/>
      <c r="F192" s="54"/>
      <c r="G192" s="54"/>
      <c r="H192" s="54" t="str">
        <f ca="1">IF(E192="","",OFFSET(分類!$B$29,臨時!E192,0))</f>
        <v/>
      </c>
    </row>
    <row r="193" spans="2:8">
      <c r="B193" s="27">
        <f t="shared" si="2"/>
        <v>189</v>
      </c>
      <c r="C193" s="27"/>
      <c r="D193" s="27"/>
      <c r="E193" s="54"/>
      <c r="F193" s="54"/>
      <c r="G193" s="54"/>
      <c r="H193" s="54" t="str">
        <f ca="1">IF(E193="","",OFFSET(分類!$B$29,臨時!E193,0))</f>
        <v/>
      </c>
    </row>
    <row r="194" spans="2:8">
      <c r="B194" s="27">
        <f t="shared" si="2"/>
        <v>190</v>
      </c>
      <c r="C194" s="27"/>
      <c r="D194" s="27"/>
      <c r="E194" s="54"/>
      <c r="F194" s="54"/>
      <c r="G194" s="54"/>
      <c r="H194" s="54" t="str">
        <f ca="1">IF(E194="","",OFFSET(分類!$B$29,臨時!E194,0))</f>
        <v/>
      </c>
    </row>
    <row r="195" spans="2:8">
      <c r="B195" s="27">
        <f t="shared" si="2"/>
        <v>191</v>
      </c>
      <c r="C195" s="27"/>
      <c r="D195" s="27"/>
      <c r="E195" s="54"/>
      <c r="F195" s="54"/>
      <c r="G195" s="54"/>
      <c r="H195" s="54" t="str">
        <f ca="1">IF(E195="","",OFFSET(分類!$B$29,臨時!E195,0))</f>
        <v/>
      </c>
    </row>
    <row r="196" spans="2:8">
      <c r="B196" s="27">
        <f t="shared" si="2"/>
        <v>192</v>
      </c>
      <c r="C196" s="27"/>
      <c r="D196" s="27"/>
      <c r="E196" s="54"/>
      <c r="F196" s="54"/>
      <c r="G196" s="54"/>
      <c r="H196" s="54" t="str">
        <f ca="1">IF(E196="","",OFFSET(分類!$B$29,臨時!E196,0))</f>
        <v/>
      </c>
    </row>
    <row r="197" spans="2:8">
      <c r="B197" s="27">
        <f t="shared" si="2"/>
        <v>193</v>
      </c>
      <c r="C197" s="27"/>
      <c r="D197" s="27"/>
      <c r="E197" s="54"/>
      <c r="F197" s="54"/>
      <c r="G197" s="54"/>
      <c r="H197" s="54" t="str">
        <f ca="1">IF(E197="","",OFFSET(分類!$B$29,臨時!E197,0))</f>
        <v/>
      </c>
    </row>
    <row r="198" spans="2:8">
      <c r="B198" s="27">
        <f t="shared" si="2"/>
        <v>194</v>
      </c>
      <c r="C198" s="27"/>
      <c r="D198" s="27"/>
      <c r="E198" s="54"/>
      <c r="F198" s="54"/>
      <c r="G198" s="54"/>
      <c r="H198" s="54" t="str">
        <f ca="1">IF(E198="","",OFFSET(分類!$B$29,臨時!E198,0))</f>
        <v/>
      </c>
    </row>
    <row r="199" spans="2:8">
      <c r="B199" s="27">
        <f t="shared" ref="B199:B262" si="3">B198+1</f>
        <v>195</v>
      </c>
      <c r="C199" s="27"/>
      <c r="D199" s="27"/>
      <c r="E199" s="54"/>
      <c r="F199" s="54"/>
      <c r="G199" s="54"/>
      <c r="H199" s="54" t="str">
        <f ca="1">IF(E199="","",OFFSET(分類!$B$29,臨時!E199,0))</f>
        <v/>
      </c>
    </row>
    <row r="200" spans="2:8">
      <c r="B200" s="27">
        <f t="shared" si="3"/>
        <v>196</v>
      </c>
      <c r="C200" s="27"/>
      <c r="D200" s="27"/>
      <c r="E200" s="54"/>
      <c r="F200" s="54"/>
      <c r="G200" s="54"/>
      <c r="H200" s="54" t="str">
        <f ca="1">IF(E200="","",OFFSET(分類!$B$29,臨時!E200,0))</f>
        <v/>
      </c>
    </row>
    <row r="201" spans="2:8">
      <c r="B201" s="27">
        <f t="shared" si="3"/>
        <v>197</v>
      </c>
      <c r="C201" s="27"/>
      <c r="D201" s="27"/>
      <c r="E201" s="54"/>
      <c r="F201" s="54"/>
      <c r="G201" s="54"/>
      <c r="H201" s="54" t="str">
        <f ca="1">IF(E201="","",OFFSET(分類!$B$29,臨時!E201,0))</f>
        <v/>
      </c>
    </row>
    <row r="202" spans="2:8">
      <c r="B202" s="27">
        <f t="shared" si="3"/>
        <v>198</v>
      </c>
      <c r="C202" s="27"/>
      <c r="D202" s="27"/>
      <c r="E202" s="54"/>
      <c r="F202" s="54"/>
      <c r="G202" s="54"/>
      <c r="H202" s="54" t="str">
        <f ca="1">IF(E202="","",OFFSET(分類!$B$29,臨時!E202,0))</f>
        <v/>
      </c>
    </row>
    <row r="203" spans="2:8">
      <c r="B203" s="27">
        <f t="shared" si="3"/>
        <v>199</v>
      </c>
      <c r="C203" s="27"/>
      <c r="D203" s="27"/>
      <c r="E203" s="54"/>
      <c r="F203" s="54"/>
      <c r="G203" s="54"/>
      <c r="H203" s="54" t="str">
        <f ca="1">IF(E203="","",OFFSET(分類!$B$29,臨時!E203,0))</f>
        <v/>
      </c>
    </row>
    <row r="204" spans="2:8">
      <c r="B204" s="27">
        <f t="shared" si="3"/>
        <v>200</v>
      </c>
      <c r="C204" s="27"/>
      <c r="D204" s="27"/>
      <c r="E204" s="54"/>
      <c r="F204" s="54"/>
      <c r="G204" s="54"/>
      <c r="H204" s="54" t="str">
        <f ca="1">IF(E204="","",OFFSET(分類!$B$29,臨時!E204,0))</f>
        <v/>
      </c>
    </row>
    <row r="205" spans="2:8">
      <c r="B205" s="27">
        <f t="shared" si="3"/>
        <v>201</v>
      </c>
      <c r="C205" s="27"/>
      <c r="D205" s="27"/>
      <c r="E205" s="54"/>
      <c r="F205" s="54"/>
      <c r="G205" s="54"/>
      <c r="H205" s="54" t="str">
        <f ca="1">IF(E205="","",OFFSET(分類!$B$29,臨時!E205,0))</f>
        <v/>
      </c>
    </row>
    <row r="206" spans="2:8">
      <c r="B206" s="27">
        <f t="shared" si="3"/>
        <v>202</v>
      </c>
      <c r="C206" s="27"/>
      <c r="D206" s="27"/>
      <c r="E206" s="54"/>
      <c r="F206" s="54"/>
      <c r="G206" s="54"/>
      <c r="H206" s="54" t="str">
        <f ca="1">IF(E206="","",OFFSET(分類!$B$29,臨時!E206,0))</f>
        <v/>
      </c>
    </row>
    <row r="207" spans="2:8">
      <c r="B207" s="27">
        <f t="shared" si="3"/>
        <v>203</v>
      </c>
      <c r="C207" s="27"/>
      <c r="D207" s="27"/>
      <c r="E207" s="54"/>
      <c r="F207" s="54"/>
      <c r="G207" s="54"/>
      <c r="H207" s="54" t="str">
        <f ca="1">IF(E207="","",OFFSET(分類!$B$29,臨時!E207,0))</f>
        <v/>
      </c>
    </row>
    <row r="208" spans="2:8">
      <c r="B208" s="27">
        <f t="shared" si="3"/>
        <v>204</v>
      </c>
      <c r="C208" s="27"/>
      <c r="D208" s="27"/>
      <c r="E208" s="54"/>
      <c r="F208" s="54"/>
      <c r="G208" s="54"/>
      <c r="H208" s="54" t="str">
        <f ca="1">IF(E208="","",OFFSET(分類!$B$29,臨時!E208,0))</f>
        <v/>
      </c>
    </row>
    <row r="209" spans="2:8">
      <c r="B209" s="27">
        <f t="shared" si="3"/>
        <v>205</v>
      </c>
      <c r="C209" s="27"/>
      <c r="D209" s="27"/>
      <c r="E209" s="54"/>
      <c r="F209" s="54"/>
      <c r="G209" s="54"/>
      <c r="H209" s="54" t="str">
        <f ca="1">IF(E209="","",OFFSET(分類!$B$29,臨時!E209,0))</f>
        <v/>
      </c>
    </row>
    <row r="210" spans="2:8">
      <c r="B210" s="27">
        <f t="shared" si="3"/>
        <v>206</v>
      </c>
      <c r="C210" s="27"/>
      <c r="D210" s="27"/>
      <c r="E210" s="54"/>
      <c r="F210" s="54"/>
      <c r="G210" s="54"/>
      <c r="H210" s="54" t="str">
        <f ca="1">IF(E210="","",OFFSET(分類!$B$29,臨時!E210,0))</f>
        <v/>
      </c>
    </row>
    <row r="211" spans="2:8">
      <c r="B211" s="27">
        <f t="shared" si="3"/>
        <v>207</v>
      </c>
      <c r="C211" s="27"/>
      <c r="D211" s="27"/>
      <c r="E211" s="54"/>
      <c r="F211" s="54"/>
      <c r="G211" s="54"/>
      <c r="H211" s="54" t="str">
        <f ca="1">IF(E211="","",OFFSET(分類!$B$29,臨時!E211,0))</f>
        <v/>
      </c>
    </row>
    <row r="212" spans="2:8">
      <c r="B212" s="27">
        <f t="shared" si="3"/>
        <v>208</v>
      </c>
      <c r="C212" s="27"/>
      <c r="D212" s="27"/>
      <c r="E212" s="54"/>
      <c r="F212" s="54"/>
      <c r="G212" s="54"/>
      <c r="H212" s="54" t="str">
        <f ca="1">IF(E212="","",OFFSET(分類!$B$29,臨時!E212,0))</f>
        <v/>
      </c>
    </row>
    <row r="213" spans="2:8">
      <c r="B213" s="27">
        <f t="shared" si="3"/>
        <v>209</v>
      </c>
      <c r="C213" s="27"/>
      <c r="D213" s="27"/>
      <c r="E213" s="54"/>
      <c r="F213" s="54"/>
      <c r="G213" s="54"/>
      <c r="H213" s="54" t="str">
        <f ca="1">IF(E213="","",OFFSET(分類!$B$29,臨時!E213,0))</f>
        <v/>
      </c>
    </row>
    <row r="214" spans="2:8">
      <c r="B214" s="27">
        <f t="shared" si="3"/>
        <v>210</v>
      </c>
      <c r="C214" s="27"/>
      <c r="D214" s="27"/>
      <c r="E214" s="54"/>
      <c r="F214" s="54"/>
      <c r="G214" s="54"/>
      <c r="H214" s="54" t="str">
        <f ca="1">IF(E214="","",OFFSET(分類!$B$29,臨時!E214,0))</f>
        <v/>
      </c>
    </row>
    <row r="215" spans="2:8">
      <c r="B215" s="27">
        <f t="shared" si="3"/>
        <v>211</v>
      </c>
      <c r="C215" s="27"/>
      <c r="D215" s="27"/>
      <c r="E215" s="54"/>
      <c r="F215" s="54"/>
      <c r="G215" s="54"/>
      <c r="H215" s="54" t="str">
        <f ca="1">IF(E215="","",OFFSET(分類!$B$29,臨時!E215,0))</f>
        <v/>
      </c>
    </row>
    <row r="216" spans="2:8">
      <c r="B216" s="27">
        <f t="shared" si="3"/>
        <v>212</v>
      </c>
      <c r="C216" s="27"/>
      <c r="D216" s="27"/>
      <c r="E216" s="54"/>
      <c r="F216" s="54"/>
      <c r="G216" s="54"/>
      <c r="H216" s="54" t="str">
        <f ca="1">IF(E216="","",OFFSET(分類!$B$29,臨時!E216,0))</f>
        <v/>
      </c>
    </row>
    <row r="217" spans="2:8">
      <c r="B217" s="27">
        <f t="shared" si="3"/>
        <v>213</v>
      </c>
      <c r="C217" s="27"/>
      <c r="D217" s="27"/>
      <c r="E217" s="54"/>
      <c r="F217" s="54"/>
      <c r="G217" s="54"/>
      <c r="H217" s="54" t="str">
        <f ca="1">IF(E217="","",OFFSET(分類!$B$29,臨時!E217,0))</f>
        <v/>
      </c>
    </row>
    <row r="218" spans="2:8">
      <c r="B218" s="27">
        <f t="shared" si="3"/>
        <v>214</v>
      </c>
      <c r="C218" s="27"/>
      <c r="D218" s="27"/>
      <c r="E218" s="54"/>
      <c r="F218" s="54"/>
      <c r="G218" s="54"/>
      <c r="H218" s="54" t="str">
        <f ca="1">IF(E218="","",OFFSET(分類!$B$29,臨時!E218,0))</f>
        <v/>
      </c>
    </row>
    <row r="219" spans="2:8">
      <c r="B219" s="27">
        <f t="shared" si="3"/>
        <v>215</v>
      </c>
      <c r="C219" s="27"/>
      <c r="D219" s="27"/>
      <c r="E219" s="54"/>
      <c r="F219" s="54"/>
      <c r="G219" s="54"/>
      <c r="H219" s="54" t="str">
        <f ca="1">IF(E219="","",OFFSET(分類!$B$29,臨時!E219,0))</f>
        <v/>
      </c>
    </row>
    <row r="220" spans="2:8">
      <c r="B220" s="27">
        <f t="shared" si="3"/>
        <v>216</v>
      </c>
      <c r="C220" s="27"/>
      <c r="D220" s="27"/>
      <c r="E220" s="54"/>
      <c r="F220" s="54"/>
      <c r="G220" s="54"/>
      <c r="H220" s="54" t="str">
        <f ca="1">IF(E220="","",OFFSET(分類!$B$29,臨時!E220,0))</f>
        <v/>
      </c>
    </row>
    <row r="221" spans="2:8">
      <c r="B221" s="27">
        <f t="shared" si="3"/>
        <v>217</v>
      </c>
      <c r="C221" s="27"/>
      <c r="D221" s="27"/>
      <c r="E221" s="54"/>
      <c r="F221" s="54"/>
      <c r="G221" s="54"/>
      <c r="H221" s="54" t="str">
        <f ca="1">IF(E221="","",OFFSET(分類!$B$29,臨時!E221,0))</f>
        <v/>
      </c>
    </row>
    <row r="222" spans="2:8">
      <c r="B222" s="27">
        <f t="shared" si="3"/>
        <v>218</v>
      </c>
      <c r="C222" s="27"/>
      <c r="D222" s="27"/>
      <c r="E222" s="54"/>
      <c r="F222" s="54"/>
      <c r="G222" s="54"/>
      <c r="H222" s="54" t="str">
        <f ca="1">IF(E222="","",OFFSET(分類!$B$29,臨時!E222,0))</f>
        <v/>
      </c>
    </row>
    <row r="223" spans="2:8">
      <c r="B223" s="27">
        <f t="shared" si="3"/>
        <v>219</v>
      </c>
      <c r="C223" s="27"/>
      <c r="D223" s="27"/>
      <c r="E223" s="54"/>
      <c r="F223" s="54"/>
      <c r="G223" s="54"/>
      <c r="H223" s="54" t="str">
        <f ca="1">IF(E223="","",OFFSET(分類!$B$29,臨時!E223,0))</f>
        <v/>
      </c>
    </row>
    <row r="224" spans="2:8">
      <c r="B224" s="27">
        <f t="shared" si="3"/>
        <v>220</v>
      </c>
      <c r="C224" s="27"/>
      <c r="D224" s="27"/>
      <c r="E224" s="54"/>
      <c r="F224" s="54"/>
      <c r="G224" s="54"/>
      <c r="H224" s="54" t="str">
        <f ca="1">IF(E224="","",OFFSET(分類!$B$29,臨時!E224,0))</f>
        <v/>
      </c>
    </row>
    <row r="225" spans="2:8">
      <c r="B225" s="27">
        <f t="shared" si="3"/>
        <v>221</v>
      </c>
      <c r="C225" s="27"/>
      <c r="D225" s="27"/>
      <c r="E225" s="54"/>
      <c r="F225" s="54"/>
      <c r="G225" s="54"/>
      <c r="H225" s="54" t="str">
        <f ca="1">IF(E225="","",OFFSET(分類!$B$29,臨時!E225,0))</f>
        <v/>
      </c>
    </row>
    <row r="226" spans="2:8">
      <c r="B226" s="27">
        <f t="shared" si="3"/>
        <v>222</v>
      </c>
      <c r="C226" s="27"/>
      <c r="D226" s="27"/>
      <c r="E226" s="54"/>
      <c r="F226" s="54"/>
      <c r="G226" s="54"/>
      <c r="H226" s="54" t="str">
        <f ca="1">IF(E226="","",OFFSET(分類!$B$29,臨時!E226,0))</f>
        <v/>
      </c>
    </row>
    <row r="227" spans="2:8">
      <c r="B227" s="27">
        <f t="shared" si="3"/>
        <v>223</v>
      </c>
      <c r="C227" s="27"/>
      <c r="D227" s="27"/>
      <c r="E227" s="54"/>
      <c r="F227" s="54"/>
      <c r="G227" s="54"/>
      <c r="H227" s="54" t="str">
        <f ca="1">IF(E227="","",OFFSET(分類!$B$29,臨時!E227,0))</f>
        <v/>
      </c>
    </row>
    <row r="228" spans="2:8">
      <c r="B228" s="27">
        <f t="shared" si="3"/>
        <v>224</v>
      </c>
      <c r="C228" s="27"/>
      <c r="D228" s="27"/>
      <c r="E228" s="54"/>
      <c r="F228" s="54"/>
      <c r="G228" s="54"/>
      <c r="H228" s="54" t="str">
        <f ca="1">IF(E228="","",OFFSET(分類!$B$29,臨時!E228,0))</f>
        <v/>
      </c>
    </row>
    <row r="229" spans="2:8">
      <c r="B229" s="27">
        <f t="shared" si="3"/>
        <v>225</v>
      </c>
      <c r="C229" s="27"/>
      <c r="D229" s="27"/>
      <c r="E229" s="54"/>
      <c r="F229" s="54"/>
      <c r="G229" s="54"/>
      <c r="H229" s="54" t="str">
        <f ca="1">IF(E229="","",OFFSET(分類!$B$29,臨時!E229,0))</f>
        <v/>
      </c>
    </row>
    <row r="230" spans="2:8">
      <c r="B230" s="27">
        <f t="shared" si="3"/>
        <v>226</v>
      </c>
      <c r="C230" s="27"/>
      <c r="D230" s="27"/>
      <c r="E230" s="54"/>
      <c r="F230" s="54"/>
      <c r="G230" s="54"/>
      <c r="H230" s="54" t="str">
        <f ca="1">IF(E230="","",OFFSET(分類!$B$29,臨時!E230,0))</f>
        <v/>
      </c>
    </row>
    <row r="231" spans="2:8">
      <c r="B231" s="27">
        <f t="shared" si="3"/>
        <v>227</v>
      </c>
      <c r="C231" s="27"/>
      <c r="D231" s="27"/>
      <c r="E231" s="54"/>
      <c r="F231" s="54"/>
      <c r="G231" s="54"/>
      <c r="H231" s="54" t="str">
        <f ca="1">IF(E231="","",OFFSET(分類!$B$29,臨時!E231,0))</f>
        <v/>
      </c>
    </row>
    <row r="232" spans="2:8">
      <c r="B232" s="27">
        <f t="shared" si="3"/>
        <v>228</v>
      </c>
      <c r="C232" s="27"/>
      <c r="D232" s="27"/>
      <c r="E232" s="54"/>
      <c r="F232" s="54"/>
      <c r="G232" s="54"/>
      <c r="H232" s="54" t="str">
        <f ca="1">IF(E232="","",OFFSET(分類!$B$29,臨時!E232,0))</f>
        <v/>
      </c>
    </row>
    <row r="233" spans="2:8">
      <c r="B233" s="27">
        <f t="shared" si="3"/>
        <v>229</v>
      </c>
      <c r="C233" s="27"/>
      <c r="D233" s="27"/>
      <c r="E233" s="54"/>
      <c r="F233" s="54"/>
      <c r="G233" s="54"/>
      <c r="H233" s="54" t="str">
        <f ca="1">IF(E233="","",OFFSET(分類!$B$29,臨時!E233,0))</f>
        <v/>
      </c>
    </row>
    <row r="234" spans="2:8">
      <c r="B234" s="27">
        <f t="shared" si="3"/>
        <v>230</v>
      </c>
      <c r="C234" s="27"/>
      <c r="D234" s="27"/>
      <c r="E234" s="54"/>
      <c r="F234" s="54"/>
      <c r="G234" s="54"/>
      <c r="H234" s="54" t="str">
        <f ca="1">IF(E234="","",OFFSET(分類!$B$29,臨時!E234,0))</f>
        <v/>
      </c>
    </row>
    <row r="235" spans="2:8">
      <c r="B235" s="27">
        <f t="shared" si="3"/>
        <v>231</v>
      </c>
      <c r="C235" s="27"/>
      <c r="D235" s="27"/>
      <c r="E235" s="54"/>
      <c r="F235" s="54"/>
      <c r="G235" s="54"/>
      <c r="H235" s="54" t="str">
        <f ca="1">IF(E235="","",OFFSET(分類!$B$29,臨時!E235,0))</f>
        <v/>
      </c>
    </row>
    <row r="236" spans="2:8">
      <c r="B236" s="27">
        <f t="shared" si="3"/>
        <v>232</v>
      </c>
      <c r="C236" s="27"/>
      <c r="D236" s="27"/>
      <c r="E236" s="54"/>
      <c r="F236" s="54"/>
      <c r="G236" s="54"/>
      <c r="H236" s="54" t="str">
        <f ca="1">IF(E236="","",OFFSET(分類!$B$29,臨時!E236,0))</f>
        <v/>
      </c>
    </row>
    <row r="237" spans="2:8">
      <c r="B237" s="27">
        <f t="shared" si="3"/>
        <v>233</v>
      </c>
      <c r="C237" s="27"/>
      <c r="D237" s="27"/>
      <c r="E237" s="54"/>
      <c r="F237" s="54"/>
      <c r="G237" s="54"/>
      <c r="H237" s="54" t="str">
        <f ca="1">IF(E237="","",OFFSET(分類!$B$29,臨時!E237,0))</f>
        <v/>
      </c>
    </row>
    <row r="238" spans="2:8">
      <c r="B238" s="27">
        <f t="shared" si="3"/>
        <v>234</v>
      </c>
      <c r="C238" s="27"/>
      <c r="D238" s="27"/>
      <c r="E238" s="54"/>
      <c r="F238" s="54"/>
      <c r="G238" s="54"/>
      <c r="H238" s="54" t="str">
        <f ca="1">IF(E238="","",OFFSET(分類!$B$29,臨時!E238,0))</f>
        <v/>
      </c>
    </row>
    <row r="239" spans="2:8">
      <c r="B239" s="27">
        <f t="shared" si="3"/>
        <v>235</v>
      </c>
      <c r="C239" s="27"/>
      <c r="D239" s="27"/>
      <c r="E239" s="54"/>
      <c r="F239" s="54"/>
      <c r="G239" s="54"/>
      <c r="H239" s="54" t="str">
        <f ca="1">IF(E239="","",OFFSET(分類!$B$29,臨時!E239,0))</f>
        <v/>
      </c>
    </row>
    <row r="240" spans="2:8">
      <c r="B240" s="27">
        <f t="shared" si="3"/>
        <v>236</v>
      </c>
      <c r="C240" s="27"/>
      <c r="D240" s="27"/>
      <c r="E240" s="54"/>
      <c r="F240" s="54"/>
      <c r="G240" s="54"/>
      <c r="H240" s="54" t="str">
        <f ca="1">IF(E240="","",OFFSET(分類!$B$29,臨時!E240,0))</f>
        <v/>
      </c>
    </row>
    <row r="241" spans="2:8">
      <c r="B241" s="27">
        <f t="shared" si="3"/>
        <v>237</v>
      </c>
      <c r="C241" s="27"/>
      <c r="D241" s="27"/>
      <c r="E241" s="54"/>
      <c r="F241" s="54"/>
      <c r="G241" s="54"/>
      <c r="H241" s="54" t="str">
        <f ca="1">IF(E241="","",OFFSET(分類!$B$29,臨時!E241,0))</f>
        <v/>
      </c>
    </row>
    <row r="242" spans="2:8">
      <c r="B242" s="27">
        <f t="shared" si="3"/>
        <v>238</v>
      </c>
      <c r="C242" s="27"/>
      <c r="D242" s="27"/>
      <c r="E242" s="54"/>
      <c r="F242" s="54"/>
      <c r="G242" s="54"/>
      <c r="H242" s="54" t="str">
        <f ca="1">IF(E242="","",OFFSET(分類!$B$29,臨時!E242,0))</f>
        <v/>
      </c>
    </row>
    <row r="243" spans="2:8">
      <c r="B243" s="27">
        <f t="shared" si="3"/>
        <v>239</v>
      </c>
      <c r="C243" s="27"/>
      <c r="D243" s="27"/>
      <c r="E243" s="54"/>
      <c r="F243" s="54"/>
      <c r="G243" s="54"/>
      <c r="H243" s="54" t="str">
        <f ca="1">IF(E243="","",OFFSET(分類!$B$29,臨時!E243,0))</f>
        <v/>
      </c>
    </row>
    <row r="244" spans="2:8">
      <c r="B244" s="27">
        <f t="shared" si="3"/>
        <v>240</v>
      </c>
      <c r="C244" s="27"/>
      <c r="D244" s="27"/>
      <c r="E244" s="54"/>
      <c r="F244" s="54"/>
      <c r="G244" s="54"/>
      <c r="H244" s="54" t="str">
        <f ca="1">IF(E244="","",OFFSET(分類!$B$29,臨時!E244,0))</f>
        <v/>
      </c>
    </row>
    <row r="245" spans="2:8">
      <c r="B245" s="27">
        <f t="shared" si="3"/>
        <v>241</v>
      </c>
      <c r="C245" s="27"/>
      <c r="D245" s="27"/>
      <c r="E245" s="54"/>
      <c r="F245" s="54"/>
      <c r="G245" s="54"/>
      <c r="H245" s="54" t="str">
        <f ca="1">IF(E245="","",OFFSET(分類!$B$29,臨時!E245,0))</f>
        <v/>
      </c>
    </row>
    <row r="246" spans="2:8">
      <c r="B246" s="27">
        <f t="shared" si="3"/>
        <v>242</v>
      </c>
      <c r="C246" s="27"/>
      <c r="D246" s="27"/>
      <c r="E246" s="54"/>
      <c r="F246" s="54"/>
      <c r="G246" s="54"/>
      <c r="H246" s="54" t="str">
        <f ca="1">IF(E246="","",OFFSET(分類!$B$29,臨時!E246,0))</f>
        <v/>
      </c>
    </row>
    <row r="247" spans="2:8">
      <c r="B247" s="27">
        <f t="shared" si="3"/>
        <v>243</v>
      </c>
      <c r="C247" s="27"/>
      <c r="D247" s="27"/>
      <c r="E247" s="54"/>
      <c r="F247" s="54"/>
      <c r="G247" s="54"/>
      <c r="H247" s="54" t="str">
        <f ca="1">IF(E247="","",OFFSET(分類!$B$29,臨時!E247,0))</f>
        <v/>
      </c>
    </row>
    <row r="248" spans="2:8">
      <c r="B248" s="27">
        <f t="shared" si="3"/>
        <v>244</v>
      </c>
      <c r="C248" s="27"/>
      <c r="D248" s="27"/>
      <c r="E248" s="54"/>
      <c r="F248" s="54"/>
      <c r="G248" s="54"/>
      <c r="H248" s="54" t="str">
        <f ca="1">IF(E248="","",OFFSET(分類!$B$29,臨時!E248,0))</f>
        <v/>
      </c>
    </row>
    <row r="249" spans="2:8">
      <c r="B249" s="27">
        <f t="shared" si="3"/>
        <v>245</v>
      </c>
      <c r="C249" s="27"/>
      <c r="D249" s="27"/>
      <c r="E249" s="54"/>
      <c r="F249" s="54"/>
      <c r="G249" s="54"/>
      <c r="H249" s="54" t="str">
        <f ca="1">IF(E249="","",OFFSET(分類!$B$29,臨時!E249,0))</f>
        <v/>
      </c>
    </row>
    <row r="250" spans="2:8">
      <c r="B250" s="27">
        <f t="shared" si="3"/>
        <v>246</v>
      </c>
      <c r="C250" s="27"/>
      <c r="D250" s="27"/>
      <c r="E250" s="54"/>
      <c r="F250" s="54"/>
      <c r="G250" s="54"/>
      <c r="H250" s="54" t="str">
        <f ca="1">IF(E250="","",OFFSET(分類!$B$29,臨時!E250,0))</f>
        <v/>
      </c>
    </row>
    <row r="251" spans="2:8">
      <c r="B251" s="27">
        <f t="shared" si="3"/>
        <v>247</v>
      </c>
      <c r="C251" s="27"/>
      <c r="D251" s="27"/>
      <c r="E251" s="54"/>
      <c r="F251" s="54"/>
      <c r="G251" s="54"/>
      <c r="H251" s="54" t="str">
        <f ca="1">IF(E251="","",OFFSET(分類!$B$29,臨時!E251,0))</f>
        <v/>
      </c>
    </row>
    <row r="252" spans="2:8">
      <c r="B252" s="27">
        <f t="shared" si="3"/>
        <v>248</v>
      </c>
      <c r="C252" s="27"/>
      <c r="D252" s="27"/>
      <c r="E252" s="54"/>
      <c r="F252" s="54"/>
      <c r="G252" s="54"/>
      <c r="H252" s="54" t="str">
        <f ca="1">IF(E252="","",OFFSET(分類!$B$29,臨時!E252,0))</f>
        <v/>
      </c>
    </row>
    <row r="253" spans="2:8">
      <c r="B253" s="27">
        <f t="shared" si="3"/>
        <v>249</v>
      </c>
      <c r="C253" s="27"/>
      <c r="D253" s="27"/>
      <c r="E253" s="54"/>
      <c r="F253" s="54"/>
      <c r="G253" s="54"/>
      <c r="H253" s="54" t="str">
        <f ca="1">IF(E253="","",OFFSET(分類!$B$29,臨時!E253,0))</f>
        <v/>
      </c>
    </row>
    <row r="254" spans="2:8">
      <c r="B254" s="27">
        <f t="shared" si="3"/>
        <v>250</v>
      </c>
      <c r="C254" s="27"/>
      <c r="D254" s="27"/>
      <c r="E254" s="54"/>
      <c r="F254" s="54"/>
      <c r="G254" s="54"/>
      <c r="H254" s="54" t="str">
        <f ca="1">IF(E254="","",OFFSET(分類!$B$29,臨時!E254,0))</f>
        <v/>
      </c>
    </row>
    <row r="255" spans="2:8">
      <c r="B255" s="27">
        <f t="shared" si="3"/>
        <v>251</v>
      </c>
      <c r="C255" s="27"/>
      <c r="D255" s="27"/>
      <c r="E255" s="54"/>
      <c r="F255" s="54"/>
      <c r="G255" s="54"/>
      <c r="H255" s="54" t="str">
        <f ca="1">IF(E255="","",OFFSET(分類!$B$29,臨時!E255,0))</f>
        <v/>
      </c>
    </row>
    <row r="256" spans="2:8">
      <c r="B256" s="27">
        <f t="shared" si="3"/>
        <v>252</v>
      </c>
      <c r="C256" s="27"/>
      <c r="D256" s="27"/>
      <c r="E256" s="54"/>
      <c r="F256" s="54"/>
      <c r="G256" s="54"/>
      <c r="H256" s="54" t="str">
        <f ca="1">IF(E256="","",OFFSET(分類!$B$29,臨時!E256,0))</f>
        <v/>
      </c>
    </row>
    <row r="257" spans="2:8">
      <c r="B257" s="27">
        <f t="shared" si="3"/>
        <v>253</v>
      </c>
      <c r="C257" s="27"/>
      <c r="D257" s="27"/>
      <c r="E257" s="54"/>
      <c r="F257" s="54"/>
      <c r="G257" s="54"/>
      <c r="H257" s="54" t="str">
        <f ca="1">IF(E257="","",OFFSET(分類!$B$29,臨時!E257,0))</f>
        <v/>
      </c>
    </row>
    <row r="258" spans="2:8">
      <c r="B258" s="27">
        <f t="shared" si="3"/>
        <v>254</v>
      </c>
      <c r="C258" s="27"/>
      <c r="D258" s="27"/>
      <c r="E258" s="54"/>
      <c r="F258" s="54"/>
      <c r="G258" s="54"/>
      <c r="H258" s="54" t="str">
        <f ca="1">IF(E258="","",OFFSET(分類!$B$29,臨時!E258,0))</f>
        <v/>
      </c>
    </row>
    <row r="259" spans="2:8">
      <c r="B259" s="27">
        <f t="shared" si="3"/>
        <v>255</v>
      </c>
      <c r="C259" s="27"/>
      <c r="D259" s="27"/>
      <c r="E259" s="54"/>
      <c r="F259" s="54"/>
      <c r="G259" s="54"/>
      <c r="H259" s="54" t="str">
        <f ca="1">IF(E259="","",OFFSET(分類!$B$29,臨時!E259,0))</f>
        <v/>
      </c>
    </row>
    <row r="260" spans="2:8">
      <c r="B260" s="27">
        <f t="shared" si="3"/>
        <v>256</v>
      </c>
      <c r="C260" s="27"/>
      <c r="D260" s="27"/>
      <c r="E260" s="54"/>
      <c r="F260" s="54"/>
      <c r="G260" s="54"/>
      <c r="H260" s="54" t="str">
        <f ca="1">IF(E260="","",OFFSET(分類!$B$29,臨時!E260,0))</f>
        <v/>
      </c>
    </row>
    <row r="261" spans="2:8">
      <c r="B261" s="27">
        <f t="shared" si="3"/>
        <v>257</v>
      </c>
      <c r="C261" s="27"/>
      <c r="D261" s="27"/>
      <c r="E261" s="54"/>
      <c r="F261" s="54"/>
      <c r="G261" s="54"/>
      <c r="H261" s="54" t="str">
        <f ca="1">IF(E261="","",OFFSET(分類!$B$29,臨時!E261,0))</f>
        <v/>
      </c>
    </row>
    <row r="262" spans="2:8">
      <c r="B262" s="27">
        <f t="shared" si="3"/>
        <v>258</v>
      </c>
      <c r="C262" s="27"/>
      <c r="D262" s="27"/>
      <c r="E262" s="54"/>
      <c r="F262" s="54"/>
      <c r="G262" s="54"/>
      <c r="H262" s="54" t="str">
        <f ca="1">IF(E262="","",OFFSET(分類!$B$29,臨時!E262,0))</f>
        <v/>
      </c>
    </row>
    <row r="263" spans="2:8">
      <c r="B263" s="27">
        <f t="shared" ref="B263:B304" si="4">B262+1</f>
        <v>259</v>
      </c>
      <c r="C263" s="27"/>
      <c r="D263" s="27"/>
      <c r="E263" s="54"/>
      <c r="F263" s="54"/>
      <c r="G263" s="54"/>
      <c r="H263" s="54" t="str">
        <f ca="1">IF(E263="","",OFFSET(分類!$B$29,臨時!E263,0))</f>
        <v/>
      </c>
    </row>
    <row r="264" spans="2:8">
      <c r="B264" s="27">
        <f t="shared" si="4"/>
        <v>260</v>
      </c>
      <c r="C264" s="27"/>
      <c r="D264" s="27"/>
      <c r="E264" s="54"/>
      <c r="F264" s="54"/>
      <c r="G264" s="54"/>
      <c r="H264" s="54" t="str">
        <f ca="1">IF(E264="","",OFFSET(分類!$B$29,臨時!E264,0))</f>
        <v/>
      </c>
    </row>
    <row r="265" spans="2:8">
      <c r="B265" s="27">
        <f t="shared" si="4"/>
        <v>261</v>
      </c>
      <c r="C265" s="27"/>
      <c r="D265" s="27"/>
      <c r="E265" s="54"/>
      <c r="F265" s="54"/>
      <c r="G265" s="54"/>
      <c r="H265" s="54" t="str">
        <f ca="1">IF(E265="","",OFFSET(分類!$B$29,臨時!E265,0))</f>
        <v/>
      </c>
    </row>
    <row r="266" spans="2:8">
      <c r="B266" s="27">
        <f t="shared" si="4"/>
        <v>262</v>
      </c>
      <c r="C266" s="27"/>
      <c r="D266" s="27"/>
      <c r="E266" s="54"/>
      <c r="F266" s="54"/>
      <c r="G266" s="54"/>
      <c r="H266" s="54" t="str">
        <f ca="1">IF(E266="","",OFFSET(分類!$B$29,臨時!E266,0))</f>
        <v/>
      </c>
    </row>
    <row r="267" spans="2:8">
      <c r="B267" s="27">
        <f t="shared" si="4"/>
        <v>263</v>
      </c>
      <c r="C267" s="27"/>
      <c r="D267" s="27"/>
      <c r="E267" s="54"/>
      <c r="F267" s="54"/>
      <c r="G267" s="54"/>
      <c r="H267" s="54" t="str">
        <f ca="1">IF(E267="","",OFFSET(分類!$B$29,臨時!E267,0))</f>
        <v/>
      </c>
    </row>
    <row r="268" spans="2:8">
      <c r="B268" s="27">
        <f t="shared" si="4"/>
        <v>264</v>
      </c>
      <c r="C268" s="27"/>
      <c r="D268" s="27"/>
      <c r="E268" s="54"/>
      <c r="F268" s="54"/>
      <c r="G268" s="54"/>
      <c r="H268" s="54" t="str">
        <f ca="1">IF(E268="","",OFFSET(分類!$B$29,臨時!E268,0))</f>
        <v/>
      </c>
    </row>
    <row r="269" spans="2:8">
      <c r="B269" s="27">
        <f t="shared" si="4"/>
        <v>265</v>
      </c>
      <c r="C269" s="27"/>
      <c r="D269" s="27"/>
      <c r="E269" s="54"/>
      <c r="F269" s="54"/>
      <c r="G269" s="54"/>
      <c r="H269" s="54" t="str">
        <f ca="1">IF(E269="","",OFFSET(分類!$B$29,臨時!E269,0))</f>
        <v/>
      </c>
    </row>
    <row r="270" spans="2:8">
      <c r="B270" s="27">
        <f t="shared" si="4"/>
        <v>266</v>
      </c>
      <c r="C270" s="27"/>
      <c r="D270" s="27"/>
      <c r="E270" s="54"/>
      <c r="F270" s="54"/>
      <c r="G270" s="54"/>
      <c r="H270" s="54" t="str">
        <f ca="1">IF(E270="","",OFFSET(分類!$B$29,臨時!E270,0))</f>
        <v/>
      </c>
    </row>
    <row r="271" spans="2:8">
      <c r="B271" s="27">
        <f t="shared" si="4"/>
        <v>267</v>
      </c>
      <c r="C271" s="27"/>
      <c r="D271" s="27"/>
      <c r="E271" s="54"/>
      <c r="F271" s="54"/>
      <c r="G271" s="54"/>
      <c r="H271" s="54" t="str">
        <f ca="1">IF(E271="","",OFFSET(分類!$B$29,臨時!E271,0))</f>
        <v/>
      </c>
    </row>
    <row r="272" spans="2:8">
      <c r="B272" s="27">
        <f t="shared" si="4"/>
        <v>268</v>
      </c>
      <c r="C272" s="27"/>
      <c r="D272" s="27"/>
      <c r="E272" s="54"/>
      <c r="F272" s="54"/>
      <c r="G272" s="54"/>
      <c r="H272" s="54" t="str">
        <f ca="1">IF(E272="","",OFFSET(分類!$B$29,臨時!E272,0))</f>
        <v/>
      </c>
    </row>
    <row r="273" spans="2:8">
      <c r="B273" s="27">
        <f t="shared" si="4"/>
        <v>269</v>
      </c>
      <c r="C273" s="27"/>
      <c r="D273" s="27"/>
      <c r="E273" s="54"/>
      <c r="F273" s="54"/>
      <c r="G273" s="54"/>
      <c r="H273" s="54" t="str">
        <f ca="1">IF(E273="","",OFFSET(分類!$B$29,臨時!E273,0))</f>
        <v/>
      </c>
    </row>
    <row r="274" spans="2:8">
      <c r="B274" s="27">
        <f t="shared" si="4"/>
        <v>270</v>
      </c>
      <c r="C274" s="27"/>
      <c r="D274" s="27"/>
      <c r="E274" s="54"/>
      <c r="F274" s="54"/>
      <c r="G274" s="54"/>
      <c r="H274" s="54" t="str">
        <f ca="1">IF(E274="","",OFFSET(分類!$B$29,臨時!E274,0))</f>
        <v/>
      </c>
    </row>
    <row r="275" spans="2:8">
      <c r="B275" s="27">
        <f t="shared" si="4"/>
        <v>271</v>
      </c>
      <c r="C275" s="27"/>
      <c r="D275" s="27"/>
      <c r="E275" s="54"/>
      <c r="F275" s="54"/>
      <c r="G275" s="54"/>
      <c r="H275" s="54" t="str">
        <f ca="1">IF(E275="","",OFFSET(分類!$B$29,臨時!E275,0))</f>
        <v/>
      </c>
    </row>
    <row r="276" spans="2:8">
      <c r="B276" s="27">
        <f t="shared" si="4"/>
        <v>272</v>
      </c>
      <c r="C276" s="27"/>
      <c r="D276" s="27"/>
      <c r="E276" s="54"/>
      <c r="F276" s="54"/>
      <c r="G276" s="54"/>
      <c r="H276" s="54" t="str">
        <f ca="1">IF(E276="","",OFFSET(分類!$B$29,臨時!E276,0))</f>
        <v/>
      </c>
    </row>
    <row r="277" spans="2:8">
      <c r="B277" s="27">
        <f t="shared" si="4"/>
        <v>273</v>
      </c>
      <c r="C277" s="27"/>
      <c r="D277" s="27"/>
      <c r="E277" s="54"/>
      <c r="F277" s="54"/>
      <c r="G277" s="54"/>
      <c r="H277" s="54" t="str">
        <f ca="1">IF(E277="","",OFFSET(分類!$B$29,臨時!E277,0))</f>
        <v/>
      </c>
    </row>
    <row r="278" spans="2:8">
      <c r="B278" s="27">
        <f t="shared" si="4"/>
        <v>274</v>
      </c>
      <c r="C278" s="27"/>
      <c r="D278" s="27"/>
      <c r="E278" s="54"/>
      <c r="F278" s="54"/>
      <c r="G278" s="54"/>
      <c r="H278" s="54" t="str">
        <f ca="1">IF(E278="","",OFFSET(分類!$B$29,臨時!E278,0))</f>
        <v/>
      </c>
    </row>
    <row r="279" spans="2:8">
      <c r="B279" s="27">
        <f t="shared" si="4"/>
        <v>275</v>
      </c>
      <c r="C279" s="27"/>
      <c r="D279" s="27"/>
      <c r="E279" s="54"/>
      <c r="F279" s="54"/>
      <c r="G279" s="54"/>
      <c r="H279" s="54" t="str">
        <f ca="1">IF(E279="","",OFFSET(分類!$B$29,臨時!E279,0))</f>
        <v/>
      </c>
    </row>
    <row r="280" spans="2:8">
      <c r="B280" s="27">
        <f t="shared" si="4"/>
        <v>276</v>
      </c>
      <c r="C280" s="27"/>
      <c r="D280" s="27"/>
      <c r="E280" s="54"/>
      <c r="F280" s="54"/>
      <c r="G280" s="54"/>
      <c r="H280" s="54" t="str">
        <f ca="1">IF(E280="","",OFFSET(分類!$B$29,臨時!E280,0))</f>
        <v/>
      </c>
    </row>
    <row r="281" spans="2:8">
      <c r="B281" s="27">
        <f t="shared" si="4"/>
        <v>277</v>
      </c>
      <c r="C281" s="27"/>
      <c r="D281" s="27"/>
      <c r="E281" s="54"/>
      <c r="F281" s="54"/>
      <c r="G281" s="54"/>
      <c r="H281" s="54" t="str">
        <f ca="1">IF(E281="","",OFFSET(分類!$B$29,臨時!E281,0))</f>
        <v/>
      </c>
    </row>
    <row r="282" spans="2:8">
      <c r="B282" s="27">
        <f t="shared" si="4"/>
        <v>278</v>
      </c>
      <c r="C282" s="27"/>
      <c r="D282" s="27"/>
      <c r="E282" s="54"/>
      <c r="F282" s="54"/>
      <c r="G282" s="54"/>
      <c r="H282" s="54" t="str">
        <f ca="1">IF(E282="","",OFFSET(分類!$B$29,臨時!E282,0))</f>
        <v/>
      </c>
    </row>
    <row r="283" spans="2:8">
      <c r="B283" s="27">
        <f t="shared" si="4"/>
        <v>279</v>
      </c>
      <c r="C283" s="27"/>
      <c r="D283" s="27"/>
      <c r="E283" s="54"/>
      <c r="F283" s="54"/>
      <c r="G283" s="54"/>
      <c r="H283" s="54" t="str">
        <f ca="1">IF(E283="","",OFFSET(分類!$B$29,臨時!E283,0))</f>
        <v/>
      </c>
    </row>
    <row r="284" spans="2:8">
      <c r="B284" s="27">
        <f t="shared" si="4"/>
        <v>280</v>
      </c>
      <c r="C284" s="27"/>
      <c r="D284" s="27"/>
      <c r="E284" s="54"/>
      <c r="F284" s="54"/>
      <c r="G284" s="54"/>
      <c r="H284" s="54" t="str">
        <f ca="1">IF(E284="","",OFFSET(分類!$B$29,臨時!E284,0))</f>
        <v/>
      </c>
    </row>
    <row r="285" spans="2:8">
      <c r="B285" s="27">
        <f t="shared" si="4"/>
        <v>281</v>
      </c>
      <c r="C285" s="27"/>
      <c r="D285" s="27"/>
      <c r="E285" s="54"/>
      <c r="F285" s="54"/>
      <c r="G285" s="54"/>
      <c r="H285" s="54" t="str">
        <f ca="1">IF(E285="","",OFFSET(分類!$B$29,臨時!E285,0))</f>
        <v/>
      </c>
    </row>
    <row r="286" spans="2:8">
      <c r="B286" s="27">
        <f t="shared" si="4"/>
        <v>282</v>
      </c>
      <c r="C286" s="27"/>
      <c r="D286" s="27"/>
      <c r="E286" s="54"/>
      <c r="F286" s="54"/>
      <c r="G286" s="54"/>
      <c r="H286" s="54" t="str">
        <f ca="1">IF(E286="","",OFFSET(分類!$B$29,臨時!E286,0))</f>
        <v/>
      </c>
    </row>
    <row r="287" spans="2:8">
      <c r="B287" s="27">
        <f t="shared" si="4"/>
        <v>283</v>
      </c>
      <c r="C287" s="27"/>
      <c r="D287" s="27"/>
      <c r="E287" s="54"/>
      <c r="F287" s="54"/>
      <c r="G287" s="54"/>
      <c r="H287" s="54" t="str">
        <f ca="1">IF(E287="","",OFFSET(分類!$B$29,臨時!E287,0))</f>
        <v/>
      </c>
    </row>
    <row r="288" spans="2:8">
      <c r="B288" s="27">
        <f t="shared" si="4"/>
        <v>284</v>
      </c>
      <c r="C288" s="27"/>
      <c r="D288" s="27"/>
      <c r="E288" s="54"/>
      <c r="F288" s="54"/>
      <c r="G288" s="54"/>
      <c r="H288" s="54" t="str">
        <f ca="1">IF(E288="","",OFFSET(分類!$B$29,臨時!E288,0))</f>
        <v/>
      </c>
    </row>
    <row r="289" spans="2:8">
      <c r="B289" s="27">
        <f t="shared" si="4"/>
        <v>285</v>
      </c>
      <c r="C289" s="27"/>
      <c r="D289" s="27"/>
      <c r="E289" s="54"/>
      <c r="F289" s="54"/>
      <c r="G289" s="54"/>
      <c r="H289" s="54" t="str">
        <f ca="1">IF(E289="","",OFFSET(分類!$B$29,臨時!E289,0))</f>
        <v/>
      </c>
    </row>
    <row r="290" spans="2:8">
      <c r="B290" s="27">
        <f t="shared" si="4"/>
        <v>286</v>
      </c>
      <c r="C290" s="27"/>
      <c r="D290" s="27"/>
      <c r="E290" s="54"/>
      <c r="F290" s="54"/>
      <c r="G290" s="54"/>
      <c r="H290" s="54" t="str">
        <f ca="1">IF(E290="","",OFFSET(分類!$B$29,臨時!E290,0))</f>
        <v/>
      </c>
    </row>
    <row r="291" spans="2:8">
      <c r="B291" s="27">
        <f t="shared" si="4"/>
        <v>287</v>
      </c>
      <c r="C291" s="27"/>
      <c r="D291" s="27"/>
      <c r="E291" s="54"/>
      <c r="F291" s="54"/>
      <c r="G291" s="54"/>
      <c r="H291" s="54" t="str">
        <f ca="1">IF(E291="","",OFFSET(分類!$B$29,臨時!E291,0))</f>
        <v/>
      </c>
    </row>
    <row r="292" spans="2:8">
      <c r="B292" s="27">
        <f t="shared" si="4"/>
        <v>288</v>
      </c>
      <c r="C292" s="27"/>
      <c r="D292" s="27"/>
      <c r="E292" s="54"/>
      <c r="F292" s="54"/>
      <c r="G292" s="54"/>
      <c r="H292" s="54" t="str">
        <f ca="1">IF(E292="","",OFFSET(分類!$B$29,臨時!E292,0))</f>
        <v/>
      </c>
    </row>
    <row r="293" spans="2:8">
      <c r="B293" s="27">
        <f t="shared" si="4"/>
        <v>289</v>
      </c>
      <c r="C293" s="27"/>
      <c r="D293" s="27"/>
      <c r="E293" s="54"/>
      <c r="F293" s="54"/>
      <c r="G293" s="54"/>
      <c r="H293" s="54" t="str">
        <f ca="1">IF(E293="","",OFFSET(分類!$B$29,臨時!E293,0))</f>
        <v/>
      </c>
    </row>
    <row r="294" spans="2:8">
      <c r="B294" s="27">
        <f t="shared" si="4"/>
        <v>290</v>
      </c>
      <c r="C294" s="27"/>
      <c r="D294" s="27"/>
      <c r="E294" s="54"/>
      <c r="F294" s="54"/>
      <c r="G294" s="54"/>
      <c r="H294" s="54" t="str">
        <f ca="1">IF(E294="","",OFFSET(分類!$B$29,臨時!E294,0))</f>
        <v/>
      </c>
    </row>
    <row r="295" spans="2:8">
      <c r="B295" s="27">
        <f t="shared" si="4"/>
        <v>291</v>
      </c>
      <c r="C295" s="27"/>
      <c r="D295" s="27"/>
      <c r="E295" s="54"/>
      <c r="F295" s="54"/>
      <c r="G295" s="54"/>
      <c r="H295" s="54" t="str">
        <f ca="1">IF(E295="","",OFFSET(分類!$B$29,臨時!E295,0))</f>
        <v/>
      </c>
    </row>
    <row r="296" spans="2:8">
      <c r="B296" s="27">
        <f t="shared" si="4"/>
        <v>292</v>
      </c>
      <c r="C296" s="27"/>
      <c r="D296" s="27"/>
      <c r="E296" s="54"/>
      <c r="F296" s="54"/>
      <c r="G296" s="54"/>
      <c r="H296" s="54" t="str">
        <f ca="1">IF(E296="","",OFFSET(分類!$B$29,臨時!E296,0))</f>
        <v/>
      </c>
    </row>
    <row r="297" spans="2:8">
      <c r="B297" s="27">
        <f t="shared" si="4"/>
        <v>293</v>
      </c>
      <c r="C297" s="27"/>
      <c r="D297" s="27"/>
      <c r="E297" s="54"/>
      <c r="F297" s="54"/>
      <c r="G297" s="54"/>
      <c r="H297" s="54" t="str">
        <f ca="1">IF(E297="","",OFFSET(分類!$B$29,臨時!E297,0))</f>
        <v/>
      </c>
    </row>
    <row r="298" spans="2:8">
      <c r="B298" s="27">
        <f t="shared" si="4"/>
        <v>294</v>
      </c>
      <c r="C298" s="27"/>
      <c r="D298" s="27"/>
      <c r="E298" s="54"/>
      <c r="F298" s="54"/>
      <c r="G298" s="54"/>
      <c r="H298" s="54" t="str">
        <f ca="1">IF(E298="","",OFFSET(分類!$B$29,臨時!E298,0))</f>
        <v/>
      </c>
    </row>
    <row r="299" spans="2:8">
      <c r="B299" s="27">
        <f t="shared" si="4"/>
        <v>295</v>
      </c>
      <c r="C299" s="27"/>
      <c r="D299" s="27"/>
      <c r="E299" s="54"/>
      <c r="F299" s="54"/>
      <c r="G299" s="54"/>
      <c r="H299" s="54" t="str">
        <f ca="1">IF(E299="","",OFFSET(分類!$B$29,臨時!E299,0))</f>
        <v/>
      </c>
    </row>
    <row r="300" spans="2:8">
      <c r="B300" s="27">
        <f t="shared" si="4"/>
        <v>296</v>
      </c>
      <c r="C300" s="27"/>
      <c r="D300" s="27"/>
      <c r="E300" s="54"/>
      <c r="F300" s="54"/>
      <c r="G300" s="54"/>
      <c r="H300" s="54" t="str">
        <f ca="1">IF(E300="","",OFFSET(分類!$B$29,臨時!E300,0))</f>
        <v/>
      </c>
    </row>
    <row r="301" spans="2:8">
      <c r="B301" s="27">
        <f t="shared" si="4"/>
        <v>297</v>
      </c>
      <c r="C301" s="27"/>
      <c r="D301" s="27"/>
      <c r="E301" s="54"/>
      <c r="F301" s="54"/>
      <c r="G301" s="54"/>
      <c r="H301" s="54" t="str">
        <f ca="1">IF(E301="","",OFFSET(分類!$B$29,臨時!E301,0))</f>
        <v/>
      </c>
    </row>
    <row r="302" spans="2:8">
      <c r="B302" s="27">
        <f t="shared" si="4"/>
        <v>298</v>
      </c>
      <c r="C302" s="27"/>
      <c r="D302" s="27"/>
      <c r="E302" s="54"/>
      <c r="F302" s="54"/>
      <c r="G302" s="54"/>
      <c r="H302" s="54" t="str">
        <f ca="1">IF(E302="","",OFFSET(分類!$B$29,臨時!E302,0))</f>
        <v/>
      </c>
    </row>
    <row r="303" spans="2:8">
      <c r="B303" s="27">
        <f t="shared" si="4"/>
        <v>299</v>
      </c>
      <c r="C303" s="27"/>
      <c r="D303" s="27"/>
      <c r="E303" s="54"/>
      <c r="F303" s="54"/>
      <c r="G303" s="54"/>
      <c r="H303" s="54" t="str">
        <f ca="1">IF(E303="","",OFFSET(分類!$B$29,臨時!E303,0))</f>
        <v/>
      </c>
    </row>
    <row r="304" spans="2:8">
      <c r="B304" s="27">
        <f t="shared" si="4"/>
        <v>300</v>
      </c>
      <c r="C304" s="27"/>
      <c r="D304" s="27"/>
      <c r="E304" s="54"/>
      <c r="F304" s="54"/>
      <c r="G304" s="54"/>
      <c r="H304" s="54" t="str">
        <f ca="1">IF(E304="","",OFFSET(分類!$B$29,臨時!E304,0))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B2:H304"/>
  <sheetViews>
    <sheetView workbookViewId="0">
      <selection activeCell="J12" sqref="J12"/>
    </sheetView>
  </sheetViews>
  <sheetFormatPr defaultRowHeight="13.2"/>
  <cols>
    <col min="1" max="2" width="8.88671875" style="29"/>
    <col min="3" max="3" width="61.5546875" style="29" bestFit="1" customWidth="1"/>
    <col min="4" max="6" width="5.77734375" style="29" customWidth="1"/>
    <col min="7" max="7" width="12.33203125" style="29" customWidth="1"/>
    <col min="8" max="8" width="20.109375" style="29" bestFit="1" customWidth="1"/>
    <col min="9" max="16384" width="8.88671875" style="29"/>
  </cols>
  <sheetData>
    <row r="2" spans="2:8" ht="16.2">
      <c r="B2" s="28" t="str" cm="1">
        <f t="array" aca="1" ref="B2" ca="1">RIGHT(CELL("filename",A1),LEN(CELL("filename",A1))-FIND("]",CELL("filename",A1)))</f>
        <v>外用</v>
      </c>
    </row>
    <row r="4" spans="2:8" s="68" customFormat="1" ht="26.4">
      <c r="B4" s="67" t="s">
        <v>4038</v>
      </c>
      <c r="C4" s="67" t="s">
        <v>4039</v>
      </c>
      <c r="D4" s="67" t="s">
        <v>4040</v>
      </c>
      <c r="E4" s="67" t="s">
        <v>4062</v>
      </c>
      <c r="F4" s="67" t="s">
        <v>4064</v>
      </c>
      <c r="G4" s="67" t="s">
        <v>4065</v>
      </c>
      <c r="H4" s="67" t="s">
        <v>4113</v>
      </c>
    </row>
    <row r="5" spans="2:8">
      <c r="B5" s="27">
        <v>1</v>
      </c>
      <c r="C5" s="27" t="str" cm="1">
        <f t="array" aca="1" ref="C5:G67" ca="1">_xlfn._xlws.SORT(_xlfn.CHOOSECOLS(_xlfn._xlws.FILTER(IFERROR(統合マスタ!B2:Z1491,""),IFERROR(統合マスタ!R2:R1491=1,FALSE)*IFERROR(ISNUMBER(MATCH(統合マスタ!V2:V1491,分類!H8:H15,0)),FALSE)),2,23,25,4,5),2,1)</f>
        <v>ＳＰトローチ０．２５ｍｇ「明治」</v>
      </c>
      <c r="D5" s="27">
        <f ca="1"/>
        <v>0</v>
      </c>
      <c r="E5" s="54">
        <f ca="1"/>
        <v>3</v>
      </c>
      <c r="F5" s="54" t="str">
        <f ca="1"/>
        <v>ＰＴＰ</v>
      </c>
      <c r="G5" s="54" t="str">
        <f ca="1"/>
        <v>１２００Ｔ</v>
      </c>
      <c r="H5" s="54" t="str">
        <f ca="1">IF(E5="","",OFFSET(分類!$B$29,E5,0))</f>
        <v>外用.臨時.散薬ヒート</v>
      </c>
    </row>
    <row r="6" spans="2:8">
      <c r="B6" s="27">
        <f>B5+1</f>
        <v>2</v>
      </c>
      <c r="C6" s="27" t="str">
        <f ca="1"/>
        <v>アクアチムクリーム１％</v>
      </c>
      <c r="D6" s="27">
        <f ca="1"/>
        <v>0</v>
      </c>
      <c r="E6" s="54">
        <f ca="1"/>
        <v>3</v>
      </c>
      <c r="F6" s="54" t="str">
        <f ca="1"/>
        <v/>
      </c>
      <c r="G6" s="54" t="str">
        <f ca="1"/>
        <v>１０ｇＸ１０</v>
      </c>
      <c r="H6" s="54" t="str">
        <f ca="1">IF(E6="","",OFFSET(分類!$B$29,E6,0))</f>
        <v>外用.臨時.散薬ヒート</v>
      </c>
    </row>
    <row r="7" spans="2:8">
      <c r="B7" s="27">
        <f t="shared" ref="B7:B70" si="0">B6+1</f>
        <v>3</v>
      </c>
      <c r="C7" s="27" t="str">
        <f ca="1"/>
        <v>アクトシン軟膏３％</v>
      </c>
      <c r="D7" s="27">
        <f ca="1"/>
        <v>0</v>
      </c>
      <c r="E7" s="54">
        <f ca="1"/>
        <v>15</v>
      </c>
      <c r="F7" s="54" t="str">
        <f ca="1"/>
        <v/>
      </c>
      <c r="G7" s="54" t="str">
        <f ca="1"/>
        <v>３０ｇ</v>
      </c>
      <c r="H7" s="54" t="str">
        <f ca="1">IF(E7="","",OFFSET(分類!$B$29,E7,0))</f>
        <v>不良在庫</v>
      </c>
    </row>
    <row r="8" spans="2:8">
      <c r="B8" s="27">
        <f t="shared" si="0"/>
        <v>4</v>
      </c>
      <c r="C8" s="27" t="str">
        <f ca="1"/>
        <v>アズレン点眼液０．０２％「ニットー」</v>
      </c>
      <c r="D8" s="27">
        <f ca="1"/>
        <v>0</v>
      </c>
      <c r="E8" s="54">
        <f ca="1"/>
        <v>3</v>
      </c>
      <c r="F8" s="54" t="str">
        <f ca="1"/>
        <v/>
      </c>
      <c r="G8" s="54" t="str">
        <f ca="1"/>
        <v>５ｍｌｘ１０</v>
      </c>
      <c r="H8" s="54" t="str">
        <f ca="1">IF(E8="","",OFFSET(分類!$B$29,E8,0))</f>
        <v>外用.臨時.散薬ヒート</v>
      </c>
    </row>
    <row r="9" spans="2:8">
      <c r="B9" s="27">
        <f t="shared" si="0"/>
        <v>5</v>
      </c>
      <c r="C9" s="27" t="str">
        <f ca="1"/>
        <v>アドフィードパップ４０ｍｇ</v>
      </c>
      <c r="D9" s="27">
        <f ca="1"/>
        <v>0</v>
      </c>
      <c r="E9" s="54">
        <f ca="1"/>
        <v>12</v>
      </c>
      <c r="F9" s="54" t="str">
        <f ca="1"/>
        <v/>
      </c>
      <c r="G9" s="54" t="str">
        <f ca="1"/>
        <v>７枚ｘ５０</v>
      </c>
      <c r="H9" s="54" t="str">
        <f ca="1">IF(E9="","",OFFSET(分類!$B$29,E9,0))</f>
        <v>湿布</v>
      </c>
    </row>
    <row r="10" spans="2:8">
      <c r="B10" s="27">
        <f t="shared" si="0"/>
        <v>6</v>
      </c>
      <c r="C10" s="27" t="str">
        <f ca="1"/>
        <v>インテバンクリーム１％　　　　　　　　　</v>
      </c>
      <c r="D10" s="27">
        <f ca="1"/>
        <v>0</v>
      </c>
      <c r="E10" s="54">
        <f ca="1"/>
        <v>1</v>
      </c>
      <c r="F10" s="54" t="str">
        <f ca="1"/>
        <v/>
      </c>
      <c r="G10" s="54" t="str">
        <f ca="1"/>
        <v>２５ｇｌｘ１０</v>
      </c>
      <c r="H10" s="54" t="str">
        <f ca="1">IF(E10="","",OFFSET(分類!$B$29,E10,0))</f>
        <v>調剤棚</v>
      </c>
    </row>
    <row r="11" spans="2:8">
      <c r="B11" s="27">
        <f t="shared" si="0"/>
        <v>7</v>
      </c>
      <c r="C11" s="27" t="str">
        <f ca="1"/>
        <v>インテバン外用液１％　　　　　　　　　</v>
      </c>
      <c r="D11" s="27">
        <f ca="1"/>
        <v>0</v>
      </c>
      <c r="E11" s="54">
        <f ca="1"/>
        <v>3</v>
      </c>
      <c r="F11" s="54" t="str">
        <f ca="1"/>
        <v/>
      </c>
      <c r="G11" s="54" t="str">
        <f ca="1"/>
        <v>５０ｍｌｘ１０</v>
      </c>
      <c r="H11" s="54" t="str">
        <f ca="1">IF(E11="","",OFFSET(分類!$B$29,E11,0))</f>
        <v>外用.臨時.散薬ヒート</v>
      </c>
    </row>
    <row r="12" spans="2:8">
      <c r="B12" s="27">
        <f t="shared" si="0"/>
        <v>8</v>
      </c>
      <c r="C12" s="27" t="str">
        <f ca="1"/>
        <v>オイラックスクリーム１０％</v>
      </c>
      <c r="D12" s="27">
        <f ca="1"/>
        <v>0</v>
      </c>
      <c r="E12" s="54">
        <f ca="1"/>
        <v>3</v>
      </c>
      <c r="F12" s="54" t="str">
        <f ca="1"/>
        <v/>
      </c>
      <c r="G12" s="54" t="str">
        <f ca="1"/>
        <v>１０ｇＸ１０</v>
      </c>
      <c r="H12" s="54" t="str">
        <f ca="1">IF(E12="","",OFFSET(分類!$B$29,E12,0))</f>
        <v>外用.臨時.散薬ヒート</v>
      </c>
    </row>
    <row r="13" spans="2:8">
      <c r="B13" s="27">
        <f t="shared" si="0"/>
        <v>9</v>
      </c>
      <c r="C13" s="27" t="str">
        <f ca="1"/>
        <v>オフロキサシン点眼液０．３％「ＪＧ」</v>
      </c>
      <c r="D13" s="27">
        <f ca="1"/>
        <v>0</v>
      </c>
      <c r="E13" s="54">
        <f ca="1"/>
        <v>3</v>
      </c>
      <c r="F13" s="54" t="str">
        <f ca="1"/>
        <v/>
      </c>
      <c r="G13" s="54" t="str">
        <f ca="1"/>
        <v>５ｍｌｘ１０</v>
      </c>
      <c r="H13" s="54" t="str">
        <f ca="1">IF(E13="","",OFFSET(分類!$B$29,E13,0))</f>
        <v>外用.臨時.散薬ヒート</v>
      </c>
    </row>
    <row r="14" spans="2:8">
      <c r="B14" s="27">
        <f t="shared" si="0"/>
        <v>10</v>
      </c>
      <c r="C14" s="27" t="str">
        <f ca="1"/>
        <v>キュバール１００エアゾール１５ｍｇ　　</v>
      </c>
      <c r="D14" s="27">
        <f ca="1"/>
        <v>0</v>
      </c>
      <c r="E14" s="54">
        <f ca="1"/>
        <v>3</v>
      </c>
      <c r="F14" s="54" t="str">
        <f ca="1"/>
        <v/>
      </c>
      <c r="G14" s="54" t="str">
        <f ca="1"/>
        <v>８．７ｇｘ１</v>
      </c>
      <c r="H14" s="54" t="str">
        <f ca="1">IF(E14="","",OFFSET(分類!$B$29,E14,0))</f>
        <v>外用.臨時.散薬ヒート</v>
      </c>
    </row>
    <row r="15" spans="2:8">
      <c r="B15" s="27">
        <f t="shared" si="0"/>
        <v>11</v>
      </c>
      <c r="C15" s="27" t="str">
        <f ca="1"/>
        <v>クロモグリク酸Ｎａ点眼液２％「ニットー」　</v>
      </c>
      <c r="D15" s="27">
        <f ca="1"/>
        <v>0</v>
      </c>
      <c r="E15" s="54">
        <f ca="1"/>
        <v>3</v>
      </c>
      <c r="F15" s="54" t="str">
        <f ca="1"/>
        <v/>
      </c>
      <c r="G15" s="54" t="str">
        <f ca="1"/>
        <v>５ＭＬＸ５Ｖ</v>
      </c>
      <c r="H15" s="54" t="str">
        <f ca="1">IF(E15="","",OFFSET(分類!$B$29,E15,0))</f>
        <v>外用.臨時.散薬ヒート</v>
      </c>
    </row>
    <row r="16" spans="2:8">
      <c r="B16" s="27">
        <f t="shared" si="0"/>
        <v>12</v>
      </c>
      <c r="C16" s="27" t="str">
        <f ca="1"/>
        <v>クロモグリク酸Ｎａ点眼液２％「ニットー」　</v>
      </c>
      <c r="D16" s="27">
        <f ca="1"/>
        <v>0</v>
      </c>
      <c r="E16" s="54">
        <f ca="1"/>
        <v>3</v>
      </c>
      <c r="F16" s="54" t="str">
        <f ca="1"/>
        <v/>
      </c>
      <c r="G16" s="54" t="str">
        <f ca="1"/>
        <v>５ＭＬＸ１０Ｖ</v>
      </c>
      <c r="H16" s="54" t="str">
        <f ca="1">IF(E16="","",OFFSET(分類!$B$29,E16,0))</f>
        <v>外用.臨時.散薬ヒート</v>
      </c>
    </row>
    <row r="17" spans="2:8">
      <c r="B17" s="27">
        <f t="shared" si="0"/>
        <v>13</v>
      </c>
      <c r="C17" s="27" t="str">
        <f ca="1"/>
        <v>ゲーベンクリーム１％　　　　　　　　　　</v>
      </c>
      <c r="D17" s="27">
        <f ca="1"/>
        <v>0</v>
      </c>
      <c r="E17" s="54">
        <f ca="1"/>
        <v>7</v>
      </c>
      <c r="F17" s="54" t="str">
        <f ca="1"/>
        <v/>
      </c>
      <c r="G17" s="54" t="str">
        <f ca="1"/>
        <v>１００ｇ</v>
      </c>
      <c r="H17" s="54" t="str">
        <f ca="1">IF(E17="","",OFFSET(分類!$B$29,E17,0))</f>
        <v>軟膏</v>
      </c>
    </row>
    <row r="18" spans="2:8">
      <c r="B18" s="27">
        <f t="shared" si="0"/>
        <v>14</v>
      </c>
      <c r="C18" s="27" t="str">
        <f ca="1"/>
        <v>ケトチフェン点鼻液０．０５％「サワイ」</v>
      </c>
      <c r="D18" s="27">
        <f ca="1"/>
        <v>0</v>
      </c>
      <c r="E18" s="54">
        <f ca="1"/>
        <v>3</v>
      </c>
      <c r="F18" s="54" t="str">
        <f ca="1"/>
        <v/>
      </c>
      <c r="G18" s="54" t="str">
        <f ca="1"/>
        <v>６．０４８／８ｍｌｘ１０</v>
      </c>
      <c r="H18" s="54" t="str">
        <f ca="1">IF(E18="","",OFFSET(分類!$B$29,E18,0))</f>
        <v>外用.臨時.散薬ヒート</v>
      </c>
    </row>
    <row r="19" spans="2:8">
      <c r="B19" s="27">
        <f t="shared" si="0"/>
        <v>15</v>
      </c>
      <c r="C19" s="27" t="str">
        <f ca="1"/>
        <v>ケトプロフェンパップ３０ｍｇ　「三和」　　１０ｘ１４ｃｍ</v>
      </c>
      <c r="D19" s="27">
        <f ca="1"/>
        <v>0</v>
      </c>
      <c r="E19" s="54">
        <f ca="1"/>
        <v>12</v>
      </c>
      <c r="F19" s="54" t="str">
        <f ca="1"/>
        <v/>
      </c>
      <c r="G19" s="54" t="str">
        <f ca="1"/>
        <v>７枚ｘ１００</v>
      </c>
      <c r="H19" s="54" t="str">
        <f ca="1">IF(E19="","",OFFSET(分類!$B$29,E19,0))</f>
        <v>湿布</v>
      </c>
    </row>
    <row r="20" spans="2:8">
      <c r="B20" s="27">
        <f t="shared" si="0"/>
        <v>16</v>
      </c>
      <c r="C20" s="27" t="str">
        <f ca="1"/>
        <v>ゲンタマイシン硫酸塩軟膏０．１％「イワキ」</v>
      </c>
      <c r="D20" s="27">
        <f ca="1"/>
        <v>0</v>
      </c>
      <c r="E20" s="54">
        <f ca="1"/>
        <v>3</v>
      </c>
      <c r="F20" s="54" t="str">
        <f ca="1"/>
        <v/>
      </c>
      <c r="G20" s="54" t="str">
        <f ca="1"/>
        <v>１０ｇＸ１０</v>
      </c>
      <c r="H20" s="54" t="str">
        <f ca="1">IF(E20="","",OFFSET(分類!$B$29,E20,0))</f>
        <v>外用.臨時.散薬ヒート</v>
      </c>
    </row>
    <row r="21" spans="2:8">
      <c r="B21" s="27">
        <f t="shared" si="0"/>
        <v>17</v>
      </c>
      <c r="C21" s="27" t="str">
        <f ca="1"/>
        <v>コールタイジン点鼻液</v>
      </c>
      <c r="D21" s="27">
        <f ca="1"/>
        <v>0</v>
      </c>
      <c r="E21" s="54">
        <f ca="1"/>
        <v>3</v>
      </c>
      <c r="F21" s="54" t="str">
        <f ca="1"/>
        <v/>
      </c>
      <c r="G21" s="54" t="str">
        <f ca="1"/>
        <v>１５ｍＬＸ１０</v>
      </c>
      <c r="H21" s="54" t="str">
        <f ca="1">IF(E21="","",OFFSET(分類!$B$29,E21,0))</f>
        <v>外用.臨時.散薬ヒート</v>
      </c>
    </row>
    <row r="22" spans="2:8">
      <c r="B22" s="27">
        <f t="shared" si="0"/>
        <v>18</v>
      </c>
      <c r="C22" s="27" t="str">
        <f ca="1"/>
        <v>シアノコバラミン点眼液０．０２％「日点」</v>
      </c>
      <c r="D22" s="27">
        <f ca="1"/>
        <v>0</v>
      </c>
      <c r="E22" s="54">
        <f ca="1"/>
        <v>3</v>
      </c>
      <c r="F22" s="54" t="str">
        <f ca="1"/>
        <v/>
      </c>
      <c r="G22" s="54" t="str">
        <f ca="1"/>
        <v>５ｍＬＸ１０</v>
      </c>
      <c r="H22" s="54" t="str">
        <f ca="1">IF(E22="","",OFFSET(分類!$B$29,E22,0))</f>
        <v>外用.臨時.散薬ヒート</v>
      </c>
    </row>
    <row r="23" spans="2:8">
      <c r="B23" s="27">
        <f t="shared" si="0"/>
        <v>19</v>
      </c>
      <c r="C23" s="27" t="str">
        <f ca="1"/>
        <v>スクロードパスタ</v>
      </c>
      <c r="D23" s="27">
        <f ca="1"/>
        <v>0</v>
      </c>
      <c r="E23" s="54">
        <f ca="1"/>
        <v>7</v>
      </c>
      <c r="F23" s="54" t="str">
        <f ca="1"/>
        <v/>
      </c>
      <c r="G23" s="54" t="str">
        <f ca="1"/>
        <v>１００ｇ</v>
      </c>
      <c r="H23" s="54" t="str">
        <f ca="1">IF(E23="","",OFFSET(分類!$B$29,E23,0))</f>
        <v>軟膏</v>
      </c>
    </row>
    <row r="24" spans="2:8">
      <c r="B24" s="27">
        <f t="shared" si="0"/>
        <v>20</v>
      </c>
      <c r="C24" s="27" t="str">
        <f ca="1"/>
        <v>スタデルムクリーム５％</v>
      </c>
      <c r="D24" s="27">
        <f ca="1"/>
        <v>0</v>
      </c>
      <c r="E24" s="54">
        <f ca="1"/>
        <v>15</v>
      </c>
      <c r="F24" s="54" t="str">
        <f ca="1"/>
        <v/>
      </c>
      <c r="G24" s="54" t="str">
        <f ca="1"/>
        <v>１０ｇｘ１０本</v>
      </c>
      <c r="H24" s="54" t="str">
        <f ca="1">IF(E24="","",OFFSET(分類!$B$29,E24,0))</f>
        <v>不良在庫</v>
      </c>
    </row>
    <row r="25" spans="2:8">
      <c r="B25" s="27">
        <f t="shared" si="0"/>
        <v>21</v>
      </c>
      <c r="C25" s="27" t="str">
        <f ca="1"/>
        <v>スピール膏Ｍ　ＳＰＭ１６</v>
      </c>
      <c r="D25" s="27">
        <f ca="1"/>
        <v>0</v>
      </c>
      <c r="E25" s="54">
        <f ca="1"/>
        <v>3</v>
      </c>
      <c r="F25" s="54" t="str">
        <f ca="1"/>
        <v/>
      </c>
      <c r="G25" s="54" t="str">
        <f ca="1"/>
        <v>６枚</v>
      </c>
      <c r="H25" s="54" t="str">
        <f ca="1">IF(E25="","",OFFSET(分類!$B$29,E25,0))</f>
        <v>外用.臨時.散薬ヒート</v>
      </c>
    </row>
    <row r="26" spans="2:8">
      <c r="B26" s="27">
        <f t="shared" si="0"/>
        <v>22</v>
      </c>
      <c r="C26" s="27" t="str">
        <f ca="1"/>
        <v>タリビッド眼軟膏０．３％</v>
      </c>
      <c r="D26" s="27">
        <f ca="1"/>
        <v>0</v>
      </c>
      <c r="E26" s="54">
        <f ca="1"/>
        <v>3</v>
      </c>
      <c r="F26" s="54" t="str">
        <f ca="1"/>
        <v/>
      </c>
      <c r="G26" s="54" t="str">
        <f ca="1"/>
        <v>３．５ｇｘ１０</v>
      </c>
      <c r="H26" s="54" t="str">
        <f ca="1">IF(E26="","",OFFSET(分類!$B$29,E26,0))</f>
        <v>外用.臨時.散薬ヒート</v>
      </c>
    </row>
    <row r="27" spans="2:8">
      <c r="B27" s="27">
        <f t="shared" si="0"/>
        <v>23</v>
      </c>
      <c r="C27" s="27" t="str">
        <f ca="1"/>
        <v>ツロブテロールテープ１ｍｇ「サワイ」</v>
      </c>
      <c r="D27" s="27">
        <f ca="1"/>
        <v>0</v>
      </c>
      <c r="E27" s="54">
        <f ca="1"/>
        <v>3</v>
      </c>
      <c r="F27" s="54" t="str">
        <f ca="1"/>
        <v/>
      </c>
      <c r="G27" s="54" t="str">
        <f ca="1"/>
        <v>７０枚</v>
      </c>
      <c r="H27" s="54" t="str">
        <f ca="1">IF(E27="","",OFFSET(分類!$B$29,E27,0))</f>
        <v>外用.臨時.散薬ヒート</v>
      </c>
    </row>
    <row r="28" spans="2:8">
      <c r="B28" s="27">
        <f t="shared" si="0"/>
        <v>24</v>
      </c>
      <c r="C28" s="27" t="str">
        <f ca="1"/>
        <v>デキサメタゾン口腔用軟膏０．１％「日医工」</v>
      </c>
      <c r="D28" s="27">
        <f ca="1"/>
        <v>0</v>
      </c>
      <c r="E28" s="54">
        <f ca="1"/>
        <v>3</v>
      </c>
      <c r="F28" s="54" t="str">
        <f ca="1"/>
        <v/>
      </c>
      <c r="G28" s="54" t="str">
        <f ca="1"/>
        <v>５ｇＸ１０</v>
      </c>
      <c r="H28" s="54" t="str">
        <f ca="1">IF(E28="","",OFFSET(分類!$B$29,E28,0))</f>
        <v>外用.臨時.散薬ヒート</v>
      </c>
    </row>
    <row r="29" spans="2:8">
      <c r="B29" s="27">
        <f t="shared" si="0"/>
        <v>25</v>
      </c>
      <c r="C29" s="27" t="str">
        <f ca="1"/>
        <v>テルビナフィン塩酸塩クリーム　１％「サワイ」</v>
      </c>
      <c r="D29" s="27">
        <f ca="1"/>
        <v>0</v>
      </c>
      <c r="E29" s="54">
        <f ca="1"/>
        <v>3</v>
      </c>
      <c r="F29" s="54" t="str">
        <f ca="1"/>
        <v/>
      </c>
      <c r="G29" s="54" t="str">
        <f ca="1"/>
        <v>１０ｇＸ１０</v>
      </c>
      <c r="H29" s="54" t="str">
        <f ca="1">IF(E29="","",OFFSET(分類!$B$29,E29,0))</f>
        <v>外用.臨時.散薬ヒート</v>
      </c>
    </row>
    <row r="30" spans="2:8">
      <c r="B30" s="27">
        <f t="shared" si="0"/>
        <v>26</v>
      </c>
      <c r="C30" s="27" t="str">
        <f ca="1"/>
        <v>テルビナフィン塩酸塩外用液１％「サワイ」</v>
      </c>
      <c r="D30" s="27">
        <f ca="1"/>
        <v>0</v>
      </c>
      <c r="E30" s="54">
        <f ca="1"/>
        <v>3</v>
      </c>
      <c r="F30" s="54" t="str">
        <f ca="1"/>
        <v/>
      </c>
      <c r="G30" s="54" t="str">
        <f ca="1"/>
        <v>１０ｇＸ１０</v>
      </c>
      <c r="H30" s="54" t="str">
        <f ca="1">IF(E30="","",OFFSET(分類!$B$29,E30,0))</f>
        <v>外用.臨時.散薬ヒート</v>
      </c>
    </row>
    <row r="31" spans="2:8">
      <c r="B31" s="27">
        <f t="shared" si="0"/>
        <v>27</v>
      </c>
      <c r="C31" s="27" t="str">
        <f ca="1"/>
        <v>デルモゾールＧ軟膏</v>
      </c>
      <c r="D31" s="27">
        <f ca="1"/>
        <v>0</v>
      </c>
      <c r="E31" s="54">
        <f ca="1"/>
        <v>3</v>
      </c>
      <c r="F31" s="54" t="str">
        <f ca="1"/>
        <v/>
      </c>
      <c r="G31" s="54" t="str">
        <f ca="1"/>
        <v>５ｇＸ５０</v>
      </c>
      <c r="H31" s="54" t="str">
        <f ca="1">IF(E31="","",OFFSET(分類!$B$29,E31,0))</f>
        <v>外用.臨時.散薬ヒート</v>
      </c>
    </row>
    <row r="32" spans="2:8">
      <c r="B32" s="27">
        <f t="shared" si="0"/>
        <v>28</v>
      </c>
      <c r="C32" s="27" t="str">
        <f ca="1"/>
        <v>デルモゾールＧ軟膏</v>
      </c>
      <c r="D32" s="27">
        <f ca="1"/>
        <v>0</v>
      </c>
      <c r="E32" s="54">
        <f ca="1"/>
        <v>3</v>
      </c>
      <c r="F32" s="54" t="str">
        <f ca="1"/>
        <v/>
      </c>
      <c r="G32" s="54" t="str">
        <f ca="1"/>
        <v>５００ｇ</v>
      </c>
      <c r="H32" s="54" t="str">
        <f ca="1">IF(E32="","",OFFSET(分類!$B$29,E32,0))</f>
        <v>外用.臨時.散薬ヒート</v>
      </c>
    </row>
    <row r="33" spans="2:8">
      <c r="B33" s="27">
        <f t="shared" si="0"/>
        <v>29</v>
      </c>
      <c r="C33" s="27" t="str">
        <f ca="1"/>
        <v>ニゾラールクリーム２％　　　　　　　　　</v>
      </c>
      <c r="D33" s="27">
        <f ca="1"/>
        <v>0</v>
      </c>
      <c r="E33" s="54">
        <f ca="1"/>
        <v>3</v>
      </c>
      <c r="F33" s="54" t="str">
        <f ca="1"/>
        <v/>
      </c>
      <c r="G33" s="54" t="str">
        <f ca="1"/>
        <v>１０ｇｘ２０</v>
      </c>
      <c r="H33" s="54" t="str">
        <f ca="1">IF(E33="","",OFFSET(分類!$B$29,E33,0))</f>
        <v>外用.臨時.散薬ヒート</v>
      </c>
    </row>
    <row r="34" spans="2:8">
      <c r="B34" s="27">
        <f t="shared" si="0"/>
        <v>30</v>
      </c>
      <c r="C34" s="27" t="str">
        <f ca="1"/>
        <v>ニゾラールローション２％</v>
      </c>
      <c r="D34" s="27">
        <f ca="1"/>
        <v>0</v>
      </c>
      <c r="E34" s="54">
        <f ca="1"/>
        <v>15</v>
      </c>
      <c r="F34" s="54" t="str">
        <f ca="1"/>
        <v/>
      </c>
      <c r="G34" s="54" t="str">
        <f ca="1"/>
        <v>１０ｇ×１０本</v>
      </c>
      <c r="H34" s="54" t="str">
        <f ca="1">IF(E34="","",OFFSET(分類!$B$29,E34,0))</f>
        <v>不良在庫</v>
      </c>
    </row>
    <row r="35" spans="2:8">
      <c r="B35" s="27">
        <f t="shared" si="0"/>
        <v>31</v>
      </c>
      <c r="C35" s="27" t="str">
        <f ca="1"/>
        <v>ネオメドロールＥＥ軟膏</v>
      </c>
      <c r="D35" s="27">
        <f ca="1"/>
        <v>0</v>
      </c>
      <c r="E35" s="54">
        <f ca="1"/>
        <v>3</v>
      </c>
      <c r="F35" s="54" t="str">
        <f ca="1"/>
        <v/>
      </c>
      <c r="G35" s="54" t="str">
        <f ca="1"/>
        <v>３ｇｘ１０</v>
      </c>
      <c r="H35" s="54" t="str">
        <f ca="1">IF(E35="","",OFFSET(分類!$B$29,E35,0))</f>
        <v>外用.臨時.散薬ヒート</v>
      </c>
    </row>
    <row r="36" spans="2:8">
      <c r="B36" s="27">
        <f t="shared" si="0"/>
        <v>32</v>
      </c>
      <c r="C36" s="27" t="str">
        <f ca="1"/>
        <v>ヒアルロン酸Ｎａ点眼液０．１％「ニットー」</v>
      </c>
      <c r="D36" s="27">
        <f ca="1"/>
        <v>0</v>
      </c>
      <c r="E36" s="54">
        <f ca="1"/>
        <v>3</v>
      </c>
      <c r="F36" s="54" t="str">
        <f ca="1"/>
        <v/>
      </c>
      <c r="G36" s="54" t="str">
        <f ca="1"/>
        <v>５ｍｌｘ１０</v>
      </c>
      <c r="H36" s="54" t="str">
        <f ca="1">IF(E36="","",OFFSET(分類!$B$29,E36,0))</f>
        <v>外用.臨時.散薬ヒート</v>
      </c>
    </row>
    <row r="37" spans="2:8">
      <c r="B37" s="27">
        <f t="shared" si="0"/>
        <v>33</v>
      </c>
      <c r="C37" s="27" t="str">
        <f ca="1"/>
        <v>ビダラビン軟膏３％「ＳＷ」</v>
      </c>
      <c r="D37" s="27">
        <f ca="1"/>
        <v>0</v>
      </c>
      <c r="E37" s="54">
        <f ca="1"/>
        <v>3</v>
      </c>
      <c r="F37" s="54" t="str">
        <f ca="1"/>
        <v/>
      </c>
      <c r="G37" s="54" t="str">
        <f ca="1"/>
        <v>５ｇＸ５</v>
      </c>
      <c r="H37" s="54" t="str">
        <f ca="1">IF(E37="","",OFFSET(分類!$B$29,E37,0))</f>
        <v>外用.臨時.散薬ヒート</v>
      </c>
    </row>
    <row r="38" spans="2:8">
      <c r="B38" s="27">
        <f t="shared" si="0"/>
        <v>34</v>
      </c>
      <c r="C38" s="27" t="str">
        <f ca="1"/>
        <v>ヒルドイドソフト軟膏　０．３％</v>
      </c>
      <c r="D38" s="27">
        <f ca="1"/>
        <v>0</v>
      </c>
      <c r="E38" s="54">
        <f ca="1"/>
        <v>3</v>
      </c>
      <c r="F38" s="54" t="str">
        <f ca="1"/>
        <v/>
      </c>
      <c r="G38" s="54" t="str">
        <f ca="1"/>
        <v>２５ｇｘ１０本</v>
      </c>
      <c r="H38" s="54" t="str">
        <f ca="1">IF(E38="","",OFFSET(分類!$B$29,E38,0))</f>
        <v>外用.臨時.散薬ヒート</v>
      </c>
    </row>
    <row r="39" spans="2:8">
      <c r="B39" s="27">
        <f t="shared" si="0"/>
        <v>35</v>
      </c>
      <c r="C39" s="27" t="str">
        <f ca="1"/>
        <v>フランドルテープ４０ｍｇ</v>
      </c>
      <c r="D39" s="27">
        <f ca="1"/>
        <v>0</v>
      </c>
      <c r="E39" s="54">
        <f ca="1"/>
        <v>3</v>
      </c>
      <c r="F39" s="54" t="str">
        <f ca="1"/>
        <v/>
      </c>
      <c r="G39" s="54" t="str">
        <f ca="1"/>
        <v>７０マイ</v>
      </c>
      <c r="H39" s="54" t="str">
        <f ca="1">IF(E39="","",OFFSET(分類!$B$29,E39,0))</f>
        <v>外用.臨時.散薬ヒート</v>
      </c>
    </row>
    <row r="40" spans="2:8">
      <c r="B40" s="27">
        <f t="shared" si="0"/>
        <v>36</v>
      </c>
      <c r="C40" s="27" t="str">
        <f ca="1"/>
        <v>ブロムヘキシン塩酸塩吸入液０．２％「タイヨー」</v>
      </c>
      <c r="D40" s="27">
        <f ca="1"/>
        <v>0</v>
      </c>
      <c r="E40" s="54">
        <f ca="1"/>
        <v>3</v>
      </c>
      <c r="F40" s="54" t="str">
        <f ca="1"/>
        <v/>
      </c>
      <c r="G40" s="54" t="str">
        <f ca="1"/>
        <v>４５ｍｌ</v>
      </c>
      <c r="H40" s="54" t="str">
        <f ca="1">IF(E40="","",OFFSET(分類!$B$29,E40,0))</f>
        <v>外用.臨時.散薬ヒート</v>
      </c>
    </row>
    <row r="41" spans="2:8">
      <c r="B41" s="27">
        <f t="shared" si="0"/>
        <v>37</v>
      </c>
      <c r="C41" s="27" t="str">
        <f ca="1"/>
        <v>ベタメタゾン吉草酸エステルロ－ション０．１２％「イワキ」</v>
      </c>
      <c r="D41" s="27">
        <f ca="1"/>
        <v>0</v>
      </c>
      <c r="E41" s="54">
        <f ca="1"/>
        <v>3</v>
      </c>
      <c r="F41" s="54" t="str">
        <f ca="1"/>
        <v/>
      </c>
      <c r="G41" s="54" t="str">
        <f ca="1"/>
        <v>１０ＭＬＸ１０</v>
      </c>
      <c r="H41" s="54" t="str">
        <f ca="1">IF(E41="","",OFFSET(分類!$B$29,E41,0))</f>
        <v>外用.臨時.散薬ヒート</v>
      </c>
    </row>
    <row r="42" spans="2:8">
      <c r="B42" s="27">
        <f t="shared" si="0"/>
        <v>38</v>
      </c>
      <c r="C42" s="27" t="str">
        <f ca="1"/>
        <v>ヘパリン類似物質油性クリーム０．３％「ニチイコウ」</v>
      </c>
      <c r="D42" s="27">
        <f ca="1"/>
        <v>0</v>
      </c>
      <c r="E42" s="54">
        <f ca="1"/>
        <v>5</v>
      </c>
      <c r="F42" s="54" t="str">
        <f ca="1"/>
        <v/>
      </c>
      <c r="G42" s="54" t="str">
        <f ca="1"/>
        <v>１００ｇ</v>
      </c>
      <c r="H42" s="54" t="str">
        <f ca="1">IF(E42="","",OFFSET(分類!$B$29,E42,0))</f>
        <v>普通薬バラ</v>
      </c>
    </row>
    <row r="43" spans="2:8">
      <c r="B43" s="27">
        <f t="shared" si="0"/>
        <v>39</v>
      </c>
      <c r="C43" s="27" t="str">
        <f ca="1"/>
        <v>ペミロラストＫ点眼液０．１％「ＴＳ」</v>
      </c>
      <c r="D43" s="27">
        <f ca="1"/>
        <v>0</v>
      </c>
      <c r="E43" s="54">
        <f ca="1"/>
        <v>3</v>
      </c>
      <c r="F43" s="54" t="str">
        <f ca="1"/>
        <v/>
      </c>
      <c r="G43" s="54" t="str">
        <f ca="1"/>
        <v>５ｍｌｘ１０</v>
      </c>
      <c r="H43" s="54" t="str">
        <f ca="1">IF(E43="","",OFFSET(分類!$B$29,E43,0))</f>
        <v>外用.臨時.散薬ヒート</v>
      </c>
    </row>
    <row r="44" spans="2:8">
      <c r="B44" s="27">
        <f t="shared" si="0"/>
        <v>40</v>
      </c>
      <c r="C44" s="27" t="str">
        <f ca="1"/>
        <v>ヘモレックス軟膏</v>
      </c>
      <c r="D44" s="27">
        <f ca="1"/>
        <v>0</v>
      </c>
      <c r="E44" s="54">
        <f ca="1"/>
        <v>3</v>
      </c>
      <c r="F44" s="54" t="str">
        <f ca="1"/>
        <v/>
      </c>
      <c r="G44" s="54" t="str">
        <f ca="1"/>
        <v>２ｇｘ７０</v>
      </c>
      <c r="H44" s="54" t="str">
        <f ca="1">IF(E44="","",OFFSET(分類!$B$29,E44,0))</f>
        <v>外用.臨時.散薬ヒート</v>
      </c>
    </row>
    <row r="45" spans="2:8">
      <c r="B45" s="27">
        <f t="shared" si="0"/>
        <v>41</v>
      </c>
      <c r="C45" s="27" t="str">
        <f ca="1"/>
        <v>ボアラ軟膏０．１２％</v>
      </c>
      <c r="D45" s="27">
        <f ca="1"/>
        <v>0</v>
      </c>
      <c r="E45" s="54">
        <f ca="1"/>
        <v>8</v>
      </c>
      <c r="F45" s="54" t="str">
        <f ca="1"/>
        <v/>
      </c>
      <c r="G45" s="54" t="str">
        <f ca="1"/>
        <v>１００ｇ</v>
      </c>
      <c r="H45" s="54" t="str">
        <f ca="1">IF(E45="","",OFFSET(分類!$B$29,E45,0))</f>
        <v>抗生剤.小輸液</v>
      </c>
    </row>
    <row r="46" spans="2:8">
      <c r="B46" s="27">
        <f t="shared" si="0"/>
        <v>42</v>
      </c>
      <c r="C46" s="27" t="str">
        <f ca="1"/>
        <v>マイザー軟膏０．０５％</v>
      </c>
      <c r="D46" s="27">
        <f ca="1"/>
        <v>0</v>
      </c>
      <c r="E46" s="54">
        <f ca="1"/>
        <v>3</v>
      </c>
      <c r="F46" s="54" t="str">
        <f ca="1"/>
        <v/>
      </c>
      <c r="G46" s="54" t="str">
        <f ca="1"/>
        <v>５ｇｘ１０</v>
      </c>
      <c r="H46" s="54" t="str">
        <f ca="1">IF(E46="","",OFFSET(分類!$B$29,E46,0))</f>
        <v>外用.臨時.散薬ヒート</v>
      </c>
    </row>
    <row r="47" spans="2:8">
      <c r="B47" s="27">
        <f t="shared" si="0"/>
        <v>43</v>
      </c>
      <c r="C47" s="27" t="str">
        <f ca="1"/>
        <v>メプチンエア－１０μｇ吸入１００回　　０．０１４３％</v>
      </c>
      <c r="D47" s="27">
        <f ca="1"/>
        <v>0</v>
      </c>
      <c r="E47" s="54">
        <f ca="1"/>
        <v>3</v>
      </c>
      <c r="F47" s="54" t="str">
        <f ca="1"/>
        <v/>
      </c>
      <c r="G47" s="54" t="str">
        <f ca="1"/>
        <v>５ｍｌｘ１０</v>
      </c>
      <c r="H47" s="54" t="str">
        <f ca="1">IF(E47="","",OFFSET(分類!$B$29,E47,0))</f>
        <v>外用.臨時.散薬ヒート</v>
      </c>
    </row>
    <row r="48" spans="2:8">
      <c r="B48" s="27">
        <f t="shared" si="0"/>
        <v>44</v>
      </c>
      <c r="C48" s="27" t="str">
        <f ca="1"/>
        <v>ラタノプロスト点眼液０．００５％「センジュ」</v>
      </c>
      <c r="D48" s="27">
        <f ca="1"/>
        <v>0</v>
      </c>
      <c r="E48" s="54">
        <f ca="1"/>
        <v>11</v>
      </c>
      <c r="F48" s="54" t="str">
        <f ca="1"/>
        <v/>
      </c>
      <c r="G48" s="54" t="str">
        <f ca="1"/>
        <v>２．５ｍｌｘ１０</v>
      </c>
      <c r="H48" s="54" t="str">
        <f ca="1">IF(E48="","",OFFSET(分類!$B$29,E48,0))</f>
        <v>冷蔵庫</v>
      </c>
    </row>
    <row r="49" spans="2:8">
      <c r="B49" s="27">
        <f t="shared" si="0"/>
        <v>45</v>
      </c>
      <c r="C49" s="27" t="str">
        <f ca="1"/>
        <v>リンデロン－Ｖ　クリーム０．１２％</v>
      </c>
      <c r="D49" s="27">
        <f ca="1"/>
        <v>0</v>
      </c>
      <c r="E49" s="54">
        <f ca="1"/>
        <v>3</v>
      </c>
      <c r="F49" s="54" t="str">
        <f ca="1"/>
        <v/>
      </c>
      <c r="G49" s="54" t="str">
        <f ca="1"/>
        <v>５ｇＸ１０入</v>
      </c>
      <c r="H49" s="54" t="str">
        <f ca="1">IF(E49="","",OFFSET(分類!$B$29,E49,0))</f>
        <v>外用.臨時.散薬ヒート</v>
      </c>
    </row>
    <row r="50" spans="2:8">
      <c r="B50" s="27">
        <f t="shared" si="0"/>
        <v>46</v>
      </c>
      <c r="C50" s="27" t="str">
        <f ca="1"/>
        <v>リンデロン点眼点耳点鼻液０．１％</v>
      </c>
      <c r="D50" s="27">
        <f ca="1"/>
        <v>0</v>
      </c>
      <c r="E50" s="54">
        <f ca="1"/>
        <v>3</v>
      </c>
      <c r="F50" s="54" t="str">
        <f ca="1"/>
        <v/>
      </c>
      <c r="G50" s="54" t="str">
        <f ca="1"/>
        <v>５ｍｌｘ１０</v>
      </c>
      <c r="H50" s="54" t="str">
        <f ca="1">IF(E50="","",OFFSET(分類!$B$29,E50,0))</f>
        <v>外用.臨時.散薬ヒート</v>
      </c>
    </row>
    <row r="51" spans="2:8">
      <c r="B51" s="27">
        <f t="shared" si="0"/>
        <v>47</v>
      </c>
      <c r="C51" s="27" t="str">
        <f ca="1"/>
        <v>レスタミンコーワクリーム１％</v>
      </c>
      <c r="D51" s="27">
        <f ca="1"/>
        <v>0</v>
      </c>
      <c r="E51" s="54">
        <f ca="1"/>
        <v>7</v>
      </c>
      <c r="F51" s="54" t="str">
        <f ca="1"/>
        <v/>
      </c>
      <c r="G51" s="54" t="str">
        <f ca="1"/>
        <v>５００ｇ</v>
      </c>
      <c r="H51" s="54" t="str">
        <f ca="1">IF(E51="","",OFFSET(分類!$B$29,E51,0))</f>
        <v>軟膏</v>
      </c>
    </row>
    <row r="52" spans="2:8">
      <c r="B52" s="27">
        <f t="shared" si="0"/>
        <v>48</v>
      </c>
      <c r="C52" s="27" t="str">
        <f ca="1"/>
        <v>ロキソプロフェンＮａテープ１００ｍｇ「ＤＳＥＰ」</v>
      </c>
      <c r="D52" s="27">
        <f ca="1"/>
        <v>0</v>
      </c>
      <c r="E52" s="54">
        <f ca="1"/>
        <v>12</v>
      </c>
      <c r="F52" s="54" t="str">
        <f ca="1"/>
        <v/>
      </c>
      <c r="G52" s="54" t="str">
        <f ca="1"/>
        <v>７００枚</v>
      </c>
      <c r="H52" s="54" t="str">
        <f ca="1">IF(E52="","",OFFSET(分類!$B$29,E52,0))</f>
        <v>湿布</v>
      </c>
    </row>
    <row r="53" spans="2:8">
      <c r="B53" s="27">
        <f t="shared" si="0"/>
        <v>49</v>
      </c>
      <c r="C53" s="27" t="str">
        <f ca="1"/>
        <v>ロコイド軟膏０．１％</v>
      </c>
      <c r="D53" s="27">
        <f ca="1"/>
        <v>0</v>
      </c>
      <c r="E53" s="54">
        <f ca="1"/>
        <v>3</v>
      </c>
      <c r="F53" s="54" t="str">
        <f ca="1"/>
        <v/>
      </c>
      <c r="G53" s="54" t="str">
        <f ca="1"/>
        <v>５ｇｘ１０</v>
      </c>
      <c r="H53" s="54" t="str">
        <f ca="1">IF(E53="","",OFFSET(分類!$B$29,E53,0))</f>
        <v>外用.臨時.散薬ヒート</v>
      </c>
    </row>
    <row r="54" spans="2:8">
      <c r="B54" s="27">
        <f t="shared" si="0"/>
        <v>50</v>
      </c>
      <c r="C54" s="27" t="str">
        <f ca="1"/>
        <v>亜鉛華軟膏「ニッコー」　</v>
      </c>
      <c r="D54" s="27">
        <f ca="1"/>
        <v>0</v>
      </c>
      <c r="E54" s="54">
        <f ca="1"/>
        <v>7</v>
      </c>
      <c r="F54" s="54" t="str">
        <f ca="1"/>
        <v/>
      </c>
      <c r="G54" s="54" t="str">
        <f ca="1"/>
        <v>５００ｇ</v>
      </c>
      <c r="H54" s="54" t="str">
        <f ca="1">IF(E54="","",OFFSET(分類!$B$29,E54,0))</f>
        <v>軟膏</v>
      </c>
    </row>
    <row r="55" spans="2:8">
      <c r="B55" s="27">
        <f t="shared" si="0"/>
        <v>51</v>
      </c>
      <c r="C55" s="27" t="str">
        <f ca="1"/>
        <v>尿素クリーム１０％「日医工」</v>
      </c>
      <c r="D55" s="27">
        <f ca="1"/>
        <v>0</v>
      </c>
      <c r="E55" s="54">
        <f ca="1"/>
        <v>3</v>
      </c>
      <c r="F55" s="54" t="str">
        <f ca="1"/>
        <v/>
      </c>
      <c r="G55" s="54" t="str">
        <f ca="1"/>
        <v>２０ｇＸ１０</v>
      </c>
      <c r="H55" s="54" t="str">
        <f ca="1">IF(E55="","",OFFSET(分類!$B$29,E55,0))</f>
        <v>外用.臨時.散薬ヒート</v>
      </c>
    </row>
    <row r="56" spans="2:8">
      <c r="B56" s="27">
        <f t="shared" si="0"/>
        <v>52</v>
      </c>
      <c r="C56" s="27" t="str">
        <f ca="1"/>
        <v>アリドネパッチ２７．５ｍｇ</v>
      </c>
      <c r="D56" s="27">
        <f ca="1"/>
        <v>2</v>
      </c>
      <c r="E56" s="54">
        <f ca="1"/>
        <v>3</v>
      </c>
      <c r="F56" s="54" t="str">
        <f ca="1"/>
        <v/>
      </c>
      <c r="G56" s="54" t="str">
        <f ca="1"/>
        <v>２８枚</v>
      </c>
      <c r="H56" s="54" t="str">
        <f ca="1">IF(E56="","",OFFSET(分類!$B$29,E56,0))</f>
        <v>外用.臨時.散薬ヒート</v>
      </c>
    </row>
    <row r="57" spans="2:8">
      <c r="B57" s="27">
        <f t="shared" si="0"/>
        <v>53</v>
      </c>
      <c r="C57" s="27" t="str">
        <f ca="1"/>
        <v>アリドネパッチ５５ｍｇ</v>
      </c>
      <c r="D57" s="27">
        <f ca="1"/>
        <v>2</v>
      </c>
      <c r="E57" s="54">
        <f ca="1"/>
        <v>3</v>
      </c>
      <c r="F57" s="54" t="str">
        <f ca="1"/>
        <v/>
      </c>
      <c r="G57" s="54" t="str">
        <f ca="1"/>
        <v>２８枚</v>
      </c>
      <c r="H57" s="54" t="str">
        <f ca="1">IF(E57="","",OFFSET(分類!$B$29,E57,0))</f>
        <v>外用.臨時.散薬ヒート</v>
      </c>
    </row>
    <row r="58" spans="2:8">
      <c r="B58" s="27">
        <f t="shared" si="0"/>
        <v>54</v>
      </c>
      <c r="C58" s="27" t="str">
        <f ca="1"/>
        <v>オキサロール軟膏２５μｇ／ｇ０．００２５％</v>
      </c>
      <c r="D58" s="27">
        <f ca="1"/>
        <v>2</v>
      </c>
      <c r="E58" s="54">
        <f ca="1"/>
        <v>3</v>
      </c>
      <c r="F58" s="54" t="str">
        <f ca="1"/>
        <v/>
      </c>
      <c r="G58" s="54" t="str">
        <f ca="1"/>
        <v>１０ＧＸ１０</v>
      </c>
      <c r="H58" s="54" t="str">
        <f ca="1">IF(E58="","",OFFSET(分類!$B$29,E58,0))</f>
        <v>外用.臨時.散薬ヒート</v>
      </c>
    </row>
    <row r="59" spans="2:8">
      <c r="B59" s="27">
        <f t="shared" si="0"/>
        <v>55</v>
      </c>
      <c r="C59" s="27" t="str">
        <f ca="1"/>
        <v>クロベタゾールプロピオン酸エステル軟膏０．０５％「イワキ」</v>
      </c>
      <c r="D59" s="27">
        <f ca="1"/>
        <v>2</v>
      </c>
      <c r="E59" s="54">
        <f ca="1"/>
        <v>3</v>
      </c>
      <c r="F59" s="54" t="str">
        <f ca="1"/>
        <v/>
      </c>
      <c r="G59" s="54" t="str">
        <f ca="1"/>
        <v>５ｇｘ１０</v>
      </c>
      <c r="H59" s="54" t="str">
        <f ca="1">IF(E59="","",OFFSET(分類!$B$29,E59,0))</f>
        <v>外用.臨時.散薬ヒート</v>
      </c>
    </row>
    <row r="60" spans="2:8">
      <c r="B60" s="27">
        <f t="shared" si="0"/>
        <v>56</v>
      </c>
      <c r="C60" s="27" t="str">
        <f ca="1"/>
        <v>テクスメテン　ユニバーサル　クリーム０．１％</v>
      </c>
      <c r="D60" s="27">
        <f ca="1"/>
        <v>2</v>
      </c>
      <c r="E60" s="54">
        <f ca="1"/>
        <v>3</v>
      </c>
      <c r="F60" s="54" t="str">
        <f ca="1"/>
        <v/>
      </c>
      <c r="G60" s="54" t="str">
        <f ca="1"/>
        <v>１０ｇｘ１０</v>
      </c>
      <c r="H60" s="54" t="str">
        <f ca="1">IF(E60="","",OFFSET(分類!$B$29,E60,0))</f>
        <v>外用.臨時.散薬ヒート</v>
      </c>
    </row>
    <row r="61" spans="2:8">
      <c r="B61" s="27">
        <f t="shared" si="0"/>
        <v>57</v>
      </c>
      <c r="C61" s="27" t="str">
        <f ca="1"/>
        <v>プロスタンディン軟膏０．００３％</v>
      </c>
      <c r="D61" s="27">
        <f ca="1"/>
        <v>2</v>
      </c>
      <c r="E61" s="54">
        <f ca="1"/>
        <v>3</v>
      </c>
      <c r="F61" s="54" t="str">
        <f ca="1"/>
        <v/>
      </c>
      <c r="G61" s="54" t="str">
        <f ca="1"/>
        <v>３０ｇｘ１</v>
      </c>
      <c r="H61" s="54" t="str">
        <f ca="1">IF(E61="","",OFFSET(分類!$B$29,E61,0))</f>
        <v>外用.臨時.散薬ヒート</v>
      </c>
    </row>
    <row r="62" spans="2:8">
      <c r="B62" s="27">
        <f t="shared" si="0"/>
        <v>58</v>
      </c>
      <c r="C62" s="27" t="str">
        <f ca="1"/>
        <v>リバスチグミンテープ１３．５ｍｇ「トーワ」　</v>
      </c>
      <c r="D62" s="27">
        <f ca="1"/>
        <v>2</v>
      </c>
      <c r="E62" s="54">
        <f ca="1"/>
        <v>3</v>
      </c>
      <c r="F62" s="54" t="str">
        <f ca="1"/>
        <v/>
      </c>
      <c r="G62" s="54" t="str">
        <f ca="1"/>
        <v>１４枚</v>
      </c>
      <c r="H62" s="54" t="str">
        <f ca="1">IF(E62="","",OFFSET(分類!$B$29,E62,0))</f>
        <v>外用.臨時.散薬ヒート</v>
      </c>
    </row>
    <row r="63" spans="2:8">
      <c r="B63" s="27">
        <f t="shared" si="0"/>
        <v>59</v>
      </c>
      <c r="C63" s="27" t="str">
        <f ca="1"/>
        <v>リバスチグミンテープ１８ｍｇ「トーワ」　</v>
      </c>
      <c r="D63" s="27">
        <f ca="1"/>
        <v>2</v>
      </c>
      <c r="E63" s="54">
        <f ca="1"/>
        <v>3</v>
      </c>
      <c r="F63" s="54" t="str">
        <f ca="1"/>
        <v/>
      </c>
      <c r="G63" s="54" t="str">
        <f ca="1"/>
        <v>１４枚</v>
      </c>
      <c r="H63" s="54" t="str">
        <f ca="1">IF(E63="","",OFFSET(分類!$B$29,E63,0))</f>
        <v>外用.臨時.散薬ヒート</v>
      </c>
    </row>
    <row r="64" spans="2:8">
      <c r="B64" s="27">
        <f t="shared" si="0"/>
        <v>60</v>
      </c>
      <c r="C64" s="27" t="str">
        <f ca="1"/>
        <v>リバスチグミンテープ４．５ｍｇ「トーワ」</v>
      </c>
      <c r="D64" s="27">
        <f ca="1"/>
        <v>2</v>
      </c>
      <c r="E64" s="54">
        <f ca="1"/>
        <v>3</v>
      </c>
      <c r="F64" s="54" t="str">
        <f ca="1"/>
        <v/>
      </c>
      <c r="G64" s="54" t="str">
        <f ca="1"/>
        <v>１４枚</v>
      </c>
      <c r="H64" s="54" t="str">
        <f ca="1">IF(E64="","",OFFSET(分類!$B$29,E64,0))</f>
        <v>外用.臨時.散薬ヒート</v>
      </c>
    </row>
    <row r="65" spans="2:8">
      <c r="B65" s="27">
        <f t="shared" si="0"/>
        <v>61</v>
      </c>
      <c r="C65" s="27" t="str">
        <f ca="1"/>
        <v>リバスチグミンテープ９ｍｇ「トーワ」　</v>
      </c>
      <c r="D65" s="27">
        <f ca="1"/>
        <v>2</v>
      </c>
      <c r="E65" s="54">
        <f ca="1"/>
        <v>3</v>
      </c>
      <c r="F65" s="54" t="str">
        <f ca="1"/>
        <v/>
      </c>
      <c r="G65" s="54" t="str">
        <f ca="1"/>
        <v>１４枚</v>
      </c>
      <c r="H65" s="54" t="str">
        <f ca="1">IF(E65="","",OFFSET(分類!$B$29,E65,0))</f>
        <v>外用.臨時.散薬ヒート</v>
      </c>
    </row>
    <row r="66" spans="2:8">
      <c r="B66" s="27">
        <f t="shared" si="0"/>
        <v>62</v>
      </c>
      <c r="C66" s="27" t="str">
        <f ca="1"/>
        <v>ロナセンテープ２０ｍｇ</v>
      </c>
      <c r="D66" s="27">
        <f ca="1"/>
        <v>2</v>
      </c>
      <c r="E66" s="54">
        <f ca="1"/>
        <v>3</v>
      </c>
      <c r="F66" s="54" t="str">
        <f ca="1"/>
        <v/>
      </c>
      <c r="G66" s="54" t="str">
        <f ca="1"/>
        <v>７０枚</v>
      </c>
      <c r="H66" s="54" t="str">
        <f ca="1">IF(E66="","",OFFSET(分類!$B$29,E66,0))</f>
        <v>外用.臨時.散薬ヒート</v>
      </c>
    </row>
    <row r="67" spans="2:8">
      <c r="B67" s="27">
        <f t="shared" si="0"/>
        <v>63</v>
      </c>
      <c r="C67" s="27" t="str">
        <f ca="1"/>
        <v>ロナセンテープ４０ｍｇ</v>
      </c>
      <c r="D67" s="27">
        <f ca="1"/>
        <v>2</v>
      </c>
      <c r="E67" s="54">
        <f ca="1"/>
        <v>3</v>
      </c>
      <c r="F67" s="54" t="str">
        <f ca="1"/>
        <v/>
      </c>
      <c r="G67" s="54" t="str">
        <f ca="1"/>
        <v>７０枚</v>
      </c>
      <c r="H67" s="54" t="str">
        <f ca="1">IF(E67="","",OFFSET(分類!$B$29,E67,0))</f>
        <v>外用.臨時.散薬ヒート</v>
      </c>
    </row>
    <row r="68" spans="2:8">
      <c r="B68" s="27">
        <f t="shared" si="0"/>
        <v>64</v>
      </c>
      <c r="C68" s="27"/>
      <c r="D68" s="27"/>
      <c r="E68" s="54"/>
      <c r="F68" s="54"/>
      <c r="G68" s="54"/>
      <c r="H68" s="54" t="str">
        <f ca="1">IF(E68="","",OFFSET(分類!$B$29,E68,0))</f>
        <v/>
      </c>
    </row>
    <row r="69" spans="2:8">
      <c r="B69" s="27">
        <f t="shared" si="0"/>
        <v>65</v>
      </c>
      <c r="C69" s="27"/>
      <c r="D69" s="27"/>
      <c r="E69" s="54"/>
      <c r="F69" s="54"/>
      <c r="G69" s="54"/>
      <c r="H69" s="54" t="str">
        <f ca="1">IF(E69="","",OFFSET(分類!$B$29,E69,0))</f>
        <v/>
      </c>
    </row>
    <row r="70" spans="2:8">
      <c r="B70" s="27">
        <f t="shared" si="0"/>
        <v>66</v>
      </c>
      <c r="C70" s="27"/>
      <c r="D70" s="27"/>
      <c r="E70" s="54"/>
      <c r="F70" s="54"/>
      <c r="G70" s="54"/>
      <c r="H70" s="54" t="str">
        <f ca="1">IF(E70="","",OFFSET(分類!$B$29,E70,0))</f>
        <v/>
      </c>
    </row>
    <row r="71" spans="2:8">
      <c r="B71" s="27">
        <f t="shared" ref="B71:B134" si="1">B70+1</f>
        <v>67</v>
      </c>
      <c r="C71" s="27"/>
      <c r="D71" s="27"/>
      <c r="E71" s="54"/>
      <c r="F71" s="54"/>
      <c r="G71" s="54"/>
      <c r="H71" s="54" t="str">
        <f ca="1">IF(E71="","",OFFSET(分類!$B$29,E71,0))</f>
        <v/>
      </c>
    </row>
    <row r="72" spans="2:8">
      <c r="B72" s="27">
        <f t="shared" si="1"/>
        <v>68</v>
      </c>
      <c r="C72" s="27"/>
      <c r="D72" s="27"/>
      <c r="E72" s="54"/>
      <c r="F72" s="54"/>
      <c r="G72" s="54"/>
      <c r="H72" s="54" t="str">
        <f ca="1">IF(E72="","",OFFSET(分類!$B$29,E72,0))</f>
        <v/>
      </c>
    </row>
    <row r="73" spans="2:8">
      <c r="B73" s="27">
        <f t="shared" si="1"/>
        <v>69</v>
      </c>
      <c r="C73" s="27"/>
      <c r="D73" s="27"/>
      <c r="E73" s="54"/>
      <c r="F73" s="54"/>
      <c r="G73" s="54"/>
      <c r="H73" s="54" t="str">
        <f ca="1">IF(E73="","",OFFSET(分類!$B$29,E73,0))</f>
        <v/>
      </c>
    </row>
    <row r="74" spans="2:8">
      <c r="B74" s="27">
        <f t="shared" si="1"/>
        <v>70</v>
      </c>
      <c r="C74" s="27"/>
      <c r="D74" s="27"/>
      <c r="E74" s="54"/>
      <c r="F74" s="54"/>
      <c r="G74" s="54"/>
      <c r="H74" s="54" t="str">
        <f ca="1">IF(E74="","",OFFSET(分類!$B$29,E74,0))</f>
        <v/>
      </c>
    </row>
    <row r="75" spans="2:8">
      <c r="B75" s="27">
        <f t="shared" si="1"/>
        <v>71</v>
      </c>
      <c r="C75" s="27"/>
      <c r="D75" s="27"/>
      <c r="E75" s="54"/>
      <c r="F75" s="54"/>
      <c r="G75" s="54"/>
      <c r="H75" s="54" t="str">
        <f ca="1">IF(E75="","",OFFSET(分類!$B$29,E75,0))</f>
        <v/>
      </c>
    </row>
    <row r="76" spans="2:8">
      <c r="B76" s="27">
        <f t="shared" si="1"/>
        <v>72</v>
      </c>
      <c r="C76" s="27"/>
      <c r="D76" s="27"/>
      <c r="E76" s="54"/>
      <c r="F76" s="54"/>
      <c r="G76" s="54"/>
      <c r="H76" s="54" t="str">
        <f ca="1">IF(E76="","",OFFSET(分類!$B$29,E76,0))</f>
        <v/>
      </c>
    </row>
    <row r="77" spans="2:8">
      <c r="B77" s="27">
        <f t="shared" si="1"/>
        <v>73</v>
      </c>
      <c r="C77" s="27"/>
      <c r="D77" s="27"/>
      <c r="E77" s="54"/>
      <c r="F77" s="54"/>
      <c r="G77" s="54"/>
      <c r="H77" s="54" t="str">
        <f ca="1">IF(E77="","",OFFSET(分類!$B$29,E77,0))</f>
        <v/>
      </c>
    </row>
    <row r="78" spans="2:8">
      <c r="B78" s="27">
        <f t="shared" si="1"/>
        <v>74</v>
      </c>
      <c r="C78" s="27"/>
      <c r="D78" s="27"/>
      <c r="E78" s="54"/>
      <c r="F78" s="54"/>
      <c r="G78" s="54"/>
      <c r="H78" s="54" t="str">
        <f ca="1">IF(E78="","",OFFSET(分類!$B$29,E78,0))</f>
        <v/>
      </c>
    </row>
    <row r="79" spans="2:8">
      <c r="B79" s="27">
        <f t="shared" si="1"/>
        <v>75</v>
      </c>
      <c r="C79" s="27"/>
      <c r="D79" s="27"/>
      <c r="E79" s="54"/>
      <c r="F79" s="54"/>
      <c r="G79" s="54"/>
      <c r="H79" s="54" t="str">
        <f ca="1">IF(E79="","",OFFSET(分類!$B$29,E79,0))</f>
        <v/>
      </c>
    </row>
    <row r="80" spans="2:8">
      <c r="B80" s="27">
        <f t="shared" si="1"/>
        <v>76</v>
      </c>
      <c r="C80" s="27"/>
      <c r="D80" s="27"/>
      <c r="E80" s="54"/>
      <c r="F80" s="54"/>
      <c r="G80" s="54"/>
      <c r="H80" s="54" t="str">
        <f ca="1">IF(E80="","",OFFSET(分類!$B$29,E80,0))</f>
        <v/>
      </c>
    </row>
    <row r="81" spans="2:8">
      <c r="B81" s="27">
        <f t="shared" si="1"/>
        <v>77</v>
      </c>
      <c r="C81" s="27"/>
      <c r="D81" s="27"/>
      <c r="E81" s="54"/>
      <c r="F81" s="54"/>
      <c r="G81" s="54"/>
      <c r="H81" s="54" t="str">
        <f ca="1">IF(E81="","",OFFSET(分類!$B$29,E81,0))</f>
        <v/>
      </c>
    </row>
    <row r="82" spans="2:8">
      <c r="B82" s="27">
        <f t="shared" si="1"/>
        <v>78</v>
      </c>
      <c r="C82" s="27"/>
      <c r="D82" s="27"/>
      <c r="E82" s="54"/>
      <c r="F82" s="54"/>
      <c r="G82" s="54"/>
      <c r="H82" s="54" t="str">
        <f ca="1">IF(E82="","",OFFSET(分類!$B$29,E82,0))</f>
        <v/>
      </c>
    </row>
    <row r="83" spans="2:8">
      <c r="B83" s="27">
        <f t="shared" si="1"/>
        <v>79</v>
      </c>
      <c r="C83" s="27"/>
      <c r="D83" s="27"/>
      <c r="E83" s="54"/>
      <c r="F83" s="54"/>
      <c r="G83" s="54"/>
      <c r="H83" s="54" t="str">
        <f ca="1">IF(E83="","",OFFSET(分類!$B$29,E83,0))</f>
        <v/>
      </c>
    </row>
    <row r="84" spans="2:8">
      <c r="B84" s="27">
        <f t="shared" si="1"/>
        <v>80</v>
      </c>
      <c r="C84" s="27"/>
      <c r="D84" s="27"/>
      <c r="E84" s="54"/>
      <c r="F84" s="54"/>
      <c r="G84" s="54"/>
      <c r="H84" s="54" t="str">
        <f ca="1">IF(E84="","",OFFSET(分類!$B$29,E84,0))</f>
        <v/>
      </c>
    </row>
    <row r="85" spans="2:8">
      <c r="B85" s="27">
        <f t="shared" si="1"/>
        <v>81</v>
      </c>
      <c r="C85" s="27"/>
      <c r="D85" s="27"/>
      <c r="E85" s="54"/>
      <c r="F85" s="54"/>
      <c r="G85" s="54"/>
      <c r="H85" s="54" t="str">
        <f ca="1">IF(E85="","",OFFSET(分類!$B$29,E85,0))</f>
        <v/>
      </c>
    </row>
    <row r="86" spans="2:8">
      <c r="B86" s="27">
        <f t="shared" si="1"/>
        <v>82</v>
      </c>
      <c r="C86" s="27"/>
      <c r="D86" s="27"/>
      <c r="E86" s="54"/>
      <c r="F86" s="54"/>
      <c r="G86" s="54"/>
      <c r="H86" s="54" t="str">
        <f ca="1">IF(E86="","",OFFSET(分類!$B$29,E86,0))</f>
        <v/>
      </c>
    </row>
    <row r="87" spans="2:8">
      <c r="B87" s="27">
        <f t="shared" si="1"/>
        <v>83</v>
      </c>
      <c r="C87" s="27"/>
      <c r="D87" s="27"/>
      <c r="E87" s="54"/>
      <c r="F87" s="54"/>
      <c r="G87" s="54"/>
      <c r="H87" s="54" t="str">
        <f ca="1">IF(E87="","",OFFSET(分類!$B$29,E87,0))</f>
        <v/>
      </c>
    </row>
    <row r="88" spans="2:8">
      <c r="B88" s="27">
        <f t="shared" si="1"/>
        <v>84</v>
      </c>
      <c r="C88" s="27"/>
      <c r="D88" s="27"/>
      <c r="E88" s="54"/>
      <c r="F88" s="54"/>
      <c r="G88" s="54"/>
      <c r="H88" s="54" t="str">
        <f ca="1">IF(E88="","",OFFSET(分類!$B$29,E88,0))</f>
        <v/>
      </c>
    </row>
    <row r="89" spans="2:8">
      <c r="B89" s="27">
        <f t="shared" si="1"/>
        <v>85</v>
      </c>
      <c r="C89" s="27"/>
      <c r="D89" s="27"/>
      <c r="E89" s="54"/>
      <c r="F89" s="54"/>
      <c r="G89" s="54"/>
      <c r="H89" s="54" t="str">
        <f ca="1">IF(E89="","",OFFSET(分類!$B$29,E89,0))</f>
        <v/>
      </c>
    </row>
    <row r="90" spans="2:8">
      <c r="B90" s="27">
        <f t="shared" si="1"/>
        <v>86</v>
      </c>
      <c r="C90" s="27"/>
      <c r="D90" s="27"/>
      <c r="E90" s="54"/>
      <c r="F90" s="54"/>
      <c r="G90" s="54"/>
      <c r="H90" s="54" t="str">
        <f ca="1">IF(E90="","",OFFSET(分類!$B$29,E90,0))</f>
        <v/>
      </c>
    </row>
    <row r="91" spans="2:8">
      <c r="B91" s="27">
        <f t="shared" si="1"/>
        <v>87</v>
      </c>
      <c r="C91" s="27"/>
      <c r="D91" s="27"/>
      <c r="E91" s="54"/>
      <c r="F91" s="54"/>
      <c r="G91" s="54"/>
      <c r="H91" s="54" t="str">
        <f ca="1">IF(E91="","",OFFSET(分類!$B$29,E91,0))</f>
        <v/>
      </c>
    </row>
    <row r="92" spans="2:8">
      <c r="B92" s="27">
        <f t="shared" si="1"/>
        <v>88</v>
      </c>
      <c r="C92" s="27"/>
      <c r="D92" s="27"/>
      <c r="E92" s="54"/>
      <c r="F92" s="54"/>
      <c r="G92" s="54"/>
      <c r="H92" s="54" t="str">
        <f ca="1">IF(E92="","",OFFSET(分類!$B$29,E92,0))</f>
        <v/>
      </c>
    </row>
    <row r="93" spans="2:8">
      <c r="B93" s="27">
        <f t="shared" si="1"/>
        <v>89</v>
      </c>
      <c r="C93" s="27"/>
      <c r="D93" s="27"/>
      <c r="E93" s="54"/>
      <c r="F93" s="54"/>
      <c r="G93" s="54"/>
      <c r="H93" s="54" t="str">
        <f ca="1">IF(E93="","",OFFSET(分類!$B$29,E93,0))</f>
        <v/>
      </c>
    </row>
    <row r="94" spans="2:8">
      <c r="B94" s="27">
        <f t="shared" si="1"/>
        <v>90</v>
      </c>
      <c r="C94" s="27"/>
      <c r="D94" s="27"/>
      <c r="E94" s="54"/>
      <c r="F94" s="54"/>
      <c r="G94" s="54"/>
      <c r="H94" s="54" t="str">
        <f ca="1">IF(E94="","",OFFSET(分類!$B$29,E94,0))</f>
        <v/>
      </c>
    </row>
    <row r="95" spans="2:8">
      <c r="B95" s="27">
        <f t="shared" si="1"/>
        <v>91</v>
      </c>
      <c r="C95" s="27"/>
      <c r="D95" s="27"/>
      <c r="E95" s="54"/>
      <c r="F95" s="54"/>
      <c r="G95" s="54"/>
      <c r="H95" s="54" t="str">
        <f ca="1">IF(E95="","",OFFSET(分類!$B$29,E95,0))</f>
        <v/>
      </c>
    </row>
    <row r="96" spans="2:8">
      <c r="B96" s="27">
        <f t="shared" si="1"/>
        <v>92</v>
      </c>
      <c r="C96" s="27"/>
      <c r="D96" s="27"/>
      <c r="E96" s="54"/>
      <c r="F96" s="54"/>
      <c r="G96" s="54"/>
      <c r="H96" s="54" t="str">
        <f ca="1">IF(E96="","",OFFSET(分類!$B$29,E96,0))</f>
        <v/>
      </c>
    </row>
    <row r="97" spans="2:8">
      <c r="B97" s="27">
        <f t="shared" si="1"/>
        <v>93</v>
      </c>
      <c r="C97" s="27"/>
      <c r="D97" s="27"/>
      <c r="E97" s="54"/>
      <c r="F97" s="54"/>
      <c r="G97" s="54"/>
      <c r="H97" s="54" t="str">
        <f ca="1">IF(E97="","",OFFSET(分類!$B$29,E97,0))</f>
        <v/>
      </c>
    </row>
    <row r="98" spans="2:8">
      <c r="B98" s="27">
        <f t="shared" si="1"/>
        <v>94</v>
      </c>
      <c r="C98" s="27"/>
      <c r="D98" s="27"/>
      <c r="E98" s="54"/>
      <c r="F98" s="54"/>
      <c r="G98" s="54"/>
      <c r="H98" s="54" t="str">
        <f ca="1">IF(E98="","",OFFSET(分類!$B$29,E98,0))</f>
        <v/>
      </c>
    </row>
    <row r="99" spans="2:8">
      <c r="B99" s="27">
        <f t="shared" si="1"/>
        <v>95</v>
      </c>
      <c r="C99" s="27"/>
      <c r="D99" s="27"/>
      <c r="E99" s="54"/>
      <c r="F99" s="54"/>
      <c r="G99" s="54"/>
      <c r="H99" s="54" t="str">
        <f ca="1">IF(E99="","",OFFSET(分類!$B$29,E99,0))</f>
        <v/>
      </c>
    </row>
    <row r="100" spans="2:8">
      <c r="B100" s="27">
        <f t="shared" si="1"/>
        <v>96</v>
      </c>
      <c r="C100" s="27"/>
      <c r="D100" s="27"/>
      <c r="E100" s="54"/>
      <c r="F100" s="54"/>
      <c r="G100" s="54"/>
      <c r="H100" s="54" t="str">
        <f ca="1">IF(E100="","",OFFSET(分類!$B$29,E100,0))</f>
        <v/>
      </c>
    </row>
    <row r="101" spans="2:8">
      <c r="B101" s="27">
        <f t="shared" si="1"/>
        <v>97</v>
      </c>
      <c r="C101" s="27"/>
      <c r="D101" s="27"/>
      <c r="E101" s="54"/>
      <c r="F101" s="54"/>
      <c r="G101" s="54"/>
      <c r="H101" s="54" t="str">
        <f ca="1">IF(E101="","",OFFSET(分類!$B$29,E101,0))</f>
        <v/>
      </c>
    </row>
    <row r="102" spans="2:8">
      <c r="B102" s="27">
        <f t="shared" si="1"/>
        <v>98</v>
      </c>
      <c r="C102" s="27"/>
      <c r="D102" s="27"/>
      <c r="E102" s="54"/>
      <c r="F102" s="54"/>
      <c r="G102" s="54"/>
      <c r="H102" s="54" t="str">
        <f ca="1">IF(E102="","",OFFSET(分類!$B$29,E102,0))</f>
        <v/>
      </c>
    </row>
    <row r="103" spans="2:8">
      <c r="B103" s="27">
        <f t="shared" si="1"/>
        <v>99</v>
      </c>
      <c r="C103" s="27"/>
      <c r="D103" s="27"/>
      <c r="E103" s="54"/>
      <c r="F103" s="54"/>
      <c r="G103" s="54"/>
      <c r="H103" s="54" t="str">
        <f ca="1">IF(E103="","",OFFSET(分類!$B$29,E103,0))</f>
        <v/>
      </c>
    </row>
    <row r="104" spans="2:8">
      <c r="B104" s="27">
        <f t="shared" si="1"/>
        <v>100</v>
      </c>
      <c r="C104" s="27"/>
      <c r="D104" s="27"/>
      <c r="E104" s="54"/>
      <c r="F104" s="54"/>
      <c r="G104" s="54"/>
      <c r="H104" s="54" t="str">
        <f ca="1">IF(E104="","",OFFSET(分類!$B$29,E104,0))</f>
        <v/>
      </c>
    </row>
    <row r="105" spans="2:8">
      <c r="B105" s="27">
        <f t="shared" si="1"/>
        <v>101</v>
      </c>
      <c r="C105" s="27"/>
      <c r="D105" s="27"/>
      <c r="E105" s="54"/>
      <c r="F105" s="54"/>
      <c r="G105" s="54"/>
      <c r="H105" s="54" t="str">
        <f ca="1">IF(E105="","",OFFSET(分類!$B$29,E105,0))</f>
        <v/>
      </c>
    </row>
    <row r="106" spans="2:8">
      <c r="B106" s="27">
        <f t="shared" si="1"/>
        <v>102</v>
      </c>
      <c r="C106" s="27"/>
      <c r="D106" s="27"/>
      <c r="E106" s="54"/>
      <c r="F106" s="54"/>
      <c r="G106" s="54"/>
      <c r="H106" s="54" t="str">
        <f ca="1">IF(E106="","",OFFSET(分類!$B$29,E106,0))</f>
        <v/>
      </c>
    </row>
    <row r="107" spans="2:8">
      <c r="B107" s="27">
        <f t="shared" si="1"/>
        <v>103</v>
      </c>
      <c r="C107" s="27"/>
      <c r="D107" s="27"/>
      <c r="E107" s="54"/>
      <c r="F107" s="54"/>
      <c r="G107" s="54"/>
      <c r="H107" s="54" t="str">
        <f ca="1">IF(E107="","",OFFSET(分類!$B$29,E107,0))</f>
        <v/>
      </c>
    </row>
    <row r="108" spans="2:8">
      <c r="B108" s="27">
        <f t="shared" si="1"/>
        <v>104</v>
      </c>
      <c r="C108" s="27"/>
      <c r="D108" s="27"/>
      <c r="E108" s="54"/>
      <c r="F108" s="54"/>
      <c r="G108" s="54"/>
      <c r="H108" s="54" t="str">
        <f ca="1">IF(E108="","",OFFSET(分類!$B$29,E108,0))</f>
        <v/>
      </c>
    </row>
    <row r="109" spans="2:8">
      <c r="B109" s="27">
        <f t="shared" si="1"/>
        <v>105</v>
      </c>
      <c r="C109" s="27"/>
      <c r="D109" s="27"/>
      <c r="E109" s="54"/>
      <c r="F109" s="54"/>
      <c r="G109" s="54"/>
      <c r="H109" s="54" t="str">
        <f ca="1">IF(E109="","",OFFSET(分類!$B$29,E109,0))</f>
        <v/>
      </c>
    </row>
    <row r="110" spans="2:8">
      <c r="B110" s="27">
        <f t="shared" si="1"/>
        <v>106</v>
      </c>
      <c r="C110" s="27"/>
      <c r="D110" s="27"/>
      <c r="E110" s="54"/>
      <c r="F110" s="54"/>
      <c r="G110" s="54"/>
      <c r="H110" s="54" t="str">
        <f ca="1">IF(E110="","",OFFSET(分類!$B$29,E110,0))</f>
        <v/>
      </c>
    </row>
    <row r="111" spans="2:8">
      <c r="B111" s="27">
        <f t="shared" si="1"/>
        <v>107</v>
      </c>
      <c r="C111" s="27"/>
      <c r="D111" s="27"/>
      <c r="E111" s="54"/>
      <c r="F111" s="54"/>
      <c r="G111" s="54"/>
      <c r="H111" s="54" t="str">
        <f ca="1">IF(E111="","",OFFSET(分類!$B$29,E111,0))</f>
        <v/>
      </c>
    </row>
    <row r="112" spans="2:8">
      <c r="B112" s="27">
        <f t="shared" si="1"/>
        <v>108</v>
      </c>
      <c r="C112" s="27"/>
      <c r="D112" s="27"/>
      <c r="E112" s="54"/>
      <c r="F112" s="54"/>
      <c r="G112" s="54"/>
      <c r="H112" s="54" t="str">
        <f ca="1">IF(E112="","",OFFSET(分類!$B$29,E112,0))</f>
        <v/>
      </c>
    </row>
    <row r="113" spans="2:8">
      <c r="B113" s="27">
        <f t="shared" si="1"/>
        <v>109</v>
      </c>
      <c r="C113" s="27"/>
      <c r="D113" s="27"/>
      <c r="E113" s="54"/>
      <c r="F113" s="54"/>
      <c r="G113" s="54"/>
      <c r="H113" s="54" t="str">
        <f ca="1">IF(E113="","",OFFSET(分類!$B$29,E113,0))</f>
        <v/>
      </c>
    </row>
    <row r="114" spans="2:8">
      <c r="B114" s="27">
        <f t="shared" si="1"/>
        <v>110</v>
      </c>
      <c r="C114" s="27"/>
      <c r="D114" s="27"/>
      <c r="E114" s="54"/>
      <c r="F114" s="54"/>
      <c r="G114" s="54"/>
      <c r="H114" s="54" t="str">
        <f ca="1">IF(E114="","",OFFSET(分類!$B$29,E114,0))</f>
        <v/>
      </c>
    </row>
    <row r="115" spans="2:8">
      <c r="B115" s="27">
        <f t="shared" si="1"/>
        <v>111</v>
      </c>
      <c r="C115" s="27"/>
      <c r="D115" s="27"/>
      <c r="E115" s="54"/>
      <c r="F115" s="54"/>
      <c r="G115" s="54"/>
      <c r="H115" s="54" t="str">
        <f ca="1">IF(E115="","",OFFSET(分類!$B$29,E115,0))</f>
        <v/>
      </c>
    </row>
    <row r="116" spans="2:8">
      <c r="B116" s="27">
        <f t="shared" si="1"/>
        <v>112</v>
      </c>
      <c r="C116" s="27"/>
      <c r="D116" s="27"/>
      <c r="E116" s="54"/>
      <c r="F116" s="54"/>
      <c r="G116" s="54"/>
      <c r="H116" s="54" t="str">
        <f ca="1">IF(E116="","",OFFSET(分類!$B$29,E116,0))</f>
        <v/>
      </c>
    </row>
    <row r="117" spans="2:8">
      <c r="B117" s="27">
        <f t="shared" si="1"/>
        <v>113</v>
      </c>
      <c r="C117" s="27"/>
      <c r="D117" s="27"/>
      <c r="E117" s="54"/>
      <c r="F117" s="54"/>
      <c r="G117" s="54"/>
      <c r="H117" s="54" t="str">
        <f ca="1">IF(E117="","",OFFSET(分類!$B$29,E117,0))</f>
        <v/>
      </c>
    </row>
    <row r="118" spans="2:8">
      <c r="B118" s="27">
        <f t="shared" si="1"/>
        <v>114</v>
      </c>
      <c r="C118" s="27"/>
      <c r="D118" s="27"/>
      <c r="E118" s="54"/>
      <c r="F118" s="54"/>
      <c r="G118" s="54"/>
      <c r="H118" s="54" t="str">
        <f ca="1">IF(E118="","",OFFSET(分類!$B$29,E118,0))</f>
        <v/>
      </c>
    </row>
    <row r="119" spans="2:8">
      <c r="B119" s="27">
        <f t="shared" si="1"/>
        <v>115</v>
      </c>
      <c r="C119" s="27"/>
      <c r="D119" s="27"/>
      <c r="E119" s="54"/>
      <c r="F119" s="54"/>
      <c r="G119" s="54"/>
      <c r="H119" s="54" t="str">
        <f ca="1">IF(E119="","",OFFSET(分類!$B$29,E119,0))</f>
        <v/>
      </c>
    </row>
    <row r="120" spans="2:8">
      <c r="B120" s="27">
        <f t="shared" si="1"/>
        <v>116</v>
      </c>
      <c r="C120" s="27"/>
      <c r="D120" s="27"/>
      <c r="E120" s="54"/>
      <c r="F120" s="54"/>
      <c r="G120" s="54"/>
      <c r="H120" s="54" t="str">
        <f ca="1">IF(E120="","",OFFSET(分類!$B$29,E120,0))</f>
        <v/>
      </c>
    </row>
    <row r="121" spans="2:8">
      <c r="B121" s="27">
        <f t="shared" si="1"/>
        <v>117</v>
      </c>
      <c r="C121" s="27"/>
      <c r="D121" s="27"/>
      <c r="E121" s="54"/>
      <c r="F121" s="54"/>
      <c r="G121" s="54"/>
      <c r="H121" s="54" t="str">
        <f ca="1">IF(E121="","",OFFSET(分類!$B$29,E121,0))</f>
        <v/>
      </c>
    </row>
    <row r="122" spans="2:8">
      <c r="B122" s="27">
        <f t="shared" si="1"/>
        <v>118</v>
      </c>
      <c r="C122" s="27"/>
      <c r="D122" s="27"/>
      <c r="E122" s="54"/>
      <c r="F122" s="54"/>
      <c r="G122" s="54"/>
      <c r="H122" s="54" t="str">
        <f ca="1">IF(E122="","",OFFSET(分類!$B$29,E122,0))</f>
        <v/>
      </c>
    </row>
    <row r="123" spans="2:8">
      <c r="B123" s="27">
        <f t="shared" si="1"/>
        <v>119</v>
      </c>
      <c r="C123" s="27"/>
      <c r="D123" s="27"/>
      <c r="E123" s="54"/>
      <c r="F123" s="54"/>
      <c r="G123" s="54"/>
      <c r="H123" s="54" t="str">
        <f ca="1">IF(E123="","",OFFSET(分類!$B$29,E123,0))</f>
        <v/>
      </c>
    </row>
    <row r="124" spans="2:8">
      <c r="B124" s="27">
        <f t="shared" si="1"/>
        <v>120</v>
      </c>
      <c r="C124" s="27"/>
      <c r="D124" s="27"/>
      <c r="E124" s="54"/>
      <c r="F124" s="54"/>
      <c r="G124" s="54"/>
      <c r="H124" s="54" t="str">
        <f ca="1">IF(E124="","",OFFSET(分類!$B$29,E124,0))</f>
        <v/>
      </c>
    </row>
    <row r="125" spans="2:8">
      <c r="B125" s="27">
        <f t="shared" si="1"/>
        <v>121</v>
      </c>
      <c r="C125" s="27"/>
      <c r="D125" s="27"/>
      <c r="E125" s="54"/>
      <c r="F125" s="54"/>
      <c r="G125" s="54"/>
      <c r="H125" s="54" t="str">
        <f ca="1">IF(E125="","",OFFSET(分類!$B$29,E125,0))</f>
        <v/>
      </c>
    </row>
    <row r="126" spans="2:8">
      <c r="B126" s="27">
        <f t="shared" si="1"/>
        <v>122</v>
      </c>
      <c r="C126" s="27"/>
      <c r="D126" s="27"/>
      <c r="E126" s="54"/>
      <c r="F126" s="54"/>
      <c r="G126" s="54"/>
      <c r="H126" s="54" t="str">
        <f ca="1">IF(E126="","",OFFSET(分類!$B$29,E126,0))</f>
        <v/>
      </c>
    </row>
    <row r="127" spans="2:8">
      <c r="B127" s="27">
        <f t="shared" si="1"/>
        <v>123</v>
      </c>
      <c r="C127" s="27"/>
      <c r="D127" s="27"/>
      <c r="E127" s="54"/>
      <c r="F127" s="54"/>
      <c r="G127" s="54"/>
      <c r="H127" s="54" t="str">
        <f ca="1">IF(E127="","",OFFSET(分類!$B$29,E127,0))</f>
        <v/>
      </c>
    </row>
    <row r="128" spans="2:8">
      <c r="B128" s="27">
        <f t="shared" si="1"/>
        <v>124</v>
      </c>
      <c r="C128" s="27"/>
      <c r="D128" s="27"/>
      <c r="E128" s="54"/>
      <c r="F128" s="54"/>
      <c r="G128" s="54"/>
      <c r="H128" s="54" t="str">
        <f ca="1">IF(E128="","",OFFSET(分類!$B$29,E128,0))</f>
        <v/>
      </c>
    </row>
    <row r="129" spans="2:8">
      <c r="B129" s="27">
        <f t="shared" si="1"/>
        <v>125</v>
      </c>
      <c r="C129" s="27"/>
      <c r="D129" s="27"/>
      <c r="E129" s="54"/>
      <c r="F129" s="54"/>
      <c r="G129" s="54"/>
      <c r="H129" s="54" t="str">
        <f ca="1">IF(E129="","",OFFSET(分類!$B$29,E129,0))</f>
        <v/>
      </c>
    </row>
    <row r="130" spans="2:8">
      <c r="B130" s="27">
        <f t="shared" si="1"/>
        <v>126</v>
      </c>
      <c r="C130" s="27"/>
      <c r="D130" s="27"/>
      <c r="E130" s="54"/>
      <c r="F130" s="54"/>
      <c r="G130" s="54"/>
      <c r="H130" s="54" t="str">
        <f ca="1">IF(E130="","",OFFSET(分類!$B$29,E130,0))</f>
        <v/>
      </c>
    </row>
    <row r="131" spans="2:8">
      <c r="B131" s="27">
        <f t="shared" si="1"/>
        <v>127</v>
      </c>
      <c r="C131" s="27"/>
      <c r="D131" s="27"/>
      <c r="E131" s="54"/>
      <c r="F131" s="54"/>
      <c r="G131" s="54"/>
      <c r="H131" s="54" t="str">
        <f ca="1">IF(E131="","",OFFSET(分類!$B$29,E131,0))</f>
        <v/>
      </c>
    </row>
    <row r="132" spans="2:8">
      <c r="B132" s="27">
        <f t="shared" si="1"/>
        <v>128</v>
      </c>
      <c r="C132" s="27"/>
      <c r="D132" s="27"/>
      <c r="E132" s="54"/>
      <c r="F132" s="54"/>
      <c r="G132" s="54"/>
      <c r="H132" s="54" t="str">
        <f ca="1">IF(E132="","",OFFSET(分類!$B$29,E132,0))</f>
        <v/>
      </c>
    </row>
    <row r="133" spans="2:8">
      <c r="B133" s="27">
        <f t="shared" si="1"/>
        <v>129</v>
      </c>
      <c r="C133" s="27"/>
      <c r="D133" s="27"/>
      <c r="E133" s="54"/>
      <c r="F133" s="54"/>
      <c r="G133" s="54"/>
      <c r="H133" s="54" t="str">
        <f ca="1">IF(E133="","",OFFSET(分類!$B$29,E133,0))</f>
        <v/>
      </c>
    </row>
    <row r="134" spans="2:8">
      <c r="B134" s="27">
        <f t="shared" si="1"/>
        <v>130</v>
      </c>
      <c r="C134" s="27"/>
      <c r="D134" s="27"/>
      <c r="E134" s="54"/>
      <c r="F134" s="54"/>
      <c r="G134" s="54"/>
      <c r="H134" s="54" t="str">
        <f ca="1">IF(E134="","",OFFSET(分類!$B$29,E134,0))</f>
        <v/>
      </c>
    </row>
    <row r="135" spans="2:8">
      <c r="B135" s="27">
        <f t="shared" ref="B135:B198" si="2">B134+1</f>
        <v>131</v>
      </c>
      <c r="C135" s="27"/>
      <c r="D135" s="27"/>
      <c r="E135" s="54"/>
      <c r="F135" s="54"/>
      <c r="G135" s="54"/>
      <c r="H135" s="54" t="str">
        <f ca="1">IF(E135="","",OFFSET(分類!$B$29,E135,0))</f>
        <v/>
      </c>
    </row>
    <row r="136" spans="2:8">
      <c r="B136" s="27">
        <f t="shared" si="2"/>
        <v>132</v>
      </c>
      <c r="C136" s="27"/>
      <c r="D136" s="27"/>
      <c r="E136" s="54"/>
      <c r="F136" s="54"/>
      <c r="G136" s="54"/>
      <c r="H136" s="54" t="str">
        <f ca="1">IF(E136="","",OFFSET(分類!$B$29,E136,0))</f>
        <v/>
      </c>
    </row>
    <row r="137" spans="2:8">
      <c r="B137" s="27">
        <f t="shared" si="2"/>
        <v>133</v>
      </c>
      <c r="C137" s="27"/>
      <c r="D137" s="27"/>
      <c r="E137" s="54"/>
      <c r="F137" s="54"/>
      <c r="G137" s="54"/>
      <c r="H137" s="54" t="str">
        <f ca="1">IF(E137="","",OFFSET(分類!$B$29,E137,0))</f>
        <v/>
      </c>
    </row>
    <row r="138" spans="2:8">
      <c r="B138" s="27">
        <f t="shared" si="2"/>
        <v>134</v>
      </c>
      <c r="C138" s="27"/>
      <c r="D138" s="27"/>
      <c r="E138" s="54"/>
      <c r="F138" s="54"/>
      <c r="G138" s="54"/>
      <c r="H138" s="54" t="str">
        <f ca="1">IF(E138="","",OFFSET(分類!$B$29,E138,0))</f>
        <v/>
      </c>
    </row>
    <row r="139" spans="2:8">
      <c r="B139" s="27">
        <f t="shared" si="2"/>
        <v>135</v>
      </c>
      <c r="C139" s="27"/>
      <c r="D139" s="27"/>
      <c r="E139" s="54"/>
      <c r="F139" s="54"/>
      <c r="G139" s="54"/>
      <c r="H139" s="54" t="str">
        <f ca="1">IF(E139="","",OFFSET(分類!$B$29,E139,0))</f>
        <v/>
      </c>
    </row>
    <row r="140" spans="2:8">
      <c r="B140" s="27">
        <f t="shared" si="2"/>
        <v>136</v>
      </c>
      <c r="C140" s="27"/>
      <c r="D140" s="27"/>
      <c r="E140" s="54"/>
      <c r="F140" s="54"/>
      <c r="G140" s="54"/>
      <c r="H140" s="54" t="str">
        <f ca="1">IF(E140="","",OFFSET(分類!$B$29,E140,0))</f>
        <v/>
      </c>
    </row>
    <row r="141" spans="2:8">
      <c r="B141" s="27">
        <f t="shared" si="2"/>
        <v>137</v>
      </c>
      <c r="C141" s="27"/>
      <c r="D141" s="27"/>
      <c r="E141" s="54"/>
      <c r="F141" s="54"/>
      <c r="G141" s="54"/>
      <c r="H141" s="54" t="str">
        <f ca="1">IF(E141="","",OFFSET(分類!$B$29,E141,0))</f>
        <v/>
      </c>
    </row>
    <row r="142" spans="2:8">
      <c r="B142" s="27">
        <f t="shared" si="2"/>
        <v>138</v>
      </c>
      <c r="C142" s="27"/>
      <c r="D142" s="27"/>
      <c r="E142" s="54"/>
      <c r="F142" s="54"/>
      <c r="G142" s="54"/>
      <c r="H142" s="54" t="str">
        <f ca="1">IF(E142="","",OFFSET(分類!$B$29,E142,0))</f>
        <v/>
      </c>
    </row>
    <row r="143" spans="2:8">
      <c r="B143" s="27">
        <f t="shared" si="2"/>
        <v>139</v>
      </c>
      <c r="C143" s="27"/>
      <c r="D143" s="27"/>
      <c r="E143" s="54"/>
      <c r="F143" s="54"/>
      <c r="G143" s="54"/>
      <c r="H143" s="54" t="str">
        <f ca="1">IF(E143="","",OFFSET(分類!$B$29,E143,0))</f>
        <v/>
      </c>
    </row>
    <row r="144" spans="2:8">
      <c r="B144" s="27">
        <f t="shared" si="2"/>
        <v>140</v>
      </c>
      <c r="C144" s="27"/>
      <c r="D144" s="27"/>
      <c r="E144" s="54"/>
      <c r="F144" s="54"/>
      <c r="G144" s="54"/>
      <c r="H144" s="54" t="str">
        <f ca="1">IF(E144="","",OFFSET(分類!$B$29,E144,0))</f>
        <v/>
      </c>
    </row>
    <row r="145" spans="2:8">
      <c r="B145" s="27">
        <f t="shared" si="2"/>
        <v>141</v>
      </c>
      <c r="C145" s="27"/>
      <c r="D145" s="27"/>
      <c r="E145" s="54"/>
      <c r="F145" s="54"/>
      <c r="G145" s="54"/>
      <c r="H145" s="54" t="str">
        <f ca="1">IF(E145="","",OFFSET(分類!$B$29,E145,0))</f>
        <v/>
      </c>
    </row>
    <row r="146" spans="2:8">
      <c r="B146" s="27">
        <f t="shared" si="2"/>
        <v>142</v>
      </c>
      <c r="C146" s="27"/>
      <c r="D146" s="27"/>
      <c r="E146" s="54"/>
      <c r="F146" s="54"/>
      <c r="G146" s="54"/>
      <c r="H146" s="54" t="str">
        <f ca="1">IF(E146="","",OFFSET(分類!$B$29,E146,0))</f>
        <v/>
      </c>
    </row>
    <row r="147" spans="2:8">
      <c r="B147" s="27">
        <f t="shared" si="2"/>
        <v>143</v>
      </c>
      <c r="C147" s="27"/>
      <c r="D147" s="27"/>
      <c r="E147" s="54"/>
      <c r="F147" s="54"/>
      <c r="G147" s="54"/>
      <c r="H147" s="54" t="str">
        <f ca="1">IF(E147="","",OFFSET(分類!$B$29,E147,0))</f>
        <v/>
      </c>
    </row>
    <row r="148" spans="2:8">
      <c r="B148" s="27">
        <f t="shared" si="2"/>
        <v>144</v>
      </c>
      <c r="C148" s="27"/>
      <c r="D148" s="27"/>
      <c r="E148" s="54"/>
      <c r="F148" s="54"/>
      <c r="G148" s="54"/>
      <c r="H148" s="54" t="str">
        <f ca="1">IF(E148="","",OFFSET(分類!$B$29,E148,0))</f>
        <v/>
      </c>
    </row>
    <row r="149" spans="2:8">
      <c r="B149" s="27">
        <f t="shared" si="2"/>
        <v>145</v>
      </c>
      <c r="C149" s="27"/>
      <c r="D149" s="27"/>
      <c r="E149" s="54"/>
      <c r="F149" s="54"/>
      <c r="G149" s="54"/>
      <c r="H149" s="54" t="str">
        <f ca="1">IF(E149="","",OFFSET(分類!$B$29,E149,0))</f>
        <v/>
      </c>
    </row>
    <row r="150" spans="2:8">
      <c r="B150" s="27">
        <f t="shared" si="2"/>
        <v>146</v>
      </c>
      <c r="C150" s="27"/>
      <c r="D150" s="27"/>
      <c r="E150" s="54"/>
      <c r="F150" s="54"/>
      <c r="G150" s="54"/>
      <c r="H150" s="54" t="str">
        <f ca="1">IF(E150="","",OFFSET(分類!$B$29,E150,0))</f>
        <v/>
      </c>
    </row>
    <row r="151" spans="2:8">
      <c r="B151" s="27">
        <f t="shared" si="2"/>
        <v>147</v>
      </c>
      <c r="C151" s="27"/>
      <c r="D151" s="27"/>
      <c r="E151" s="54"/>
      <c r="F151" s="54"/>
      <c r="G151" s="54"/>
      <c r="H151" s="54" t="str">
        <f ca="1">IF(E151="","",OFFSET(分類!$B$29,E151,0))</f>
        <v/>
      </c>
    </row>
    <row r="152" spans="2:8">
      <c r="B152" s="27">
        <f t="shared" si="2"/>
        <v>148</v>
      </c>
      <c r="C152" s="27"/>
      <c r="D152" s="27"/>
      <c r="E152" s="54"/>
      <c r="F152" s="54"/>
      <c r="G152" s="54"/>
      <c r="H152" s="54" t="str">
        <f ca="1">IF(E152="","",OFFSET(分類!$B$29,E152,0))</f>
        <v/>
      </c>
    </row>
    <row r="153" spans="2:8">
      <c r="B153" s="27">
        <f t="shared" si="2"/>
        <v>149</v>
      </c>
      <c r="C153" s="27"/>
      <c r="D153" s="27"/>
      <c r="E153" s="54"/>
      <c r="F153" s="54"/>
      <c r="G153" s="54"/>
      <c r="H153" s="54" t="str">
        <f ca="1">IF(E153="","",OFFSET(分類!$B$29,E153,0))</f>
        <v/>
      </c>
    </row>
    <row r="154" spans="2:8">
      <c r="B154" s="27">
        <f t="shared" si="2"/>
        <v>150</v>
      </c>
      <c r="C154" s="27"/>
      <c r="D154" s="27"/>
      <c r="E154" s="54"/>
      <c r="F154" s="54"/>
      <c r="G154" s="54"/>
      <c r="H154" s="54" t="str">
        <f ca="1">IF(E154="","",OFFSET(分類!$B$29,E154,0))</f>
        <v/>
      </c>
    </row>
    <row r="155" spans="2:8">
      <c r="B155" s="27">
        <f t="shared" si="2"/>
        <v>151</v>
      </c>
      <c r="C155" s="27"/>
      <c r="D155" s="27"/>
      <c r="E155" s="54"/>
      <c r="F155" s="54"/>
      <c r="G155" s="54"/>
      <c r="H155" s="54" t="str">
        <f ca="1">IF(E155="","",OFFSET(分類!$B$29,E155,0))</f>
        <v/>
      </c>
    </row>
    <row r="156" spans="2:8">
      <c r="B156" s="27">
        <f t="shared" si="2"/>
        <v>152</v>
      </c>
      <c r="C156" s="27"/>
      <c r="D156" s="27"/>
      <c r="E156" s="54"/>
      <c r="F156" s="54"/>
      <c r="G156" s="54"/>
      <c r="H156" s="54" t="str">
        <f ca="1">IF(E156="","",OFFSET(分類!$B$29,E156,0))</f>
        <v/>
      </c>
    </row>
    <row r="157" spans="2:8">
      <c r="B157" s="27">
        <f t="shared" si="2"/>
        <v>153</v>
      </c>
      <c r="C157" s="27"/>
      <c r="D157" s="27"/>
      <c r="E157" s="54"/>
      <c r="F157" s="54"/>
      <c r="G157" s="54"/>
      <c r="H157" s="54" t="str">
        <f ca="1">IF(E157="","",OFFSET(分類!$B$29,E157,0))</f>
        <v/>
      </c>
    </row>
    <row r="158" spans="2:8">
      <c r="B158" s="27">
        <f t="shared" si="2"/>
        <v>154</v>
      </c>
      <c r="C158" s="27"/>
      <c r="D158" s="27"/>
      <c r="E158" s="54"/>
      <c r="F158" s="54"/>
      <c r="G158" s="54"/>
      <c r="H158" s="54" t="str">
        <f ca="1">IF(E158="","",OFFSET(分類!$B$29,E158,0))</f>
        <v/>
      </c>
    </row>
    <row r="159" spans="2:8">
      <c r="B159" s="27">
        <f t="shared" si="2"/>
        <v>155</v>
      </c>
      <c r="C159" s="27"/>
      <c r="D159" s="27"/>
      <c r="E159" s="54"/>
      <c r="F159" s="54"/>
      <c r="G159" s="54"/>
      <c r="H159" s="54" t="str">
        <f ca="1">IF(E159="","",OFFSET(分類!$B$29,E159,0))</f>
        <v/>
      </c>
    </row>
    <row r="160" spans="2:8">
      <c r="B160" s="27">
        <f t="shared" si="2"/>
        <v>156</v>
      </c>
      <c r="C160" s="27"/>
      <c r="D160" s="27"/>
      <c r="E160" s="54"/>
      <c r="F160" s="54"/>
      <c r="G160" s="54"/>
      <c r="H160" s="54" t="str">
        <f ca="1">IF(E160="","",OFFSET(分類!$B$29,E160,0))</f>
        <v/>
      </c>
    </row>
    <row r="161" spans="2:8">
      <c r="B161" s="27">
        <f t="shared" si="2"/>
        <v>157</v>
      </c>
      <c r="C161" s="27"/>
      <c r="D161" s="27"/>
      <c r="E161" s="54"/>
      <c r="F161" s="54"/>
      <c r="G161" s="54"/>
      <c r="H161" s="54" t="str">
        <f ca="1">IF(E161="","",OFFSET(分類!$B$29,E161,0))</f>
        <v/>
      </c>
    </row>
    <row r="162" spans="2:8">
      <c r="B162" s="27">
        <f t="shared" si="2"/>
        <v>158</v>
      </c>
      <c r="C162" s="27"/>
      <c r="D162" s="27"/>
      <c r="E162" s="54"/>
      <c r="F162" s="54"/>
      <c r="G162" s="54"/>
      <c r="H162" s="54" t="str">
        <f ca="1">IF(E162="","",OFFSET(分類!$B$29,E162,0))</f>
        <v/>
      </c>
    </row>
    <row r="163" spans="2:8">
      <c r="B163" s="27">
        <f t="shared" si="2"/>
        <v>159</v>
      </c>
      <c r="C163" s="27"/>
      <c r="D163" s="27"/>
      <c r="E163" s="54"/>
      <c r="F163" s="54"/>
      <c r="G163" s="54"/>
      <c r="H163" s="54" t="str">
        <f ca="1">IF(E163="","",OFFSET(分類!$B$29,E163,0))</f>
        <v/>
      </c>
    </row>
    <row r="164" spans="2:8">
      <c r="B164" s="27">
        <f t="shared" si="2"/>
        <v>160</v>
      </c>
      <c r="C164" s="27"/>
      <c r="D164" s="27"/>
      <c r="E164" s="54"/>
      <c r="F164" s="54"/>
      <c r="G164" s="54"/>
      <c r="H164" s="54" t="str">
        <f ca="1">IF(E164="","",OFFSET(分類!$B$29,E164,0))</f>
        <v/>
      </c>
    </row>
    <row r="165" spans="2:8">
      <c r="B165" s="27">
        <f t="shared" si="2"/>
        <v>161</v>
      </c>
      <c r="C165" s="27"/>
      <c r="D165" s="27"/>
      <c r="E165" s="54"/>
      <c r="F165" s="54"/>
      <c r="G165" s="54"/>
      <c r="H165" s="54" t="str">
        <f ca="1">IF(E165="","",OFFSET(分類!$B$29,E165,0))</f>
        <v/>
      </c>
    </row>
    <row r="166" spans="2:8">
      <c r="B166" s="27">
        <f t="shared" si="2"/>
        <v>162</v>
      </c>
      <c r="C166" s="27"/>
      <c r="D166" s="27"/>
      <c r="E166" s="54"/>
      <c r="F166" s="54"/>
      <c r="G166" s="54"/>
      <c r="H166" s="54" t="str">
        <f ca="1">IF(E166="","",OFFSET(分類!$B$29,E166,0))</f>
        <v/>
      </c>
    </row>
    <row r="167" spans="2:8">
      <c r="B167" s="27">
        <f t="shared" si="2"/>
        <v>163</v>
      </c>
      <c r="C167" s="27"/>
      <c r="D167" s="27"/>
      <c r="E167" s="54"/>
      <c r="F167" s="54"/>
      <c r="G167" s="54"/>
      <c r="H167" s="54" t="str">
        <f ca="1">IF(E167="","",OFFSET(分類!$B$29,E167,0))</f>
        <v/>
      </c>
    </row>
    <row r="168" spans="2:8">
      <c r="B168" s="27">
        <f t="shared" si="2"/>
        <v>164</v>
      </c>
      <c r="C168" s="27"/>
      <c r="D168" s="27"/>
      <c r="E168" s="54"/>
      <c r="F168" s="54"/>
      <c r="G168" s="54"/>
      <c r="H168" s="54" t="str">
        <f ca="1">IF(E168="","",OFFSET(分類!$B$29,E168,0))</f>
        <v/>
      </c>
    </row>
    <row r="169" spans="2:8">
      <c r="B169" s="27">
        <f t="shared" si="2"/>
        <v>165</v>
      </c>
      <c r="C169" s="27"/>
      <c r="D169" s="27"/>
      <c r="E169" s="54"/>
      <c r="F169" s="54"/>
      <c r="G169" s="54"/>
      <c r="H169" s="54" t="str">
        <f ca="1">IF(E169="","",OFFSET(分類!$B$29,E169,0))</f>
        <v/>
      </c>
    </row>
    <row r="170" spans="2:8">
      <c r="B170" s="27">
        <f t="shared" si="2"/>
        <v>166</v>
      </c>
      <c r="C170" s="27"/>
      <c r="D170" s="27"/>
      <c r="E170" s="54"/>
      <c r="F170" s="54"/>
      <c r="G170" s="54"/>
      <c r="H170" s="54" t="str">
        <f ca="1">IF(E170="","",OFFSET(分類!$B$29,E170,0))</f>
        <v/>
      </c>
    </row>
    <row r="171" spans="2:8">
      <c r="B171" s="27">
        <f t="shared" si="2"/>
        <v>167</v>
      </c>
      <c r="C171" s="27"/>
      <c r="D171" s="27"/>
      <c r="E171" s="54"/>
      <c r="F171" s="54"/>
      <c r="G171" s="54"/>
      <c r="H171" s="54" t="str">
        <f ca="1">IF(E171="","",OFFSET(分類!$B$29,E171,0))</f>
        <v/>
      </c>
    </row>
    <row r="172" spans="2:8">
      <c r="B172" s="27">
        <f t="shared" si="2"/>
        <v>168</v>
      </c>
      <c r="C172" s="27"/>
      <c r="D172" s="27"/>
      <c r="E172" s="54"/>
      <c r="F172" s="54"/>
      <c r="G172" s="54"/>
      <c r="H172" s="54" t="str">
        <f ca="1">IF(E172="","",OFFSET(分類!$B$29,E172,0))</f>
        <v/>
      </c>
    </row>
    <row r="173" spans="2:8">
      <c r="B173" s="27">
        <f t="shared" si="2"/>
        <v>169</v>
      </c>
      <c r="C173" s="27"/>
      <c r="D173" s="27"/>
      <c r="E173" s="54"/>
      <c r="F173" s="54"/>
      <c r="G173" s="54"/>
      <c r="H173" s="54" t="str">
        <f ca="1">IF(E173="","",OFFSET(分類!$B$29,E173,0))</f>
        <v/>
      </c>
    </row>
    <row r="174" spans="2:8">
      <c r="B174" s="27">
        <f t="shared" si="2"/>
        <v>170</v>
      </c>
      <c r="C174" s="27"/>
      <c r="D174" s="27"/>
      <c r="E174" s="54"/>
      <c r="F174" s="54"/>
      <c r="G174" s="54"/>
      <c r="H174" s="54" t="str">
        <f ca="1">IF(E174="","",OFFSET(分類!$B$29,E174,0))</f>
        <v/>
      </c>
    </row>
    <row r="175" spans="2:8">
      <c r="B175" s="27">
        <f t="shared" si="2"/>
        <v>171</v>
      </c>
      <c r="C175" s="27"/>
      <c r="D175" s="27"/>
      <c r="E175" s="54"/>
      <c r="F175" s="54"/>
      <c r="G175" s="54"/>
      <c r="H175" s="54" t="str">
        <f ca="1">IF(E175="","",OFFSET(分類!$B$29,E175,0))</f>
        <v/>
      </c>
    </row>
    <row r="176" spans="2:8">
      <c r="B176" s="27">
        <f t="shared" si="2"/>
        <v>172</v>
      </c>
      <c r="C176" s="27"/>
      <c r="D176" s="27"/>
      <c r="E176" s="54"/>
      <c r="F176" s="54"/>
      <c r="G176" s="54"/>
      <c r="H176" s="54" t="str">
        <f ca="1">IF(E176="","",OFFSET(分類!$B$29,E176,0))</f>
        <v/>
      </c>
    </row>
    <row r="177" spans="2:8">
      <c r="B177" s="27">
        <f t="shared" si="2"/>
        <v>173</v>
      </c>
      <c r="C177" s="27"/>
      <c r="D177" s="27"/>
      <c r="E177" s="54"/>
      <c r="F177" s="54"/>
      <c r="G177" s="54"/>
      <c r="H177" s="54" t="str">
        <f ca="1">IF(E177="","",OFFSET(分類!$B$29,E177,0))</f>
        <v/>
      </c>
    </row>
    <row r="178" spans="2:8">
      <c r="B178" s="27">
        <f t="shared" si="2"/>
        <v>174</v>
      </c>
      <c r="C178" s="27"/>
      <c r="D178" s="27"/>
      <c r="E178" s="54"/>
      <c r="F178" s="54"/>
      <c r="G178" s="54"/>
      <c r="H178" s="54" t="str">
        <f ca="1">IF(E178="","",OFFSET(分類!$B$29,E178,0))</f>
        <v/>
      </c>
    </row>
    <row r="179" spans="2:8">
      <c r="B179" s="27">
        <f t="shared" si="2"/>
        <v>175</v>
      </c>
      <c r="C179" s="27"/>
      <c r="D179" s="27"/>
      <c r="E179" s="54"/>
      <c r="F179" s="54"/>
      <c r="G179" s="54"/>
      <c r="H179" s="54" t="str">
        <f ca="1">IF(E179="","",OFFSET(分類!$B$29,E179,0))</f>
        <v/>
      </c>
    </row>
    <row r="180" spans="2:8">
      <c r="B180" s="27">
        <f t="shared" si="2"/>
        <v>176</v>
      </c>
      <c r="C180" s="27"/>
      <c r="D180" s="27"/>
      <c r="E180" s="54"/>
      <c r="F180" s="54"/>
      <c r="G180" s="54"/>
      <c r="H180" s="54" t="str">
        <f ca="1">IF(E180="","",OFFSET(分類!$B$29,E180,0))</f>
        <v/>
      </c>
    </row>
    <row r="181" spans="2:8">
      <c r="B181" s="27">
        <f t="shared" si="2"/>
        <v>177</v>
      </c>
      <c r="C181" s="27"/>
      <c r="D181" s="27"/>
      <c r="E181" s="54"/>
      <c r="F181" s="54"/>
      <c r="G181" s="54"/>
      <c r="H181" s="54" t="str">
        <f ca="1">IF(E181="","",OFFSET(分類!$B$29,E181,0))</f>
        <v/>
      </c>
    </row>
    <row r="182" spans="2:8">
      <c r="B182" s="27">
        <f t="shared" si="2"/>
        <v>178</v>
      </c>
      <c r="C182" s="27"/>
      <c r="D182" s="27"/>
      <c r="E182" s="54"/>
      <c r="F182" s="54"/>
      <c r="G182" s="54"/>
      <c r="H182" s="54" t="str">
        <f ca="1">IF(E182="","",OFFSET(分類!$B$29,E182,0))</f>
        <v/>
      </c>
    </row>
    <row r="183" spans="2:8">
      <c r="B183" s="27">
        <f t="shared" si="2"/>
        <v>179</v>
      </c>
      <c r="C183" s="27"/>
      <c r="D183" s="27"/>
      <c r="E183" s="54"/>
      <c r="F183" s="54"/>
      <c r="G183" s="54"/>
      <c r="H183" s="54" t="str">
        <f ca="1">IF(E183="","",OFFSET(分類!$B$29,E183,0))</f>
        <v/>
      </c>
    </row>
    <row r="184" spans="2:8">
      <c r="B184" s="27">
        <f t="shared" si="2"/>
        <v>180</v>
      </c>
      <c r="C184" s="27"/>
      <c r="D184" s="27"/>
      <c r="E184" s="54"/>
      <c r="F184" s="54"/>
      <c r="G184" s="54"/>
      <c r="H184" s="54" t="str">
        <f ca="1">IF(E184="","",OFFSET(分類!$B$29,E184,0))</f>
        <v/>
      </c>
    </row>
    <row r="185" spans="2:8">
      <c r="B185" s="27">
        <f t="shared" si="2"/>
        <v>181</v>
      </c>
      <c r="C185" s="27"/>
      <c r="D185" s="27"/>
      <c r="E185" s="54"/>
      <c r="F185" s="54"/>
      <c r="G185" s="54"/>
      <c r="H185" s="54" t="str">
        <f ca="1">IF(E185="","",OFFSET(分類!$B$29,E185,0))</f>
        <v/>
      </c>
    </row>
    <row r="186" spans="2:8">
      <c r="B186" s="27">
        <f t="shared" si="2"/>
        <v>182</v>
      </c>
      <c r="C186" s="27"/>
      <c r="D186" s="27"/>
      <c r="E186" s="54"/>
      <c r="F186" s="54"/>
      <c r="G186" s="54"/>
      <c r="H186" s="54" t="str">
        <f ca="1">IF(E186="","",OFFSET(分類!$B$29,E186,0))</f>
        <v/>
      </c>
    </row>
    <row r="187" spans="2:8">
      <c r="B187" s="27">
        <f t="shared" si="2"/>
        <v>183</v>
      </c>
      <c r="C187" s="27"/>
      <c r="D187" s="27"/>
      <c r="E187" s="54"/>
      <c r="F187" s="54"/>
      <c r="G187" s="54"/>
      <c r="H187" s="54" t="str">
        <f ca="1">IF(E187="","",OFFSET(分類!$B$29,E187,0))</f>
        <v/>
      </c>
    </row>
    <row r="188" spans="2:8">
      <c r="B188" s="27">
        <f t="shared" si="2"/>
        <v>184</v>
      </c>
      <c r="C188" s="27"/>
      <c r="D188" s="27"/>
      <c r="E188" s="54"/>
      <c r="F188" s="54"/>
      <c r="G188" s="54"/>
      <c r="H188" s="54" t="str">
        <f ca="1">IF(E188="","",OFFSET(分類!$B$29,E188,0))</f>
        <v/>
      </c>
    </row>
    <row r="189" spans="2:8">
      <c r="B189" s="27">
        <f t="shared" si="2"/>
        <v>185</v>
      </c>
      <c r="C189" s="27"/>
      <c r="D189" s="27"/>
      <c r="E189" s="54"/>
      <c r="F189" s="54"/>
      <c r="G189" s="54"/>
      <c r="H189" s="54" t="str">
        <f ca="1">IF(E189="","",OFFSET(分類!$B$29,E189,0))</f>
        <v/>
      </c>
    </row>
    <row r="190" spans="2:8">
      <c r="B190" s="27">
        <f t="shared" si="2"/>
        <v>186</v>
      </c>
      <c r="C190" s="27"/>
      <c r="D190" s="27"/>
      <c r="E190" s="54"/>
      <c r="F190" s="54"/>
      <c r="G190" s="54"/>
      <c r="H190" s="54" t="str">
        <f ca="1">IF(E190="","",OFFSET(分類!$B$29,E190,0))</f>
        <v/>
      </c>
    </row>
    <row r="191" spans="2:8">
      <c r="B191" s="27">
        <f t="shared" si="2"/>
        <v>187</v>
      </c>
      <c r="C191" s="27"/>
      <c r="D191" s="27"/>
      <c r="E191" s="54"/>
      <c r="F191" s="54"/>
      <c r="G191" s="54"/>
      <c r="H191" s="54" t="str">
        <f ca="1">IF(E191="","",OFFSET(分類!$B$29,E191,0))</f>
        <v/>
      </c>
    </row>
    <row r="192" spans="2:8">
      <c r="B192" s="27">
        <f t="shared" si="2"/>
        <v>188</v>
      </c>
      <c r="C192" s="27"/>
      <c r="D192" s="27"/>
      <c r="E192" s="54"/>
      <c r="F192" s="54"/>
      <c r="G192" s="54"/>
      <c r="H192" s="54" t="str">
        <f ca="1">IF(E192="","",OFFSET(分類!$B$29,E192,0))</f>
        <v/>
      </c>
    </row>
    <row r="193" spans="2:8">
      <c r="B193" s="27">
        <f t="shared" si="2"/>
        <v>189</v>
      </c>
      <c r="C193" s="27"/>
      <c r="D193" s="27"/>
      <c r="E193" s="54"/>
      <c r="F193" s="54"/>
      <c r="G193" s="54"/>
      <c r="H193" s="54" t="str">
        <f ca="1">IF(E193="","",OFFSET(分類!$B$29,E193,0))</f>
        <v/>
      </c>
    </row>
    <row r="194" spans="2:8">
      <c r="B194" s="27">
        <f t="shared" si="2"/>
        <v>190</v>
      </c>
      <c r="C194" s="27"/>
      <c r="D194" s="27"/>
      <c r="E194" s="54"/>
      <c r="F194" s="54"/>
      <c r="G194" s="54"/>
      <c r="H194" s="54" t="str">
        <f ca="1">IF(E194="","",OFFSET(分類!$B$29,E194,0))</f>
        <v/>
      </c>
    </row>
    <row r="195" spans="2:8">
      <c r="B195" s="27">
        <f t="shared" si="2"/>
        <v>191</v>
      </c>
      <c r="C195" s="27"/>
      <c r="D195" s="27"/>
      <c r="E195" s="54"/>
      <c r="F195" s="54"/>
      <c r="G195" s="54"/>
      <c r="H195" s="54" t="str">
        <f ca="1">IF(E195="","",OFFSET(分類!$B$29,E195,0))</f>
        <v/>
      </c>
    </row>
    <row r="196" spans="2:8">
      <c r="B196" s="27">
        <f t="shared" si="2"/>
        <v>192</v>
      </c>
      <c r="C196" s="27"/>
      <c r="D196" s="27"/>
      <c r="E196" s="54"/>
      <c r="F196" s="54"/>
      <c r="G196" s="54"/>
      <c r="H196" s="54" t="str">
        <f ca="1">IF(E196="","",OFFSET(分類!$B$29,E196,0))</f>
        <v/>
      </c>
    </row>
    <row r="197" spans="2:8">
      <c r="B197" s="27">
        <f t="shared" si="2"/>
        <v>193</v>
      </c>
      <c r="C197" s="27"/>
      <c r="D197" s="27"/>
      <c r="E197" s="54"/>
      <c r="F197" s="54"/>
      <c r="G197" s="54"/>
      <c r="H197" s="54" t="str">
        <f ca="1">IF(E197="","",OFFSET(分類!$B$29,E197,0))</f>
        <v/>
      </c>
    </row>
    <row r="198" spans="2:8">
      <c r="B198" s="27">
        <f t="shared" si="2"/>
        <v>194</v>
      </c>
      <c r="C198" s="27"/>
      <c r="D198" s="27"/>
      <c r="E198" s="54"/>
      <c r="F198" s="54"/>
      <c r="G198" s="54"/>
      <c r="H198" s="54" t="str">
        <f ca="1">IF(E198="","",OFFSET(分類!$B$29,E198,0))</f>
        <v/>
      </c>
    </row>
    <row r="199" spans="2:8">
      <c r="B199" s="27">
        <f t="shared" ref="B199:B262" si="3">B198+1</f>
        <v>195</v>
      </c>
      <c r="C199" s="27"/>
      <c r="D199" s="27"/>
      <c r="E199" s="54"/>
      <c r="F199" s="54"/>
      <c r="G199" s="54"/>
      <c r="H199" s="54" t="str">
        <f ca="1">IF(E199="","",OFFSET(分類!$B$29,E199,0))</f>
        <v/>
      </c>
    </row>
    <row r="200" spans="2:8">
      <c r="B200" s="27">
        <f t="shared" si="3"/>
        <v>196</v>
      </c>
      <c r="C200" s="27"/>
      <c r="D200" s="27"/>
      <c r="E200" s="54"/>
      <c r="F200" s="54"/>
      <c r="G200" s="54"/>
      <c r="H200" s="54" t="str">
        <f ca="1">IF(E200="","",OFFSET(分類!$B$29,E200,0))</f>
        <v/>
      </c>
    </row>
    <row r="201" spans="2:8">
      <c r="B201" s="27">
        <f t="shared" si="3"/>
        <v>197</v>
      </c>
      <c r="C201" s="27"/>
      <c r="D201" s="27"/>
      <c r="E201" s="54"/>
      <c r="F201" s="54"/>
      <c r="G201" s="54"/>
      <c r="H201" s="54" t="str">
        <f ca="1">IF(E201="","",OFFSET(分類!$B$29,E201,0))</f>
        <v/>
      </c>
    </row>
    <row r="202" spans="2:8">
      <c r="B202" s="27">
        <f t="shared" si="3"/>
        <v>198</v>
      </c>
      <c r="C202" s="27"/>
      <c r="D202" s="27"/>
      <c r="E202" s="54"/>
      <c r="F202" s="54"/>
      <c r="G202" s="54"/>
      <c r="H202" s="54" t="str">
        <f ca="1">IF(E202="","",OFFSET(分類!$B$29,E202,0))</f>
        <v/>
      </c>
    </row>
    <row r="203" spans="2:8">
      <c r="B203" s="27">
        <f t="shared" si="3"/>
        <v>199</v>
      </c>
      <c r="C203" s="27"/>
      <c r="D203" s="27"/>
      <c r="E203" s="54"/>
      <c r="F203" s="54"/>
      <c r="G203" s="54"/>
      <c r="H203" s="54" t="str">
        <f ca="1">IF(E203="","",OFFSET(分類!$B$29,E203,0))</f>
        <v/>
      </c>
    </row>
    <row r="204" spans="2:8">
      <c r="B204" s="27">
        <f t="shared" si="3"/>
        <v>200</v>
      </c>
      <c r="C204" s="27"/>
      <c r="D204" s="27"/>
      <c r="E204" s="54"/>
      <c r="F204" s="54"/>
      <c r="G204" s="54"/>
      <c r="H204" s="54" t="str">
        <f ca="1">IF(E204="","",OFFSET(分類!$B$29,E204,0))</f>
        <v/>
      </c>
    </row>
    <row r="205" spans="2:8">
      <c r="B205" s="27">
        <f t="shared" si="3"/>
        <v>201</v>
      </c>
      <c r="C205" s="27"/>
      <c r="D205" s="27"/>
      <c r="E205" s="54"/>
      <c r="F205" s="54"/>
      <c r="G205" s="54"/>
      <c r="H205" s="54" t="str">
        <f ca="1">IF(E205="","",OFFSET(分類!$B$29,E205,0))</f>
        <v/>
      </c>
    </row>
    <row r="206" spans="2:8">
      <c r="B206" s="27">
        <f t="shared" si="3"/>
        <v>202</v>
      </c>
      <c r="C206" s="27"/>
      <c r="D206" s="27"/>
      <c r="E206" s="54"/>
      <c r="F206" s="54"/>
      <c r="G206" s="54"/>
      <c r="H206" s="54" t="str">
        <f ca="1">IF(E206="","",OFFSET(分類!$B$29,E206,0))</f>
        <v/>
      </c>
    </row>
    <row r="207" spans="2:8">
      <c r="B207" s="27">
        <f t="shared" si="3"/>
        <v>203</v>
      </c>
      <c r="C207" s="27"/>
      <c r="D207" s="27"/>
      <c r="E207" s="54"/>
      <c r="F207" s="54"/>
      <c r="G207" s="54"/>
      <c r="H207" s="54" t="str">
        <f ca="1">IF(E207="","",OFFSET(分類!$B$29,E207,0))</f>
        <v/>
      </c>
    </row>
    <row r="208" spans="2:8">
      <c r="B208" s="27">
        <f t="shared" si="3"/>
        <v>204</v>
      </c>
      <c r="C208" s="27"/>
      <c r="D208" s="27"/>
      <c r="E208" s="54"/>
      <c r="F208" s="54"/>
      <c r="G208" s="54"/>
      <c r="H208" s="54" t="str">
        <f ca="1">IF(E208="","",OFFSET(分類!$B$29,E208,0))</f>
        <v/>
      </c>
    </row>
    <row r="209" spans="2:8">
      <c r="B209" s="27">
        <f t="shared" si="3"/>
        <v>205</v>
      </c>
      <c r="C209" s="27"/>
      <c r="D209" s="27"/>
      <c r="E209" s="54"/>
      <c r="F209" s="54"/>
      <c r="G209" s="54"/>
      <c r="H209" s="54" t="str">
        <f ca="1">IF(E209="","",OFFSET(分類!$B$29,E209,0))</f>
        <v/>
      </c>
    </row>
    <row r="210" spans="2:8">
      <c r="B210" s="27">
        <f t="shared" si="3"/>
        <v>206</v>
      </c>
      <c r="C210" s="27"/>
      <c r="D210" s="27"/>
      <c r="E210" s="54"/>
      <c r="F210" s="54"/>
      <c r="G210" s="54"/>
      <c r="H210" s="54" t="str">
        <f ca="1">IF(E210="","",OFFSET(分類!$B$29,E210,0))</f>
        <v/>
      </c>
    </row>
    <row r="211" spans="2:8">
      <c r="B211" s="27">
        <f t="shared" si="3"/>
        <v>207</v>
      </c>
      <c r="C211" s="27"/>
      <c r="D211" s="27"/>
      <c r="E211" s="54"/>
      <c r="F211" s="54"/>
      <c r="G211" s="54"/>
      <c r="H211" s="54" t="str">
        <f ca="1">IF(E211="","",OFFSET(分類!$B$29,E211,0))</f>
        <v/>
      </c>
    </row>
    <row r="212" spans="2:8">
      <c r="B212" s="27">
        <f t="shared" si="3"/>
        <v>208</v>
      </c>
      <c r="C212" s="27"/>
      <c r="D212" s="27"/>
      <c r="E212" s="54"/>
      <c r="F212" s="54"/>
      <c r="G212" s="54"/>
      <c r="H212" s="54" t="str">
        <f ca="1">IF(E212="","",OFFSET(分類!$B$29,E212,0))</f>
        <v/>
      </c>
    </row>
    <row r="213" spans="2:8">
      <c r="B213" s="27">
        <f t="shared" si="3"/>
        <v>209</v>
      </c>
      <c r="C213" s="27"/>
      <c r="D213" s="27"/>
      <c r="E213" s="54"/>
      <c r="F213" s="54"/>
      <c r="G213" s="54"/>
      <c r="H213" s="54" t="str">
        <f ca="1">IF(E213="","",OFFSET(分類!$B$29,E213,0))</f>
        <v/>
      </c>
    </row>
    <row r="214" spans="2:8">
      <c r="B214" s="27">
        <f t="shared" si="3"/>
        <v>210</v>
      </c>
      <c r="C214" s="27"/>
      <c r="D214" s="27"/>
      <c r="E214" s="54"/>
      <c r="F214" s="54"/>
      <c r="G214" s="54"/>
      <c r="H214" s="54" t="str">
        <f ca="1">IF(E214="","",OFFSET(分類!$B$29,E214,0))</f>
        <v/>
      </c>
    </row>
    <row r="215" spans="2:8">
      <c r="B215" s="27">
        <f t="shared" si="3"/>
        <v>211</v>
      </c>
      <c r="C215" s="27"/>
      <c r="D215" s="27"/>
      <c r="E215" s="54"/>
      <c r="F215" s="54"/>
      <c r="G215" s="54"/>
      <c r="H215" s="54" t="str">
        <f ca="1">IF(E215="","",OFFSET(分類!$B$29,E215,0))</f>
        <v/>
      </c>
    </row>
    <row r="216" spans="2:8">
      <c r="B216" s="27">
        <f t="shared" si="3"/>
        <v>212</v>
      </c>
      <c r="C216" s="27"/>
      <c r="D216" s="27"/>
      <c r="E216" s="54"/>
      <c r="F216" s="54"/>
      <c r="G216" s="54"/>
      <c r="H216" s="54" t="str">
        <f ca="1">IF(E216="","",OFFSET(分類!$B$29,E216,0))</f>
        <v/>
      </c>
    </row>
    <row r="217" spans="2:8">
      <c r="B217" s="27">
        <f t="shared" si="3"/>
        <v>213</v>
      </c>
      <c r="C217" s="27"/>
      <c r="D217" s="27"/>
      <c r="E217" s="54"/>
      <c r="F217" s="54"/>
      <c r="G217" s="54"/>
      <c r="H217" s="54" t="str">
        <f ca="1">IF(E217="","",OFFSET(分類!$B$29,E217,0))</f>
        <v/>
      </c>
    </row>
    <row r="218" spans="2:8">
      <c r="B218" s="27">
        <f t="shared" si="3"/>
        <v>214</v>
      </c>
      <c r="C218" s="27"/>
      <c r="D218" s="27"/>
      <c r="E218" s="54"/>
      <c r="F218" s="54"/>
      <c r="G218" s="54"/>
      <c r="H218" s="54" t="str">
        <f ca="1">IF(E218="","",OFFSET(分類!$B$29,E218,0))</f>
        <v/>
      </c>
    </row>
    <row r="219" spans="2:8">
      <c r="B219" s="27">
        <f t="shared" si="3"/>
        <v>215</v>
      </c>
      <c r="C219" s="27"/>
      <c r="D219" s="27"/>
      <c r="E219" s="54"/>
      <c r="F219" s="54"/>
      <c r="G219" s="54"/>
      <c r="H219" s="54" t="str">
        <f ca="1">IF(E219="","",OFFSET(分類!$B$29,E219,0))</f>
        <v/>
      </c>
    </row>
    <row r="220" spans="2:8">
      <c r="B220" s="27">
        <f t="shared" si="3"/>
        <v>216</v>
      </c>
      <c r="C220" s="27"/>
      <c r="D220" s="27"/>
      <c r="E220" s="54"/>
      <c r="F220" s="54"/>
      <c r="G220" s="54"/>
      <c r="H220" s="54" t="str">
        <f ca="1">IF(E220="","",OFFSET(分類!$B$29,E220,0))</f>
        <v/>
      </c>
    </row>
    <row r="221" spans="2:8">
      <c r="B221" s="27">
        <f t="shared" si="3"/>
        <v>217</v>
      </c>
      <c r="C221" s="27"/>
      <c r="D221" s="27"/>
      <c r="E221" s="54"/>
      <c r="F221" s="54"/>
      <c r="G221" s="54"/>
      <c r="H221" s="54" t="str">
        <f ca="1">IF(E221="","",OFFSET(分類!$B$29,E221,0))</f>
        <v/>
      </c>
    </row>
    <row r="222" spans="2:8">
      <c r="B222" s="27">
        <f t="shared" si="3"/>
        <v>218</v>
      </c>
      <c r="C222" s="27"/>
      <c r="D222" s="27"/>
      <c r="E222" s="54"/>
      <c r="F222" s="54"/>
      <c r="G222" s="54"/>
      <c r="H222" s="54" t="str">
        <f ca="1">IF(E222="","",OFFSET(分類!$B$29,E222,0))</f>
        <v/>
      </c>
    </row>
    <row r="223" spans="2:8">
      <c r="B223" s="27">
        <f t="shared" si="3"/>
        <v>219</v>
      </c>
      <c r="C223" s="27"/>
      <c r="D223" s="27"/>
      <c r="E223" s="54"/>
      <c r="F223" s="54"/>
      <c r="G223" s="54"/>
      <c r="H223" s="54" t="str">
        <f ca="1">IF(E223="","",OFFSET(分類!$B$29,E223,0))</f>
        <v/>
      </c>
    </row>
    <row r="224" spans="2:8">
      <c r="B224" s="27">
        <f t="shared" si="3"/>
        <v>220</v>
      </c>
      <c r="C224" s="27"/>
      <c r="D224" s="27"/>
      <c r="E224" s="54"/>
      <c r="F224" s="54"/>
      <c r="G224" s="54"/>
      <c r="H224" s="54" t="str">
        <f ca="1">IF(E224="","",OFFSET(分類!$B$29,E224,0))</f>
        <v/>
      </c>
    </row>
    <row r="225" spans="2:8">
      <c r="B225" s="27">
        <f t="shared" si="3"/>
        <v>221</v>
      </c>
      <c r="C225" s="27"/>
      <c r="D225" s="27"/>
      <c r="E225" s="54"/>
      <c r="F225" s="54"/>
      <c r="G225" s="54"/>
      <c r="H225" s="54" t="str">
        <f ca="1">IF(E225="","",OFFSET(分類!$B$29,E225,0))</f>
        <v/>
      </c>
    </row>
    <row r="226" spans="2:8">
      <c r="B226" s="27">
        <f t="shared" si="3"/>
        <v>222</v>
      </c>
      <c r="C226" s="27"/>
      <c r="D226" s="27"/>
      <c r="E226" s="54"/>
      <c r="F226" s="54"/>
      <c r="G226" s="54"/>
      <c r="H226" s="54" t="str">
        <f ca="1">IF(E226="","",OFFSET(分類!$B$29,E226,0))</f>
        <v/>
      </c>
    </row>
    <row r="227" spans="2:8">
      <c r="B227" s="27">
        <f t="shared" si="3"/>
        <v>223</v>
      </c>
      <c r="C227" s="27"/>
      <c r="D227" s="27"/>
      <c r="E227" s="54"/>
      <c r="F227" s="54"/>
      <c r="G227" s="54"/>
      <c r="H227" s="54" t="str">
        <f ca="1">IF(E227="","",OFFSET(分類!$B$29,E227,0))</f>
        <v/>
      </c>
    </row>
    <row r="228" spans="2:8">
      <c r="B228" s="27">
        <f t="shared" si="3"/>
        <v>224</v>
      </c>
      <c r="C228" s="27"/>
      <c r="D228" s="27"/>
      <c r="E228" s="54"/>
      <c r="F228" s="54"/>
      <c r="G228" s="54"/>
      <c r="H228" s="54" t="str">
        <f ca="1">IF(E228="","",OFFSET(分類!$B$29,E228,0))</f>
        <v/>
      </c>
    </row>
    <row r="229" spans="2:8">
      <c r="B229" s="27">
        <f t="shared" si="3"/>
        <v>225</v>
      </c>
      <c r="C229" s="27"/>
      <c r="D229" s="27"/>
      <c r="E229" s="54"/>
      <c r="F229" s="54"/>
      <c r="G229" s="54"/>
      <c r="H229" s="54" t="str">
        <f ca="1">IF(E229="","",OFFSET(分類!$B$29,E229,0))</f>
        <v/>
      </c>
    </row>
    <row r="230" spans="2:8">
      <c r="B230" s="27">
        <f t="shared" si="3"/>
        <v>226</v>
      </c>
      <c r="C230" s="27"/>
      <c r="D230" s="27"/>
      <c r="E230" s="54"/>
      <c r="F230" s="54"/>
      <c r="G230" s="54"/>
      <c r="H230" s="54" t="str">
        <f ca="1">IF(E230="","",OFFSET(分類!$B$29,E230,0))</f>
        <v/>
      </c>
    </row>
    <row r="231" spans="2:8">
      <c r="B231" s="27">
        <f t="shared" si="3"/>
        <v>227</v>
      </c>
      <c r="C231" s="27"/>
      <c r="D231" s="27"/>
      <c r="E231" s="54"/>
      <c r="F231" s="54"/>
      <c r="G231" s="54"/>
      <c r="H231" s="54" t="str">
        <f ca="1">IF(E231="","",OFFSET(分類!$B$29,E231,0))</f>
        <v/>
      </c>
    </row>
    <row r="232" spans="2:8">
      <c r="B232" s="27">
        <f t="shared" si="3"/>
        <v>228</v>
      </c>
      <c r="C232" s="27"/>
      <c r="D232" s="27"/>
      <c r="E232" s="54"/>
      <c r="F232" s="54"/>
      <c r="G232" s="54"/>
      <c r="H232" s="54" t="str">
        <f ca="1">IF(E232="","",OFFSET(分類!$B$29,E232,0))</f>
        <v/>
      </c>
    </row>
    <row r="233" spans="2:8">
      <c r="B233" s="27">
        <f t="shared" si="3"/>
        <v>229</v>
      </c>
      <c r="C233" s="27"/>
      <c r="D233" s="27"/>
      <c r="E233" s="54"/>
      <c r="F233" s="54"/>
      <c r="G233" s="54"/>
      <c r="H233" s="54" t="str">
        <f ca="1">IF(E233="","",OFFSET(分類!$B$29,E233,0))</f>
        <v/>
      </c>
    </row>
    <row r="234" spans="2:8">
      <c r="B234" s="27">
        <f t="shared" si="3"/>
        <v>230</v>
      </c>
      <c r="C234" s="27"/>
      <c r="D234" s="27"/>
      <c r="E234" s="54"/>
      <c r="F234" s="54"/>
      <c r="G234" s="54"/>
      <c r="H234" s="54" t="str">
        <f ca="1">IF(E234="","",OFFSET(分類!$B$29,E234,0))</f>
        <v/>
      </c>
    </row>
    <row r="235" spans="2:8">
      <c r="B235" s="27">
        <f t="shared" si="3"/>
        <v>231</v>
      </c>
      <c r="C235" s="27"/>
      <c r="D235" s="27"/>
      <c r="E235" s="54"/>
      <c r="F235" s="54"/>
      <c r="G235" s="54"/>
      <c r="H235" s="54" t="str">
        <f ca="1">IF(E235="","",OFFSET(分類!$B$29,E235,0))</f>
        <v/>
      </c>
    </row>
    <row r="236" spans="2:8">
      <c r="B236" s="27">
        <f t="shared" si="3"/>
        <v>232</v>
      </c>
      <c r="C236" s="27"/>
      <c r="D236" s="27"/>
      <c r="E236" s="54"/>
      <c r="F236" s="54"/>
      <c r="G236" s="54"/>
      <c r="H236" s="54" t="str">
        <f ca="1">IF(E236="","",OFFSET(分類!$B$29,E236,0))</f>
        <v/>
      </c>
    </row>
    <row r="237" spans="2:8">
      <c r="B237" s="27">
        <f t="shared" si="3"/>
        <v>233</v>
      </c>
      <c r="C237" s="27"/>
      <c r="D237" s="27"/>
      <c r="E237" s="54"/>
      <c r="F237" s="54"/>
      <c r="G237" s="54"/>
      <c r="H237" s="54" t="str">
        <f ca="1">IF(E237="","",OFFSET(分類!$B$29,E237,0))</f>
        <v/>
      </c>
    </row>
    <row r="238" spans="2:8">
      <c r="B238" s="27">
        <f t="shared" si="3"/>
        <v>234</v>
      </c>
      <c r="C238" s="27"/>
      <c r="D238" s="27"/>
      <c r="E238" s="54"/>
      <c r="F238" s="54"/>
      <c r="G238" s="54"/>
      <c r="H238" s="54" t="str">
        <f ca="1">IF(E238="","",OFFSET(分類!$B$29,E238,0))</f>
        <v/>
      </c>
    </row>
    <row r="239" spans="2:8">
      <c r="B239" s="27">
        <f t="shared" si="3"/>
        <v>235</v>
      </c>
      <c r="C239" s="27"/>
      <c r="D239" s="27"/>
      <c r="E239" s="54"/>
      <c r="F239" s="54"/>
      <c r="G239" s="54"/>
      <c r="H239" s="54" t="str">
        <f ca="1">IF(E239="","",OFFSET(分類!$B$29,E239,0))</f>
        <v/>
      </c>
    </row>
    <row r="240" spans="2:8">
      <c r="B240" s="27">
        <f t="shared" si="3"/>
        <v>236</v>
      </c>
      <c r="C240" s="27"/>
      <c r="D240" s="27"/>
      <c r="E240" s="54"/>
      <c r="F240" s="54"/>
      <c r="G240" s="54"/>
      <c r="H240" s="54" t="str">
        <f ca="1">IF(E240="","",OFFSET(分類!$B$29,E240,0))</f>
        <v/>
      </c>
    </row>
    <row r="241" spans="2:8">
      <c r="B241" s="27">
        <f t="shared" si="3"/>
        <v>237</v>
      </c>
      <c r="C241" s="27"/>
      <c r="D241" s="27"/>
      <c r="E241" s="54"/>
      <c r="F241" s="54"/>
      <c r="G241" s="54"/>
      <c r="H241" s="54" t="str">
        <f ca="1">IF(E241="","",OFFSET(分類!$B$29,E241,0))</f>
        <v/>
      </c>
    </row>
    <row r="242" spans="2:8">
      <c r="B242" s="27">
        <f t="shared" si="3"/>
        <v>238</v>
      </c>
      <c r="C242" s="27"/>
      <c r="D242" s="27"/>
      <c r="E242" s="54"/>
      <c r="F242" s="54"/>
      <c r="G242" s="54"/>
      <c r="H242" s="54" t="str">
        <f ca="1">IF(E242="","",OFFSET(分類!$B$29,E242,0))</f>
        <v/>
      </c>
    </row>
    <row r="243" spans="2:8">
      <c r="B243" s="27">
        <f t="shared" si="3"/>
        <v>239</v>
      </c>
      <c r="C243" s="27"/>
      <c r="D243" s="27"/>
      <c r="E243" s="54"/>
      <c r="F243" s="54"/>
      <c r="G243" s="54"/>
      <c r="H243" s="54" t="str">
        <f ca="1">IF(E243="","",OFFSET(分類!$B$29,E243,0))</f>
        <v/>
      </c>
    </row>
    <row r="244" spans="2:8">
      <c r="B244" s="27">
        <f t="shared" si="3"/>
        <v>240</v>
      </c>
      <c r="C244" s="27"/>
      <c r="D244" s="27"/>
      <c r="E244" s="54"/>
      <c r="F244" s="54"/>
      <c r="G244" s="54"/>
      <c r="H244" s="54" t="str">
        <f ca="1">IF(E244="","",OFFSET(分類!$B$29,E244,0))</f>
        <v/>
      </c>
    </row>
    <row r="245" spans="2:8">
      <c r="B245" s="27">
        <f t="shared" si="3"/>
        <v>241</v>
      </c>
      <c r="C245" s="27"/>
      <c r="D245" s="27"/>
      <c r="E245" s="54"/>
      <c r="F245" s="54"/>
      <c r="G245" s="54"/>
      <c r="H245" s="54" t="str">
        <f ca="1">IF(E245="","",OFFSET(分類!$B$29,E245,0))</f>
        <v/>
      </c>
    </row>
    <row r="246" spans="2:8">
      <c r="B246" s="27">
        <f t="shared" si="3"/>
        <v>242</v>
      </c>
      <c r="C246" s="27"/>
      <c r="D246" s="27"/>
      <c r="E246" s="54"/>
      <c r="F246" s="54"/>
      <c r="G246" s="54"/>
      <c r="H246" s="54" t="str">
        <f ca="1">IF(E246="","",OFFSET(分類!$B$29,E246,0))</f>
        <v/>
      </c>
    </row>
    <row r="247" spans="2:8">
      <c r="B247" s="27">
        <f t="shared" si="3"/>
        <v>243</v>
      </c>
      <c r="C247" s="27"/>
      <c r="D247" s="27"/>
      <c r="E247" s="54"/>
      <c r="F247" s="54"/>
      <c r="G247" s="54"/>
      <c r="H247" s="54" t="str">
        <f ca="1">IF(E247="","",OFFSET(分類!$B$29,E247,0))</f>
        <v/>
      </c>
    </row>
    <row r="248" spans="2:8">
      <c r="B248" s="27">
        <f t="shared" si="3"/>
        <v>244</v>
      </c>
      <c r="C248" s="27"/>
      <c r="D248" s="27"/>
      <c r="E248" s="54"/>
      <c r="F248" s="54"/>
      <c r="G248" s="54"/>
      <c r="H248" s="54" t="str">
        <f ca="1">IF(E248="","",OFFSET(分類!$B$29,E248,0))</f>
        <v/>
      </c>
    </row>
    <row r="249" spans="2:8">
      <c r="B249" s="27">
        <f t="shared" si="3"/>
        <v>245</v>
      </c>
      <c r="C249" s="27"/>
      <c r="D249" s="27"/>
      <c r="E249" s="54"/>
      <c r="F249" s="54"/>
      <c r="G249" s="54"/>
      <c r="H249" s="54" t="str">
        <f ca="1">IF(E249="","",OFFSET(分類!$B$29,E249,0))</f>
        <v/>
      </c>
    </row>
    <row r="250" spans="2:8">
      <c r="B250" s="27">
        <f t="shared" si="3"/>
        <v>246</v>
      </c>
      <c r="C250" s="27"/>
      <c r="D250" s="27"/>
      <c r="E250" s="54"/>
      <c r="F250" s="54"/>
      <c r="G250" s="54"/>
      <c r="H250" s="54" t="str">
        <f ca="1">IF(E250="","",OFFSET(分類!$B$29,E250,0))</f>
        <v/>
      </c>
    </row>
    <row r="251" spans="2:8">
      <c r="B251" s="27">
        <f t="shared" si="3"/>
        <v>247</v>
      </c>
      <c r="C251" s="27"/>
      <c r="D251" s="27"/>
      <c r="E251" s="54"/>
      <c r="F251" s="54"/>
      <c r="G251" s="54"/>
      <c r="H251" s="54" t="str">
        <f ca="1">IF(E251="","",OFFSET(分類!$B$29,E251,0))</f>
        <v/>
      </c>
    </row>
    <row r="252" spans="2:8">
      <c r="B252" s="27">
        <f t="shared" si="3"/>
        <v>248</v>
      </c>
      <c r="C252" s="27"/>
      <c r="D252" s="27"/>
      <c r="E252" s="54"/>
      <c r="F252" s="54"/>
      <c r="G252" s="54"/>
      <c r="H252" s="54" t="str">
        <f ca="1">IF(E252="","",OFFSET(分類!$B$29,E252,0))</f>
        <v/>
      </c>
    </row>
    <row r="253" spans="2:8">
      <c r="B253" s="27">
        <f t="shared" si="3"/>
        <v>249</v>
      </c>
      <c r="C253" s="27"/>
      <c r="D253" s="27"/>
      <c r="E253" s="54"/>
      <c r="F253" s="54"/>
      <c r="G253" s="54"/>
      <c r="H253" s="54" t="str">
        <f ca="1">IF(E253="","",OFFSET(分類!$B$29,E253,0))</f>
        <v/>
      </c>
    </row>
    <row r="254" spans="2:8">
      <c r="B254" s="27">
        <f t="shared" si="3"/>
        <v>250</v>
      </c>
      <c r="C254" s="27"/>
      <c r="D254" s="27"/>
      <c r="E254" s="54"/>
      <c r="F254" s="54"/>
      <c r="G254" s="54"/>
      <c r="H254" s="54" t="str">
        <f ca="1">IF(E254="","",OFFSET(分類!$B$29,E254,0))</f>
        <v/>
      </c>
    </row>
    <row r="255" spans="2:8">
      <c r="B255" s="27">
        <f t="shared" si="3"/>
        <v>251</v>
      </c>
      <c r="C255" s="27"/>
      <c r="D255" s="27"/>
      <c r="E255" s="54"/>
      <c r="F255" s="54"/>
      <c r="G255" s="54"/>
      <c r="H255" s="54" t="str">
        <f ca="1">IF(E255="","",OFFSET(分類!$B$29,E255,0))</f>
        <v/>
      </c>
    </row>
    <row r="256" spans="2:8">
      <c r="B256" s="27">
        <f t="shared" si="3"/>
        <v>252</v>
      </c>
      <c r="C256" s="27"/>
      <c r="D256" s="27"/>
      <c r="E256" s="54"/>
      <c r="F256" s="54"/>
      <c r="G256" s="54"/>
      <c r="H256" s="54" t="str">
        <f ca="1">IF(E256="","",OFFSET(分類!$B$29,E256,0))</f>
        <v/>
      </c>
    </row>
    <row r="257" spans="2:8">
      <c r="B257" s="27">
        <f t="shared" si="3"/>
        <v>253</v>
      </c>
      <c r="C257" s="27"/>
      <c r="D257" s="27"/>
      <c r="E257" s="54"/>
      <c r="F257" s="54"/>
      <c r="G257" s="54"/>
      <c r="H257" s="54" t="str">
        <f ca="1">IF(E257="","",OFFSET(分類!$B$29,E257,0))</f>
        <v/>
      </c>
    </row>
    <row r="258" spans="2:8">
      <c r="B258" s="27">
        <f t="shared" si="3"/>
        <v>254</v>
      </c>
      <c r="C258" s="27"/>
      <c r="D258" s="27"/>
      <c r="E258" s="54"/>
      <c r="F258" s="54"/>
      <c r="G258" s="54"/>
      <c r="H258" s="54" t="str">
        <f ca="1">IF(E258="","",OFFSET(分類!$B$29,E258,0))</f>
        <v/>
      </c>
    </row>
    <row r="259" spans="2:8">
      <c r="B259" s="27">
        <f t="shared" si="3"/>
        <v>255</v>
      </c>
      <c r="C259" s="27"/>
      <c r="D259" s="27"/>
      <c r="E259" s="54"/>
      <c r="F259" s="54"/>
      <c r="G259" s="54"/>
      <c r="H259" s="54" t="str">
        <f ca="1">IF(E259="","",OFFSET(分類!$B$29,E259,0))</f>
        <v/>
      </c>
    </row>
    <row r="260" spans="2:8">
      <c r="B260" s="27">
        <f t="shared" si="3"/>
        <v>256</v>
      </c>
      <c r="C260" s="27"/>
      <c r="D260" s="27"/>
      <c r="E260" s="54"/>
      <c r="F260" s="54"/>
      <c r="G260" s="54"/>
      <c r="H260" s="54" t="str">
        <f ca="1">IF(E260="","",OFFSET(分類!$B$29,E260,0))</f>
        <v/>
      </c>
    </row>
    <row r="261" spans="2:8">
      <c r="B261" s="27">
        <f t="shared" si="3"/>
        <v>257</v>
      </c>
      <c r="C261" s="27"/>
      <c r="D261" s="27"/>
      <c r="E261" s="54"/>
      <c r="F261" s="54"/>
      <c r="G261" s="54"/>
      <c r="H261" s="54" t="str">
        <f ca="1">IF(E261="","",OFFSET(分類!$B$29,E261,0))</f>
        <v/>
      </c>
    </row>
    <row r="262" spans="2:8">
      <c r="B262" s="27">
        <f t="shared" si="3"/>
        <v>258</v>
      </c>
      <c r="C262" s="27"/>
      <c r="D262" s="27"/>
      <c r="E262" s="54"/>
      <c r="F262" s="54"/>
      <c r="G262" s="54"/>
      <c r="H262" s="54" t="str">
        <f ca="1">IF(E262="","",OFFSET(分類!$B$29,E262,0))</f>
        <v/>
      </c>
    </row>
    <row r="263" spans="2:8">
      <c r="B263" s="27">
        <f t="shared" ref="B263:B304" si="4">B262+1</f>
        <v>259</v>
      </c>
      <c r="C263" s="27"/>
      <c r="D263" s="27"/>
      <c r="E263" s="54"/>
      <c r="F263" s="54"/>
      <c r="G263" s="54"/>
      <c r="H263" s="54" t="str">
        <f ca="1">IF(E263="","",OFFSET(分類!$B$29,E263,0))</f>
        <v/>
      </c>
    </row>
    <row r="264" spans="2:8">
      <c r="B264" s="27">
        <f t="shared" si="4"/>
        <v>260</v>
      </c>
      <c r="C264" s="27"/>
      <c r="D264" s="27"/>
      <c r="E264" s="54"/>
      <c r="F264" s="54"/>
      <c r="G264" s="54"/>
      <c r="H264" s="54" t="str">
        <f ca="1">IF(E264="","",OFFSET(分類!$B$29,E264,0))</f>
        <v/>
      </c>
    </row>
    <row r="265" spans="2:8">
      <c r="B265" s="27">
        <f t="shared" si="4"/>
        <v>261</v>
      </c>
      <c r="C265" s="27"/>
      <c r="D265" s="27"/>
      <c r="E265" s="54"/>
      <c r="F265" s="54"/>
      <c r="G265" s="54"/>
      <c r="H265" s="54" t="str">
        <f ca="1">IF(E265="","",OFFSET(分類!$B$29,E265,0))</f>
        <v/>
      </c>
    </row>
    <row r="266" spans="2:8">
      <c r="B266" s="27">
        <f t="shared" si="4"/>
        <v>262</v>
      </c>
      <c r="C266" s="27"/>
      <c r="D266" s="27"/>
      <c r="E266" s="54"/>
      <c r="F266" s="54"/>
      <c r="G266" s="54"/>
      <c r="H266" s="54" t="str">
        <f ca="1">IF(E266="","",OFFSET(分類!$B$29,E266,0))</f>
        <v/>
      </c>
    </row>
    <row r="267" spans="2:8">
      <c r="B267" s="27">
        <f t="shared" si="4"/>
        <v>263</v>
      </c>
      <c r="C267" s="27"/>
      <c r="D267" s="27"/>
      <c r="E267" s="54"/>
      <c r="F267" s="54"/>
      <c r="G267" s="54"/>
      <c r="H267" s="54" t="str">
        <f ca="1">IF(E267="","",OFFSET(分類!$B$29,E267,0))</f>
        <v/>
      </c>
    </row>
    <row r="268" spans="2:8">
      <c r="B268" s="27">
        <f t="shared" si="4"/>
        <v>264</v>
      </c>
      <c r="C268" s="27"/>
      <c r="D268" s="27"/>
      <c r="E268" s="54"/>
      <c r="F268" s="54"/>
      <c r="G268" s="54"/>
      <c r="H268" s="54" t="str">
        <f ca="1">IF(E268="","",OFFSET(分類!$B$29,E268,0))</f>
        <v/>
      </c>
    </row>
    <row r="269" spans="2:8">
      <c r="B269" s="27">
        <f t="shared" si="4"/>
        <v>265</v>
      </c>
      <c r="C269" s="27"/>
      <c r="D269" s="27"/>
      <c r="E269" s="54"/>
      <c r="F269" s="54"/>
      <c r="G269" s="54"/>
      <c r="H269" s="54" t="str">
        <f ca="1">IF(E269="","",OFFSET(分類!$B$29,E269,0))</f>
        <v/>
      </c>
    </row>
    <row r="270" spans="2:8">
      <c r="B270" s="27">
        <f t="shared" si="4"/>
        <v>266</v>
      </c>
      <c r="C270" s="27"/>
      <c r="D270" s="27"/>
      <c r="E270" s="54"/>
      <c r="F270" s="54"/>
      <c r="G270" s="54"/>
      <c r="H270" s="54" t="str">
        <f ca="1">IF(E270="","",OFFSET(分類!$B$29,E270,0))</f>
        <v/>
      </c>
    </row>
    <row r="271" spans="2:8">
      <c r="B271" s="27">
        <f t="shared" si="4"/>
        <v>267</v>
      </c>
      <c r="C271" s="27"/>
      <c r="D271" s="27"/>
      <c r="E271" s="54"/>
      <c r="F271" s="54"/>
      <c r="G271" s="54"/>
      <c r="H271" s="54" t="str">
        <f ca="1">IF(E271="","",OFFSET(分類!$B$29,E271,0))</f>
        <v/>
      </c>
    </row>
    <row r="272" spans="2:8">
      <c r="B272" s="27">
        <f t="shared" si="4"/>
        <v>268</v>
      </c>
      <c r="C272" s="27"/>
      <c r="D272" s="27"/>
      <c r="E272" s="54"/>
      <c r="F272" s="54"/>
      <c r="G272" s="54"/>
      <c r="H272" s="54" t="str">
        <f ca="1">IF(E272="","",OFFSET(分類!$B$29,E272,0))</f>
        <v/>
      </c>
    </row>
    <row r="273" spans="2:8">
      <c r="B273" s="27">
        <f t="shared" si="4"/>
        <v>269</v>
      </c>
      <c r="C273" s="27"/>
      <c r="D273" s="27"/>
      <c r="E273" s="54"/>
      <c r="F273" s="54"/>
      <c r="G273" s="54"/>
      <c r="H273" s="54" t="str">
        <f ca="1">IF(E273="","",OFFSET(分類!$B$29,E273,0))</f>
        <v/>
      </c>
    </row>
    <row r="274" spans="2:8">
      <c r="B274" s="27">
        <f t="shared" si="4"/>
        <v>270</v>
      </c>
      <c r="C274" s="27"/>
      <c r="D274" s="27"/>
      <c r="E274" s="54"/>
      <c r="F274" s="54"/>
      <c r="G274" s="54"/>
      <c r="H274" s="54" t="str">
        <f ca="1">IF(E274="","",OFFSET(分類!$B$29,E274,0))</f>
        <v/>
      </c>
    </row>
    <row r="275" spans="2:8">
      <c r="B275" s="27">
        <f t="shared" si="4"/>
        <v>271</v>
      </c>
      <c r="C275" s="27"/>
      <c r="D275" s="27"/>
      <c r="E275" s="54"/>
      <c r="F275" s="54"/>
      <c r="G275" s="54"/>
      <c r="H275" s="54" t="str">
        <f ca="1">IF(E275="","",OFFSET(分類!$B$29,E275,0))</f>
        <v/>
      </c>
    </row>
    <row r="276" spans="2:8">
      <c r="B276" s="27">
        <f t="shared" si="4"/>
        <v>272</v>
      </c>
      <c r="C276" s="27"/>
      <c r="D276" s="27"/>
      <c r="E276" s="54"/>
      <c r="F276" s="54"/>
      <c r="G276" s="54"/>
      <c r="H276" s="54" t="str">
        <f ca="1">IF(E276="","",OFFSET(分類!$B$29,E276,0))</f>
        <v/>
      </c>
    </row>
    <row r="277" spans="2:8">
      <c r="B277" s="27">
        <f t="shared" si="4"/>
        <v>273</v>
      </c>
      <c r="C277" s="27"/>
      <c r="D277" s="27"/>
      <c r="E277" s="54"/>
      <c r="F277" s="54"/>
      <c r="G277" s="54"/>
      <c r="H277" s="54" t="str">
        <f ca="1">IF(E277="","",OFFSET(分類!$B$29,E277,0))</f>
        <v/>
      </c>
    </row>
    <row r="278" spans="2:8">
      <c r="B278" s="27">
        <f t="shared" si="4"/>
        <v>274</v>
      </c>
      <c r="C278" s="27"/>
      <c r="D278" s="27"/>
      <c r="E278" s="54"/>
      <c r="F278" s="54"/>
      <c r="G278" s="54"/>
      <c r="H278" s="54" t="str">
        <f ca="1">IF(E278="","",OFFSET(分類!$B$29,E278,0))</f>
        <v/>
      </c>
    </row>
    <row r="279" spans="2:8">
      <c r="B279" s="27">
        <f t="shared" si="4"/>
        <v>275</v>
      </c>
      <c r="C279" s="27"/>
      <c r="D279" s="27"/>
      <c r="E279" s="54"/>
      <c r="F279" s="54"/>
      <c r="G279" s="54"/>
      <c r="H279" s="54" t="str">
        <f ca="1">IF(E279="","",OFFSET(分類!$B$29,E279,0))</f>
        <v/>
      </c>
    </row>
    <row r="280" spans="2:8">
      <c r="B280" s="27">
        <f t="shared" si="4"/>
        <v>276</v>
      </c>
      <c r="C280" s="27"/>
      <c r="D280" s="27"/>
      <c r="E280" s="54"/>
      <c r="F280" s="54"/>
      <c r="G280" s="54"/>
      <c r="H280" s="54" t="str">
        <f ca="1">IF(E280="","",OFFSET(分類!$B$29,E280,0))</f>
        <v/>
      </c>
    </row>
    <row r="281" spans="2:8">
      <c r="B281" s="27">
        <f t="shared" si="4"/>
        <v>277</v>
      </c>
      <c r="C281" s="27"/>
      <c r="D281" s="27"/>
      <c r="E281" s="54"/>
      <c r="F281" s="54"/>
      <c r="G281" s="54"/>
      <c r="H281" s="54" t="str">
        <f ca="1">IF(E281="","",OFFSET(分類!$B$29,E281,0))</f>
        <v/>
      </c>
    </row>
    <row r="282" spans="2:8">
      <c r="B282" s="27">
        <f t="shared" si="4"/>
        <v>278</v>
      </c>
      <c r="C282" s="27"/>
      <c r="D282" s="27"/>
      <c r="E282" s="54"/>
      <c r="F282" s="54"/>
      <c r="G282" s="54"/>
      <c r="H282" s="54" t="str">
        <f ca="1">IF(E282="","",OFFSET(分類!$B$29,E282,0))</f>
        <v/>
      </c>
    </row>
    <row r="283" spans="2:8">
      <c r="B283" s="27">
        <f t="shared" si="4"/>
        <v>279</v>
      </c>
      <c r="C283" s="27"/>
      <c r="D283" s="27"/>
      <c r="E283" s="54"/>
      <c r="F283" s="54"/>
      <c r="G283" s="54"/>
      <c r="H283" s="54" t="str">
        <f ca="1">IF(E283="","",OFFSET(分類!$B$29,E283,0))</f>
        <v/>
      </c>
    </row>
    <row r="284" spans="2:8">
      <c r="B284" s="27">
        <f t="shared" si="4"/>
        <v>280</v>
      </c>
      <c r="C284" s="27"/>
      <c r="D284" s="27"/>
      <c r="E284" s="54"/>
      <c r="F284" s="54"/>
      <c r="G284" s="54"/>
      <c r="H284" s="54" t="str">
        <f ca="1">IF(E284="","",OFFSET(分類!$B$29,E284,0))</f>
        <v/>
      </c>
    </row>
    <row r="285" spans="2:8">
      <c r="B285" s="27">
        <f t="shared" si="4"/>
        <v>281</v>
      </c>
      <c r="C285" s="27"/>
      <c r="D285" s="27"/>
      <c r="E285" s="54"/>
      <c r="F285" s="54"/>
      <c r="G285" s="54"/>
      <c r="H285" s="54" t="str">
        <f ca="1">IF(E285="","",OFFSET(分類!$B$29,E285,0))</f>
        <v/>
      </c>
    </row>
    <row r="286" spans="2:8">
      <c r="B286" s="27">
        <f t="shared" si="4"/>
        <v>282</v>
      </c>
      <c r="C286" s="27"/>
      <c r="D286" s="27"/>
      <c r="E286" s="54"/>
      <c r="F286" s="54"/>
      <c r="G286" s="54"/>
      <c r="H286" s="54" t="str">
        <f ca="1">IF(E286="","",OFFSET(分類!$B$29,E286,0))</f>
        <v/>
      </c>
    </row>
    <row r="287" spans="2:8">
      <c r="B287" s="27">
        <f t="shared" si="4"/>
        <v>283</v>
      </c>
      <c r="C287" s="27"/>
      <c r="D287" s="27"/>
      <c r="E287" s="54"/>
      <c r="F287" s="54"/>
      <c r="G287" s="54"/>
      <c r="H287" s="54" t="str">
        <f ca="1">IF(E287="","",OFFSET(分類!$B$29,E287,0))</f>
        <v/>
      </c>
    </row>
    <row r="288" spans="2:8">
      <c r="B288" s="27">
        <f t="shared" si="4"/>
        <v>284</v>
      </c>
      <c r="C288" s="27"/>
      <c r="D288" s="27"/>
      <c r="E288" s="54"/>
      <c r="F288" s="54"/>
      <c r="G288" s="54"/>
      <c r="H288" s="54" t="str">
        <f ca="1">IF(E288="","",OFFSET(分類!$B$29,E288,0))</f>
        <v/>
      </c>
    </row>
    <row r="289" spans="2:8">
      <c r="B289" s="27">
        <f t="shared" si="4"/>
        <v>285</v>
      </c>
      <c r="C289" s="27"/>
      <c r="D289" s="27"/>
      <c r="E289" s="54"/>
      <c r="F289" s="54"/>
      <c r="G289" s="54"/>
      <c r="H289" s="54" t="str">
        <f ca="1">IF(E289="","",OFFSET(分類!$B$29,E289,0))</f>
        <v/>
      </c>
    </row>
    <row r="290" spans="2:8">
      <c r="B290" s="27">
        <f t="shared" si="4"/>
        <v>286</v>
      </c>
      <c r="C290" s="27"/>
      <c r="D290" s="27"/>
      <c r="E290" s="54"/>
      <c r="F290" s="54"/>
      <c r="G290" s="54"/>
      <c r="H290" s="54" t="str">
        <f ca="1">IF(E290="","",OFFSET(分類!$B$29,E290,0))</f>
        <v/>
      </c>
    </row>
    <row r="291" spans="2:8">
      <c r="B291" s="27">
        <f t="shared" si="4"/>
        <v>287</v>
      </c>
      <c r="C291" s="27"/>
      <c r="D291" s="27"/>
      <c r="E291" s="54"/>
      <c r="F291" s="54"/>
      <c r="G291" s="54"/>
      <c r="H291" s="54" t="str">
        <f ca="1">IF(E291="","",OFFSET(分類!$B$29,E291,0))</f>
        <v/>
      </c>
    </row>
    <row r="292" spans="2:8">
      <c r="B292" s="27">
        <f t="shared" si="4"/>
        <v>288</v>
      </c>
      <c r="C292" s="27"/>
      <c r="D292" s="27"/>
      <c r="E292" s="54"/>
      <c r="F292" s="54"/>
      <c r="G292" s="54"/>
      <c r="H292" s="54" t="str">
        <f ca="1">IF(E292="","",OFFSET(分類!$B$29,E292,0))</f>
        <v/>
      </c>
    </row>
    <row r="293" spans="2:8">
      <c r="B293" s="27">
        <f t="shared" si="4"/>
        <v>289</v>
      </c>
      <c r="C293" s="27"/>
      <c r="D293" s="27"/>
      <c r="E293" s="54"/>
      <c r="F293" s="54"/>
      <c r="G293" s="54"/>
      <c r="H293" s="54" t="str">
        <f ca="1">IF(E293="","",OFFSET(分類!$B$29,E293,0))</f>
        <v/>
      </c>
    </row>
    <row r="294" spans="2:8">
      <c r="B294" s="27">
        <f t="shared" si="4"/>
        <v>290</v>
      </c>
      <c r="C294" s="27"/>
      <c r="D294" s="27"/>
      <c r="E294" s="54"/>
      <c r="F294" s="54"/>
      <c r="G294" s="54"/>
      <c r="H294" s="54" t="str">
        <f ca="1">IF(E294="","",OFFSET(分類!$B$29,E294,0))</f>
        <v/>
      </c>
    </row>
    <row r="295" spans="2:8">
      <c r="B295" s="27">
        <f t="shared" si="4"/>
        <v>291</v>
      </c>
      <c r="C295" s="27"/>
      <c r="D295" s="27"/>
      <c r="E295" s="54"/>
      <c r="F295" s="54"/>
      <c r="G295" s="54"/>
      <c r="H295" s="54" t="str">
        <f ca="1">IF(E295="","",OFFSET(分類!$B$29,E295,0))</f>
        <v/>
      </c>
    </row>
    <row r="296" spans="2:8">
      <c r="B296" s="27">
        <f t="shared" si="4"/>
        <v>292</v>
      </c>
      <c r="C296" s="27"/>
      <c r="D296" s="27"/>
      <c r="E296" s="54"/>
      <c r="F296" s="54"/>
      <c r="G296" s="54"/>
      <c r="H296" s="54" t="str">
        <f ca="1">IF(E296="","",OFFSET(分類!$B$29,E296,0))</f>
        <v/>
      </c>
    </row>
    <row r="297" spans="2:8">
      <c r="B297" s="27">
        <f t="shared" si="4"/>
        <v>293</v>
      </c>
      <c r="C297" s="27"/>
      <c r="D297" s="27"/>
      <c r="E297" s="54"/>
      <c r="F297" s="54"/>
      <c r="G297" s="54"/>
      <c r="H297" s="54" t="str">
        <f ca="1">IF(E297="","",OFFSET(分類!$B$29,E297,0))</f>
        <v/>
      </c>
    </row>
    <row r="298" spans="2:8">
      <c r="B298" s="27">
        <f t="shared" si="4"/>
        <v>294</v>
      </c>
      <c r="C298" s="27"/>
      <c r="D298" s="27"/>
      <c r="E298" s="54"/>
      <c r="F298" s="54"/>
      <c r="G298" s="54"/>
      <c r="H298" s="54" t="str">
        <f ca="1">IF(E298="","",OFFSET(分類!$B$29,E298,0))</f>
        <v/>
      </c>
    </row>
    <row r="299" spans="2:8">
      <c r="B299" s="27">
        <f t="shared" si="4"/>
        <v>295</v>
      </c>
      <c r="C299" s="27"/>
      <c r="D299" s="27"/>
      <c r="E299" s="54"/>
      <c r="F299" s="54"/>
      <c r="G299" s="54"/>
      <c r="H299" s="54" t="str">
        <f ca="1">IF(E299="","",OFFSET(分類!$B$29,E299,0))</f>
        <v/>
      </c>
    </row>
    <row r="300" spans="2:8">
      <c r="B300" s="27">
        <f t="shared" si="4"/>
        <v>296</v>
      </c>
      <c r="C300" s="27"/>
      <c r="D300" s="27"/>
      <c r="E300" s="54"/>
      <c r="F300" s="54"/>
      <c r="G300" s="54"/>
      <c r="H300" s="54" t="str">
        <f ca="1">IF(E300="","",OFFSET(分類!$B$29,E300,0))</f>
        <v/>
      </c>
    </row>
    <row r="301" spans="2:8">
      <c r="B301" s="27">
        <f t="shared" si="4"/>
        <v>297</v>
      </c>
      <c r="C301" s="27"/>
      <c r="D301" s="27"/>
      <c r="E301" s="54"/>
      <c r="F301" s="54"/>
      <c r="G301" s="54"/>
      <c r="H301" s="54" t="str">
        <f ca="1">IF(E301="","",OFFSET(分類!$B$29,E301,0))</f>
        <v/>
      </c>
    </row>
    <row r="302" spans="2:8">
      <c r="B302" s="27">
        <f t="shared" si="4"/>
        <v>298</v>
      </c>
      <c r="C302" s="27"/>
      <c r="D302" s="27"/>
      <c r="E302" s="54"/>
      <c r="F302" s="54"/>
      <c r="G302" s="54"/>
      <c r="H302" s="54" t="str">
        <f ca="1">IF(E302="","",OFFSET(分類!$B$29,E302,0))</f>
        <v/>
      </c>
    </row>
    <row r="303" spans="2:8">
      <c r="B303" s="27">
        <f t="shared" si="4"/>
        <v>299</v>
      </c>
      <c r="C303" s="27"/>
      <c r="D303" s="27"/>
      <c r="E303" s="54"/>
      <c r="F303" s="54"/>
      <c r="G303" s="54"/>
      <c r="H303" s="54" t="str">
        <f ca="1">IF(E303="","",OFFSET(分類!$B$29,E303,0))</f>
        <v/>
      </c>
    </row>
    <row r="304" spans="2:8">
      <c r="B304" s="27">
        <f t="shared" si="4"/>
        <v>300</v>
      </c>
      <c r="C304" s="27"/>
      <c r="D304" s="27"/>
      <c r="E304" s="54"/>
      <c r="F304" s="54"/>
      <c r="G304" s="54"/>
      <c r="H304" s="54" t="str">
        <f ca="1">IF(E304="","",OFFSET(分類!$B$29,E304,0))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B2:H304"/>
  <sheetViews>
    <sheetView workbookViewId="0">
      <selection activeCell="A4" sqref="A4:XFD4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8" width="20.109375" style="29" bestFit="1" customWidth="1"/>
    <col min="9" max="16384" width="8.88671875" style="29"/>
  </cols>
  <sheetData>
    <row r="2" spans="2:8" ht="16.2">
      <c r="B2" s="28" t="str" cm="1">
        <f t="array" aca="1" ref="B2" ca="1">RIGHT(CELL("filename",A1),LEN(CELL("filename",A1))-FIND("]",CELL("filename",A1)))</f>
        <v>散剤</v>
      </c>
    </row>
    <row r="4" spans="2:8" s="68" customFormat="1" ht="26.4">
      <c r="B4" s="67" t="s">
        <v>4038</v>
      </c>
      <c r="C4" s="67" t="s">
        <v>4039</v>
      </c>
      <c r="D4" s="67" t="s">
        <v>4040</v>
      </c>
      <c r="E4" s="67" t="s">
        <v>4062</v>
      </c>
      <c r="F4" s="67" t="s">
        <v>4064</v>
      </c>
      <c r="G4" s="67" t="s">
        <v>4065</v>
      </c>
      <c r="H4" s="67" t="s">
        <v>4113</v>
      </c>
    </row>
    <row r="5" spans="2:8">
      <c r="B5" s="27">
        <v>1</v>
      </c>
      <c r="C5" s="27" t="str" cm="1">
        <f t="array" aca="1" ref="C5:G46" ca="1">_xlfn._xlws.SORT(_xlfn.CHOOSECOLS(_xlfn._xlws.FILTER(IFERROR(統合マスタ!B2:Z1491,""),IFERROR(統合マスタ!R2:R1491=1,FALSE)*IFERROR(ISNUMBER(MATCH(統合マスタ!V2:V1491,分類!K8:K15,0)),FALSE)),2,23,25,4,5),2,1)</f>
        <v>０１７　ツムラ　ゴレイサン</v>
      </c>
      <c r="D5" s="27">
        <f ca="1"/>
        <v>0</v>
      </c>
      <c r="E5" s="54">
        <f ca="1"/>
        <v>4</v>
      </c>
      <c r="F5" s="54" t="str">
        <f ca="1"/>
        <v>粉</v>
      </c>
      <c r="G5" s="54" t="str">
        <f ca="1"/>
        <v>２．５ｇｘ１８９</v>
      </c>
      <c r="H5" s="54" t="str">
        <f ca="1">IF(E5="","",OFFSET(分類!$B$29,E5,0))</f>
        <v>漢方薬</v>
      </c>
    </row>
    <row r="6" spans="2:8">
      <c r="B6" s="27">
        <f>B5+1</f>
        <v>2</v>
      </c>
      <c r="C6" s="27" t="str">
        <f ca="1"/>
        <v>０５４　ツムラ　ヨクカンサン</v>
      </c>
      <c r="D6" s="27">
        <f ca="1"/>
        <v>0</v>
      </c>
      <c r="E6" s="54">
        <f ca="1"/>
        <v>4</v>
      </c>
      <c r="F6" s="54" t="str">
        <f ca="1"/>
        <v>粉</v>
      </c>
      <c r="G6" s="54" t="str">
        <f ca="1"/>
        <v>２．５ｇＸ１８９</v>
      </c>
      <c r="H6" s="54" t="str">
        <f ca="1">IF(E6="","",OFFSET(分類!$B$29,E6,0))</f>
        <v>漢方薬</v>
      </c>
    </row>
    <row r="7" spans="2:8">
      <c r="B7" s="27">
        <f t="shared" ref="B7:B70" si="0">B6+1</f>
        <v>3</v>
      </c>
      <c r="C7" s="27" t="str">
        <f ca="1"/>
        <v>０６２　ツムラ　　ボウフウツウシヨウサン</v>
      </c>
      <c r="D7" s="27">
        <f ca="1"/>
        <v>0</v>
      </c>
      <c r="E7" s="54">
        <f ca="1"/>
        <v>4</v>
      </c>
      <c r="F7" s="54" t="str">
        <f ca="1"/>
        <v>粉</v>
      </c>
      <c r="G7" s="54" t="str">
        <f ca="1"/>
        <v>２．５ｇｘ１８９</v>
      </c>
      <c r="H7" s="54" t="str">
        <f ca="1">IF(E7="","",OFFSET(分類!$B$29,E7,0))</f>
        <v>漢方薬</v>
      </c>
    </row>
    <row r="8" spans="2:8">
      <c r="B8" s="27">
        <f t="shared" si="0"/>
        <v>4</v>
      </c>
      <c r="C8" s="27" t="str">
        <f ca="1"/>
        <v>０６８　ツムラ　シャクヤクカンゾウトウ</v>
      </c>
      <c r="D8" s="27">
        <f ca="1"/>
        <v>0</v>
      </c>
      <c r="E8" s="54">
        <f ca="1"/>
        <v>4</v>
      </c>
      <c r="F8" s="54" t="str">
        <f ca="1"/>
        <v>粉</v>
      </c>
      <c r="G8" s="54" t="str">
        <f ca="1"/>
        <v>２．５ｇｘ４２</v>
      </c>
      <c r="H8" s="54" t="str">
        <f ca="1">IF(E8="","",OFFSET(分類!$B$29,E8,0))</f>
        <v>漢方薬</v>
      </c>
    </row>
    <row r="9" spans="2:8">
      <c r="B9" s="27">
        <f t="shared" si="0"/>
        <v>5</v>
      </c>
      <c r="C9" s="27" t="str">
        <f ca="1"/>
        <v>０８３　ツムラ　ヨクカンサンカチンピハンゲ</v>
      </c>
      <c r="D9" s="27">
        <f ca="1"/>
        <v>0</v>
      </c>
      <c r="E9" s="54">
        <f ca="1"/>
        <v>4</v>
      </c>
      <c r="F9" s="54" t="str">
        <f ca="1"/>
        <v>粉</v>
      </c>
      <c r="G9" s="54" t="str">
        <f ca="1"/>
        <v>２．５ｇｘ１８９</v>
      </c>
      <c r="H9" s="54" t="str">
        <f ca="1">IF(E9="","",OFFSET(分類!$B$29,E9,0))</f>
        <v>漢方薬</v>
      </c>
    </row>
    <row r="10" spans="2:8">
      <c r="B10" s="27">
        <f t="shared" si="0"/>
        <v>6</v>
      </c>
      <c r="C10" s="27" t="str">
        <f ca="1"/>
        <v>１００　ツムラ　ダイケンチユウトウ</v>
      </c>
      <c r="D10" s="27">
        <f ca="1"/>
        <v>0</v>
      </c>
      <c r="E10" s="54">
        <f ca="1"/>
        <v>4</v>
      </c>
      <c r="F10" s="54" t="str">
        <f ca="1"/>
        <v>粉</v>
      </c>
      <c r="G10" s="54" t="str">
        <f ca="1"/>
        <v>２．５ｇＸ１８９</v>
      </c>
      <c r="H10" s="54" t="str">
        <f ca="1">IF(E10="","",OFFSET(分類!$B$29,E10,0))</f>
        <v>漢方薬</v>
      </c>
    </row>
    <row r="11" spans="2:8">
      <c r="B11" s="27">
        <f t="shared" si="0"/>
        <v>7</v>
      </c>
      <c r="C11" s="27" t="str">
        <f ca="1"/>
        <v>ＥＫ１　葛根湯エキス細粒</v>
      </c>
      <c r="D11" s="27">
        <f ca="1"/>
        <v>0</v>
      </c>
      <c r="E11" s="54">
        <f ca="1"/>
        <v>4</v>
      </c>
      <c r="F11" s="54" t="str">
        <f ca="1"/>
        <v>粉</v>
      </c>
      <c r="G11" s="54" t="str">
        <f ca="1"/>
        <v>２．５ｇ×２９４</v>
      </c>
      <c r="H11" s="54" t="str">
        <f ca="1">IF(E11="","",OFFSET(分類!$B$29,E11,0))</f>
        <v>漢方薬</v>
      </c>
    </row>
    <row r="12" spans="2:8">
      <c r="B12" s="27">
        <f t="shared" si="0"/>
        <v>8</v>
      </c>
      <c r="C12" s="27" t="str">
        <f ca="1"/>
        <v>ＥＫ２４　加味逍遥散料エキス細粒</v>
      </c>
      <c r="D12" s="27">
        <f ca="1"/>
        <v>0</v>
      </c>
      <c r="E12" s="54">
        <f ca="1"/>
        <v>4</v>
      </c>
      <c r="F12" s="54" t="str">
        <f ca="1"/>
        <v>粉</v>
      </c>
      <c r="G12" s="54" t="str">
        <f ca="1"/>
        <v>２ｇｘ４２包</v>
      </c>
      <c r="H12" s="54" t="str">
        <f ca="1">IF(E12="","",OFFSET(分類!$B$29,E12,0))</f>
        <v>漢方薬</v>
      </c>
    </row>
    <row r="13" spans="2:8">
      <c r="B13" s="27">
        <f t="shared" si="0"/>
        <v>9</v>
      </c>
      <c r="C13" s="27" t="str">
        <f ca="1"/>
        <v>ＥＫ４１　補中益気湯エキス細粒</v>
      </c>
      <c r="D13" s="27">
        <f ca="1"/>
        <v>0</v>
      </c>
      <c r="E13" s="54">
        <f ca="1"/>
        <v>4</v>
      </c>
      <c r="F13" s="54" t="str">
        <f ca="1"/>
        <v>粉</v>
      </c>
      <c r="G13" s="54" t="str">
        <f ca="1"/>
        <v>２．５ｇｘ２９４</v>
      </c>
      <c r="H13" s="54" t="str">
        <f ca="1">IF(E13="","",OFFSET(分類!$B$29,E13,0))</f>
        <v>漢方薬</v>
      </c>
    </row>
    <row r="14" spans="2:8">
      <c r="B14" s="27">
        <f t="shared" si="0"/>
        <v>10</v>
      </c>
      <c r="C14" s="27" t="str">
        <f ca="1"/>
        <v>アスパラカリウム散５０％</v>
      </c>
      <c r="D14" s="27">
        <f ca="1"/>
        <v>0</v>
      </c>
      <c r="E14" s="54">
        <f ca="1"/>
        <v>2</v>
      </c>
      <c r="F14" s="54" t="str">
        <f ca="1"/>
        <v>粉</v>
      </c>
      <c r="G14" s="54" t="str">
        <f ca="1"/>
        <v>５００ｇ</v>
      </c>
      <c r="H14" s="54" t="str">
        <f ca="1">IF(E14="","",OFFSET(分類!$B$29,E14,0))</f>
        <v>散薬調剤台</v>
      </c>
    </row>
    <row r="15" spans="2:8">
      <c r="B15" s="27">
        <f t="shared" si="0"/>
        <v>11</v>
      </c>
      <c r="C15" s="27" t="str">
        <f ca="1"/>
        <v>アドナ散１０％</v>
      </c>
      <c r="D15" s="27">
        <f ca="1"/>
        <v>0</v>
      </c>
      <c r="E15" s="54">
        <f ca="1"/>
        <v>2</v>
      </c>
      <c r="F15" s="54" t="str">
        <f ca="1"/>
        <v>粉</v>
      </c>
      <c r="G15" s="54" t="str">
        <f ca="1"/>
        <v>１００ｇ</v>
      </c>
      <c r="H15" s="54" t="str">
        <f ca="1">IF(E15="","",OFFSET(分類!$B$29,E15,0))</f>
        <v>散薬調剤台</v>
      </c>
    </row>
    <row r="16" spans="2:8">
      <c r="B16" s="27">
        <f t="shared" si="0"/>
        <v>12</v>
      </c>
      <c r="C16" s="27" t="str">
        <f ca="1"/>
        <v>アミノレバンＥＮ配合散　　　　　コーヒー味</v>
      </c>
      <c r="D16" s="27">
        <f ca="1"/>
        <v>0</v>
      </c>
      <c r="E16" s="54">
        <f ca="1"/>
        <v>15</v>
      </c>
      <c r="F16" s="54" t="str">
        <f ca="1"/>
        <v>粉</v>
      </c>
      <c r="G16" s="54" t="str">
        <f ca="1"/>
        <v>５０ｇＸ２１包</v>
      </c>
      <c r="H16" s="54" t="str">
        <f ca="1">IF(E16="","",OFFSET(分類!$B$29,E16,0))</f>
        <v>不良在庫</v>
      </c>
    </row>
    <row r="17" spans="2:8">
      <c r="B17" s="27">
        <f t="shared" si="0"/>
        <v>13</v>
      </c>
      <c r="C17" s="27" t="str">
        <f ca="1"/>
        <v>カルバマゼピン細粒５０％「アメル」　　　</v>
      </c>
      <c r="D17" s="27">
        <f ca="1"/>
        <v>0</v>
      </c>
      <c r="E17" s="54">
        <f ca="1"/>
        <v>2</v>
      </c>
      <c r="F17" s="54" t="str">
        <f ca="1"/>
        <v>粉</v>
      </c>
      <c r="G17" s="54" t="str">
        <f ca="1"/>
        <v>５００ｇ</v>
      </c>
      <c r="H17" s="54" t="str">
        <f ca="1">IF(E17="","",OFFSET(分類!$B$29,E17,0))</f>
        <v>散薬調剤台</v>
      </c>
    </row>
    <row r="18" spans="2:8">
      <c r="B18" s="27">
        <f t="shared" si="0"/>
        <v>14</v>
      </c>
      <c r="C18" s="27" t="str">
        <f ca="1"/>
        <v>グラマリール細粒１０％</v>
      </c>
      <c r="D18" s="27">
        <f ca="1"/>
        <v>0</v>
      </c>
      <c r="E18" s="54">
        <f ca="1"/>
        <v>2</v>
      </c>
      <c r="F18" s="54" t="str">
        <f ca="1"/>
        <v>粉</v>
      </c>
      <c r="G18" s="54" t="str">
        <f ca="1"/>
        <v>１００ｇ</v>
      </c>
      <c r="H18" s="54" t="str">
        <f ca="1">IF(E18="","",OFFSET(分類!$B$29,E18,0))</f>
        <v>散薬調剤台</v>
      </c>
    </row>
    <row r="19" spans="2:8">
      <c r="B19" s="27">
        <f t="shared" si="0"/>
        <v>15</v>
      </c>
      <c r="C19" s="27" t="str">
        <f ca="1"/>
        <v>クレメジン細粒分包２ｇ</v>
      </c>
      <c r="D19" s="27">
        <f ca="1"/>
        <v>0</v>
      </c>
      <c r="E19" s="54">
        <f ca="1"/>
        <v>3</v>
      </c>
      <c r="F19" s="54" t="str">
        <f ca="1"/>
        <v/>
      </c>
      <c r="G19" s="54" t="str">
        <f ca="1"/>
        <v>２ｇｘ８４包</v>
      </c>
      <c r="H19" s="54" t="str">
        <f ca="1">IF(E19="","",OFFSET(分類!$B$29,E19,0))</f>
        <v>外用.臨時.散薬ヒート</v>
      </c>
    </row>
    <row r="20" spans="2:8">
      <c r="B20" s="27">
        <f t="shared" si="0"/>
        <v>16</v>
      </c>
      <c r="C20" s="27" t="str">
        <f ca="1"/>
        <v>シーピー配合顆粒</v>
      </c>
      <c r="D20" s="27">
        <f ca="1"/>
        <v>0</v>
      </c>
      <c r="E20" s="54">
        <f ca="1"/>
        <v>3</v>
      </c>
      <c r="F20" s="54" t="str">
        <f ca="1"/>
        <v>粉</v>
      </c>
      <c r="G20" s="54" t="str">
        <f ca="1"/>
        <v>１ｇｘ１０５０包</v>
      </c>
      <c r="H20" s="54" t="str">
        <f ca="1">IF(E20="","",OFFSET(分類!$B$29,E20,0))</f>
        <v>外用.臨時.散薬ヒート</v>
      </c>
    </row>
    <row r="21" spans="2:8">
      <c r="B21" s="27">
        <f t="shared" si="0"/>
        <v>17</v>
      </c>
      <c r="C21" s="27" t="str">
        <f ca="1"/>
        <v>センブリ・重曹散</v>
      </c>
      <c r="D21" s="27">
        <f ca="1"/>
        <v>0</v>
      </c>
      <c r="E21" s="54">
        <f ca="1"/>
        <v>2</v>
      </c>
      <c r="F21" s="54" t="str">
        <f ca="1"/>
        <v>粉</v>
      </c>
      <c r="G21" s="54" t="str">
        <f ca="1"/>
        <v>５００ｇ</v>
      </c>
      <c r="H21" s="54" t="str">
        <f ca="1">IF(E21="","",OFFSET(分類!$B$29,E21,0))</f>
        <v>散薬調剤台</v>
      </c>
    </row>
    <row r="22" spans="2:8">
      <c r="B22" s="27">
        <f t="shared" si="0"/>
        <v>18</v>
      </c>
      <c r="C22" s="27" t="str">
        <f ca="1"/>
        <v>タンニン酸アルブミン「ＶＴＲＳ」原末　　　</v>
      </c>
      <c r="D22" s="27">
        <f ca="1"/>
        <v>0</v>
      </c>
      <c r="E22" s="54">
        <f ca="1"/>
        <v>2</v>
      </c>
      <c r="F22" s="54" t="str">
        <f ca="1"/>
        <v>粉</v>
      </c>
      <c r="G22" s="54" t="str">
        <f ca="1"/>
        <v>５００ｇ</v>
      </c>
      <c r="H22" s="54" t="str">
        <f ca="1">IF(E22="","",OFFSET(分類!$B$29,E22,0))</f>
        <v>散薬調剤台</v>
      </c>
    </row>
    <row r="23" spans="2:8">
      <c r="B23" s="27">
        <f t="shared" si="0"/>
        <v>19</v>
      </c>
      <c r="C23" s="27" t="str">
        <f ca="1"/>
        <v>テプレノン細粒１０％「ＹＤ」</v>
      </c>
      <c r="D23" s="27">
        <f ca="1"/>
        <v>0</v>
      </c>
      <c r="E23" s="54">
        <f ca="1"/>
        <v>2</v>
      </c>
      <c r="F23" s="54" t="str">
        <f ca="1"/>
        <v>粉</v>
      </c>
      <c r="G23" s="54" t="str">
        <f ca="1"/>
        <v>１００ｇ</v>
      </c>
      <c r="H23" s="54" t="str">
        <f ca="1">IF(E23="","",OFFSET(分類!$B$29,E23,0))</f>
        <v>散薬調剤台</v>
      </c>
    </row>
    <row r="24" spans="2:8">
      <c r="B24" s="27">
        <f t="shared" si="0"/>
        <v>20</v>
      </c>
      <c r="C24" s="27" t="str">
        <f ca="1"/>
        <v>パントシン散２０％</v>
      </c>
      <c r="D24" s="27">
        <f ca="1"/>
        <v>0</v>
      </c>
      <c r="E24" s="54">
        <f ca="1"/>
        <v>2</v>
      </c>
      <c r="F24" s="54" t="str">
        <f ca="1"/>
        <v>粉</v>
      </c>
      <c r="G24" s="54" t="str">
        <f ca="1"/>
        <v>１００ｇ</v>
      </c>
      <c r="H24" s="54" t="str">
        <f ca="1">IF(E24="","",OFFSET(分類!$B$29,E24,0))</f>
        <v>散薬調剤台</v>
      </c>
    </row>
    <row r="25" spans="2:8">
      <c r="B25" s="27">
        <f t="shared" si="0"/>
        <v>21</v>
      </c>
      <c r="C25" s="27" t="str">
        <f ca="1"/>
        <v>ビオフェルミン配合散</v>
      </c>
      <c r="D25" s="27">
        <f ca="1"/>
        <v>0</v>
      </c>
      <c r="E25" s="54">
        <f ca="1"/>
        <v>3</v>
      </c>
      <c r="F25" s="54" t="str">
        <f ca="1"/>
        <v>粉</v>
      </c>
      <c r="G25" s="54" t="str">
        <f ca="1"/>
        <v>１ｇｘ１２０</v>
      </c>
      <c r="H25" s="54" t="str">
        <f ca="1">IF(E25="","",OFFSET(分類!$B$29,E25,0))</f>
        <v>外用.臨時.散薬ヒート</v>
      </c>
    </row>
    <row r="26" spans="2:8">
      <c r="B26" s="27">
        <f t="shared" si="0"/>
        <v>22</v>
      </c>
      <c r="C26" s="27" t="str">
        <f ca="1"/>
        <v>ビオフェルミン配合散</v>
      </c>
      <c r="D26" s="27">
        <f ca="1"/>
        <v>0</v>
      </c>
      <c r="E26" s="54">
        <f ca="1"/>
        <v>3</v>
      </c>
      <c r="F26" s="54" t="str">
        <f ca="1"/>
        <v>粉</v>
      </c>
      <c r="G26" s="54" t="str">
        <f ca="1"/>
        <v>１ｇｘ６００</v>
      </c>
      <c r="H26" s="54" t="str">
        <f ca="1">IF(E26="","",OFFSET(分類!$B$29,E26,0))</f>
        <v>外用.臨時.散薬ヒート</v>
      </c>
    </row>
    <row r="27" spans="2:8">
      <c r="B27" s="27">
        <f t="shared" si="0"/>
        <v>23</v>
      </c>
      <c r="C27" s="27" t="str">
        <f ca="1"/>
        <v>ビオフェルミン配合散</v>
      </c>
      <c r="D27" s="27">
        <f ca="1"/>
        <v>0</v>
      </c>
      <c r="E27" s="54">
        <f ca="1"/>
        <v>3</v>
      </c>
      <c r="F27" s="54" t="str">
        <f ca="1"/>
        <v>粉</v>
      </c>
      <c r="G27" s="54" t="str">
        <f ca="1"/>
        <v>１ｋｇ</v>
      </c>
      <c r="H27" s="54" t="str">
        <f ca="1">IF(E27="","",OFFSET(分類!$B$29,E27,0))</f>
        <v>外用.臨時.散薬ヒート</v>
      </c>
    </row>
    <row r="28" spans="2:8">
      <c r="B28" s="27">
        <f t="shared" si="0"/>
        <v>24</v>
      </c>
      <c r="C28" s="27" t="str">
        <f ca="1"/>
        <v>フロセミド細粒４％「ＥＭＥＣ」</v>
      </c>
      <c r="D28" s="27">
        <f ca="1"/>
        <v>0</v>
      </c>
      <c r="E28" s="54">
        <f ca="1"/>
        <v>2</v>
      </c>
      <c r="F28" s="54" t="str">
        <f ca="1"/>
        <v>粉</v>
      </c>
      <c r="G28" s="54" t="str">
        <f ca="1"/>
        <v>１００ｇ</v>
      </c>
      <c r="H28" s="54" t="str">
        <f ca="1">IF(E28="","",OFFSET(分類!$B$29,E28,0))</f>
        <v>散薬調剤台</v>
      </c>
    </row>
    <row r="29" spans="2:8">
      <c r="B29" s="27">
        <f t="shared" si="0"/>
        <v>25</v>
      </c>
      <c r="C29" s="27" t="str">
        <f ca="1"/>
        <v>マーズレンＳ配合顆粒</v>
      </c>
      <c r="D29" s="27">
        <f ca="1"/>
        <v>0</v>
      </c>
      <c r="E29" s="54">
        <f ca="1"/>
        <v>3</v>
      </c>
      <c r="F29" s="54" t="str">
        <f ca="1"/>
        <v>粉</v>
      </c>
      <c r="G29" s="54" t="str">
        <f ca="1"/>
        <v>４００ｇ（０．６７ｆｘ６００）</v>
      </c>
      <c r="H29" s="54" t="str">
        <f ca="1">IF(E29="","",OFFSET(分類!$B$29,E29,0))</f>
        <v>外用.臨時.散薬ヒート</v>
      </c>
    </row>
    <row r="30" spans="2:8">
      <c r="B30" s="27">
        <f t="shared" si="0"/>
        <v>26</v>
      </c>
      <c r="C30" s="27" t="str">
        <f ca="1"/>
        <v>マーズレンＳ配合顆粒</v>
      </c>
      <c r="D30" s="27">
        <f ca="1"/>
        <v>0</v>
      </c>
      <c r="E30" s="54">
        <f ca="1"/>
        <v>3</v>
      </c>
      <c r="F30" s="54" t="str">
        <f ca="1"/>
        <v>粉</v>
      </c>
      <c r="G30" s="54" t="str">
        <f ca="1"/>
        <v>１０００ｇ</v>
      </c>
      <c r="H30" s="54" t="str">
        <f ca="1">IF(E30="","",OFFSET(分類!$B$29,E30,0))</f>
        <v>外用.臨時.散薬ヒート</v>
      </c>
    </row>
    <row r="31" spans="2:8">
      <c r="B31" s="27">
        <f t="shared" si="0"/>
        <v>27</v>
      </c>
      <c r="C31" s="27" t="str">
        <f ca="1"/>
        <v>モサプリドクエン酸塩散１％「日医工」</v>
      </c>
      <c r="D31" s="27">
        <f ca="1"/>
        <v>0</v>
      </c>
      <c r="E31" s="54">
        <f ca="1"/>
        <v>2</v>
      </c>
      <c r="F31" s="54" t="str">
        <f ca="1"/>
        <v>粉</v>
      </c>
      <c r="G31" s="54" t="str">
        <f ca="1"/>
        <v>１００ｇ</v>
      </c>
      <c r="H31" s="54" t="str">
        <f ca="1">IF(E31="","",OFFSET(分類!$B$29,E31,0))</f>
        <v>散薬調剤台</v>
      </c>
    </row>
    <row r="32" spans="2:8">
      <c r="B32" s="27">
        <f t="shared" si="0"/>
        <v>28</v>
      </c>
      <c r="C32" s="27" t="str">
        <f ca="1"/>
        <v>モビコール配合内用剤ＬＤ（１）　　　６．８５２３ｇ／１包</v>
      </c>
      <c r="D32" s="27">
        <f ca="1"/>
        <v>0</v>
      </c>
      <c r="E32" s="54">
        <f ca="1"/>
        <v>3</v>
      </c>
      <c r="F32" s="54" t="str">
        <f ca="1"/>
        <v>粉</v>
      </c>
      <c r="G32" s="54" t="str">
        <f ca="1"/>
        <v>１００包</v>
      </c>
      <c r="H32" s="54" t="str">
        <f ca="1">IF(E32="","",OFFSET(分類!$B$29,E32,0))</f>
        <v>外用.臨時.散薬ヒート</v>
      </c>
    </row>
    <row r="33" spans="2:8">
      <c r="B33" s="27">
        <f t="shared" si="0"/>
        <v>29</v>
      </c>
      <c r="C33" s="27" t="str">
        <f ca="1"/>
        <v>レベチラセタムＤＳ５０％「トーワ」</v>
      </c>
      <c r="D33" s="27">
        <f ca="1"/>
        <v>0</v>
      </c>
      <c r="E33" s="54">
        <f ca="1"/>
        <v>2</v>
      </c>
      <c r="F33" s="54" t="str">
        <f ca="1"/>
        <v>粉</v>
      </c>
      <c r="G33" s="54" t="str">
        <f ca="1"/>
        <v>１００Ｇ</v>
      </c>
      <c r="H33" s="54" t="str">
        <f ca="1">IF(E33="","",OFFSET(分類!$B$29,E33,0))</f>
        <v>散薬調剤台</v>
      </c>
    </row>
    <row r="34" spans="2:8">
      <c r="B34" s="27">
        <f t="shared" si="0"/>
        <v>30</v>
      </c>
      <c r="C34" s="27" t="str">
        <f ca="1"/>
        <v>ロキソニン細粒１０％</v>
      </c>
      <c r="D34" s="27">
        <f ca="1"/>
        <v>0</v>
      </c>
      <c r="E34" s="54">
        <f ca="1"/>
        <v>2</v>
      </c>
      <c r="F34" s="54" t="str">
        <f ca="1"/>
        <v>粉</v>
      </c>
      <c r="G34" s="54" t="str">
        <f ca="1"/>
        <v>１００ｇ</v>
      </c>
      <c r="H34" s="54" t="str">
        <f ca="1">IF(E34="","",OFFSET(分類!$B$29,E34,0))</f>
        <v>散薬調剤台</v>
      </c>
    </row>
    <row r="35" spans="2:8">
      <c r="B35" s="27">
        <f t="shared" si="0"/>
        <v>31</v>
      </c>
      <c r="C35" s="27" t="str">
        <f ca="1"/>
        <v>塩化カリウム</v>
      </c>
      <c r="D35" s="27">
        <f ca="1"/>
        <v>0</v>
      </c>
      <c r="E35" s="54">
        <f ca="1"/>
        <v>2</v>
      </c>
      <c r="F35" s="54" t="str">
        <f ca="1"/>
        <v>粉</v>
      </c>
      <c r="G35" s="54" t="str">
        <f ca="1"/>
        <v>５００ｇ</v>
      </c>
      <c r="H35" s="54" t="str">
        <f ca="1">IF(E35="","",OFFSET(分類!$B$29,E35,0))</f>
        <v>散薬調剤台</v>
      </c>
    </row>
    <row r="36" spans="2:8">
      <c r="B36" s="27">
        <f t="shared" si="0"/>
        <v>32</v>
      </c>
      <c r="C36" s="27" t="str">
        <f ca="1"/>
        <v>塩化ナトリウム</v>
      </c>
      <c r="D36" s="27">
        <f ca="1"/>
        <v>0</v>
      </c>
      <c r="E36" s="54">
        <f ca="1"/>
        <v>2</v>
      </c>
      <c r="F36" s="54" t="str">
        <f ca="1"/>
        <v>粉</v>
      </c>
      <c r="G36" s="54" t="str">
        <f ca="1"/>
        <v>５００ｇ</v>
      </c>
      <c r="H36" s="54" t="str">
        <f ca="1">IF(E36="","",OFFSET(分類!$B$29,E36,0))</f>
        <v>散薬調剤台</v>
      </c>
    </row>
    <row r="37" spans="2:8">
      <c r="B37" s="27">
        <f t="shared" si="0"/>
        <v>33</v>
      </c>
      <c r="C37" s="27" t="str">
        <f ca="1"/>
        <v>炭酸水素ナトリウム</v>
      </c>
      <c r="D37" s="27">
        <f ca="1"/>
        <v>0</v>
      </c>
      <c r="E37" s="54">
        <f ca="1"/>
        <v>2</v>
      </c>
      <c r="F37" s="54" t="str">
        <f ca="1"/>
        <v>粉</v>
      </c>
      <c r="G37" s="54" t="str">
        <f ca="1"/>
        <v>５００ｇ</v>
      </c>
      <c r="H37" s="54" t="str">
        <f ca="1">IF(E37="","",OFFSET(分類!$B$29,E37,0))</f>
        <v>散薬調剤台</v>
      </c>
    </row>
    <row r="38" spans="2:8">
      <c r="B38" s="27">
        <f t="shared" si="0"/>
        <v>34</v>
      </c>
      <c r="C38" s="27" t="str">
        <f ca="1"/>
        <v>アリピプラゾール散１％「ニプロ」</v>
      </c>
      <c r="D38" s="27">
        <f ca="1"/>
        <v>2</v>
      </c>
      <c r="E38" s="54">
        <f ca="1"/>
        <v>2</v>
      </c>
      <c r="F38" s="54" t="str">
        <f ca="1"/>
        <v>粉</v>
      </c>
      <c r="G38" s="54" t="str">
        <f ca="1"/>
        <v>１００ｇ</v>
      </c>
      <c r="H38" s="54" t="str">
        <f ca="1">IF(E38="","",OFFSET(分類!$B$29,E38,0))</f>
        <v>散薬調剤台</v>
      </c>
    </row>
    <row r="39" spans="2:8">
      <c r="B39" s="27">
        <f t="shared" si="0"/>
        <v>35</v>
      </c>
      <c r="C39" s="27" t="str">
        <f ca="1"/>
        <v>アレビアチン散１０％</v>
      </c>
      <c r="D39" s="27">
        <f ca="1"/>
        <v>2</v>
      </c>
      <c r="E39" s="54">
        <f ca="1"/>
        <v>2</v>
      </c>
      <c r="F39" s="54" t="str">
        <f ca="1"/>
        <v>粉</v>
      </c>
      <c r="G39" s="54" t="str">
        <f ca="1"/>
        <v>５００ｇ</v>
      </c>
      <c r="H39" s="54" t="str">
        <f ca="1">IF(E39="","",OFFSET(分類!$B$29,E39,0))</f>
        <v>散薬調剤台</v>
      </c>
    </row>
    <row r="40" spans="2:8">
      <c r="B40" s="27">
        <f t="shared" si="0"/>
        <v>36</v>
      </c>
      <c r="C40" s="27" t="str">
        <f ca="1"/>
        <v>クエチアピン細粒５０％「アメル」</v>
      </c>
      <c r="D40" s="27">
        <f ca="1"/>
        <v>2</v>
      </c>
      <c r="E40" s="54">
        <f ca="1"/>
        <v>2</v>
      </c>
      <c r="F40" s="54" t="str">
        <f ca="1"/>
        <v>粉</v>
      </c>
      <c r="G40" s="54" t="str">
        <f ca="1"/>
        <v>１００ｇ</v>
      </c>
      <c r="H40" s="54" t="str">
        <f ca="1">IF(E40="","",OFFSET(分類!$B$29,E40,0))</f>
        <v>散薬調剤台</v>
      </c>
    </row>
    <row r="41" spans="2:8">
      <c r="B41" s="27">
        <f t="shared" si="0"/>
        <v>37</v>
      </c>
      <c r="C41" s="27" t="str">
        <f ca="1"/>
        <v>トーワチーム配合顆粒</v>
      </c>
      <c r="D41" s="27">
        <f ca="1"/>
        <v>2</v>
      </c>
      <c r="E41" s="54">
        <f ca="1"/>
        <v>3</v>
      </c>
      <c r="F41" s="54" t="str">
        <f ca="1"/>
        <v>粉</v>
      </c>
      <c r="G41" s="54" t="str">
        <f ca="1"/>
        <v>１ｇｘ８００</v>
      </c>
      <c r="H41" s="54" t="str">
        <f ca="1">IF(E41="","",OFFSET(分類!$B$29,E41,0))</f>
        <v>外用.臨時.散薬ヒート</v>
      </c>
    </row>
    <row r="42" spans="2:8">
      <c r="B42" s="27">
        <f t="shared" si="0"/>
        <v>38</v>
      </c>
      <c r="C42" s="27" t="str">
        <f ca="1"/>
        <v>ハロペリドール細粒１％「ヨシトミ」　　　　　　　</v>
      </c>
      <c r="D42" s="27">
        <f ca="1"/>
        <v>2</v>
      </c>
      <c r="E42" s="54">
        <f ca="1"/>
        <v>2</v>
      </c>
      <c r="F42" s="54" t="str">
        <f ca="1"/>
        <v>粉</v>
      </c>
      <c r="G42" s="54" t="str">
        <f ca="1"/>
        <v>１００ｇ</v>
      </c>
      <c r="H42" s="54" t="str">
        <f ca="1">IF(E42="","",OFFSET(分類!$B$29,E42,0))</f>
        <v>散薬調剤台</v>
      </c>
    </row>
    <row r="43" spans="2:8">
      <c r="B43" s="27">
        <f t="shared" si="0"/>
        <v>39</v>
      </c>
      <c r="C43" s="27" t="str">
        <f ca="1"/>
        <v>フェノバルビタール散１０％「ホエイ」</v>
      </c>
      <c r="D43" s="27">
        <f ca="1"/>
        <v>2</v>
      </c>
      <c r="E43" s="54">
        <f ca="1"/>
        <v>2</v>
      </c>
      <c r="F43" s="54" t="str">
        <f ca="1"/>
        <v>粉</v>
      </c>
      <c r="G43" s="54" t="str">
        <f ca="1"/>
        <v>５００ｇ</v>
      </c>
      <c r="H43" s="54" t="str">
        <f ca="1">IF(E43="","",OFFSET(分類!$B$29,E43,0))</f>
        <v>散薬調剤台</v>
      </c>
    </row>
    <row r="44" spans="2:8">
      <c r="B44" s="27">
        <f t="shared" si="0"/>
        <v>40</v>
      </c>
      <c r="C44" s="27" t="str">
        <f ca="1"/>
        <v>ブロナンセリン散２％「ＤＳＰＢ」</v>
      </c>
      <c r="D44" s="27">
        <f ca="1"/>
        <v>2</v>
      </c>
      <c r="E44" s="54">
        <f ca="1"/>
        <v>2</v>
      </c>
      <c r="F44" s="54" t="str">
        <f ca="1"/>
        <v>粉</v>
      </c>
      <c r="G44" s="54" t="str">
        <f ca="1"/>
        <v>１００ｇ</v>
      </c>
      <c r="H44" s="54" t="str">
        <f ca="1">IF(E44="","",OFFSET(分類!$B$29,E44,0))</f>
        <v>散薬調剤台</v>
      </c>
    </row>
    <row r="45" spans="2:8">
      <c r="B45" s="27">
        <f t="shared" si="0"/>
        <v>41</v>
      </c>
      <c r="C45" s="27" t="str">
        <f ca="1"/>
        <v>リスパダール細粒１％</v>
      </c>
      <c r="D45" s="27">
        <f ca="1"/>
        <v>2</v>
      </c>
      <c r="E45" s="54">
        <f ca="1"/>
        <v>1</v>
      </c>
      <c r="F45" s="54" t="str">
        <f ca="1"/>
        <v>粉</v>
      </c>
      <c r="G45" s="54" t="str">
        <f ca="1"/>
        <v>１００ｇ</v>
      </c>
      <c r="H45" s="54" t="str">
        <f ca="1">IF(E45="","",OFFSET(分類!$B$29,E45,0))</f>
        <v>調剤棚</v>
      </c>
    </row>
    <row r="46" spans="2:8">
      <c r="B46" s="27">
        <f t="shared" si="0"/>
        <v>42</v>
      </c>
      <c r="C46" s="27" t="str">
        <f ca="1"/>
        <v>ロドピン細粒５０％</v>
      </c>
      <c r="D46" s="27">
        <f ca="1"/>
        <v>2</v>
      </c>
      <c r="E46" s="54">
        <f ca="1"/>
        <v>2</v>
      </c>
      <c r="F46" s="54" t="str">
        <f ca="1"/>
        <v/>
      </c>
      <c r="G46" s="54" t="str">
        <f ca="1"/>
        <v>１００ｇ</v>
      </c>
      <c r="H46" s="54" t="str">
        <f ca="1">IF(E46="","",OFFSET(分類!$B$29,E46,0))</f>
        <v>散薬調剤台</v>
      </c>
    </row>
    <row r="47" spans="2:8">
      <c r="B47" s="27">
        <f t="shared" si="0"/>
        <v>43</v>
      </c>
      <c r="C47" s="27"/>
      <c r="D47" s="27"/>
      <c r="E47" s="54"/>
      <c r="F47" s="54"/>
      <c r="G47" s="54"/>
      <c r="H47" s="54" t="str">
        <f ca="1">IF(E47="","",OFFSET(分類!$B$29,E47,0))</f>
        <v/>
      </c>
    </row>
    <row r="48" spans="2:8">
      <c r="B48" s="27">
        <f t="shared" si="0"/>
        <v>44</v>
      </c>
      <c r="C48" s="27"/>
      <c r="D48" s="27"/>
      <c r="E48" s="54"/>
      <c r="F48" s="54"/>
      <c r="G48" s="54"/>
      <c r="H48" s="54" t="str">
        <f ca="1">IF(E48="","",OFFSET(分類!$B$29,E48,0))</f>
        <v/>
      </c>
    </row>
    <row r="49" spans="2:8">
      <c r="B49" s="27">
        <f t="shared" si="0"/>
        <v>45</v>
      </c>
      <c r="C49" s="27"/>
      <c r="D49" s="27"/>
      <c r="E49" s="54"/>
      <c r="F49" s="54"/>
      <c r="G49" s="54"/>
      <c r="H49" s="54" t="str">
        <f ca="1">IF(E49="","",OFFSET(分類!$B$29,E49,0))</f>
        <v/>
      </c>
    </row>
    <row r="50" spans="2:8">
      <c r="B50" s="27">
        <f t="shared" si="0"/>
        <v>46</v>
      </c>
      <c r="C50" s="27"/>
      <c r="D50" s="27"/>
      <c r="E50" s="54"/>
      <c r="F50" s="54"/>
      <c r="G50" s="54"/>
      <c r="H50" s="54" t="str">
        <f ca="1">IF(E50="","",OFFSET(分類!$B$29,E50,0))</f>
        <v/>
      </c>
    </row>
    <row r="51" spans="2:8">
      <c r="B51" s="27">
        <f t="shared" si="0"/>
        <v>47</v>
      </c>
      <c r="C51" s="27"/>
      <c r="D51" s="27"/>
      <c r="E51" s="54"/>
      <c r="F51" s="54"/>
      <c r="G51" s="54"/>
      <c r="H51" s="54" t="str">
        <f ca="1">IF(E51="","",OFFSET(分類!$B$29,E51,0))</f>
        <v/>
      </c>
    </row>
    <row r="52" spans="2:8">
      <c r="B52" s="27">
        <f t="shared" si="0"/>
        <v>48</v>
      </c>
      <c r="C52" s="27"/>
      <c r="D52" s="27"/>
      <c r="E52" s="54"/>
      <c r="F52" s="54"/>
      <c r="G52" s="54"/>
      <c r="H52" s="54" t="str">
        <f ca="1">IF(E52="","",OFFSET(分類!$B$29,E52,0))</f>
        <v/>
      </c>
    </row>
    <row r="53" spans="2:8">
      <c r="B53" s="27">
        <f t="shared" si="0"/>
        <v>49</v>
      </c>
      <c r="C53" s="27"/>
      <c r="D53" s="27"/>
      <c r="E53" s="54"/>
      <c r="F53" s="54"/>
      <c r="G53" s="54"/>
      <c r="H53" s="54" t="str">
        <f ca="1">IF(E53="","",OFFSET(分類!$B$29,E53,0))</f>
        <v/>
      </c>
    </row>
    <row r="54" spans="2:8">
      <c r="B54" s="27">
        <f t="shared" si="0"/>
        <v>50</v>
      </c>
      <c r="C54" s="27"/>
      <c r="D54" s="27"/>
      <c r="E54" s="54"/>
      <c r="F54" s="54"/>
      <c r="G54" s="54"/>
      <c r="H54" s="54" t="str">
        <f ca="1">IF(E54="","",OFFSET(分類!$B$29,E54,0))</f>
        <v/>
      </c>
    </row>
    <row r="55" spans="2:8">
      <c r="B55" s="27">
        <f t="shared" si="0"/>
        <v>51</v>
      </c>
      <c r="C55" s="27"/>
      <c r="D55" s="27"/>
      <c r="E55" s="54"/>
      <c r="F55" s="54"/>
      <c r="G55" s="54"/>
      <c r="H55" s="54" t="str">
        <f ca="1">IF(E55="","",OFFSET(分類!$B$29,E55,0))</f>
        <v/>
      </c>
    </row>
    <row r="56" spans="2:8">
      <c r="B56" s="27">
        <f t="shared" si="0"/>
        <v>52</v>
      </c>
      <c r="C56" s="27"/>
      <c r="D56" s="27"/>
      <c r="E56" s="54"/>
      <c r="F56" s="54"/>
      <c r="G56" s="54"/>
      <c r="H56" s="54" t="str">
        <f ca="1">IF(E56="","",OFFSET(分類!$B$29,E56,0))</f>
        <v/>
      </c>
    </row>
    <row r="57" spans="2:8">
      <c r="B57" s="27">
        <f t="shared" si="0"/>
        <v>53</v>
      </c>
      <c r="C57" s="27"/>
      <c r="D57" s="27"/>
      <c r="E57" s="54"/>
      <c r="F57" s="54"/>
      <c r="G57" s="54"/>
      <c r="H57" s="54" t="str">
        <f ca="1">IF(E57="","",OFFSET(分類!$B$29,E57,0))</f>
        <v/>
      </c>
    </row>
    <row r="58" spans="2:8">
      <c r="B58" s="27">
        <f t="shared" si="0"/>
        <v>54</v>
      </c>
      <c r="C58" s="27"/>
      <c r="D58" s="27"/>
      <c r="E58" s="54"/>
      <c r="F58" s="54"/>
      <c r="G58" s="54"/>
      <c r="H58" s="54" t="str">
        <f ca="1">IF(E58="","",OFFSET(分類!$B$29,E58,0))</f>
        <v/>
      </c>
    </row>
    <row r="59" spans="2:8">
      <c r="B59" s="27">
        <f t="shared" si="0"/>
        <v>55</v>
      </c>
      <c r="C59" s="27"/>
      <c r="D59" s="27"/>
      <c r="E59" s="54"/>
      <c r="F59" s="54"/>
      <c r="G59" s="54"/>
      <c r="H59" s="54" t="str">
        <f ca="1">IF(E59="","",OFFSET(分類!$B$29,E59,0))</f>
        <v/>
      </c>
    </row>
    <row r="60" spans="2:8">
      <c r="B60" s="27">
        <f t="shared" si="0"/>
        <v>56</v>
      </c>
      <c r="C60" s="27"/>
      <c r="D60" s="27"/>
      <c r="E60" s="54"/>
      <c r="F60" s="54"/>
      <c r="G60" s="54"/>
      <c r="H60" s="54" t="str">
        <f ca="1">IF(E60="","",OFFSET(分類!$B$29,E60,0))</f>
        <v/>
      </c>
    </row>
    <row r="61" spans="2:8">
      <c r="B61" s="27">
        <f t="shared" si="0"/>
        <v>57</v>
      </c>
      <c r="C61" s="27"/>
      <c r="D61" s="27"/>
      <c r="E61" s="54"/>
      <c r="F61" s="54"/>
      <c r="G61" s="54"/>
      <c r="H61" s="54" t="str">
        <f ca="1">IF(E61="","",OFFSET(分類!$B$29,E61,0))</f>
        <v/>
      </c>
    </row>
    <row r="62" spans="2:8">
      <c r="B62" s="27">
        <f t="shared" si="0"/>
        <v>58</v>
      </c>
      <c r="C62" s="27"/>
      <c r="D62" s="27"/>
      <c r="E62" s="54"/>
      <c r="F62" s="54"/>
      <c r="G62" s="54"/>
      <c r="H62" s="54" t="str">
        <f ca="1">IF(E62="","",OFFSET(分類!$B$29,E62,0))</f>
        <v/>
      </c>
    </row>
    <row r="63" spans="2:8">
      <c r="B63" s="27">
        <f t="shared" si="0"/>
        <v>59</v>
      </c>
      <c r="C63" s="27"/>
      <c r="D63" s="27"/>
      <c r="E63" s="54"/>
      <c r="F63" s="54"/>
      <c r="G63" s="54"/>
      <c r="H63" s="54" t="str">
        <f ca="1">IF(E63="","",OFFSET(分類!$B$29,E63,0))</f>
        <v/>
      </c>
    </row>
    <row r="64" spans="2:8">
      <c r="B64" s="27">
        <f t="shared" si="0"/>
        <v>60</v>
      </c>
      <c r="C64" s="27"/>
      <c r="D64" s="27"/>
      <c r="E64" s="54"/>
      <c r="F64" s="54"/>
      <c r="G64" s="54"/>
      <c r="H64" s="54" t="str">
        <f ca="1">IF(E64="","",OFFSET(分類!$B$29,E64,0))</f>
        <v/>
      </c>
    </row>
    <row r="65" spans="2:8">
      <c r="B65" s="27">
        <f t="shared" si="0"/>
        <v>61</v>
      </c>
      <c r="C65" s="27"/>
      <c r="D65" s="27"/>
      <c r="E65" s="54"/>
      <c r="F65" s="54"/>
      <c r="G65" s="54"/>
      <c r="H65" s="54" t="str">
        <f ca="1">IF(E65="","",OFFSET(分類!$B$29,E65,0))</f>
        <v/>
      </c>
    </row>
    <row r="66" spans="2:8">
      <c r="B66" s="27">
        <f t="shared" si="0"/>
        <v>62</v>
      </c>
      <c r="C66" s="27"/>
      <c r="D66" s="27"/>
      <c r="E66" s="54"/>
      <c r="F66" s="54"/>
      <c r="G66" s="54"/>
      <c r="H66" s="54" t="str">
        <f ca="1">IF(E66="","",OFFSET(分類!$B$29,E66,0))</f>
        <v/>
      </c>
    </row>
    <row r="67" spans="2:8">
      <c r="B67" s="27">
        <f t="shared" si="0"/>
        <v>63</v>
      </c>
      <c r="C67" s="27"/>
      <c r="D67" s="27"/>
      <c r="E67" s="54"/>
      <c r="F67" s="54"/>
      <c r="G67" s="54"/>
      <c r="H67" s="54" t="str">
        <f ca="1">IF(E67="","",OFFSET(分類!$B$29,E67,0))</f>
        <v/>
      </c>
    </row>
    <row r="68" spans="2:8">
      <c r="B68" s="27">
        <f t="shared" si="0"/>
        <v>64</v>
      </c>
      <c r="C68" s="27"/>
      <c r="D68" s="27"/>
      <c r="E68" s="54"/>
      <c r="F68" s="54"/>
      <c r="G68" s="54"/>
      <c r="H68" s="54" t="str">
        <f ca="1">IF(E68="","",OFFSET(分類!$B$29,E68,0))</f>
        <v/>
      </c>
    </row>
    <row r="69" spans="2:8">
      <c r="B69" s="27">
        <f t="shared" si="0"/>
        <v>65</v>
      </c>
      <c r="C69" s="27"/>
      <c r="D69" s="27"/>
      <c r="E69" s="54"/>
      <c r="F69" s="54"/>
      <c r="G69" s="54"/>
      <c r="H69" s="54" t="str">
        <f ca="1">IF(E69="","",OFFSET(分類!$B$29,E69,0))</f>
        <v/>
      </c>
    </row>
    <row r="70" spans="2:8">
      <c r="B70" s="27">
        <f t="shared" si="0"/>
        <v>66</v>
      </c>
      <c r="C70" s="27"/>
      <c r="D70" s="27"/>
      <c r="E70" s="54"/>
      <c r="F70" s="54"/>
      <c r="G70" s="54"/>
      <c r="H70" s="54" t="str">
        <f ca="1">IF(E70="","",OFFSET(分類!$B$29,E70,0))</f>
        <v/>
      </c>
    </row>
    <row r="71" spans="2:8">
      <c r="B71" s="27">
        <f t="shared" ref="B71:B134" si="1">B70+1</f>
        <v>67</v>
      </c>
      <c r="C71" s="27"/>
      <c r="D71" s="27"/>
      <c r="E71" s="54"/>
      <c r="F71" s="54"/>
      <c r="G71" s="54"/>
      <c r="H71" s="54" t="str">
        <f ca="1">IF(E71="","",OFFSET(分類!$B$29,E71,0))</f>
        <v/>
      </c>
    </row>
    <row r="72" spans="2:8">
      <c r="B72" s="27">
        <f t="shared" si="1"/>
        <v>68</v>
      </c>
      <c r="C72" s="27"/>
      <c r="D72" s="27"/>
      <c r="E72" s="54"/>
      <c r="F72" s="54"/>
      <c r="G72" s="54"/>
      <c r="H72" s="54" t="str">
        <f ca="1">IF(E72="","",OFFSET(分類!$B$29,E72,0))</f>
        <v/>
      </c>
    </row>
    <row r="73" spans="2:8">
      <c r="B73" s="27">
        <f t="shared" si="1"/>
        <v>69</v>
      </c>
      <c r="C73" s="27"/>
      <c r="D73" s="27"/>
      <c r="E73" s="54"/>
      <c r="F73" s="54"/>
      <c r="G73" s="54"/>
      <c r="H73" s="54" t="str">
        <f ca="1">IF(E73="","",OFFSET(分類!$B$29,E73,0))</f>
        <v/>
      </c>
    </row>
    <row r="74" spans="2:8">
      <c r="B74" s="27">
        <f t="shared" si="1"/>
        <v>70</v>
      </c>
      <c r="C74" s="27"/>
      <c r="D74" s="27"/>
      <c r="E74" s="54"/>
      <c r="F74" s="54"/>
      <c r="G74" s="54"/>
      <c r="H74" s="54" t="str">
        <f ca="1">IF(E74="","",OFFSET(分類!$B$29,E74,0))</f>
        <v/>
      </c>
    </row>
    <row r="75" spans="2:8">
      <c r="B75" s="27">
        <f t="shared" si="1"/>
        <v>71</v>
      </c>
      <c r="C75" s="27"/>
      <c r="D75" s="27"/>
      <c r="E75" s="54"/>
      <c r="F75" s="54"/>
      <c r="G75" s="54"/>
      <c r="H75" s="54" t="str">
        <f ca="1">IF(E75="","",OFFSET(分類!$B$29,E75,0))</f>
        <v/>
      </c>
    </row>
    <row r="76" spans="2:8">
      <c r="B76" s="27">
        <f t="shared" si="1"/>
        <v>72</v>
      </c>
      <c r="C76" s="27"/>
      <c r="D76" s="27"/>
      <c r="E76" s="54"/>
      <c r="F76" s="54"/>
      <c r="G76" s="54"/>
      <c r="H76" s="54" t="str">
        <f ca="1">IF(E76="","",OFFSET(分類!$B$29,E76,0))</f>
        <v/>
      </c>
    </row>
    <row r="77" spans="2:8">
      <c r="B77" s="27">
        <f t="shared" si="1"/>
        <v>73</v>
      </c>
      <c r="C77" s="27"/>
      <c r="D77" s="27"/>
      <c r="E77" s="54"/>
      <c r="F77" s="54"/>
      <c r="G77" s="54"/>
      <c r="H77" s="54" t="str">
        <f ca="1">IF(E77="","",OFFSET(分類!$B$29,E77,0))</f>
        <v/>
      </c>
    </row>
    <row r="78" spans="2:8">
      <c r="B78" s="27">
        <f t="shared" si="1"/>
        <v>74</v>
      </c>
      <c r="C78" s="27"/>
      <c r="D78" s="27"/>
      <c r="E78" s="54"/>
      <c r="F78" s="54"/>
      <c r="G78" s="54"/>
      <c r="H78" s="54" t="str">
        <f ca="1">IF(E78="","",OFFSET(分類!$B$29,E78,0))</f>
        <v/>
      </c>
    </row>
    <row r="79" spans="2:8">
      <c r="B79" s="27">
        <f t="shared" si="1"/>
        <v>75</v>
      </c>
      <c r="C79" s="27"/>
      <c r="D79" s="27"/>
      <c r="E79" s="54"/>
      <c r="F79" s="54"/>
      <c r="G79" s="54"/>
      <c r="H79" s="54" t="str">
        <f ca="1">IF(E79="","",OFFSET(分類!$B$29,E79,0))</f>
        <v/>
      </c>
    </row>
    <row r="80" spans="2:8">
      <c r="B80" s="27">
        <f t="shared" si="1"/>
        <v>76</v>
      </c>
      <c r="C80" s="27"/>
      <c r="D80" s="27"/>
      <c r="E80" s="54"/>
      <c r="F80" s="54"/>
      <c r="G80" s="54"/>
      <c r="H80" s="54" t="str">
        <f ca="1">IF(E80="","",OFFSET(分類!$B$29,E80,0))</f>
        <v/>
      </c>
    </row>
    <row r="81" spans="2:8">
      <c r="B81" s="27">
        <f t="shared" si="1"/>
        <v>77</v>
      </c>
      <c r="C81" s="27"/>
      <c r="D81" s="27"/>
      <c r="E81" s="54"/>
      <c r="F81" s="54"/>
      <c r="G81" s="54"/>
      <c r="H81" s="54" t="str">
        <f ca="1">IF(E81="","",OFFSET(分類!$B$29,E81,0))</f>
        <v/>
      </c>
    </row>
    <row r="82" spans="2:8">
      <c r="B82" s="27">
        <f t="shared" si="1"/>
        <v>78</v>
      </c>
      <c r="C82" s="27"/>
      <c r="D82" s="27"/>
      <c r="E82" s="54"/>
      <c r="F82" s="54"/>
      <c r="G82" s="54"/>
      <c r="H82" s="54" t="str">
        <f ca="1">IF(E82="","",OFFSET(分類!$B$29,E82,0))</f>
        <v/>
      </c>
    </row>
    <row r="83" spans="2:8">
      <c r="B83" s="27">
        <f t="shared" si="1"/>
        <v>79</v>
      </c>
      <c r="C83" s="27"/>
      <c r="D83" s="27"/>
      <c r="E83" s="54"/>
      <c r="F83" s="54"/>
      <c r="G83" s="54"/>
      <c r="H83" s="54" t="str">
        <f ca="1">IF(E83="","",OFFSET(分類!$B$29,E83,0))</f>
        <v/>
      </c>
    </row>
    <row r="84" spans="2:8">
      <c r="B84" s="27">
        <f t="shared" si="1"/>
        <v>80</v>
      </c>
      <c r="C84" s="27"/>
      <c r="D84" s="27"/>
      <c r="E84" s="54"/>
      <c r="F84" s="54"/>
      <c r="G84" s="54"/>
      <c r="H84" s="54" t="str">
        <f ca="1">IF(E84="","",OFFSET(分類!$B$29,E84,0))</f>
        <v/>
      </c>
    </row>
    <row r="85" spans="2:8">
      <c r="B85" s="27">
        <f t="shared" si="1"/>
        <v>81</v>
      </c>
      <c r="C85" s="27"/>
      <c r="D85" s="27"/>
      <c r="E85" s="54"/>
      <c r="F85" s="54"/>
      <c r="G85" s="54"/>
      <c r="H85" s="54" t="str">
        <f ca="1">IF(E85="","",OFFSET(分類!$B$29,E85,0))</f>
        <v/>
      </c>
    </row>
    <row r="86" spans="2:8">
      <c r="B86" s="27">
        <f t="shared" si="1"/>
        <v>82</v>
      </c>
      <c r="C86" s="27"/>
      <c r="D86" s="27"/>
      <c r="E86" s="54"/>
      <c r="F86" s="54"/>
      <c r="G86" s="54"/>
      <c r="H86" s="54" t="str">
        <f ca="1">IF(E86="","",OFFSET(分類!$B$29,E86,0))</f>
        <v/>
      </c>
    </row>
    <row r="87" spans="2:8">
      <c r="B87" s="27">
        <f t="shared" si="1"/>
        <v>83</v>
      </c>
      <c r="C87" s="27"/>
      <c r="D87" s="27"/>
      <c r="E87" s="54"/>
      <c r="F87" s="54"/>
      <c r="G87" s="54"/>
      <c r="H87" s="54" t="str">
        <f ca="1">IF(E87="","",OFFSET(分類!$B$29,E87,0))</f>
        <v/>
      </c>
    </row>
    <row r="88" spans="2:8">
      <c r="B88" s="27">
        <f t="shared" si="1"/>
        <v>84</v>
      </c>
      <c r="C88" s="27"/>
      <c r="D88" s="27"/>
      <c r="E88" s="54"/>
      <c r="F88" s="54"/>
      <c r="G88" s="54"/>
      <c r="H88" s="54" t="str">
        <f ca="1">IF(E88="","",OFFSET(分類!$B$29,E88,0))</f>
        <v/>
      </c>
    </row>
    <row r="89" spans="2:8">
      <c r="B89" s="27">
        <f t="shared" si="1"/>
        <v>85</v>
      </c>
      <c r="C89" s="27"/>
      <c r="D89" s="27"/>
      <c r="E89" s="54"/>
      <c r="F89" s="54"/>
      <c r="G89" s="54"/>
      <c r="H89" s="54" t="str">
        <f ca="1">IF(E89="","",OFFSET(分類!$B$29,E89,0))</f>
        <v/>
      </c>
    </row>
    <row r="90" spans="2:8">
      <c r="B90" s="27">
        <f t="shared" si="1"/>
        <v>86</v>
      </c>
      <c r="C90" s="27"/>
      <c r="D90" s="27"/>
      <c r="E90" s="54"/>
      <c r="F90" s="54"/>
      <c r="G90" s="54"/>
      <c r="H90" s="54" t="str">
        <f ca="1">IF(E90="","",OFFSET(分類!$B$29,E90,0))</f>
        <v/>
      </c>
    </row>
    <row r="91" spans="2:8">
      <c r="B91" s="27">
        <f t="shared" si="1"/>
        <v>87</v>
      </c>
      <c r="C91" s="27"/>
      <c r="D91" s="27"/>
      <c r="E91" s="54"/>
      <c r="F91" s="54"/>
      <c r="G91" s="54"/>
      <c r="H91" s="54" t="str">
        <f ca="1">IF(E91="","",OFFSET(分類!$B$29,E91,0))</f>
        <v/>
      </c>
    </row>
    <row r="92" spans="2:8">
      <c r="B92" s="27">
        <f t="shared" si="1"/>
        <v>88</v>
      </c>
      <c r="C92" s="27"/>
      <c r="D92" s="27"/>
      <c r="E92" s="54"/>
      <c r="F92" s="54"/>
      <c r="G92" s="54"/>
      <c r="H92" s="54" t="str">
        <f ca="1">IF(E92="","",OFFSET(分類!$B$29,E92,0))</f>
        <v/>
      </c>
    </row>
    <row r="93" spans="2:8">
      <c r="B93" s="27">
        <f t="shared" si="1"/>
        <v>89</v>
      </c>
      <c r="C93" s="27"/>
      <c r="D93" s="27"/>
      <c r="E93" s="54"/>
      <c r="F93" s="54"/>
      <c r="G93" s="54"/>
      <c r="H93" s="54" t="str">
        <f ca="1">IF(E93="","",OFFSET(分類!$B$29,E93,0))</f>
        <v/>
      </c>
    </row>
    <row r="94" spans="2:8">
      <c r="B94" s="27">
        <f t="shared" si="1"/>
        <v>90</v>
      </c>
      <c r="C94" s="27"/>
      <c r="D94" s="27"/>
      <c r="E94" s="54"/>
      <c r="F94" s="54"/>
      <c r="G94" s="54"/>
      <c r="H94" s="54" t="str">
        <f ca="1">IF(E94="","",OFFSET(分類!$B$29,E94,0))</f>
        <v/>
      </c>
    </row>
    <row r="95" spans="2:8">
      <c r="B95" s="27">
        <f t="shared" si="1"/>
        <v>91</v>
      </c>
      <c r="C95" s="27"/>
      <c r="D95" s="27"/>
      <c r="E95" s="54"/>
      <c r="F95" s="54"/>
      <c r="G95" s="54"/>
      <c r="H95" s="54" t="str">
        <f ca="1">IF(E95="","",OFFSET(分類!$B$29,E95,0))</f>
        <v/>
      </c>
    </row>
    <row r="96" spans="2:8">
      <c r="B96" s="27">
        <f t="shared" si="1"/>
        <v>92</v>
      </c>
      <c r="C96" s="27"/>
      <c r="D96" s="27"/>
      <c r="E96" s="54"/>
      <c r="F96" s="54"/>
      <c r="G96" s="54"/>
      <c r="H96" s="54" t="str">
        <f ca="1">IF(E96="","",OFFSET(分類!$B$29,E96,0))</f>
        <v/>
      </c>
    </row>
    <row r="97" spans="2:8">
      <c r="B97" s="27">
        <f t="shared" si="1"/>
        <v>93</v>
      </c>
      <c r="C97" s="27"/>
      <c r="D97" s="27"/>
      <c r="E97" s="54"/>
      <c r="F97" s="54"/>
      <c r="G97" s="54"/>
      <c r="H97" s="54" t="str">
        <f ca="1">IF(E97="","",OFFSET(分類!$B$29,E97,0))</f>
        <v/>
      </c>
    </row>
    <row r="98" spans="2:8">
      <c r="B98" s="27">
        <f t="shared" si="1"/>
        <v>94</v>
      </c>
      <c r="C98" s="27"/>
      <c r="D98" s="27"/>
      <c r="E98" s="54"/>
      <c r="F98" s="54"/>
      <c r="G98" s="54"/>
      <c r="H98" s="54" t="str">
        <f ca="1">IF(E98="","",OFFSET(分類!$B$29,E98,0))</f>
        <v/>
      </c>
    </row>
    <row r="99" spans="2:8">
      <c r="B99" s="27">
        <f t="shared" si="1"/>
        <v>95</v>
      </c>
      <c r="C99" s="27"/>
      <c r="D99" s="27"/>
      <c r="E99" s="54"/>
      <c r="F99" s="54"/>
      <c r="G99" s="54"/>
      <c r="H99" s="54" t="str">
        <f ca="1">IF(E99="","",OFFSET(分類!$B$29,E99,0))</f>
        <v/>
      </c>
    </row>
    <row r="100" spans="2:8">
      <c r="B100" s="27">
        <f t="shared" si="1"/>
        <v>96</v>
      </c>
      <c r="C100" s="27"/>
      <c r="D100" s="27"/>
      <c r="E100" s="54"/>
      <c r="F100" s="54"/>
      <c r="G100" s="54"/>
      <c r="H100" s="54" t="str">
        <f ca="1">IF(E100="","",OFFSET(分類!$B$29,E100,0))</f>
        <v/>
      </c>
    </row>
    <row r="101" spans="2:8">
      <c r="B101" s="27">
        <f t="shared" si="1"/>
        <v>97</v>
      </c>
      <c r="C101" s="27"/>
      <c r="D101" s="27"/>
      <c r="E101" s="54"/>
      <c r="F101" s="54"/>
      <c r="G101" s="54"/>
      <c r="H101" s="54" t="str">
        <f ca="1">IF(E101="","",OFFSET(分類!$B$29,E101,0))</f>
        <v/>
      </c>
    </row>
    <row r="102" spans="2:8">
      <c r="B102" s="27">
        <f t="shared" si="1"/>
        <v>98</v>
      </c>
      <c r="C102" s="27"/>
      <c r="D102" s="27"/>
      <c r="E102" s="54"/>
      <c r="F102" s="54"/>
      <c r="G102" s="54"/>
      <c r="H102" s="54" t="str">
        <f ca="1">IF(E102="","",OFFSET(分類!$B$29,E102,0))</f>
        <v/>
      </c>
    </row>
    <row r="103" spans="2:8">
      <c r="B103" s="27">
        <f t="shared" si="1"/>
        <v>99</v>
      </c>
      <c r="C103" s="27"/>
      <c r="D103" s="27"/>
      <c r="E103" s="54"/>
      <c r="F103" s="54"/>
      <c r="G103" s="54"/>
      <c r="H103" s="54" t="str">
        <f ca="1">IF(E103="","",OFFSET(分類!$B$29,E103,0))</f>
        <v/>
      </c>
    </row>
    <row r="104" spans="2:8">
      <c r="B104" s="27">
        <f t="shared" si="1"/>
        <v>100</v>
      </c>
      <c r="C104" s="27"/>
      <c r="D104" s="27"/>
      <c r="E104" s="54"/>
      <c r="F104" s="54"/>
      <c r="G104" s="54"/>
      <c r="H104" s="54" t="str">
        <f ca="1">IF(E104="","",OFFSET(分類!$B$29,E104,0))</f>
        <v/>
      </c>
    </row>
    <row r="105" spans="2:8">
      <c r="B105" s="27">
        <f t="shared" si="1"/>
        <v>101</v>
      </c>
      <c r="C105" s="27"/>
      <c r="D105" s="27"/>
      <c r="E105" s="54"/>
      <c r="F105" s="54"/>
      <c r="G105" s="54"/>
      <c r="H105" s="54" t="str">
        <f ca="1">IF(E105="","",OFFSET(分類!$B$29,E105,0))</f>
        <v/>
      </c>
    </row>
    <row r="106" spans="2:8">
      <c r="B106" s="27">
        <f t="shared" si="1"/>
        <v>102</v>
      </c>
      <c r="C106" s="27"/>
      <c r="D106" s="27"/>
      <c r="E106" s="54"/>
      <c r="F106" s="54"/>
      <c r="G106" s="54"/>
      <c r="H106" s="54" t="str">
        <f ca="1">IF(E106="","",OFFSET(分類!$B$29,E106,0))</f>
        <v/>
      </c>
    </row>
    <row r="107" spans="2:8">
      <c r="B107" s="27">
        <f t="shared" si="1"/>
        <v>103</v>
      </c>
      <c r="C107" s="27"/>
      <c r="D107" s="27"/>
      <c r="E107" s="54"/>
      <c r="F107" s="54"/>
      <c r="G107" s="54"/>
      <c r="H107" s="54" t="str">
        <f ca="1">IF(E107="","",OFFSET(分類!$B$29,E107,0))</f>
        <v/>
      </c>
    </row>
    <row r="108" spans="2:8">
      <c r="B108" s="27">
        <f t="shared" si="1"/>
        <v>104</v>
      </c>
      <c r="C108" s="27"/>
      <c r="D108" s="27"/>
      <c r="E108" s="54"/>
      <c r="F108" s="54"/>
      <c r="G108" s="54"/>
      <c r="H108" s="54" t="str">
        <f ca="1">IF(E108="","",OFFSET(分類!$B$29,E108,0))</f>
        <v/>
      </c>
    </row>
    <row r="109" spans="2:8">
      <c r="B109" s="27">
        <f t="shared" si="1"/>
        <v>105</v>
      </c>
      <c r="C109" s="27"/>
      <c r="D109" s="27"/>
      <c r="E109" s="54"/>
      <c r="F109" s="54"/>
      <c r="G109" s="54"/>
      <c r="H109" s="54" t="str">
        <f ca="1">IF(E109="","",OFFSET(分類!$B$29,E109,0))</f>
        <v/>
      </c>
    </row>
    <row r="110" spans="2:8">
      <c r="B110" s="27">
        <f t="shared" si="1"/>
        <v>106</v>
      </c>
      <c r="C110" s="27"/>
      <c r="D110" s="27"/>
      <c r="E110" s="54"/>
      <c r="F110" s="54"/>
      <c r="G110" s="54"/>
      <c r="H110" s="54" t="str">
        <f ca="1">IF(E110="","",OFFSET(分類!$B$29,E110,0))</f>
        <v/>
      </c>
    </row>
    <row r="111" spans="2:8">
      <c r="B111" s="27">
        <f t="shared" si="1"/>
        <v>107</v>
      </c>
      <c r="C111" s="27"/>
      <c r="D111" s="27"/>
      <c r="E111" s="54"/>
      <c r="F111" s="54"/>
      <c r="G111" s="54"/>
      <c r="H111" s="54" t="str">
        <f ca="1">IF(E111="","",OFFSET(分類!$B$29,E111,0))</f>
        <v/>
      </c>
    </row>
    <row r="112" spans="2:8">
      <c r="B112" s="27">
        <f t="shared" si="1"/>
        <v>108</v>
      </c>
      <c r="C112" s="27"/>
      <c r="D112" s="27"/>
      <c r="E112" s="54"/>
      <c r="F112" s="54"/>
      <c r="G112" s="54"/>
      <c r="H112" s="54" t="str">
        <f ca="1">IF(E112="","",OFFSET(分類!$B$29,E112,0))</f>
        <v/>
      </c>
    </row>
    <row r="113" spans="2:8">
      <c r="B113" s="27">
        <f t="shared" si="1"/>
        <v>109</v>
      </c>
      <c r="C113" s="27"/>
      <c r="D113" s="27"/>
      <c r="E113" s="54"/>
      <c r="F113" s="54"/>
      <c r="G113" s="54"/>
      <c r="H113" s="54" t="str">
        <f ca="1">IF(E113="","",OFFSET(分類!$B$29,E113,0))</f>
        <v/>
      </c>
    </row>
    <row r="114" spans="2:8">
      <c r="B114" s="27">
        <f t="shared" si="1"/>
        <v>110</v>
      </c>
      <c r="C114" s="27"/>
      <c r="D114" s="27"/>
      <c r="E114" s="54"/>
      <c r="F114" s="54"/>
      <c r="G114" s="54"/>
      <c r="H114" s="54" t="str">
        <f ca="1">IF(E114="","",OFFSET(分類!$B$29,E114,0))</f>
        <v/>
      </c>
    </row>
    <row r="115" spans="2:8">
      <c r="B115" s="27">
        <f t="shared" si="1"/>
        <v>111</v>
      </c>
      <c r="C115" s="27"/>
      <c r="D115" s="27"/>
      <c r="E115" s="54"/>
      <c r="F115" s="54"/>
      <c r="G115" s="54"/>
      <c r="H115" s="54" t="str">
        <f ca="1">IF(E115="","",OFFSET(分類!$B$29,E115,0))</f>
        <v/>
      </c>
    </row>
    <row r="116" spans="2:8">
      <c r="B116" s="27">
        <f t="shared" si="1"/>
        <v>112</v>
      </c>
      <c r="C116" s="27"/>
      <c r="D116" s="27"/>
      <c r="E116" s="54"/>
      <c r="F116" s="54"/>
      <c r="G116" s="54"/>
      <c r="H116" s="54" t="str">
        <f ca="1">IF(E116="","",OFFSET(分類!$B$29,E116,0))</f>
        <v/>
      </c>
    </row>
    <row r="117" spans="2:8">
      <c r="B117" s="27">
        <f t="shared" si="1"/>
        <v>113</v>
      </c>
      <c r="C117" s="27"/>
      <c r="D117" s="27"/>
      <c r="E117" s="54"/>
      <c r="F117" s="54"/>
      <c r="G117" s="54"/>
      <c r="H117" s="54" t="str">
        <f ca="1">IF(E117="","",OFFSET(分類!$B$29,E117,0))</f>
        <v/>
      </c>
    </row>
    <row r="118" spans="2:8">
      <c r="B118" s="27">
        <f t="shared" si="1"/>
        <v>114</v>
      </c>
      <c r="C118" s="27"/>
      <c r="D118" s="27"/>
      <c r="E118" s="54"/>
      <c r="F118" s="54"/>
      <c r="G118" s="54"/>
      <c r="H118" s="54" t="str">
        <f ca="1">IF(E118="","",OFFSET(分類!$B$29,E118,0))</f>
        <v/>
      </c>
    </row>
    <row r="119" spans="2:8">
      <c r="B119" s="27">
        <f t="shared" si="1"/>
        <v>115</v>
      </c>
      <c r="C119" s="27"/>
      <c r="D119" s="27"/>
      <c r="E119" s="54"/>
      <c r="F119" s="54"/>
      <c r="G119" s="54"/>
      <c r="H119" s="54" t="str">
        <f ca="1">IF(E119="","",OFFSET(分類!$B$29,E119,0))</f>
        <v/>
      </c>
    </row>
    <row r="120" spans="2:8">
      <c r="B120" s="27">
        <f t="shared" si="1"/>
        <v>116</v>
      </c>
      <c r="C120" s="27"/>
      <c r="D120" s="27"/>
      <c r="E120" s="54"/>
      <c r="F120" s="54"/>
      <c r="G120" s="54"/>
      <c r="H120" s="54" t="str">
        <f ca="1">IF(E120="","",OFFSET(分類!$B$29,E120,0))</f>
        <v/>
      </c>
    </row>
    <row r="121" spans="2:8">
      <c r="B121" s="27">
        <f t="shared" si="1"/>
        <v>117</v>
      </c>
      <c r="C121" s="27"/>
      <c r="D121" s="27"/>
      <c r="E121" s="54"/>
      <c r="F121" s="54"/>
      <c r="G121" s="54"/>
      <c r="H121" s="54" t="str">
        <f ca="1">IF(E121="","",OFFSET(分類!$B$29,E121,0))</f>
        <v/>
      </c>
    </row>
    <row r="122" spans="2:8">
      <c r="B122" s="27">
        <f t="shared" si="1"/>
        <v>118</v>
      </c>
      <c r="C122" s="27"/>
      <c r="D122" s="27"/>
      <c r="E122" s="54"/>
      <c r="F122" s="54"/>
      <c r="G122" s="54"/>
      <c r="H122" s="54" t="str">
        <f ca="1">IF(E122="","",OFFSET(分類!$B$29,E122,0))</f>
        <v/>
      </c>
    </row>
    <row r="123" spans="2:8">
      <c r="B123" s="27">
        <f t="shared" si="1"/>
        <v>119</v>
      </c>
      <c r="C123" s="27"/>
      <c r="D123" s="27"/>
      <c r="E123" s="54"/>
      <c r="F123" s="54"/>
      <c r="G123" s="54"/>
      <c r="H123" s="54" t="str">
        <f ca="1">IF(E123="","",OFFSET(分類!$B$29,E123,0))</f>
        <v/>
      </c>
    </row>
    <row r="124" spans="2:8">
      <c r="B124" s="27">
        <f t="shared" si="1"/>
        <v>120</v>
      </c>
      <c r="C124" s="27"/>
      <c r="D124" s="27"/>
      <c r="E124" s="54"/>
      <c r="F124" s="54"/>
      <c r="G124" s="54"/>
      <c r="H124" s="54" t="str">
        <f ca="1">IF(E124="","",OFFSET(分類!$B$29,E124,0))</f>
        <v/>
      </c>
    </row>
    <row r="125" spans="2:8">
      <c r="B125" s="27">
        <f t="shared" si="1"/>
        <v>121</v>
      </c>
      <c r="C125" s="27"/>
      <c r="D125" s="27"/>
      <c r="E125" s="54"/>
      <c r="F125" s="54"/>
      <c r="G125" s="54"/>
      <c r="H125" s="54" t="str">
        <f ca="1">IF(E125="","",OFFSET(分類!$B$29,E125,0))</f>
        <v/>
      </c>
    </row>
    <row r="126" spans="2:8">
      <c r="B126" s="27">
        <f t="shared" si="1"/>
        <v>122</v>
      </c>
      <c r="C126" s="27"/>
      <c r="D126" s="27"/>
      <c r="E126" s="54"/>
      <c r="F126" s="54"/>
      <c r="G126" s="54"/>
      <c r="H126" s="54" t="str">
        <f ca="1">IF(E126="","",OFFSET(分類!$B$29,E126,0))</f>
        <v/>
      </c>
    </row>
    <row r="127" spans="2:8">
      <c r="B127" s="27">
        <f t="shared" si="1"/>
        <v>123</v>
      </c>
      <c r="C127" s="27"/>
      <c r="D127" s="27"/>
      <c r="E127" s="54"/>
      <c r="F127" s="54"/>
      <c r="G127" s="54"/>
      <c r="H127" s="54" t="str">
        <f ca="1">IF(E127="","",OFFSET(分類!$B$29,E127,0))</f>
        <v/>
      </c>
    </row>
    <row r="128" spans="2:8">
      <c r="B128" s="27">
        <f t="shared" si="1"/>
        <v>124</v>
      </c>
      <c r="C128" s="27"/>
      <c r="D128" s="27"/>
      <c r="E128" s="54"/>
      <c r="F128" s="54"/>
      <c r="G128" s="54"/>
      <c r="H128" s="54" t="str">
        <f ca="1">IF(E128="","",OFFSET(分類!$B$29,E128,0))</f>
        <v/>
      </c>
    </row>
    <row r="129" spans="2:8">
      <c r="B129" s="27">
        <f t="shared" si="1"/>
        <v>125</v>
      </c>
      <c r="C129" s="27"/>
      <c r="D129" s="27"/>
      <c r="E129" s="54"/>
      <c r="F129" s="54"/>
      <c r="G129" s="54"/>
      <c r="H129" s="54" t="str">
        <f ca="1">IF(E129="","",OFFSET(分類!$B$29,E129,0))</f>
        <v/>
      </c>
    </row>
    <row r="130" spans="2:8">
      <c r="B130" s="27">
        <f t="shared" si="1"/>
        <v>126</v>
      </c>
      <c r="C130" s="27"/>
      <c r="D130" s="27"/>
      <c r="E130" s="54"/>
      <c r="F130" s="54"/>
      <c r="G130" s="54"/>
      <c r="H130" s="54" t="str">
        <f ca="1">IF(E130="","",OFFSET(分類!$B$29,E130,0))</f>
        <v/>
      </c>
    </row>
    <row r="131" spans="2:8">
      <c r="B131" s="27">
        <f t="shared" si="1"/>
        <v>127</v>
      </c>
      <c r="C131" s="27"/>
      <c r="D131" s="27"/>
      <c r="E131" s="54"/>
      <c r="F131" s="54"/>
      <c r="G131" s="54"/>
      <c r="H131" s="54" t="str">
        <f ca="1">IF(E131="","",OFFSET(分類!$B$29,E131,0))</f>
        <v/>
      </c>
    </row>
    <row r="132" spans="2:8">
      <c r="B132" s="27">
        <f t="shared" si="1"/>
        <v>128</v>
      </c>
      <c r="C132" s="27"/>
      <c r="D132" s="27"/>
      <c r="E132" s="54"/>
      <c r="F132" s="54"/>
      <c r="G132" s="54"/>
      <c r="H132" s="54" t="str">
        <f ca="1">IF(E132="","",OFFSET(分類!$B$29,E132,0))</f>
        <v/>
      </c>
    </row>
    <row r="133" spans="2:8">
      <c r="B133" s="27">
        <f t="shared" si="1"/>
        <v>129</v>
      </c>
      <c r="C133" s="27"/>
      <c r="D133" s="27"/>
      <c r="E133" s="54"/>
      <c r="F133" s="54"/>
      <c r="G133" s="54"/>
      <c r="H133" s="54" t="str">
        <f ca="1">IF(E133="","",OFFSET(分類!$B$29,E133,0))</f>
        <v/>
      </c>
    </row>
    <row r="134" spans="2:8">
      <c r="B134" s="27">
        <f t="shared" si="1"/>
        <v>130</v>
      </c>
      <c r="C134" s="27"/>
      <c r="D134" s="27"/>
      <c r="E134" s="54"/>
      <c r="F134" s="54"/>
      <c r="G134" s="54"/>
      <c r="H134" s="54" t="str">
        <f ca="1">IF(E134="","",OFFSET(分類!$B$29,E134,0))</f>
        <v/>
      </c>
    </row>
    <row r="135" spans="2:8">
      <c r="B135" s="27">
        <f t="shared" ref="B135:B198" si="2">B134+1</f>
        <v>131</v>
      </c>
      <c r="C135" s="27"/>
      <c r="D135" s="27"/>
      <c r="E135" s="54"/>
      <c r="F135" s="54"/>
      <c r="G135" s="54"/>
      <c r="H135" s="54" t="str">
        <f ca="1">IF(E135="","",OFFSET(分類!$B$29,E135,0))</f>
        <v/>
      </c>
    </row>
    <row r="136" spans="2:8">
      <c r="B136" s="27">
        <f t="shared" si="2"/>
        <v>132</v>
      </c>
      <c r="C136" s="27"/>
      <c r="D136" s="27"/>
      <c r="E136" s="54"/>
      <c r="F136" s="54"/>
      <c r="G136" s="54"/>
      <c r="H136" s="54" t="str">
        <f ca="1">IF(E136="","",OFFSET(分類!$B$29,E136,0))</f>
        <v/>
      </c>
    </row>
    <row r="137" spans="2:8">
      <c r="B137" s="27">
        <f t="shared" si="2"/>
        <v>133</v>
      </c>
      <c r="C137" s="27"/>
      <c r="D137" s="27"/>
      <c r="E137" s="54"/>
      <c r="F137" s="54"/>
      <c r="G137" s="54"/>
      <c r="H137" s="54" t="str">
        <f ca="1">IF(E137="","",OFFSET(分類!$B$29,E137,0))</f>
        <v/>
      </c>
    </row>
    <row r="138" spans="2:8">
      <c r="B138" s="27">
        <f t="shared" si="2"/>
        <v>134</v>
      </c>
      <c r="C138" s="27"/>
      <c r="D138" s="27"/>
      <c r="E138" s="54"/>
      <c r="F138" s="54"/>
      <c r="G138" s="54"/>
      <c r="H138" s="54" t="str">
        <f ca="1">IF(E138="","",OFFSET(分類!$B$29,E138,0))</f>
        <v/>
      </c>
    </row>
    <row r="139" spans="2:8">
      <c r="B139" s="27">
        <f t="shared" si="2"/>
        <v>135</v>
      </c>
      <c r="C139" s="27"/>
      <c r="D139" s="27"/>
      <c r="E139" s="54"/>
      <c r="F139" s="54"/>
      <c r="G139" s="54"/>
      <c r="H139" s="54" t="str">
        <f ca="1">IF(E139="","",OFFSET(分類!$B$29,E139,0))</f>
        <v/>
      </c>
    </row>
    <row r="140" spans="2:8">
      <c r="B140" s="27">
        <f t="shared" si="2"/>
        <v>136</v>
      </c>
      <c r="C140" s="27"/>
      <c r="D140" s="27"/>
      <c r="E140" s="54"/>
      <c r="F140" s="54"/>
      <c r="G140" s="54"/>
      <c r="H140" s="54" t="str">
        <f ca="1">IF(E140="","",OFFSET(分類!$B$29,E140,0))</f>
        <v/>
      </c>
    </row>
    <row r="141" spans="2:8">
      <c r="B141" s="27">
        <f t="shared" si="2"/>
        <v>137</v>
      </c>
      <c r="C141" s="27"/>
      <c r="D141" s="27"/>
      <c r="E141" s="54"/>
      <c r="F141" s="54"/>
      <c r="G141" s="54"/>
      <c r="H141" s="54" t="str">
        <f ca="1">IF(E141="","",OFFSET(分類!$B$29,E141,0))</f>
        <v/>
      </c>
    </row>
    <row r="142" spans="2:8">
      <c r="B142" s="27">
        <f t="shared" si="2"/>
        <v>138</v>
      </c>
      <c r="C142" s="27"/>
      <c r="D142" s="27"/>
      <c r="E142" s="54"/>
      <c r="F142" s="54"/>
      <c r="G142" s="54"/>
      <c r="H142" s="54" t="str">
        <f ca="1">IF(E142="","",OFFSET(分類!$B$29,E142,0))</f>
        <v/>
      </c>
    </row>
    <row r="143" spans="2:8">
      <c r="B143" s="27">
        <f t="shared" si="2"/>
        <v>139</v>
      </c>
      <c r="C143" s="27"/>
      <c r="D143" s="27"/>
      <c r="E143" s="54"/>
      <c r="F143" s="54"/>
      <c r="G143" s="54"/>
      <c r="H143" s="54" t="str">
        <f ca="1">IF(E143="","",OFFSET(分類!$B$29,E143,0))</f>
        <v/>
      </c>
    </row>
    <row r="144" spans="2:8">
      <c r="B144" s="27">
        <f t="shared" si="2"/>
        <v>140</v>
      </c>
      <c r="C144" s="27"/>
      <c r="D144" s="27"/>
      <c r="E144" s="54"/>
      <c r="F144" s="54"/>
      <c r="G144" s="54"/>
      <c r="H144" s="54" t="str">
        <f ca="1">IF(E144="","",OFFSET(分類!$B$29,E144,0))</f>
        <v/>
      </c>
    </row>
    <row r="145" spans="2:8">
      <c r="B145" s="27">
        <f t="shared" si="2"/>
        <v>141</v>
      </c>
      <c r="C145" s="27"/>
      <c r="D145" s="27"/>
      <c r="E145" s="54"/>
      <c r="F145" s="54"/>
      <c r="G145" s="54"/>
      <c r="H145" s="54" t="str">
        <f ca="1">IF(E145="","",OFFSET(分類!$B$29,E145,0))</f>
        <v/>
      </c>
    </row>
    <row r="146" spans="2:8">
      <c r="B146" s="27">
        <f t="shared" si="2"/>
        <v>142</v>
      </c>
      <c r="C146" s="27"/>
      <c r="D146" s="27"/>
      <c r="E146" s="54"/>
      <c r="F146" s="54"/>
      <c r="G146" s="54"/>
      <c r="H146" s="54" t="str">
        <f ca="1">IF(E146="","",OFFSET(分類!$B$29,E146,0))</f>
        <v/>
      </c>
    </row>
    <row r="147" spans="2:8">
      <c r="B147" s="27">
        <f t="shared" si="2"/>
        <v>143</v>
      </c>
      <c r="C147" s="27"/>
      <c r="D147" s="27"/>
      <c r="E147" s="54"/>
      <c r="F147" s="54"/>
      <c r="G147" s="54"/>
      <c r="H147" s="54" t="str">
        <f ca="1">IF(E147="","",OFFSET(分類!$B$29,E147,0))</f>
        <v/>
      </c>
    </row>
    <row r="148" spans="2:8">
      <c r="B148" s="27">
        <f t="shared" si="2"/>
        <v>144</v>
      </c>
      <c r="C148" s="27"/>
      <c r="D148" s="27"/>
      <c r="E148" s="54"/>
      <c r="F148" s="54"/>
      <c r="G148" s="54"/>
      <c r="H148" s="54" t="str">
        <f ca="1">IF(E148="","",OFFSET(分類!$B$29,E148,0))</f>
        <v/>
      </c>
    </row>
    <row r="149" spans="2:8">
      <c r="B149" s="27">
        <f t="shared" si="2"/>
        <v>145</v>
      </c>
      <c r="C149" s="27"/>
      <c r="D149" s="27"/>
      <c r="E149" s="54"/>
      <c r="F149" s="54"/>
      <c r="G149" s="54"/>
      <c r="H149" s="54" t="str">
        <f ca="1">IF(E149="","",OFFSET(分類!$B$29,E149,0))</f>
        <v/>
      </c>
    </row>
    <row r="150" spans="2:8">
      <c r="B150" s="27">
        <f t="shared" si="2"/>
        <v>146</v>
      </c>
      <c r="C150" s="27"/>
      <c r="D150" s="27"/>
      <c r="E150" s="54"/>
      <c r="F150" s="54"/>
      <c r="G150" s="54"/>
      <c r="H150" s="54" t="str">
        <f ca="1">IF(E150="","",OFFSET(分類!$B$29,E150,0))</f>
        <v/>
      </c>
    </row>
    <row r="151" spans="2:8">
      <c r="B151" s="27">
        <f t="shared" si="2"/>
        <v>147</v>
      </c>
      <c r="C151" s="27"/>
      <c r="D151" s="27"/>
      <c r="E151" s="54"/>
      <c r="F151" s="54"/>
      <c r="G151" s="54"/>
      <c r="H151" s="54" t="str">
        <f ca="1">IF(E151="","",OFFSET(分類!$B$29,E151,0))</f>
        <v/>
      </c>
    </row>
    <row r="152" spans="2:8">
      <c r="B152" s="27">
        <f t="shared" si="2"/>
        <v>148</v>
      </c>
      <c r="C152" s="27"/>
      <c r="D152" s="27"/>
      <c r="E152" s="54"/>
      <c r="F152" s="54"/>
      <c r="G152" s="54"/>
      <c r="H152" s="54" t="str">
        <f ca="1">IF(E152="","",OFFSET(分類!$B$29,E152,0))</f>
        <v/>
      </c>
    </row>
    <row r="153" spans="2:8">
      <c r="B153" s="27">
        <f t="shared" si="2"/>
        <v>149</v>
      </c>
      <c r="C153" s="27"/>
      <c r="D153" s="27"/>
      <c r="E153" s="54"/>
      <c r="F153" s="54"/>
      <c r="G153" s="54"/>
      <c r="H153" s="54" t="str">
        <f ca="1">IF(E153="","",OFFSET(分類!$B$29,E153,0))</f>
        <v/>
      </c>
    </row>
    <row r="154" spans="2:8">
      <c r="B154" s="27">
        <f t="shared" si="2"/>
        <v>150</v>
      </c>
      <c r="C154" s="27"/>
      <c r="D154" s="27"/>
      <c r="E154" s="54"/>
      <c r="F154" s="54"/>
      <c r="G154" s="54"/>
      <c r="H154" s="54" t="str">
        <f ca="1">IF(E154="","",OFFSET(分類!$B$29,E154,0))</f>
        <v/>
      </c>
    </row>
    <row r="155" spans="2:8">
      <c r="B155" s="27">
        <f t="shared" si="2"/>
        <v>151</v>
      </c>
      <c r="C155" s="27"/>
      <c r="D155" s="27"/>
      <c r="E155" s="54"/>
      <c r="F155" s="54"/>
      <c r="G155" s="54"/>
      <c r="H155" s="54" t="str">
        <f ca="1">IF(E155="","",OFFSET(分類!$B$29,E155,0))</f>
        <v/>
      </c>
    </row>
    <row r="156" spans="2:8">
      <c r="B156" s="27">
        <f t="shared" si="2"/>
        <v>152</v>
      </c>
      <c r="C156" s="27"/>
      <c r="D156" s="27"/>
      <c r="E156" s="54"/>
      <c r="F156" s="54"/>
      <c r="G156" s="54"/>
      <c r="H156" s="54" t="str">
        <f ca="1">IF(E156="","",OFFSET(分類!$B$29,E156,0))</f>
        <v/>
      </c>
    </row>
    <row r="157" spans="2:8">
      <c r="B157" s="27">
        <f t="shared" si="2"/>
        <v>153</v>
      </c>
      <c r="C157" s="27"/>
      <c r="D157" s="27"/>
      <c r="E157" s="54"/>
      <c r="F157" s="54"/>
      <c r="G157" s="54"/>
      <c r="H157" s="54" t="str">
        <f ca="1">IF(E157="","",OFFSET(分類!$B$29,E157,0))</f>
        <v/>
      </c>
    </row>
    <row r="158" spans="2:8">
      <c r="B158" s="27">
        <f t="shared" si="2"/>
        <v>154</v>
      </c>
      <c r="C158" s="27"/>
      <c r="D158" s="27"/>
      <c r="E158" s="54"/>
      <c r="F158" s="54"/>
      <c r="G158" s="54"/>
      <c r="H158" s="54" t="str">
        <f ca="1">IF(E158="","",OFFSET(分類!$B$29,E158,0))</f>
        <v/>
      </c>
    </row>
    <row r="159" spans="2:8">
      <c r="B159" s="27">
        <f t="shared" si="2"/>
        <v>155</v>
      </c>
      <c r="C159" s="27"/>
      <c r="D159" s="27"/>
      <c r="E159" s="54"/>
      <c r="F159" s="54"/>
      <c r="G159" s="54"/>
      <c r="H159" s="54" t="str">
        <f ca="1">IF(E159="","",OFFSET(分類!$B$29,E159,0))</f>
        <v/>
      </c>
    </row>
    <row r="160" spans="2:8">
      <c r="B160" s="27">
        <f t="shared" si="2"/>
        <v>156</v>
      </c>
      <c r="C160" s="27"/>
      <c r="D160" s="27"/>
      <c r="E160" s="54"/>
      <c r="F160" s="54"/>
      <c r="G160" s="54"/>
      <c r="H160" s="54" t="str">
        <f ca="1">IF(E160="","",OFFSET(分類!$B$29,E160,0))</f>
        <v/>
      </c>
    </row>
    <row r="161" spans="2:8">
      <c r="B161" s="27">
        <f t="shared" si="2"/>
        <v>157</v>
      </c>
      <c r="C161" s="27"/>
      <c r="D161" s="27"/>
      <c r="E161" s="54"/>
      <c r="F161" s="54"/>
      <c r="G161" s="54"/>
      <c r="H161" s="54" t="str">
        <f ca="1">IF(E161="","",OFFSET(分類!$B$29,E161,0))</f>
        <v/>
      </c>
    </row>
    <row r="162" spans="2:8">
      <c r="B162" s="27">
        <f t="shared" si="2"/>
        <v>158</v>
      </c>
      <c r="C162" s="27"/>
      <c r="D162" s="27"/>
      <c r="E162" s="54"/>
      <c r="F162" s="54"/>
      <c r="G162" s="54"/>
      <c r="H162" s="54" t="str">
        <f ca="1">IF(E162="","",OFFSET(分類!$B$29,E162,0))</f>
        <v/>
      </c>
    </row>
    <row r="163" spans="2:8">
      <c r="B163" s="27">
        <f t="shared" si="2"/>
        <v>159</v>
      </c>
      <c r="C163" s="27"/>
      <c r="D163" s="27"/>
      <c r="E163" s="54"/>
      <c r="F163" s="54"/>
      <c r="G163" s="54"/>
      <c r="H163" s="54" t="str">
        <f ca="1">IF(E163="","",OFFSET(分類!$B$29,E163,0))</f>
        <v/>
      </c>
    </row>
    <row r="164" spans="2:8">
      <c r="B164" s="27">
        <f t="shared" si="2"/>
        <v>160</v>
      </c>
      <c r="C164" s="27"/>
      <c r="D164" s="27"/>
      <c r="E164" s="54"/>
      <c r="F164" s="54"/>
      <c r="G164" s="54"/>
      <c r="H164" s="54" t="str">
        <f ca="1">IF(E164="","",OFFSET(分類!$B$29,E164,0))</f>
        <v/>
      </c>
    </row>
    <row r="165" spans="2:8">
      <c r="B165" s="27">
        <f t="shared" si="2"/>
        <v>161</v>
      </c>
      <c r="C165" s="27"/>
      <c r="D165" s="27"/>
      <c r="E165" s="54"/>
      <c r="F165" s="54"/>
      <c r="G165" s="54"/>
      <c r="H165" s="54" t="str">
        <f ca="1">IF(E165="","",OFFSET(分類!$B$29,E165,0))</f>
        <v/>
      </c>
    </row>
    <row r="166" spans="2:8">
      <c r="B166" s="27">
        <f t="shared" si="2"/>
        <v>162</v>
      </c>
      <c r="C166" s="27"/>
      <c r="D166" s="27"/>
      <c r="E166" s="54"/>
      <c r="F166" s="54"/>
      <c r="G166" s="54"/>
      <c r="H166" s="54" t="str">
        <f ca="1">IF(E166="","",OFFSET(分類!$B$29,E166,0))</f>
        <v/>
      </c>
    </row>
    <row r="167" spans="2:8">
      <c r="B167" s="27">
        <f t="shared" si="2"/>
        <v>163</v>
      </c>
      <c r="C167" s="27"/>
      <c r="D167" s="27"/>
      <c r="E167" s="54"/>
      <c r="F167" s="54"/>
      <c r="G167" s="54"/>
      <c r="H167" s="54" t="str">
        <f ca="1">IF(E167="","",OFFSET(分類!$B$29,E167,0))</f>
        <v/>
      </c>
    </row>
    <row r="168" spans="2:8">
      <c r="B168" s="27">
        <f t="shared" si="2"/>
        <v>164</v>
      </c>
      <c r="C168" s="27"/>
      <c r="D168" s="27"/>
      <c r="E168" s="54"/>
      <c r="F168" s="54"/>
      <c r="G168" s="54"/>
      <c r="H168" s="54" t="str">
        <f ca="1">IF(E168="","",OFFSET(分類!$B$29,E168,0))</f>
        <v/>
      </c>
    </row>
    <row r="169" spans="2:8">
      <c r="B169" s="27">
        <f t="shared" si="2"/>
        <v>165</v>
      </c>
      <c r="C169" s="27"/>
      <c r="D169" s="27"/>
      <c r="E169" s="54"/>
      <c r="F169" s="54"/>
      <c r="G169" s="54"/>
      <c r="H169" s="54" t="str">
        <f ca="1">IF(E169="","",OFFSET(分類!$B$29,E169,0))</f>
        <v/>
      </c>
    </row>
    <row r="170" spans="2:8">
      <c r="B170" s="27">
        <f t="shared" si="2"/>
        <v>166</v>
      </c>
      <c r="C170" s="27"/>
      <c r="D170" s="27"/>
      <c r="E170" s="54"/>
      <c r="F170" s="54"/>
      <c r="G170" s="54"/>
      <c r="H170" s="54" t="str">
        <f ca="1">IF(E170="","",OFFSET(分類!$B$29,E170,0))</f>
        <v/>
      </c>
    </row>
    <row r="171" spans="2:8">
      <c r="B171" s="27">
        <f t="shared" si="2"/>
        <v>167</v>
      </c>
      <c r="C171" s="27"/>
      <c r="D171" s="27"/>
      <c r="E171" s="54"/>
      <c r="F171" s="54"/>
      <c r="G171" s="54"/>
      <c r="H171" s="54" t="str">
        <f ca="1">IF(E171="","",OFFSET(分類!$B$29,E171,0))</f>
        <v/>
      </c>
    </row>
    <row r="172" spans="2:8">
      <c r="B172" s="27">
        <f t="shared" si="2"/>
        <v>168</v>
      </c>
      <c r="C172" s="27"/>
      <c r="D172" s="27"/>
      <c r="E172" s="54"/>
      <c r="F172" s="54"/>
      <c r="G172" s="54"/>
      <c r="H172" s="54" t="str">
        <f ca="1">IF(E172="","",OFFSET(分類!$B$29,E172,0))</f>
        <v/>
      </c>
    </row>
    <row r="173" spans="2:8">
      <c r="B173" s="27">
        <f t="shared" si="2"/>
        <v>169</v>
      </c>
      <c r="C173" s="27"/>
      <c r="D173" s="27"/>
      <c r="E173" s="54"/>
      <c r="F173" s="54"/>
      <c r="G173" s="54"/>
      <c r="H173" s="54" t="str">
        <f ca="1">IF(E173="","",OFFSET(分類!$B$29,E173,0))</f>
        <v/>
      </c>
    </row>
    <row r="174" spans="2:8">
      <c r="B174" s="27">
        <f t="shared" si="2"/>
        <v>170</v>
      </c>
      <c r="C174" s="27"/>
      <c r="D174" s="27"/>
      <c r="E174" s="54"/>
      <c r="F174" s="54"/>
      <c r="G174" s="54"/>
      <c r="H174" s="54" t="str">
        <f ca="1">IF(E174="","",OFFSET(分類!$B$29,E174,0))</f>
        <v/>
      </c>
    </row>
    <row r="175" spans="2:8">
      <c r="B175" s="27">
        <f t="shared" si="2"/>
        <v>171</v>
      </c>
      <c r="C175" s="27"/>
      <c r="D175" s="27"/>
      <c r="E175" s="54"/>
      <c r="F175" s="54"/>
      <c r="G175" s="54"/>
      <c r="H175" s="54" t="str">
        <f ca="1">IF(E175="","",OFFSET(分類!$B$29,E175,0))</f>
        <v/>
      </c>
    </row>
    <row r="176" spans="2:8">
      <c r="B176" s="27">
        <f t="shared" si="2"/>
        <v>172</v>
      </c>
      <c r="C176" s="27"/>
      <c r="D176" s="27"/>
      <c r="E176" s="54"/>
      <c r="F176" s="54"/>
      <c r="G176" s="54"/>
      <c r="H176" s="54" t="str">
        <f ca="1">IF(E176="","",OFFSET(分類!$B$29,E176,0))</f>
        <v/>
      </c>
    </row>
    <row r="177" spans="2:8">
      <c r="B177" s="27">
        <f t="shared" si="2"/>
        <v>173</v>
      </c>
      <c r="C177" s="27"/>
      <c r="D177" s="27"/>
      <c r="E177" s="54"/>
      <c r="F177" s="54"/>
      <c r="G177" s="54"/>
      <c r="H177" s="54" t="str">
        <f ca="1">IF(E177="","",OFFSET(分類!$B$29,E177,0))</f>
        <v/>
      </c>
    </row>
    <row r="178" spans="2:8">
      <c r="B178" s="27">
        <f t="shared" si="2"/>
        <v>174</v>
      </c>
      <c r="C178" s="27"/>
      <c r="D178" s="27"/>
      <c r="E178" s="54"/>
      <c r="F178" s="54"/>
      <c r="G178" s="54"/>
      <c r="H178" s="54" t="str">
        <f ca="1">IF(E178="","",OFFSET(分類!$B$29,E178,0))</f>
        <v/>
      </c>
    </row>
    <row r="179" spans="2:8">
      <c r="B179" s="27">
        <f t="shared" si="2"/>
        <v>175</v>
      </c>
      <c r="C179" s="27"/>
      <c r="D179" s="27"/>
      <c r="E179" s="54"/>
      <c r="F179" s="54"/>
      <c r="G179" s="54"/>
      <c r="H179" s="54" t="str">
        <f ca="1">IF(E179="","",OFFSET(分類!$B$29,E179,0))</f>
        <v/>
      </c>
    </row>
    <row r="180" spans="2:8">
      <c r="B180" s="27">
        <f t="shared" si="2"/>
        <v>176</v>
      </c>
      <c r="C180" s="27"/>
      <c r="D180" s="27"/>
      <c r="E180" s="54"/>
      <c r="F180" s="54"/>
      <c r="G180" s="54"/>
      <c r="H180" s="54" t="str">
        <f ca="1">IF(E180="","",OFFSET(分類!$B$29,E180,0))</f>
        <v/>
      </c>
    </row>
    <row r="181" spans="2:8">
      <c r="B181" s="27">
        <f t="shared" si="2"/>
        <v>177</v>
      </c>
      <c r="C181" s="27"/>
      <c r="D181" s="27"/>
      <c r="E181" s="54"/>
      <c r="F181" s="54"/>
      <c r="G181" s="54"/>
      <c r="H181" s="54" t="str">
        <f ca="1">IF(E181="","",OFFSET(分類!$B$29,E181,0))</f>
        <v/>
      </c>
    </row>
    <row r="182" spans="2:8">
      <c r="B182" s="27">
        <f t="shared" si="2"/>
        <v>178</v>
      </c>
      <c r="C182" s="27"/>
      <c r="D182" s="27"/>
      <c r="E182" s="54"/>
      <c r="F182" s="54"/>
      <c r="G182" s="54"/>
      <c r="H182" s="54" t="str">
        <f ca="1">IF(E182="","",OFFSET(分類!$B$29,E182,0))</f>
        <v/>
      </c>
    </row>
    <row r="183" spans="2:8">
      <c r="B183" s="27">
        <f t="shared" si="2"/>
        <v>179</v>
      </c>
      <c r="C183" s="27"/>
      <c r="D183" s="27"/>
      <c r="E183" s="54"/>
      <c r="F183" s="54"/>
      <c r="G183" s="54"/>
      <c r="H183" s="54" t="str">
        <f ca="1">IF(E183="","",OFFSET(分類!$B$29,E183,0))</f>
        <v/>
      </c>
    </row>
    <row r="184" spans="2:8">
      <c r="B184" s="27">
        <f t="shared" si="2"/>
        <v>180</v>
      </c>
      <c r="C184" s="27"/>
      <c r="D184" s="27"/>
      <c r="E184" s="54"/>
      <c r="F184" s="54"/>
      <c r="G184" s="54"/>
      <c r="H184" s="54" t="str">
        <f ca="1">IF(E184="","",OFFSET(分類!$B$29,E184,0))</f>
        <v/>
      </c>
    </row>
    <row r="185" spans="2:8">
      <c r="B185" s="27">
        <f t="shared" si="2"/>
        <v>181</v>
      </c>
      <c r="C185" s="27"/>
      <c r="D185" s="27"/>
      <c r="E185" s="54"/>
      <c r="F185" s="54"/>
      <c r="G185" s="54"/>
      <c r="H185" s="54" t="str">
        <f ca="1">IF(E185="","",OFFSET(分類!$B$29,E185,0))</f>
        <v/>
      </c>
    </row>
    <row r="186" spans="2:8">
      <c r="B186" s="27">
        <f t="shared" si="2"/>
        <v>182</v>
      </c>
      <c r="C186" s="27"/>
      <c r="D186" s="27"/>
      <c r="E186" s="54"/>
      <c r="F186" s="54"/>
      <c r="G186" s="54"/>
      <c r="H186" s="54" t="str">
        <f ca="1">IF(E186="","",OFFSET(分類!$B$29,E186,0))</f>
        <v/>
      </c>
    </row>
    <row r="187" spans="2:8">
      <c r="B187" s="27">
        <f t="shared" si="2"/>
        <v>183</v>
      </c>
      <c r="C187" s="27"/>
      <c r="D187" s="27"/>
      <c r="E187" s="54"/>
      <c r="F187" s="54"/>
      <c r="G187" s="54"/>
      <c r="H187" s="54" t="str">
        <f ca="1">IF(E187="","",OFFSET(分類!$B$29,E187,0))</f>
        <v/>
      </c>
    </row>
    <row r="188" spans="2:8">
      <c r="B188" s="27">
        <f t="shared" si="2"/>
        <v>184</v>
      </c>
      <c r="C188" s="27"/>
      <c r="D188" s="27"/>
      <c r="E188" s="54"/>
      <c r="F188" s="54"/>
      <c r="G188" s="54"/>
      <c r="H188" s="54" t="str">
        <f ca="1">IF(E188="","",OFFSET(分類!$B$29,E188,0))</f>
        <v/>
      </c>
    </row>
    <row r="189" spans="2:8">
      <c r="B189" s="27">
        <f t="shared" si="2"/>
        <v>185</v>
      </c>
      <c r="C189" s="27"/>
      <c r="D189" s="27"/>
      <c r="E189" s="54"/>
      <c r="F189" s="54"/>
      <c r="G189" s="54"/>
      <c r="H189" s="54" t="str">
        <f ca="1">IF(E189="","",OFFSET(分類!$B$29,E189,0))</f>
        <v/>
      </c>
    </row>
    <row r="190" spans="2:8">
      <c r="B190" s="27">
        <f t="shared" si="2"/>
        <v>186</v>
      </c>
      <c r="C190" s="27"/>
      <c r="D190" s="27"/>
      <c r="E190" s="54"/>
      <c r="F190" s="54"/>
      <c r="G190" s="54"/>
      <c r="H190" s="54" t="str">
        <f ca="1">IF(E190="","",OFFSET(分類!$B$29,E190,0))</f>
        <v/>
      </c>
    </row>
    <row r="191" spans="2:8">
      <c r="B191" s="27">
        <f t="shared" si="2"/>
        <v>187</v>
      </c>
      <c r="C191" s="27"/>
      <c r="D191" s="27"/>
      <c r="E191" s="54"/>
      <c r="F191" s="54"/>
      <c r="G191" s="54"/>
      <c r="H191" s="54" t="str">
        <f ca="1">IF(E191="","",OFFSET(分類!$B$29,E191,0))</f>
        <v/>
      </c>
    </row>
    <row r="192" spans="2:8">
      <c r="B192" s="27">
        <f t="shared" si="2"/>
        <v>188</v>
      </c>
      <c r="C192" s="27"/>
      <c r="D192" s="27"/>
      <c r="E192" s="54"/>
      <c r="F192" s="54"/>
      <c r="G192" s="54"/>
      <c r="H192" s="54" t="str">
        <f ca="1">IF(E192="","",OFFSET(分類!$B$29,E192,0))</f>
        <v/>
      </c>
    </row>
    <row r="193" spans="2:8">
      <c r="B193" s="27">
        <f t="shared" si="2"/>
        <v>189</v>
      </c>
      <c r="C193" s="27"/>
      <c r="D193" s="27"/>
      <c r="E193" s="54"/>
      <c r="F193" s="54"/>
      <c r="G193" s="54"/>
      <c r="H193" s="54" t="str">
        <f ca="1">IF(E193="","",OFFSET(分類!$B$29,E193,0))</f>
        <v/>
      </c>
    </row>
    <row r="194" spans="2:8">
      <c r="B194" s="27">
        <f t="shared" si="2"/>
        <v>190</v>
      </c>
      <c r="C194" s="27"/>
      <c r="D194" s="27"/>
      <c r="E194" s="54"/>
      <c r="F194" s="54"/>
      <c r="G194" s="54"/>
      <c r="H194" s="54" t="str">
        <f ca="1">IF(E194="","",OFFSET(分類!$B$29,E194,0))</f>
        <v/>
      </c>
    </row>
    <row r="195" spans="2:8">
      <c r="B195" s="27">
        <f t="shared" si="2"/>
        <v>191</v>
      </c>
      <c r="C195" s="27"/>
      <c r="D195" s="27"/>
      <c r="E195" s="54"/>
      <c r="F195" s="54"/>
      <c r="G195" s="54"/>
      <c r="H195" s="54" t="str">
        <f ca="1">IF(E195="","",OFFSET(分類!$B$29,E195,0))</f>
        <v/>
      </c>
    </row>
    <row r="196" spans="2:8">
      <c r="B196" s="27">
        <f t="shared" si="2"/>
        <v>192</v>
      </c>
      <c r="C196" s="27"/>
      <c r="D196" s="27"/>
      <c r="E196" s="54"/>
      <c r="F196" s="54"/>
      <c r="G196" s="54"/>
      <c r="H196" s="54" t="str">
        <f ca="1">IF(E196="","",OFFSET(分類!$B$29,E196,0))</f>
        <v/>
      </c>
    </row>
    <row r="197" spans="2:8">
      <c r="B197" s="27">
        <f t="shared" si="2"/>
        <v>193</v>
      </c>
      <c r="C197" s="27"/>
      <c r="D197" s="27"/>
      <c r="E197" s="54"/>
      <c r="F197" s="54"/>
      <c r="G197" s="54"/>
      <c r="H197" s="54" t="str">
        <f ca="1">IF(E197="","",OFFSET(分類!$B$29,E197,0))</f>
        <v/>
      </c>
    </row>
    <row r="198" spans="2:8">
      <c r="B198" s="27">
        <f t="shared" si="2"/>
        <v>194</v>
      </c>
      <c r="C198" s="27"/>
      <c r="D198" s="27"/>
      <c r="E198" s="54"/>
      <c r="F198" s="54"/>
      <c r="G198" s="54"/>
      <c r="H198" s="54" t="str">
        <f ca="1">IF(E198="","",OFFSET(分類!$B$29,E198,0))</f>
        <v/>
      </c>
    </row>
    <row r="199" spans="2:8">
      <c r="B199" s="27">
        <f t="shared" ref="B199:B262" si="3">B198+1</f>
        <v>195</v>
      </c>
      <c r="C199" s="27"/>
      <c r="D199" s="27"/>
      <c r="E199" s="54"/>
      <c r="F199" s="54"/>
      <c r="G199" s="54"/>
      <c r="H199" s="54" t="str">
        <f ca="1">IF(E199="","",OFFSET(分類!$B$29,E199,0))</f>
        <v/>
      </c>
    </row>
    <row r="200" spans="2:8">
      <c r="B200" s="27">
        <f t="shared" si="3"/>
        <v>196</v>
      </c>
      <c r="C200" s="27"/>
      <c r="D200" s="27"/>
      <c r="E200" s="54"/>
      <c r="F200" s="54"/>
      <c r="G200" s="54"/>
      <c r="H200" s="54" t="str">
        <f ca="1">IF(E200="","",OFFSET(分類!$B$29,E200,0))</f>
        <v/>
      </c>
    </row>
    <row r="201" spans="2:8">
      <c r="B201" s="27">
        <f t="shared" si="3"/>
        <v>197</v>
      </c>
      <c r="C201" s="27"/>
      <c r="D201" s="27"/>
      <c r="E201" s="54"/>
      <c r="F201" s="54"/>
      <c r="G201" s="54"/>
      <c r="H201" s="54" t="str">
        <f ca="1">IF(E201="","",OFFSET(分類!$B$29,E201,0))</f>
        <v/>
      </c>
    </row>
    <row r="202" spans="2:8">
      <c r="B202" s="27">
        <f t="shared" si="3"/>
        <v>198</v>
      </c>
      <c r="C202" s="27"/>
      <c r="D202" s="27"/>
      <c r="E202" s="54"/>
      <c r="F202" s="54"/>
      <c r="G202" s="54"/>
      <c r="H202" s="54" t="str">
        <f ca="1">IF(E202="","",OFFSET(分類!$B$29,E202,0))</f>
        <v/>
      </c>
    </row>
    <row r="203" spans="2:8">
      <c r="B203" s="27">
        <f t="shared" si="3"/>
        <v>199</v>
      </c>
      <c r="C203" s="27"/>
      <c r="D203" s="27"/>
      <c r="E203" s="54"/>
      <c r="F203" s="54"/>
      <c r="G203" s="54"/>
      <c r="H203" s="54" t="str">
        <f ca="1">IF(E203="","",OFFSET(分類!$B$29,E203,0))</f>
        <v/>
      </c>
    </row>
    <row r="204" spans="2:8">
      <c r="B204" s="27">
        <f t="shared" si="3"/>
        <v>200</v>
      </c>
      <c r="C204" s="27"/>
      <c r="D204" s="27"/>
      <c r="E204" s="54"/>
      <c r="F204" s="54"/>
      <c r="G204" s="54"/>
      <c r="H204" s="54" t="str">
        <f ca="1">IF(E204="","",OFFSET(分類!$B$29,E204,0))</f>
        <v/>
      </c>
    </row>
    <row r="205" spans="2:8">
      <c r="B205" s="27">
        <f t="shared" si="3"/>
        <v>201</v>
      </c>
      <c r="C205" s="27"/>
      <c r="D205" s="27"/>
      <c r="E205" s="54"/>
      <c r="F205" s="54"/>
      <c r="G205" s="54"/>
      <c r="H205" s="54" t="str">
        <f ca="1">IF(E205="","",OFFSET(分類!$B$29,E205,0))</f>
        <v/>
      </c>
    </row>
    <row r="206" spans="2:8">
      <c r="B206" s="27">
        <f t="shared" si="3"/>
        <v>202</v>
      </c>
      <c r="C206" s="27"/>
      <c r="D206" s="27"/>
      <c r="E206" s="54"/>
      <c r="F206" s="54"/>
      <c r="G206" s="54"/>
      <c r="H206" s="54" t="str">
        <f ca="1">IF(E206="","",OFFSET(分類!$B$29,E206,0))</f>
        <v/>
      </c>
    </row>
    <row r="207" spans="2:8">
      <c r="B207" s="27">
        <f t="shared" si="3"/>
        <v>203</v>
      </c>
      <c r="C207" s="27"/>
      <c r="D207" s="27"/>
      <c r="E207" s="54"/>
      <c r="F207" s="54"/>
      <c r="G207" s="54"/>
      <c r="H207" s="54" t="str">
        <f ca="1">IF(E207="","",OFFSET(分類!$B$29,E207,0))</f>
        <v/>
      </c>
    </row>
    <row r="208" spans="2:8">
      <c r="B208" s="27">
        <f t="shared" si="3"/>
        <v>204</v>
      </c>
      <c r="C208" s="27"/>
      <c r="D208" s="27"/>
      <c r="E208" s="54"/>
      <c r="F208" s="54"/>
      <c r="G208" s="54"/>
      <c r="H208" s="54" t="str">
        <f ca="1">IF(E208="","",OFFSET(分類!$B$29,E208,0))</f>
        <v/>
      </c>
    </row>
    <row r="209" spans="2:8">
      <c r="B209" s="27">
        <f t="shared" si="3"/>
        <v>205</v>
      </c>
      <c r="C209" s="27"/>
      <c r="D209" s="27"/>
      <c r="E209" s="54"/>
      <c r="F209" s="54"/>
      <c r="G209" s="54"/>
      <c r="H209" s="54" t="str">
        <f ca="1">IF(E209="","",OFFSET(分類!$B$29,E209,0))</f>
        <v/>
      </c>
    </row>
    <row r="210" spans="2:8">
      <c r="B210" s="27">
        <f t="shared" si="3"/>
        <v>206</v>
      </c>
      <c r="C210" s="27"/>
      <c r="D210" s="27"/>
      <c r="E210" s="54"/>
      <c r="F210" s="54"/>
      <c r="G210" s="54"/>
      <c r="H210" s="54" t="str">
        <f ca="1">IF(E210="","",OFFSET(分類!$B$29,E210,0))</f>
        <v/>
      </c>
    </row>
    <row r="211" spans="2:8">
      <c r="B211" s="27">
        <f t="shared" si="3"/>
        <v>207</v>
      </c>
      <c r="C211" s="27"/>
      <c r="D211" s="27"/>
      <c r="E211" s="54"/>
      <c r="F211" s="54"/>
      <c r="G211" s="54"/>
      <c r="H211" s="54" t="str">
        <f ca="1">IF(E211="","",OFFSET(分類!$B$29,E211,0))</f>
        <v/>
      </c>
    </row>
    <row r="212" spans="2:8">
      <c r="B212" s="27">
        <f t="shared" si="3"/>
        <v>208</v>
      </c>
      <c r="C212" s="27"/>
      <c r="D212" s="27"/>
      <c r="E212" s="54"/>
      <c r="F212" s="54"/>
      <c r="G212" s="54"/>
      <c r="H212" s="54" t="str">
        <f ca="1">IF(E212="","",OFFSET(分類!$B$29,E212,0))</f>
        <v/>
      </c>
    </row>
    <row r="213" spans="2:8">
      <c r="B213" s="27">
        <f t="shared" si="3"/>
        <v>209</v>
      </c>
      <c r="C213" s="27"/>
      <c r="D213" s="27"/>
      <c r="E213" s="54"/>
      <c r="F213" s="54"/>
      <c r="G213" s="54"/>
      <c r="H213" s="54" t="str">
        <f ca="1">IF(E213="","",OFFSET(分類!$B$29,E213,0))</f>
        <v/>
      </c>
    </row>
    <row r="214" spans="2:8">
      <c r="B214" s="27">
        <f t="shared" si="3"/>
        <v>210</v>
      </c>
      <c r="C214" s="27"/>
      <c r="D214" s="27"/>
      <c r="E214" s="54"/>
      <c r="F214" s="54"/>
      <c r="G214" s="54"/>
      <c r="H214" s="54" t="str">
        <f ca="1">IF(E214="","",OFFSET(分類!$B$29,E214,0))</f>
        <v/>
      </c>
    </row>
    <row r="215" spans="2:8">
      <c r="B215" s="27">
        <f t="shared" si="3"/>
        <v>211</v>
      </c>
      <c r="C215" s="27"/>
      <c r="D215" s="27"/>
      <c r="E215" s="54"/>
      <c r="F215" s="54"/>
      <c r="G215" s="54"/>
      <c r="H215" s="54" t="str">
        <f ca="1">IF(E215="","",OFFSET(分類!$B$29,E215,0))</f>
        <v/>
      </c>
    </row>
    <row r="216" spans="2:8">
      <c r="B216" s="27">
        <f t="shared" si="3"/>
        <v>212</v>
      </c>
      <c r="C216" s="27"/>
      <c r="D216" s="27"/>
      <c r="E216" s="54"/>
      <c r="F216" s="54"/>
      <c r="G216" s="54"/>
      <c r="H216" s="54" t="str">
        <f ca="1">IF(E216="","",OFFSET(分類!$B$29,E216,0))</f>
        <v/>
      </c>
    </row>
    <row r="217" spans="2:8">
      <c r="B217" s="27">
        <f t="shared" si="3"/>
        <v>213</v>
      </c>
      <c r="C217" s="27"/>
      <c r="D217" s="27"/>
      <c r="E217" s="54"/>
      <c r="F217" s="54"/>
      <c r="G217" s="54"/>
      <c r="H217" s="54" t="str">
        <f ca="1">IF(E217="","",OFFSET(分類!$B$29,E217,0))</f>
        <v/>
      </c>
    </row>
    <row r="218" spans="2:8">
      <c r="B218" s="27">
        <f t="shared" si="3"/>
        <v>214</v>
      </c>
      <c r="C218" s="27"/>
      <c r="D218" s="27"/>
      <c r="E218" s="54"/>
      <c r="F218" s="54"/>
      <c r="G218" s="54"/>
      <c r="H218" s="54" t="str">
        <f ca="1">IF(E218="","",OFFSET(分類!$B$29,E218,0))</f>
        <v/>
      </c>
    </row>
    <row r="219" spans="2:8">
      <c r="B219" s="27">
        <f t="shared" si="3"/>
        <v>215</v>
      </c>
      <c r="C219" s="27"/>
      <c r="D219" s="27"/>
      <c r="E219" s="54"/>
      <c r="F219" s="54"/>
      <c r="G219" s="54"/>
      <c r="H219" s="54" t="str">
        <f ca="1">IF(E219="","",OFFSET(分類!$B$29,E219,0))</f>
        <v/>
      </c>
    </row>
    <row r="220" spans="2:8">
      <c r="B220" s="27">
        <f t="shared" si="3"/>
        <v>216</v>
      </c>
      <c r="C220" s="27"/>
      <c r="D220" s="27"/>
      <c r="E220" s="54"/>
      <c r="F220" s="54"/>
      <c r="G220" s="54"/>
      <c r="H220" s="54" t="str">
        <f ca="1">IF(E220="","",OFFSET(分類!$B$29,E220,0))</f>
        <v/>
      </c>
    </row>
    <row r="221" spans="2:8">
      <c r="B221" s="27">
        <f t="shared" si="3"/>
        <v>217</v>
      </c>
      <c r="C221" s="27"/>
      <c r="D221" s="27"/>
      <c r="E221" s="54"/>
      <c r="F221" s="54"/>
      <c r="G221" s="54"/>
      <c r="H221" s="54" t="str">
        <f ca="1">IF(E221="","",OFFSET(分類!$B$29,E221,0))</f>
        <v/>
      </c>
    </row>
    <row r="222" spans="2:8">
      <c r="B222" s="27">
        <f t="shared" si="3"/>
        <v>218</v>
      </c>
      <c r="C222" s="27"/>
      <c r="D222" s="27"/>
      <c r="E222" s="54"/>
      <c r="F222" s="54"/>
      <c r="G222" s="54"/>
      <c r="H222" s="54" t="str">
        <f ca="1">IF(E222="","",OFFSET(分類!$B$29,E222,0))</f>
        <v/>
      </c>
    </row>
    <row r="223" spans="2:8">
      <c r="B223" s="27">
        <f t="shared" si="3"/>
        <v>219</v>
      </c>
      <c r="C223" s="27"/>
      <c r="D223" s="27"/>
      <c r="E223" s="54"/>
      <c r="F223" s="54"/>
      <c r="G223" s="54"/>
      <c r="H223" s="54" t="str">
        <f ca="1">IF(E223="","",OFFSET(分類!$B$29,E223,0))</f>
        <v/>
      </c>
    </row>
    <row r="224" spans="2:8">
      <c r="B224" s="27">
        <f t="shared" si="3"/>
        <v>220</v>
      </c>
      <c r="C224" s="27"/>
      <c r="D224" s="27"/>
      <c r="E224" s="54"/>
      <c r="F224" s="54"/>
      <c r="G224" s="54"/>
      <c r="H224" s="54" t="str">
        <f ca="1">IF(E224="","",OFFSET(分類!$B$29,E224,0))</f>
        <v/>
      </c>
    </row>
    <row r="225" spans="2:8">
      <c r="B225" s="27">
        <f t="shared" si="3"/>
        <v>221</v>
      </c>
      <c r="C225" s="27"/>
      <c r="D225" s="27"/>
      <c r="E225" s="54"/>
      <c r="F225" s="54"/>
      <c r="G225" s="54"/>
      <c r="H225" s="54" t="str">
        <f ca="1">IF(E225="","",OFFSET(分類!$B$29,E225,0))</f>
        <v/>
      </c>
    </row>
    <row r="226" spans="2:8">
      <c r="B226" s="27">
        <f t="shared" si="3"/>
        <v>222</v>
      </c>
      <c r="C226" s="27"/>
      <c r="D226" s="27"/>
      <c r="E226" s="54"/>
      <c r="F226" s="54"/>
      <c r="G226" s="54"/>
      <c r="H226" s="54" t="str">
        <f ca="1">IF(E226="","",OFFSET(分類!$B$29,E226,0))</f>
        <v/>
      </c>
    </row>
    <row r="227" spans="2:8">
      <c r="B227" s="27">
        <f t="shared" si="3"/>
        <v>223</v>
      </c>
      <c r="C227" s="27"/>
      <c r="D227" s="27"/>
      <c r="E227" s="54"/>
      <c r="F227" s="54"/>
      <c r="G227" s="54"/>
      <c r="H227" s="54" t="str">
        <f ca="1">IF(E227="","",OFFSET(分類!$B$29,E227,0))</f>
        <v/>
      </c>
    </row>
    <row r="228" spans="2:8">
      <c r="B228" s="27">
        <f t="shared" si="3"/>
        <v>224</v>
      </c>
      <c r="C228" s="27"/>
      <c r="D228" s="27"/>
      <c r="E228" s="54"/>
      <c r="F228" s="54"/>
      <c r="G228" s="54"/>
      <c r="H228" s="54" t="str">
        <f ca="1">IF(E228="","",OFFSET(分類!$B$29,E228,0))</f>
        <v/>
      </c>
    </row>
    <row r="229" spans="2:8">
      <c r="B229" s="27">
        <f t="shared" si="3"/>
        <v>225</v>
      </c>
      <c r="C229" s="27"/>
      <c r="D229" s="27"/>
      <c r="E229" s="54"/>
      <c r="F229" s="54"/>
      <c r="G229" s="54"/>
      <c r="H229" s="54" t="str">
        <f ca="1">IF(E229="","",OFFSET(分類!$B$29,E229,0))</f>
        <v/>
      </c>
    </row>
    <row r="230" spans="2:8">
      <c r="B230" s="27">
        <f t="shared" si="3"/>
        <v>226</v>
      </c>
      <c r="C230" s="27"/>
      <c r="D230" s="27"/>
      <c r="E230" s="54"/>
      <c r="F230" s="54"/>
      <c r="G230" s="54"/>
      <c r="H230" s="54" t="str">
        <f ca="1">IF(E230="","",OFFSET(分類!$B$29,E230,0))</f>
        <v/>
      </c>
    </row>
    <row r="231" spans="2:8">
      <c r="B231" s="27">
        <f t="shared" si="3"/>
        <v>227</v>
      </c>
      <c r="C231" s="27"/>
      <c r="D231" s="27"/>
      <c r="E231" s="54"/>
      <c r="F231" s="54"/>
      <c r="G231" s="54"/>
      <c r="H231" s="54" t="str">
        <f ca="1">IF(E231="","",OFFSET(分類!$B$29,E231,0))</f>
        <v/>
      </c>
    </row>
    <row r="232" spans="2:8">
      <c r="B232" s="27">
        <f t="shared" si="3"/>
        <v>228</v>
      </c>
      <c r="C232" s="27"/>
      <c r="D232" s="27"/>
      <c r="E232" s="54"/>
      <c r="F232" s="54"/>
      <c r="G232" s="54"/>
      <c r="H232" s="54" t="str">
        <f ca="1">IF(E232="","",OFFSET(分類!$B$29,E232,0))</f>
        <v/>
      </c>
    </row>
    <row r="233" spans="2:8">
      <c r="B233" s="27">
        <f t="shared" si="3"/>
        <v>229</v>
      </c>
      <c r="C233" s="27"/>
      <c r="D233" s="27"/>
      <c r="E233" s="54"/>
      <c r="F233" s="54"/>
      <c r="G233" s="54"/>
      <c r="H233" s="54" t="str">
        <f ca="1">IF(E233="","",OFFSET(分類!$B$29,E233,0))</f>
        <v/>
      </c>
    </row>
    <row r="234" spans="2:8">
      <c r="B234" s="27">
        <f t="shared" si="3"/>
        <v>230</v>
      </c>
      <c r="C234" s="27"/>
      <c r="D234" s="27"/>
      <c r="E234" s="54"/>
      <c r="F234" s="54"/>
      <c r="G234" s="54"/>
      <c r="H234" s="54" t="str">
        <f ca="1">IF(E234="","",OFFSET(分類!$B$29,E234,0))</f>
        <v/>
      </c>
    </row>
    <row r="235" spans="2:8">
      <c r="B235" s="27">
        <f t="shared" si="3"/>
        <v>231</v>
      </c>
      <c r="C235" s="27"/>
      <c r="D235" s="27"/>
      <c r="E235" s="54"/>
      <c r="F235" s="54"/>
      <c r="G235" s="54"/>
      <c r="H235" s="54" t="str">
        <f ca="1">IF(E235="","",OFFSET(分類!$B$29,E235,0))</f>
        <v/>
      </c>
    </row>
    <row r="236" spans="2:8">
      <c r="B236" s="27">
        <f t="shared" si="3"/>
        <v>232</v>
      </c>
      <c r="C236" s="27"/>
      <c r="D236" s="27"/>
      <c r="E236" s="54"/>
      <c r="F236" s="54"/>
      <c r="G236" s="54"/>
      <c r="H236" s="54" t="str">
        <f ca="1">IF(E236="","",OFFSET(分類!$B$29,E236,0))</f>
        <v/>
      </c>
    </row>
    <row r="237" spans="2:8">
      <c r="B237" s="27">
        <f t="shared" si="3"/>
        <v>233</v>
      </c>
      <c r="C237" s="27"/>
      <c r="D237" s="27"/>
      <c r="E237" s="54"/>
      <c r="F237" s="54"/>
      <c r="G237" s="54"/>
      <c r="H237" s="54" t="str">
        <f ca="1">IF(E237="","",OFFSET(分類!$B$29,E237,0))</f>
        <v/>
      </c>
    </row>
    <row r="238" spans="2:8">
      <c r="B238" s="27">
        <f t="shared" si="3"/>
        <v>234</v>
      </c>
      <c r="C238" s="27"/>
      <c r="D238" s="27"/>
      <c r="E238" s="54"/>
      <c r="F238" s="54"/>
      <c r="G238" s="54"/>
      <c r="H238" s="54" t="str">
        <f ca="1">IF(E238="","",OFFSET(分類!$B$29,E238,0))</f>
        <v/>
      </c>
    </row>
    <row r="239" spans="2:8">
      <c r="B239" s="27">
        <f t="shared" si="3"/>
        <v>235</v>
      </c>
      <c r="C239" s="27"/>
      <c r="D239" s="27"/>
      <c r="E239" s="54"/>
      <c r="F239" s="54"/>
      <c r="G239" s="54"/>
      <c r="H239" s="54" t="str">
        <f ca="1">IF(E239="","",OFFSET(分類!$B$29,E239,0))</f>
        <v/>
      </c>
    </row>
    <row r="240" spans="2:8">
      <c r="B240" s="27">
        <f t="shared" si="3"/>
        <v>236</v>
      </c>
      <c r="C240" s="27"/>
      <c r="D240" s="27"/>
      <c r="E240" s="54"/>
      <c r="F240" s="54"/>
      <c r="G240" s="54"/>
      <c r="H240" s="54" t="str">
        <f ca="1">IF(E240="","",OFFSET(分類!$B$29,E240,0))</f>
        <v/>
      </c>
    </row>
    <row r="241" spans="2:8">
      <c r="B241" s="27">
        <f t="shared" si="3"/>
        <v>237</v>
      </c>
      <c r="C241" s="27"/>
      <c r="D241" s="27"/>
      <c r="E241" s="54"/>
      <c r="F241" s="54"/>
      <c r="G241" s="54"/>
      <c r="H241" s="54" t="str">
        <f ca="1">IF(E241="","",OFFSET(分類!$B$29,E241,0))</f>
        <v/>
      </c>
    </row>
    <row r="242" spans="2:8">
      <c r="B242" s="27">
        <f t="shared" si="3"/>
        <v>238</v>
      </c>
      <c r="C242" s="27"/>
      <c r="D242" s="27"/>
      <c r="E242" s="54"/>
      <c r="F242" s="54"/>
      <c r="G242" s="54"/>
      <c r="H242" s="54" t="str">
        <f ca="1">IF(E242="","",OFFSET(分類!$B$29,E242,0))</f>
        <v/>
      </c>
    </row>
    <row r="243" spans="2:8">
      <c r="B243" s="27">
        <f t="shared" si="3"/>
        <v>239</v>
      </c>
      <c r="C243" s="27"/>
      <c r="D243" s="27"/>
      <c r="E243" s="54"/>
      <c r="F243" s="54"/>
      <c r="G243" s="54"/>
      <c r="H243" s="54" t="str">
        <f ca="1">IF(E243="","",OFFSET(分類!$B$29,E243,0))</f>
        <v/>
      </c>
    </row>
    <row r="244" spans="2:8">
      <c r="B244" s="27">
        <f t="shared" si="3"/>
        <v>240</v>
      </c>
      <c r="C244" s="27"/>
      <c r="D244" s="27"/>
      <c r="E244" s="54"/>
      <c r="F244" s="54"/>
      <c r="G244" s="54"/>
      <c r="H244" s="54" t="str">
        <f ca="1">IF(E244="","",OFFSET(分類!$B$29,E244,0))</f>
        <v/>
      </c>
    </row>
    <row r="245" spans="2:8">
      <c r="B245" s="27">
        <f t="shared" si="3"/>
        <v>241</v>
      </c>
      <c r="C245" s="27"/>
      <c r="D245" s="27"/>
      <c r="E245" s="54"/>
      <c r="F245" s="54"/>
      <c r="G245" s="54"/>
      <c r="H245" s="54" t="str">
        <f ca="1">IF(E245="","",OFFSET(分類!$B$29,E245,0))</f>
        <v/>
      </c>
    </row>
    <row r="246" spans="2:8">
      <c r="B246" s="27">
        <f t="shared" si="3"/>
        <v>242</v>
      </c>
      <c r="C246" s="27"/>
      <c r="D246" s="27"/>
      <c r="E246" s="54"/>
      <c r="F246" s="54"/>
      <c r="G246" s="54"/>
      <c r="H246" s="54" t="str">
        <f ca="1">IF(E246="","",OFFSET(分類!$B$29,E246,0))</f>
        <v/>
      </c>
    </row>
    <row r="247" spans="2:8">
      <c r="B247" s="27">
        <f t="shared" si="3"/>
        <v>243</v>
      </c>
      <c r="C247" s="27"/>
      <c r="D247" s="27"/>
      <c r="E247" s="54"/>
      <c r="F247" s="54"/>
      <c r="G247" s="54"/>
      <c r="H247" s="54" t="str">
        <f ca="1">IF(E247="","",OFFSET(分類!$B$29,E247,0))</f>
        <v/>
      </c>
    </row>
    <row r="248" spans="2:8">
      <c r="B248" s="27">
        <f t="shared" si="3"/>
        <v>244</v>
      </c>
      <c r="C248" s="27"/>
      <c r="D248" s="27"/>
      <c r="E248" s="54"/>
      <c r="F248" s="54"/>
      <c r="G248" s="54"/>
      <c r="H248" s="54" t="str">
        <f ca="1">IF(E248="","",OFFSET(分類!$B$29,E248,0))</f>
        <v/>
      </c>
    </row>
    <row r="249" spans="2:8">
      <c r="B249" s="27">
        <f t="shared" si="3"/>
        <v>245</v>
      </c>
      <c r="C249" s="27"/>
      <c r="D249" s="27"/>
      <c r="E249" s="54"/>
      <c r="F249" s="54"/>
      <c r="G249" s="54"/>
      <c r="H249" s="54" t="str">
        <f ca="1">IF(E249="","",OFFSET(分類!$B$29,E249,0))</f>
        <v/>
      </c>
    </row>
    <row r="250" spans="2:8">
      <c r="B250" s="27">
        <f t="shared" si="3"/>
        <v>246</v>
      </c>
      <c r="C250" s="27"/>
      <c r="D250" s="27"/>
      <c r="E250" s="54"/>
      <c r="F250" s="54"/>
      <c r="G250" s="54"/>
      <c r="H250" s="54" t="str">
        <f ca="1">IF(E250="","",OFFSET(分類!$B$29,E250,0))</f>
        <v/>
      </c>
    </row>
    <row r="251" spans="2:8">
      <c r="B251" s="27">
        <f t="shared" si="3"/>
        <v>247</v>
      </c>
      <c r="C251" s="27"/>
      <c r="D251" s="27"/>
      <c r="E251" s="54"/>
      <c r="F251" s="54"/>
      <c r="G251" s="54"/>
      <c r="H251" s="54" t="str">
        <f ca="1">IF(E251="","",OFFSET(分類!$B$29,E251,0))</f>
        <v/>
      </c>
    </row>
    <row r="252" spans="2:8">
      <c r="B252" s="27">
        <f t="shared" si="3"/>
        <v>248</v>
      </c>
      <c r="C252" s="27"/>
      <c r="D252" s="27"/>
      <c r="E252" s="54"/>
      <c r="F252" s="54"/>
      <c r="G252" s="54"/>
      <c r="H252" s="54" t="str">
        <f ca="1">IF(E252="","",OFFSET(分類!$B$29,E252,0))</f>
        <v/>
      </c>
    </row>
    <row r="253" spans="2:8">
      <c r="B253" s="27">
        <f t="shared" si="3"/>
        <v>249</v>
      </c>
      <c r="C253" s="27"/>
      <c r="D253" s="27"/>
      <c r="E253" s="54"/>
      <c r="F253" s="54"/>
      <c r="G253" s="54"/>
      <c r="H253" s="54" t="str">
        <f ca="1">IF(E253="","",OFFSET(分類!$B$29,E253,0))</f>
        <v/>
      </c>
    </row>
    <row r="254" spans="2:8">
      <c r="B254" s="27">
        <f t="shared" si="3"/>
        <v>250</v>
      </c>
      <c r="C254" s="27"/>
      <c r="D254" s="27"/>
      <c r="E254" s="54"/>
      <c r="F254" s="54"/>
      <c r="G254" s="54"/>
      <c r="H254" s="54" t="str">
        <f ca="1">IF(E254="","",OFFSET(分類!$B$29,E254,0))</f>
        <v/>
      </c>
    </row>
    <row r="255" spans="2:8">
      <c r="B255" s="27">
        <f t="shared" si="3"/>
        <v>251</v>
      </c>
      <c r="C255" s="27"/>
      <c r="D255" s="27"/>
      <c r="E255" s="54"/>
      <c r="F255" s="54"/>
      <c r="G255" s="54"/>
      <c r="H255" s="54" t="str">
        <f ca="1">IF(E255="","",OFFSET(分類!$B$29,E255,0))</f>
        <v/>
      </c>
    </row>
    <row r="256" spans="2:8">
      <c r="B256" s="27">
        <f t="shared" si="3"/>
        <v>252</v>
      </c>
      <c r="C256" s="27"/>
      <c r="D256" s="27"/>
      <c r="E256" s="54"/>
      <c r="F256" s="54"/>
      <c r="G256" s="54"/>
      <c r="H256" s="54" t="str">
        <f ca="1">IF(E256="","",OFFSET(分類!$B$29,E256,0))</f>
        <v/>
      </c>
    </row>
    <row r="257" spans="2:8">
      <c r="B257" s="27">
        <f t="shared" si="3"/>
        <v>253</v>
      </c>
      <c r="C257" s="27"/>
      <c r="D257" s="27"/>
      <c r="E257" s="54"/>
      <c r="F257" s="54"/>
      <c r="G257" s="54"/>
      <c r="H257" s="54" t="str">
        <f ca="1">IF(E257="","",OFFSET(分類!$B$29,E257,0))</f>
        <v/>
      </c>
    </row>
    <row r="258" spans="2:8">
      <c r="B258" s="27">
        <f t="shared" si="3"/>
        <v>254</v>
      </c>
      <c r="C258" s="27"/>
      <c r="D258" s="27"/>
      <c r="E258" s="54"/>
      <c r="F258" s="54"/>
      <c r="G258" s="54"/>
      <c r="H258" s="54" t="str">
        <f ca="1">IF(E258="","",OFFSET(分類!$B$29,E258,0))</f>
        <v/>
      </c>
    </row>
    <row r="259" spans="2:8">
      <c r="B259" s="27">
        <f t="shared" si="3"/>
        <v>255</v>
      </c>
      <c r="C259" s="27"/>
      <c r="D259" s="27"/>
      <c r="E259" s="54"/>
      <c r="F259" s="54"/>
      <c r="G259" s="54"/>
      <c r="H259" s="54" t="str">
        <f ca="1">IF(E259="","",OFFSET(分類!$B$29,E259,0))</f>
        <v/>
      </c>
    </row>
    <row r="260" spans="2:8">
      <c r="B260" s="27">
        <f t="shared" si="3"/>
        <v>256</v>
      </c>
      <c r="C260" s="27"/>
      <c r="D260" s="27"/>
      <c r="E260" s="54"/>
      <c r="F260" s="54"/>
      <c r="G260" s="54"/>
      <c r="H260" s="54" t="str">
        <f ca="1">IF(E260="","",OFFSET(分類!$B$29,E260,0))</f>
        <v/>
      </c>
    </row>
    <row r="261" spans="2:8">
      <c r="B261" s="27">
        <f t="shared" si="3"/>
        <v>257</v>
      </c>
      <c r="C261" s="27"/>
      <c r="D261" s="27"/>
      <c r="E261" s="54"/>
      <c r="F261" s="54"/>
      <c r="G261" s="54"/>
      <c r="H261" s="54" t="str">
        <f ca="1">IF(E261="","",OFFSET(分類!$B$29,E261,0))</f>
        <v/>
      </c>
    </row>
    <row r="262" spans="2:8">
      <c r="B262" s="27">
        <f t="shared" si="3"/>
        <v>258</v>
      </c>
      <c r="C262" s="27"/>
      <c r="D262" s="27"/>
      <c r="E262" s="54"/>
      <c r="F262" s="54"/>
      <c r="G262" s="54"/>
      <c r="H262" s="54" t="str">
        <f ca="1">IF(E262="","",OFFSET(分類!$B$29,E262,0))</f>
        <v/>
      </c>
    </row>
    <row r="263" spans="2:8">
      <c r="B263" s="27">
        <f t="shared" ref="B263:B304" si="4">B262+1</f>
        <v>259</v>
      </c>
      <c r="C263" s="27"/>
      <c r="D263" s="27"/>
      <c r="E263" s="54"/>
      <c r="F263" s="54"/>
      <c r="G263" s="54"/>
      <c r="H263" s="54" t="str">
        <f ca="1">IF(E263="","",OFFSET(分類!$B$29,E263,0))</f>
        <v/>
      </c>
    </row>
    <row r="264" spans="2:8">
      <c r="B264" s="27">
        <f t="shared" si="4"/>
        <v>260</v>
      </c>
      <c r="C264" s="27"/>
      <c r="D264" s="27"/>
      <c r="E264" s="54"/>
      <c r="F264" s="54"/>
      <c r="G264" s="54"/>
      <c r="H264" s="54" t="str">
        <f ca="1">IF(E264="","",OFFSET(分類!$B$29,E264,0))</f>
        <v/>
      </c>
    </row>
    <row r="265" spans="2:8">
      <c r="B265" s="27">
        <f t="shared" si="4"/>
        <v>261</v>
      </c>
      <c r="C265" s="27"/>
      <c r="D265" s="27"/>
      <c r="E265" s="54"/>
      <c r="F265" s="54"/>
      <c r="G265" s="54"/>
      <c r="H265" s="54" t="str">
        <f ca="1">IF(E265="","",OFFSET(分類!$B$29,E265,0))</f>
        <v/>
      </c>
    </row>
    <row r="266" spans="2:8">
      <c r="B266" s="27">
        <f t="shared" si="4"/>
        <v>262</v>
      </c>
      <c r="C266" s="27"/>
      <c r="D266" s="27"/>
      <c r="E266" s="54"/>
      <c r="F266" s="54"/>
      <c r="G266" s="54"/>
      <c r="H266" s="54" t="str">
        <f ca="1">IF(E266="","",OFFSET(分類!$B$29,E266,0))</f>
        <v/>
      </c>
    </row>
    <row r="267" spans="2:8">
      <c r="B267" s="27">
        <f t="shared" si="4"/>
        <v>263</v>
      </c>
      <c r="C267" s="27"/>
      <c r="D267" s="27"/>
      <c r="E267" s="54"/>
      <c r="F267" s="54"/>
      <c r="G267" s="54"/>
      <c r="H267" s="54" t="str">
        <f ca="1">IF(E267="","",OFFSET(分類!$B$29,E267,0))</f>
        <v/>
      </c>
    </row>
    <row r="268" spans="2:8">
      <c r="B268" s="27">
        <f t="shared" si="4"/>
        <v>264</v>
      </c>
      <c r="C268" s="27"/>
      <c r="D268" s="27"/>
      <c r="E268" s="54"/>
      <c r="F268" s="54"/>
      <c r="G268" s="54"/>
      <c r="H268" s="54" t="str">
        <f ca="1">IF(E268="","",OFFSET(分類!$B$29,E268,0))</f>
        <v/>
      </c>
    </row>
    <row r="269" spans="2:8">
      <c r="B269" s="27">
        <f t="shared" si="4"/>
        <v>265</v>
      </c>
      <c r="C269" s="27"/>
      <c r="D269" s="27"/>
      <c r="E269" s="54"/>
      <c r="F269" s="54"/>
      <c r="G269" s="54"/>
      <c r="H269" s="54" t="str">
        <f ca="1">IF(E269="","",OFFSET(分類!$B$29,E269,0))</f>
        <v/>
      </c>
    </row>
    <row r="270" spans="2:8">
      <c r="B270" s="27">
        <f t="shared" si="4"/>
        <v>266</v>
      </c>
      <c r="C270" s="27"/>
      <c r="D270" s="27"/>
      <c r="E270" s="54"/>
      <c r="F270" s="54"/>
      <c r="G270" s="54"/>
      <c r="H270" s="54" t="str">
        <f ca="1">IF(E270="","",OFFSET(分類!$B$29,E270,0))</f>
        <v/>
      </c>
    </row>
    <row r="271" spans="2:8">
      <c r="B271" s="27">
        <f t="shared" si="4"/>
        <v>267</v>
      </c>
      <c r="C271" s="27"/>
      <c r="D271" s="27"/>
      <c r="E271" s="54"/>
      <c r="F271" s="54"/>
      <c r="G271" s="54"/>
      <c r="H271" s="54" t="str">
        <f ca="1">IF(E271="","",OFFSET(分類!$B$29,E271,0))</f>
        <v/>
      </c>
    </row>
    <row r="272" spans="2:8">
      <c r="B272" s="27">
        <f t="shared" si="4"/>
        <v>268</v>
      </c>
      <c r="C272" s="27"/>
      <c r="D272" s="27"/>
      <c r="E272" s="54"/>
      <c r="F272" s="54"/>
      <c r="G272" s="54"/>
      <c r="H272" s="54" t="str">
        <f ca="1">IF(E272="","",OFFSET(分類!$B$29,E272,0))</f>
        <v/>
      </c>
    </row>
    <row r="273" spans="2:8">
      <c r="B273" s="27">
        <f t="shared" si="4"/>
        <v>269</v>
      </c>
      <c r="C273" s="27"/>
      <c r="D273" s="27"/>
      <c r="E273" s="54"/>
      <c r="F273" s="54"/>
      <c r="G273" s="54"/>
      <c r="H273" s="54" t="str">
        <f ca="1">IF(E273="","",OFFSET(分類!$B$29,E273,0))</f>
        <v/>
      </c>
    </row>
    <row r="274" spans="2:8">
      <c r="B274" s="27">
        <f t="shared" si="4"/>
        <v>270</v>
      </c>
      <c r="C274" s="27"/>
      <c r="D274" s="27"/>
      <c r="E274" s="54"/>
      <c r="F274" s="54"/>
      <c r="G274" s="54"/>
      <c r="H274" s="54" t="str">
        <f ca="1">IF(E274="","",OFFSET(分類!$B$29,E274,0))</f>
        <v/>
      </c>
    </row>
    <row r="275" spans="2:8">
      <c r="B275" s="27">
        <f t="shared" si="4"/>
        <v>271</v>
      </c>
      <c r="C275" s="27"/>
      <c r="D275" s="27"/>
      <c r="E275" s="54"/>
      <c r="F275" s="54"/>
      <c r="G275" s="54"/>
      <c r="H275" s="54" t="str">
        <f ca="1">IF(E275="","",OFFSET(分類!$B$29,E275,0))</f>
        <v/>
      </c>
    </row>
    <row r="276" spans="2:8">
      <c r="B276" s="27">
        <f t="shared" si="4"/>
        <v>272</v>
      </c>
      <c r="C276" s="27"/>
      <c r="D276" s="27"/>
      <c r="E276" s="54"/>
      <c r="F276" s="54"/>
      <c r="G276" s="54"/>
      <c r="H276" s="54" t="str">
        <f ca="1">IF(E276="","",OFFSET(分類!$B$29,E276,0))</f>
        <v/>
      </c>
    </row>
    <row r="277" spans="2:8">
      <c r="B277" s="27">
        <f t="shared" si="4"/>
        <v>273</v>
      </c>
      <c r="C277" s="27"/>
      <c r="D277" s="27"/>
      <c r="E277" s="54"/>
      <c r="F277" s="54"/>
      <c r="G277" s="54"/>
      <c r="H277" s="54" t="str">
        <f ca="1">IF(E277="","",OFFSET(分類!$B$29,E277,0))</f>
        <v/>
      </c>
    </row>
    <row r="278" spans="2:8">
      <c r="B278" s="27">
        <f t="shared" si="4"/>
        <v>274</v>
      </c>
      <c r="C278" s="27"/>
      <c r="D278" s="27"/>
      <c r="E278" s="54"/>
      <c r="F278" s="54"/>
      <c r="G278" s="54"/>
      <c r="H278" s="54" t="str">
        <f ca="1">IF(E278="","",OFFSET(分類!$B$29,E278,0))</f>
        <v/>
      </c>
    </row>
    <row r="279" spans="2:8">
      <c r="B279" s="27">
        <f t="shared" si="4"/>
        <v>275</v>
      </c>
      <c r="C279" s="27"/>
      <c r="D279" s="27"/>
      <c r="E279" s="54"/>
      <c r="F279" s="54"/>
      <c r="G279" s="54"/>
      <c r="H279" s="54" t="str">
        <f ca="1">IF(E279="","",OFFSET(分類!$B$29,E279,0))</f>
        <v/>
      </c>
    </row>
    <row r="280" spans="2:8">
      <c r="B280" s="27">
        <f t="shared" si="4"/>
        <v>276</v>
      </c>
      <c r="C280" s="27"/>
      <c r="D280" s="27"/>
      <c r="E280" s="54"/>
      <c r="F280" s="54"/>
      <c r="G280" s="54"/>
      <c r="H280" s="54" t="str">
        <f ca="1">IF(E280="","",OFFSET(分類!$B$29,E280,0))</f>
        <v/>
      </c>
    </row>
    <row r="281" spans="2:8">
      <c r="B281" s="27">
        <f t="shared" si="4"/>
        <v>277</v>
      </c>
      <c r="C281" s="27"/>
      <c r="D281" s="27"/>
      <c r="E281" s="54"/>
      <c r="F281" s="54"/>
      <c r="G281" s="54"/>
      <c r="H281" s="54" t="str">
        <f ca="1">IF(E281="","",OFFSET(分類!$B$29,E281,0))</f>
        <v/>
      </c>
    </row>
    <row r="282" spans="2:8">
      <c r="B282" s="27">
        <f t="shared" si="4"/>
        <v>278</v>
      </c>
      <c r="C282" s="27"/>
      <c r="D282" s="27"/>
      <c r="E282" s="54"/>
      <c r="F282" s="54"/>
      <c r="G282" s="54"/>
      <c r="H282" s="54" t="str">
        <f ca="1">IF(E282="","",OFFSET(分類!$B$29,E282,0))</f>
        <v/>
      </c>
    </row>
    <row r="283" spans="2:8">
      <c r="B283" s="27">
        <f t="shared" si="4"/>
        <v>279</v>
      </c>
      <c r="C283" s="27"/>
      <c r="D283" s="27"/>
      <c r="E283" s="54"/>
      <c r="F283" s="54"/>
      <c r="G283" s="54"/>
      <c r="H283" s="54" t="str">
        <f ca="1">IF(E283="","",OFFSET(分類!$B$29,E283,0))</f>
        <v/>
      </c>
    </row>
    <row r="284" spans="2:8">
      <c r="B284" s="27">
        <f t="shared" si="4"/>
        <v>280</v>
      </c>
      <c r="C284" s="27"/>
      <c r="D284" s="27"/>
      <c r="E284" s="54"/>
      <c r="F284" s="54"/>
      <c r="G284" s="54"/>
      <c r="H284" s="54" t="str">
        <f ca="1">IF(E284="","",OFFSET(分類!$B$29,E284,0))</f>
        <v/>
      </c>
    </row>
    <row r="285" spans="2:8">
      <c r="B285" s="27">
        <f t="shared" si="4"/>
        <v>281</v>
      </c>
      <c r="C285" s="27"/>
      <c r="D285" s="27"/>
      <c r="E285" s="54"/>
      <c r="F285" s="54"/>
      <c r="G285" s="54"/>
      <c r="H285" s="54" t="str">
        <f ca="1">IF(E285="","",OFFSET(分類!$B$29,E285,0))</f>
        <v/>
      </c>
    </row>
    <row r="286" spans="2:8">
      <c r="B286" s="27">
        <f t="shared" si="4"/>
        <v>282</v>
      </c>
      <c r="C286" s="27"/>
      <c r="D286" s="27"/>
      <c r="E286" s="54"/>
      <c r="F286" s="54"/>
      <c r="G286" s="54"/>
      <c r="H286" s="54" t="str">
        <f ca="1">IF(E286="","",OFFSET(分類!$B$29,E286,0))</f>
        <v/>
      </c>
    </row>
    <row r="287" spans="2:8">
      <c r="B287" s="27">
        <f t="shared" si="4"/>
        <v>283</v>
      </c>
      <c r="C287" s="27"/>
      <c r="D287" s="27"/>
      <c r="E287" s="54"/>
      <c r="F287" s="54"/>
      <c r="G287" s="54"/>
      <c r="H287" s="54" t="str">
        <f ca="1">IF(E287="","",OFFSET(分類!$B$29,E287,0))</f>
        <v/>
      </c>
    </row>
    <row r="288" spans="2:8">
      <c r="B288" s="27">
        <f t="shared" si="4"/>
        <v>284</v>
      </c>
      <c r="C288" s="27"/>
      <c r="D288" s="27"/>
      <c r="E288" s="54"/>
      <c r="F288" s="54"/>
      <c r="G288" s="54"/>
      <c r="H288" s="54" t="str">
        <f ca="1">IF(E288="","",OFFSET(分類!$B$29,E288,0))</f>
        <v/>
      </c>
    </row>
    <row r="289" spans="2:8">
      <c r="B289" s="27">
        <f t="shared" si="4"/>
        <v>285</v>
      </c>
      <c r="C289" s="27"/>
      <c r="D289" s="27"/>
      <c r="E289" s="54"/>
      <c r="F289" s="54"/>
      <c r="G289" s="54"/>
      <c r="H289" s="54" t="str">
        <f ca="1">IF(E289="","",OFFSET(分類!$B$29,E289,0))</f>
        <v/>
      </c>
    </row>
    <row r="290" spans="2:8">
      <c r="B290" s="27">
        <f t="shared" si="4"/>
        <v>286</v>
      </c>
      <c r="C290" s="27"/>
      <c r="D290" s="27"/>
      <c r="E290" s="54"/>
      <c r="F290" s="54"/>
      <c r="G290" s="54"/>
      <c r="H290" s="54" t="str">
        <f ca="1">IF(E290="","",OFFSET(分類!$B$29,E290,0))</f>
        <v/>
      </c>
    </row>
    <row r="291" spans="2:8">
      <c r="B291" s="27">
        <f t="shared" si="4"/>
        <v>287</v>
      </c>
      <c r="C291" s="27"/>
      <c r="D291" s="27"/>
      <c r="E291" s="54"/>
      <c r="F291" s="54"/>
      <c r="G291" s="54"/>
      <c r="H291" s="54" t="str">
        <f ca="1">IF(E291="","",OFFSET(分類!$B$29,E291,0))</f>
        <v/>
      </c>
    </row>
    <row r="292" spans="2:8">
      <c r="B292" s="27">
        <f t="shared" si="4"/>
        <v>288</v>
      </c>
      <c r="C292" s="27"/>
      <c r="D292" s="27"/>
      <c r="E292" s="54"/>
      <c r="F292" s="54"/>
      <c r="G292" s="54"/>
      <c r="H292" s="54" t="str">
        <f ca="1">IF(E292="","",OFFSET(分類!$B$29,E292,0))</f>
        <v/>
      </c>
    </row>
    <row r="293" spans="2:8">
      <c r="B293" s="27">
        <f t="shared" si="4"/>
        <v>289</v>
      </c>
      <c r="C293" s="27"/>
      <c r="D293" s="27"/>
      <c r="E293" s="54"/>
      <c r="F293" s="54"/>
      <c r="G293" s="54"/>
      <c r="H293" s="54" t="str">
        <f ca="1">IF(E293="","",OFFSET(分類!$B$29,E293,0))</f>
        <v/>
      </c>
    </row>
    <row r="294" spans="2:8">
      <c r="B294" s="27">
        <f t="shared" si="4"/>
        <v>290</v>
      </c>
      <c r="C294" s="27"/>
      <c r="D294" s="27"/>
      <c r="E294" s="54"/>
      <c r="F294" s="54"/>
      <c r="G294" s="54"/>
      <c r="H294" s="54" t="str">
        <f ca="1">IF(E294="","",OFFSET(分類!$B$29,E294,0))</f>
        <v/>
      </c>
    </row>
    <row r="295" spans="2:8">
      <c r="B295" s="27">
        <f t="shared" si="4"/>
        <v>291</v>
      </c>
      <c r="C295" s="27"/>
      <c r="D295" s="27"/>
      <c r="E295" s="54"/>
      <c r="F295" s="54"/>
      <c r="G295" s="54"/>
      <c r="H295" s="54" t="str">
        <f ca="1">IF(E295="","",OFFSET(分類!$B$29,E295,0))</f>
        <v/>
      </c>
    </row>
    <row r="296" spans="2:8">
      <c r="B296" s="27">
        <f t="shared" si="4"/>
        <v>292</v>
      </c>
      <c r="C296" s="27"/>
      <c r="D296" s="27"/>
      <c r="E296" s="54"/>
      <c r="F296" s="54"/>
      <c r="G296" s="54"/>
      <c r="H296" s="54" t="str">
        <f ca="1">IF(E296="","",OFFSET(分類!$B$29,E296,0))</f>
        <v/>
      </c>
    </row>
    <row r="297" spans="2:8">
      <c r="B297" s="27">
        <f t="shared" si="4"/>
        <v>293</v>
      </c>
      <c r="C297" s="27"/>
      <c r="D297" s="27"/>
      <c r="E297" s="54"/>
      <c r="F297" s="54"/>
      <c r="G297" s="54"/>
      <c r="H297" s="54" t="str">
        <f ca="1">IF(E297="","",OFFSET(分類!$B$29,E297,0))</f>
        <v/>
      </c>
    </row>
    <row r="298" spans="2:8">
      <c r="B298" s="27">
        <f t="shared" si="4"/>
        <v>294</v>
      </c>
      <c r="C298" s="27"/>
      <c r="D298" s="27"/>
      <c r="E298" s="54"/>
      <c r="F298" s="54"/>
      <c r="G298" s="54"/>
      <c r="H298" s="54" t="str">
        <f ca="1">IF(E298="","",OFFSET(分類!$B$29,E298,0))</f>
        <v/>
      </c>
    </row>
    <row r="299" spans="2:8">
      <c r="B299" s="27">
        <f t="shared" si="4"/>
        <v>295</v>
      </c>
      <c r="C299" s="27"/>
      <c r="D299" s="27"/>
      <c r="E299" s="54"/>
      <c r="F299" s="54"/>
      <c r="G299" s="54"/>
      <c r="H299" s="54" t="str">
        <f ca="1">IF(E299="","",OFFSET(分類!$B$29,E299,0))</f>
        <v/>
      </c>
    </row>
    <row r="300" spans="2:8">
      <c r="B300" s="27">
        <f t="shared" si="4"/>
        <v>296</v>
      </c>
      <c r="C300" s="27"/>
      <c r="D300" s="27"/>
      <c r="E300" s="54"/>
      <c r="F300" s="54"/>
      <c r="G300" s="54"/>
      <c r="H300" s="54" t="str">
        <f ca="1">IF(E300="","",OFFSET(分類!$B$29,E300,0))</f>
        <v/>
      </c>
    </row>
    <row r="301" spans="2:8">
      <c r="B301" s="27">
        <f t="shared" si="4"/>
        <v>297</v>
      </c>
      <c r="C301" s="27"/>
      <c r="D301" s="27"/>
      <c r="E301" s="54"/>
      <c r="F301" s="54"/>
      <c r="G301" s="54"/>
      <c r="H301" s="54" t="str">
        <f ca="1">IF(E301="","",OFFSET(分類!$B$29,E301,0))</f>
        <v/>
      </c>
    </row>
    <row r="302" spans="2:8">
      <c r="B302" s="27">
        <f t="shared" si="4"/>
        <v>298</v>
      </c>
      <c r="C302" s="27"/>
      <c r="D302" s="27"/>
      <c r="E302" s="54"/>
      <c r="F302" s="54"/>
      <c r="G302" s="54"/>
      <c r="H302" s="54" t="str">
        <f ca="1">IF(E302="","",OFFSET(分類!$B$29,E302,0))</f>
        <v/>
      </c>
    </row>
    <row r="303" spans="2:8">
      <c r="B303" s="27">
        <f t="shared" si="4"/>
        <v>299</v>
      </c>
      <c r="C303" s="27"/>
      <c r="D303" s="27"/>
      <c r="E303" s="54"/>
      <c r="F303" s="54"/>
      <c r="G303" s="54"/>
      <c r="H303" s="54" t="str">
        <f ca="1">IF(E303="","",OFFSET(分類!$B$29,E303,0))</f>
        <v/>
      </c>
    </row>
    <row r="304" spans="2:8">
      <c r="B304" s="27">
        <f t="shared" si="4"/>
        <v>300</v>
      </c>
      <c r="C304" s="27"/>
      <c r="D304" s="27"/>
      <c r="E304" s="54"/>
      <c r="F304" s="54"/>
      <c r="G304" s="54"/>
      <c r="H304" s="54" t="str">
        <f ca="1">IF(E304="","",OFFSET(分類!$B$29,E304,0))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B2:H504"/>
  <sheetViews>
    <sheetView workbookViewId="0">
      <selection activeCell="A4" sqref="A4:XFD4"/>
    </sheetView>
  </sheetViews>
  <sheetFormatPr defaultRowHeight="13.2"/>
  <cols>
    <col min="1" max="2" width="8.88671875" style="29"/>
    <col min="3" max="3" width="61.5546875" style="29" bestFit="1" customWidth="1"/>
    <col min="4" max="6" width="8.88671875" style="29"/>
    <col min="7" max="7" width="12.33203125" style="29" customWidth="1"/>
    <col min="8" max="8" width="20.109375" style="29" bestFit="1" customWidth="1"/>
    <col min="9" max="16384" width="8.88671875" style="29"/>
  </cols>
  <sheetData>
    <row r="2" spans="2:8" ht="16.2">
      <c r="B2" s="28" t="str" cm="1">
        <f t="array" aca="1" ref="B2" ca="1">RIGHT(CELL("filename",A1),LEN(CELL("filename",A1))-FIND("]",CELL("filename",A1)))</f>
        <v>錠剤</v>
      </c>
    </row>
    <row r="4" spans="2:8" s="68" customFormat="1" ht="26.4">
      <c r="B4" s="67" t="s">
        <v>4038</v>
      </c>
      <c r="C4" s="67" t="s">
        <v>4039</v>
      </c>
      <c r="D4" s="67" t="s">
        <v>4040</v>
      </c>
      <c r="E4" s="67" t="s">
        <v>4062</v>
      </c>
      <c r="F4" s="67" t="s">
        <v>4064</v>
      </c>
      <c r="G4" s="67" t="s">
        <v>4065</v>
      </c>
      <c r="H4" s="67" t="s">
        <v>4113</v>
      </c>
    </row>
    <row r="5" spans="2:8">
      <c r="B5" s="27">
        <v>1</v>
      </c>
      <c r="C5" s="27" t="str" cm="1">
        <f t="array" aca="1" ref="C5:G370" ca="1">_xlfn._xlws.SORT(_xlfn.CHOOSECOLS(_xlfn._xlws.FILTER(IFERROR(統合マスタ!B2:Z1491,""),IFERROR(統合マスタ!R2:R1491=1,FALSE)*IFERROR(ISNUMBER(MATCH(統合マスタ!V2:V1491,分類!N8:N15,0)),FALSE)),2,23,25,4,5),2,1)</f>
        <v>２５ｍｇアリナミン　Ｆ糖衣錠</v>
      </c>
      <c r="D5" s="27">
        <f ca="1"/>
        <v>0</v>
      </c>
      <c r="E5" s="54">
        <f ca="1"/>
        <v>5</v>
      </c>
      <c r="F5" s="54" t="str">
        <f ca="1"/>
        <v>ＰＴＰ</v>
      </c>
      <c r="G5" s="54" t="str">
        <f ca="1"/>
        <v>１００Ｔ</v>
      </c>
      <c r="H5" s="54" t="str">
        <f ca="1">IF(E5="","",OFFSET(分類!$B$29,E5,0))</f>
        <v>普通薬バラ</v>
      </c>
    </row>
    <row r="6" spans="2:8">
      <c r="B6" s="27">
        <f>B5+1</f>
        <v>2</v>
      </c>
      <c r="C6" s="27" t="str">
        <f ca="1"/>
        <v>アーチスト錠１．２５ｍｇ</v>
      </c>
      <c r="D6" s="27">
        <f ca="1"/>
        <v>0</v>
      </c>
      <c r="E6" s="54">
        <f ca="1"/>
        <v>5</v>
      </c>
      <c r="F6" s="54" t="str">
        <f ca="1"/>
        <v>ＰＴＰ</v>
      </c>
      <c r="G6" s="54" t="str">
        <f ca="1"/>
        <v>１００Ｔ</v>
      </c>
      <c r="H6" s="54" t="str">
        <f ca="1">IF(E6="","",OFFSET(分類!$B$29,E6,0))</f>
        <v>普通薬バラ</v>
      </c>
    </row>
    <row r="7" spans="2:8">
      <c r="B7" s="27">
        <f t="shared" ref="B7:B70" si="0">B6+1</f>
        <v>3</v>
      </c>
      <c r="C7" s="27" t="str">
        <f ca="1"/>
        <v>アジスロマイシン錠２５０ｍｇ「トーワ」</v>
      </c>
      <c r="D7" s="27">
        <f ca="1"/>
        <v>0</v>
      </c>
      <c r="E7" s="54">
        <f ca="1"/>
        <v>1</v>
      </c>
      <c r="F7" s="54" t="str">
        <f ca="1"/>
        <v>ＰＴＰ</v>
      </c>
      <c r="G7" s="54" t="str">
        <f ca="1"/>
        <v>６０Ｔ</v>
      </c>
      <c r="H7" s="54" t="str">
        <f ca="1">IF(E7="","",OFFSET(分類!$B$29,E7,0))</f>
        <v>調剤棚</v>
      </c>
    </row>
    <row r="8" spans="2:8">
      <c r="B8" s="27">
        <f t="shared" si="0"/>
        <v>4</v>
      </c>
      <c r="C8" s="27" t="str">
        <f ca="1"/>
        <v>アジルサルタンＯＤ錠２０ｍｇ「サワイ」</v>
      </c>
      <c r="D8" s="27">
        <f ca="1"/>
        <v>0</v>
      </c>
      <c r="E8" s="54">
        <f ca="1"/>
        <v>5</v>
      </c>
      <c r="F8" s="54" t="str">
        <f ca="1"/>
        <v>ＰＴＰ</v>
      </c>
      <c r="G8" s="54" t="str">
        <f ca="1"/>
        <v>１００Ｔ</v>
      </c>
      <c r="H8" s="54" t="str">
        <f ca="1">IF(E8="","",OFFSET(分類!$B$29,E8,0))</f>
        <v>普通薬バラ</v>
      </c>
    </row>
    <row r="9" spans="2:8">
      <c r="B9" s="27">
        <f t="shared" si="0"/>
        <v>5</v>
      </c>
      <c r="C9" s="27" t="str">
        <f ca="1"/>
        <v>アジルサルタンＯＤ錠２０ｍｇ「サワイ」</v>
      </c>
      <c r="D9" s="27">
        <f ca="1"/>
        <v>0</v>
      </c>
      <c r="E9" s="54">
        <f ca="1"/>
        <v>5</v>
      </c>
      <c r="F9" s="54" t="str">
        <f ca="1"/>
        <v>バラ</v>
      </c>
      <c r="G9" s="54" t="str">
        <f ca="1"/>
        <v>２００Ｔ</v>
      </c>
      <c r="H9" s="54" t="str">
        <f ca="1">IF(E9="","",OFFSET(分類!$B$29,E9,0))</f>
        <v>普通薬バラ</v>
      </c>
    </row>
    <row r="10" spans="2:8">
      <c r="B10" s="27">
        <f t="shared" si="0"/>
        <v>6</v>
      </c>
      <c r="C10" s="27" t="str">
        <f ca="1"/>
        <v>アスパラ－ＣＡ錠２００</v>
      </c>
      <c r="D10" s="27">
        <f ca="1"/>
        <v>0</v>
      </c>
      <c r="E10" s="54">
        <f ca="1"/>
        <v>5</v>
      </c>
      <c r="F10" s="54" t="str">
        <f ca="1"/>
        <v>ＰＴＰ</v>
      </c>
      <c r="G10" s="54" t="str">
        <f ca="1"/>
        <v>１００Ｔ</v>
      </c>
      <c r="H10" s="54" t="str">
        <f ca="1">IF(E10="","",OFFSET(分類!$B$29,E10,0))</f>
        <v>普通薬バラ</v>
      </c>
    </row>
    <row r="11" spans="2:8">
      <c r="B11" s="27">
        <f t="shared" si="0"/>
        <v>7</v>
      </c>
      <c r="C11" s="27" t="str">
        <f ca="1"/>
        <v>アスパラ－ＣＡ錠２００</v>
      </c>
      <c r="D11" s="27">
        <f ca="1"/>
        <v>0</v>
      </c>
      <c r="E11" s="54">
        <f ca="1"/>
        <v>5</v>
      </c>
      <c r="F11" s="54" t="str">
        <f ca="1"/>
        <v>バラ</v>
      </c>
      <c r="G11" s="54" t="str">
        <f ca="1"/>
        <v>５００Ｔ</v>
      </c>
      <c r="H11" s="54" t="str">
        <f ca="1">IF(E11="","",OFFSET(分類!$B$29,E11,0))</f>
        <v>普通薬バラ</v>
      </c>
    </row>
    <row r="12" spans="2:8">
      <c r="B12" s="27">
        <f t="shared" si="0"/>
        <v>8</v>
      </c>
      <c r="C12" s="27" t="str">
        <f ca="1"/>
        <v>アスパラカリウム錠３００ｍｇ</v>
      </c>
      <c r="D12" s="27">
        <f ca="1"/>
        <v>0</v>
      </c>
      <c r="E12" s="54">
        <f ca="1"/>
        <v>1</v>
      </c>
      <c r="F12" s="54" t="str">
        <f ca="1"/>
        <v>ＰＴＰ</v>
      </c>
      <c r="G12" s="54" t="str">
        <f ca="1"/>
        <v>１０００Ｔ</v>
      </c>
      <c r="H12" s="54" t="str">
        <f ca="1">IF(E12="","",OFFSET(分類!$B$29,E12,0))</f>
        <v>調剤棚</v>
      </c>
    </row>
    <row r="13" spans="2:8">
      <c r="B13" s="27">
        <f t="shared" si="0"/>
        <v>9</v>
      </c>
      <c r="C13" s="27" t="str">
        <f ca="1"/>
        <v>アスパラカリウム錠３００ｍｇ</v>
      </c>
      <c r="D13" s="27">
        <f ca="1"/>
        <v>0</v>
      </c>
      <c r="E13" s="54">
        <f ca="1"/>
        <v>1</v>
      </c>
      <c r="F13" s="54" t="str">
        <f ca="1"/>
        <v>ＰＴＰ</v>
      </c>
      <c r="G13" s="54" t="str">
        <f ca="1"/>
        <v>１００Ｔ</v>
      </c>
      <c r="H13" s="54" t="str">
        <f ca="1">IF(E13="","",OFFSET(分類!$B$29,E13,0))</f>
        <v>調剤棚</v>
      </c>
    </row>
    <row r="14" spans="2:8">
      <c r="B14" s="27">
        <f t="shared" si="0"/>
        <v>10</v>
      </c>
      <c r="C14" s="27" t="str">
        <f ca="1"/>
        <v>アタラックス錠２５ｍｇ</v>
      </c>
      <c r="D14" s="27">
        <f ca="1"/>
        <v>0</v>
      </c>
      <c r="E14" s="54">
        <f ca="1"/>
        <v>5</v>
      </c>
      <c r="F14" s="54" t="str">
        <f ca="1"/>
        <v>ＰＴＰ</v>
      </c>
      <c r="G14" s="54" t="str">
        <f ca="1"/>
        <v>１００Ｔ</v>
      </c>
      <c r="H14" s="54" t="str">
        <f ca="1">IF(E14="","",OFFSET(分類!$B$29,E14,0))</f>
        <v>普通薬バラ</v>
      </c>
    </row>
    <row r="15" spans="2:8">
      <c r="B15" s="27">
        <f t="shared" si="0"/>
        <v>11</v>
      </c>
      <c r="C15" s="27" t="str">
        <f ca="1"/>
        <v>アドナ錠３０ｍｇ</v>
      </c>
      <c r="D15" s="27">
        <f ca="1"/>
        <v>0</v>
      </c>
      <c r="E15" s="54">
        <f ca="1"/>
        <v>5</v>
      </c>
      <c r="F15" s="54" t="str">
        <f ca="1"/>
        <v>バラ</v>
      </c>
      <c r="G15" s="54" t="str">
        <f ca="1"/>
        <v>５００Ｔ</v>
      </c>
      <c r="H15" s="54" t="str">
        <f ca="1">IF(E15="","",OFFSET(分類!$B$29,E15,0))</f>
        <v>普通薬バラ</v>
      </c>
    </row>
    <row r="16" spans="2:8">
      <c r="B16" s="27">
        <f t="shared" si="0"/>
        <v>12</v>
      </c>
      <c r="C16" s="27" t="str">
        <f ca="1"/>
        <v>アトルバスタチンＯＤ錠１０ｍｇ「トーワ」</v>
      </c>
      <c r="D16" s="27">
        <f ca="1"/>
        <v>0</v>
      </c>
      <c r="E16" s="54">
        <f ca="1"/>
        <v>5</v>
      </c>
      <c r="F16" s="54" t="str">
        <f ca="1"/>
        <v>ＰＴＰ</v>
      </c>
      <c r="G16" s="54" t="str">
        <f ca="1"/>
        <v>１００Ｔ</v>
      </c>
      <c r="H16" s="54" t="str">
        <f ca="1">IF(E16="","",OFFSET(分類!$B$29,E16,0))</f>
        <v>普通薬バラ</v>
      </c>
    </row>
    <row r="17" spans="2:8">
      <c r="B17" s="27">
        <f t="shared" si="0"/>
        <v>13</v>
      </c>
      <c r="C17" s="27" t="str">
        <f ca="1"/>
        <v>アトルバスタチンＯＤ錠１０ｍｇ「トーワ」</v>
      </c>
      <c r="D17" s="27">
        <f ca="1"/>
        <v>0</v>
      </c>
      <c r="E17" s="54">
        <f ca="1"/>
        <v>5</v>
      </c>
      <c r="F17" s="54" t="str">
        <f ca="1"/>
        <v>バラ</v>
      </c>
      <c r="G17" s="54" t="str">
        <f ca="1"/>
        <v>３００Ｔ</v>
      </c>
      <c r="H17" s="54" t="str">
        <f ca="1">IF(E17="","",OFFSET(分類!$B$29,E17,0))</f>
        <v>普通薬バラ</v>
      </c>
    </row>
    <row r="18" spans="2:8">
      <c r="B18" s="27">
        <f t="shared" si="0"/>
        <v>14</v>
      </c>
      <c r="C18" s="27" t="str">
        <f ca="1"/>
        <v>アマンタジン塩酸塩錠５０ｍｇ「杏林」</v>
      </c>
      <c r="D18" s="27">
        <f ca="1"/>
        <v>0</v>
      </c>
      <c r="E18" s="54">
        <f ca="1"/>
        <v>5</v>
      </c>
      <c r="F18" s="54" t="str">
        <f ca="1"/>
        <v>ＰＴＰ</v>
      </c>
      <c r="G18" s="54" t="str">
        <f ca="1"/>
        <v>１００Ｔ</v>
      </c>
      <c r="H18" s="54" t="str">
        <f ca="1">IF(E18="","",OFFSET(分類!$B$29,E18,0))</f>
        <v>普通薬バラ</v>
      </c>
    </row>
    <row r="19" spans="2:8">
      <c r="B19" s="27">
        <f t="shared" si="0"/>
        <v>15</v>
      </c>
      <c r="C19" s="27" t="str">
        <f ca="1"/>
        <v>アルダクトンＡ錠２５ｍｇ</v>
      </c>
      <c r="D19" s="27">
        <f ca="1"/>
        <v>0</v>
      </c>
      <c r="E19" s="54">
        <f ca="1"/>
        <v>5</v>
      </c>
      <c r="F19" s="54" t="str">
        <f ca="1"/>
        <v>バラ</v>
      </c>
      <c r="G19" s="54" t="str">
        <f ca="1"/>
        <v>１００Ｔ</v>
      </c>
      <c r="H19" s="54" t="str">
        <f ca="1">IF(E19="","",OFFSET(分類!$B$29,E19,0))</f>
        <v>普通薬バラ</v>
      </c>
    </row>
    <row r="20" spans="2:8">
      <c r="B20" s="27">
        <f t="shared" si="0"/>
        <v>16</v>
      </c>
      <c r="C20" s="27" t="str">
        <f ca="1"/>
        <v>アロプリノール錠１００ｍｇ「サワイ」</v>
      </c>
      <c r="D20" s="27">
        <f ca="1"/>
        <v>0</v>
      </c>
      <c r="E20" s="54">
        <f ca="1"/>
        <v>5</v>
      </c>
      <c r="F20" s="54" t="str">
        <f ca="1"/>
        <v>ＰＴＰ</v>
      </c>
      <c r="G20" s="54" t="str">
        <f ca="1"/>
        <v>１００Ｔ</v>
      </c>
      <c r="H20" s="54" t="str">
        <f ca="1">IF(E20="","",OFFSET(分類!$B$29,E20,0))</f>
        <v>普通薬バラ</v>
      </c>
    </row>
    <row r="21" spans="2:8">
      <c r="B21" s="27">
        <f t="shared" si="0"/>
        <v>17</v>
      </c>
      <c r="C21" s="27" t="str">
        <f ca="1"/>
        <v>アロプリノール錠１００ｍｇ「サワイ」</v>
      </c>
      <c r="D21" s="27">
        <f ca="1"/>
        <v>0</v>
      </c>
      <c r="E21" s="54">
        <f ca="1"/>
        <v>5</v>
      </c>
      <c r="F21" s="54" t="str">
        <f ca="1"/>
        <v>バラ</v>
      </c>
      <c r="G21" s="54" t="str">
        <f ca="1"/>
        <v>１０００Ｔ</v>
      </c>
      <c r="H21" s="54" t="str">
        <f ca="1">IF(E21="","",OFFSET(分類!$B$29,E21,0))</f>
        <v>普通薬バラ</v>
      </c>
    </row>
    <row r="22" spans="2:8">
      <c r="B22" s="27">
        <f t="shared" si="0"/>
        <v>18</v>
      </c>
      <c r="C22" s="27" t="str">
        <f ca="1"/>
        <v>イルベサルタン錠５０ｍｇ「サワイ」</v>
      </c>
      <c r="D22" s="27">
        <f ca="1"/>
        <v>0</v>
      </c>
      <c r="E22" s="54">
        <f ca="1"/>
        <v>5</v>
      </c>
      <c r="F22" s="54" t="str">
        <f ca="1"/>
        <v>ＰＴＰ</v>
      </c>
      <c r="G22" s="54" t="str">
        <f ca="1"/>
        <v>１００Ｔ</v>
      </c>
      <c r="H22" s="54" t="str">
        <f ca="1">IF(E22="","",OFFSET(分類!$B$29,E22,0))</f>
        <v>普通薬バラ</v>
      </c>
    </row>
    <row r="23" spans="2:8">
      <c r="B23" s="27">
        <f t="shared" si="0"/>
        <v>19</v>
      </c>
      <c r="C23" s="27" t="str">
        <f ca="1"/>
        <v>イルベサルタン錠５０ｍｇ「サワイ」</v>
      </c>
      <c r="D23" s="27">
        <f ca="1"/>
        <v>0</v>
      </c>
      <c r="E23" s="54">
        <f ca="1"/>
        <v>5</v>
      </c>
      <c r="F23" s="54" t="str">
        <f ca="1"/>
        <v>バラ</v>
      </c>
      <c r="G23" s="54" t="str">
        <f ca="1"/>
        <v>２００Ｔ</v>
      </c>
      <c r="H23" s="54" t="str">
        <f ca="1">IF(E23="","",OFFSET(分類!$B$29,E23,0))</f>
        <v>普通薬バラ</v>
      </c>
    </row>
    <row r="24" spans="2:8">
      <c r="B24" s="27">
        <f t="shared" si="0"/>
        <v>20</v>
      </c>
      <c r="C24" s="27" t="str">
        <f ca="1"/>
        <v>ウルソデオキシコール酸錠１００ｍｇ「サワイ」</v>
      </c>
      <c r="D24" s="27">
        <f ca="1"/>
        <v>0</v>
      </c>
      <c r="E24" s="54">
        <f ca="1"/>
        <v>5</v>
      </c>
      <c r="F24" s="54" t="str">
        <f ca="1"/>
        <v>バラ</v>
      </c>
      <c r="G24" s="54" t="str">
        <f ca="1"/>
        <v>１０００Ｔ</v>
      </c>
      <c r="H24" s="54" t="str">
        <f ca="1">IF(E24="","",OFFSET(分類!$B$29,E24,0))</f>
        <v>普通薬バラ</v>
      </c>
    </row>
    <row r="25" spans="2:8">
      <c r="B25" s="27">
        <f t="shared" si="0"/>
        <v>21</v>
      </c>
      <c r="C25" s="27" t="str">
        <f ca="1"/>
        <v>エスゾピクロン錠１ｍｇ「トーワ」</v>
      </c>
      <c r="D25" s="27">
        <f ca="1"/>
        <v>0</v>
      </c>
      <c r="E25" s="54">
        <f ca="1"/>
        <v>5</v>
      </c>
      <c r="F25" s="54" t="str">
        <f ca="1"/>
        <v>ＰＴＰ</v>
      </c>
      <c r="G25" s="54" t="str">
        <f ca="1"/>
        <v>１００Ｔ</v>
      </c>
      <c r="H25" s="54" t="str">
        <f ca="1">IF(E25="","",OFFSET(分類!$B$29,E25,0))</f>
        <v>普通薬バラ</v>
      </c>
    </row>
    <row r="26" spans="2:8">
      <c r="B26" s="27">
        <f t="shared" si="0"/>
        <v>22</v>
      </c>
      <c r="C26" s="27" t="str">
        <f ca="1"/>
        <v>エスゾピクロン錠１ｍｇ「トーワ」</v>
      </c>
      <c r="D26" s="27">
        <f ca="1"/>
        <v>0</v>
      </c>
      <c r="E26" s="54">
        <f ca="1"/>
        <v>5</v>
      </c>
      <c r="F26" s="54" t="str">
        <f ca="1"/>
        <v>バラ</v>
      </c>
      <c r="G26" s="54" t="str">
        <f ca="1"/>
        <v>１００Ｔ</v>
      </c>
      <c r="H26" s="54" t="str">
        <f ca="1">IF(E26="","",OFFSET(分類!$B$29,E26,0))</f>
        <v>普通薬バラ</v>
      </c>
    </row>
    <row r="27" spans="2:8">
      <c r="B27" s="27">
        <f t="shared" si="0"/>
        <v>23</v>
      </c>
      <c r="C27" s="27" t="str">
        <f ca="1"/>
        <v>エチゾラム錠０．５ｍｇ「アメル」</v>
      </c>
      <c r="D27" s="27">
        <f ca="1"/>
        <v>0</v>
      </c>
      <c r="E27" s="54">
        <f ca="1"/>
        <v>5</v>
      </c>
      <c r="F27" s="54" t="str">
        <f ca="1"/>
        <v>ＰＴＰ</v>
      </c>
      <c r="G27" s="54" t="str">
        <f ca="1"/>
        <v>１０００Ｔ</v>
      </c>
      <c r="H27" s="54" t="str">
        <f ca="1">IF(E27="","",OFFSET(分類!$B$29,E27,0))</f>
        <v>普通薬バラ</v>
      </c>
    </row>
    <row r="28" spans="2:8">
      <c r="B28" s="27">
        <f t="shared" si="0"/>
        <v>24</v>
      </c>
      <c r="C28" s="27" t="str">
        <f ca="1"/>
        <v>エチゾラム錠０．５ｍｇ「アメル」</v>
      </c>
      <c r="D28" s="27">
        <f ca="1"/>
        <v>0</v>
      </c>
      <c r="E28" s="54">
        <f ca="1"/>
        <v>5</v>
      </c>
      <c r="F28" s="54" t="str">
        <f ca="1"/>
        <v>バラ</v>
      </c>
      <c r="G28" s="54" t="str">
        <f ca="1"/>
        <v>１０００Ｔ</v>
      </c>
      <c r="H28" s="54" t="str">
        <f ca="1">IF(E28="","",OFFSET(分類!$B$29,E28,0))</f>
        <v>普通薬バラ</v>
      </c>
    </row>
    <row r="29" spans="2:8">
      <c r="B29" s="27">
        <f t="shared" si="0"/>
        <v>25</v>
      </c>
      <c r="C29" s="27" t="str">
        <f ca="1"/>
        <v>エチゾラム錠１ｍｇ「アメル」</v>
      </c>
      <c r="D29" s="27">
        <f ca="1"/>
        <v>0</v>
      </c>
      <c r="E29" s="54">
        <f ca="1"/>
        <v>5</v>
      </c>
      <c r="F29" s="54" t="str">
        <f ca="1"/>
        <v>ＰＴＰ</v>
      </c>
      <c r="G29" s="54" t="str">
        <f ca="1"/>
        <v>１０００Ｔ</v>
      </c>
      <c r="H29" s="54" t="str">
        <f ca="1">IF(E29="","",OFFSET(分類!$B$29,E29,0))</f>
        <v>普通薬バラ</v>
      </c>
    </row>
    <row r="30" spans="2:8">
      <c r="B30" s="27">
        <f t="shared" si="0"/>
        <v>26</v>
      </c>
      <c r="C30" s="27" t="str">
        <f ca="1"/>
        <v>エチゾラム錠１ｍｇ「アメル」</v>
      </c>
      <c r="D30" s="27">
        <f ca="1"/>
        <v>0</v>
      </c>
      <c r="E30" s="54">
        <f ca="1"/>
        <v>5</v>
      </c>
      <c r="F30" s="54" t="str">
        <f ca="1"/>
        <v>バラ</v>
      </c>
      <c r="G30" s="54" t="str">
        <f ca="1"/>
        <v>１０００Ｔ</v>
      </c>
      <c r="H30" s="54" t="str">
        <f ca="1">IF(E30="","",OFFSET(分類!$B$29,E30,0))</f>
        <v>普通薬バラ</v>
      </c>
    </row>
    <row r="31" spans="2:8">
      <c r="B31" s="27">
        <f t="shared" si="0"/>
        <v>27</v>
      </c>
      <c r="C31" s="27" t="str">
        <f ca="1"/>
        <v>エナラプリルマレイン酸塩錠５ｍｇ「サワイ」　</v>
      </c>
      <c r="D31" s="27">
        <f ca="1"/>
        <v>0</v>
      </c>
      <c r="E31" s="54">
        <f ca="1"/>
        <v>5</v>
      </c>
      <c r="F31" s="54" t="str">
        <f ca="1"/>
        <v>バラ</v>
      </c>
      <c r="G31" s="54" t="str">
        <f ca="1"/>
        <v>１０００Ｔ</v>
      </c>
      <c r="H31" s="54" t="str">
        <f ca="1">IF(E31="","",OFFSET(分類!$B$29,E31,0))</f>
        <v>普通薬バラ</v>
      </c>
    </row>
    <row r="32" spans="2:8">
      <c r="B32" s="27">
        <f t="shared" si="0"/>
        <v>28</v>
      </c>
      <c r="C32" s="27" t="str">
        <f ca="1"/>
        <v>エバスチンＯＤ錠５ｍｇ「サワイ」</v>
      </c>
      <c r="D32" s="27">
        <f ca="1"/>
        <v>0</v>
      </c>
      <c r="E32" s="54">
        <f ca="1"/>
        <v>1</v>
      </c>
      <c r="F32" s="54" t="str">
        <f ca="1"/>
        <v>ＰＴＰ</v>
      </c>
      <c r="G32" s="54" t="str">
        <f ca="1"/>
        <v>１００Ｔ</v>
      </c>
      <c r="H32" s="54" t="str">
        <f ca="1">IF(E32="","",OFFSET(分類!$B$29,E32,0))</f>
        <v>調剤棚</v>
      </c>
    </row>
    <row r="33" spans="2:8">
      <c r="B33" s="27">
        <f t="shared" si="0"/>
        <v>29</v>
      </c>
      <c r="C33" s="27" t="str">
        <f ca="1"/>
        <v>エビスタ錠６０ｍｇ</v>
      </c>
      <c r="D33" s="27">
        <f ca="1"/>
        <v>0</v>
      </c>
      <c r="E33" s="54">
        <f ca="1"/>
        <v>5</v>
      </c>
      <c r="F33" s="54" t="str">
        <f ca="1"/>
        <v>ＰＴＰ</v>
      </c>
      <c r="G33" s="54" t="str">
        <f ca="1"/>
        <v>１００Ｔ</v>
      </c>
      <c r="H33" s="54" t="str">
        <f ca="1">IF(E33="","",OFFSET(分類!$B$29,E33,0))</f>
        <v>普通薬バラ</v>
      </c>
    </row>
    <row r="34" spans="2:8">
      <c r="B34" s="27">
        <f t="shared" si="0"/>
        <v>30</v>
      </c>
      <c r="C34" s="27" t="str">
        <f ca="1"/>
        <v>エピナスチン塩酸塩錠２０ｍｇ「トーワ」</v>
      </c>
      <c r="D34" s="27">
        <f ca="1"/>
        <v>0</v>
      </c>
      <c r="E34" s="54">
        <f ca="1"/>
        <v>5</v>
      </c>
      <c r="F34" s="54" t="str">
        <f ca="1"/>
        <v>ＰＴＰ</v>
      </c>
      <c r="G34" s="54" t="str">
        <f ca="1"/>
        <v>１０００Ｔ</v>
      </c>
      <c r="H34" s="54" t="str">
        <f ca="1">IF(E34="","",OFFSET(分類!$B$29,E34,0))</f>
        <v>普通薬バラ</v>
      </c>
    </row>
    <row r="35" spans="2:8">
      <c r="B35" s="27">
        <f t="shared" si="0"/>
        <v>31</v>
      </c>
      <c r="C35" s="27" t="str">
        <f ca="1"/>
        <v>エペリゾン塩酸塩錠５０ｍｇ「日医工」</v>
      </c>
      <c r="D35" s="27">
        <f ca="1"/>
        <v>0</v>
      </c>
      <c r="E35" s="54">
        <f ca="1"/>
        <v>1</v>
      </c>
      <c r="F35" s="54" t="str">
        <f ca="1"/>
        <v>ＰＴＰ</v>
      </c>
      <c r="G35" s="54" t="str">
        <f ca="1"/>
        <v>１００Ｔ</v>
      </c>
      <c r="H35" s="54" t="str">
        <f ca="1">IF(E35="","",OFFSET(分類!$B$29,E35,0))</f>
        <v>調剤棚</v>
      </c>
    </row>
    <row r="36" spans="2:8">
      <c r="B36" s="27">
        <f t="shared" si="0"/>
        <v>32</v>
      </c>
      <c r="C36" s="27" t="str">
        <f ca="1"/>
        <v>オロパタジン塩酸塩ＯＤ錠５ｍｇ「トーワ」</v>
      </c>
      <c r="D36" s="27">
        <f ca="1"/>
        <v>0</v>
      </c>
      <c r="E36" s="54">
        <f ca="1"/>
        <v>5</v>
      </c>
      <c r="F36" s="54" t="str">
        <f ca="1"/>
        <v>ＰＴＰ</v>
      </c>
      <c r="G36" s="54" t="str">
        <f ca="1"/>
        <v>１００Ｔ</v>
      </c>
      <c r="H36" s="54" t="str">
        <f ca="1">IF(E36="","",OFFSET(分類!$B$29,E36,0))</f>
        <v>普通薬バラ</v>
      </c>
    </row>
    <row r="37" spans="2:8">
      <c r="B37" s="27">
        <f t="shared" si="0"/>
        <v>33</v>
      </c>
      <c r="C37" s="27" t="str">
        <f ca="1"/>
        <v>オロパタジン塩酸塩ＯＤ錠５ｍｇ「トーワ」</v>
      </c>
      <c r="D37" s="27">
        <f ca="1"/>
        <v>0</v>
      </c>
      <c r="E37" s="54">
        <f ca="1"/>
        <v>5</v>
      </c>
      <c r="F37" s="54" t="str">
        <f ca="1"/>
        <v>バラ</v>
      </c>
      <c r="G37" s="54" t="str">
        <f ca="1"/>
        <v>１００Ｔ</v>
      </c>
      <c r="H37" s="54" t="str">
        <f ca="1">IF(E37="","",OFFSET(分類!$B$29,E37,0))</f>
        <v>普通薬バラ</v>
      </c>
    </row>
    <row r="38" spans="2:8">
      <c r="B38" s="27">
        <f t="shared" si="0"/>
        <v>34</v>
      </c>
      <c r="C38" s="27" t="str">
        <f ca="1"/>
        <v>カモスタットメシル酸塩錠１００ｍｇ「サワイ」</v>
      </c>
      <c r="D38" s="27">
        <f ca="1"/>
        <v>0</v>
      </c>
      <c r="E38" s="54">
        <f ca="1"/>
        <v>5</v>
      </c>
      <c r="F38" s="54" t="str">
        <f ca="1"/>
        <v>ＰＴＰ</v>
      </c>
      <c r="G38" s="54" t="str">
        <f ca="1"/>
        <v>１００Ｔ</v>
      </c>
      <c r="H38" s="54" t="str">
        <f ca="1">IF(E38="","",OFFSET(分類!$B$29,E38,0))</f>
        <v>普通薬バラ</v>
      </c>
    </row>
    <row r="39" spans="2:8">
      <c r="B39" s="27">
        <f t="shared" si="0"/>
        <v>35</v>
      </c>
      <c r="C39" s="27" t="str">
        <f ca="1"/>
        <v>カルバマゼピン錠１００ｍｇ「アメル」</v>
      </c>
      <c r="D39" s="27">
        <f ca="1"/>
        <v>0</v>
      </c>
      <c r="E39" s="54">
        <f ca="1"/>
        <v>5</v>
      </c>
      <c r="F39" s="54" t="str">
        <f ca="1"/>
        <v>バラ</v>
      </c>
      <c r="G39" s="54" t="str">
        <f ca="1"/>
        <v>５００Ｔ</v>
      </c>
      <c r="H39" s="54" t="str">
        <f ca="1">IF(E39="","",OFFSET(分類!$B$29,E39,0))</f>
        <v>普通薬バラ</v>
      </c>
    </row>
    <row r="40" spans="2:8">
      <c r="B40" s="27">
        <f t="shared" si="0"/>
        <v>36</v>
      </c>
      <c r="C40" s="27" t="str">
        <f ca="1"/>
        <v>カルバマゼピン錠２００ｍｇ「アメル」</v>
      </c>
      <c r="D40" s="27">
        <f ca="1"/>
        <v>0</v>
      </c>
      <c r="E40" s="54">
        <f ca="1"/>
        <v>5</v>
      </c>
      <c r="F40" s="54" t="str">
        <f ca="1"/>
        <v>ＰＴＰ</v>
      </c>
      <c r="G40" s="54" t="str">
        <f ca="1"/>
        <v>１００Ｔ</v>
      </c>
      <c r="H40" s="54" t="str">
        <f ca="1">IF(E40="","",OFFSET(分類!$B$29,E40,0))</f>
        <v>普通薬バラ</v>
      </c>
    </row>
    <row r="41" spans="2:8">
      <c r="B41" s="27">
        <f t="shared" si="0"/>
        <v>37</v>
      </c>
      <c r="C41" s="27" t="str">
        <f ca="1"/>
        <v>カルバマゼピン錠２００ｍｇ「アメル」</v>
      </c>
      <c r="D41" s="27">
        <f ca="1"/>
        <v>0</v>
      </c>
      <c r="E41" s="54">
        <f ca="1"/>
        <v>5</v>
      </c>
      <c r="F41" s="54" t="str">
        <f ca="1"/>
        <v>バラ</v>
      </c>
      <c r="G41" s="54" t="str">
        <f ca="1"/>
        <v>５００Ｔ</v>
      </c>
      <c r="H41" s="54" t="str">
        <f ca="1">IF(E41="","",OFFSET(分類!$B$29,E41,0))</f>
        <v>普通薬バラ</v>
      </c>
    </row>
    <row r="42" spans="2:8">
      <c r="B42" s="27">
        <f t="shared" si="0"/>
        <v>38</v>
      </c>
      <c r="C42" s="27" t="str">
        <f ca="1"/>
        <v>カルベジロール錠１０ｍｇ「ＤＳＥＰ」</v>
      </c>
      <c r="D42" s="27">
        <f ca="1"/>
        <v>0</v>
      </c>
      <c r="E42" s="54">
        <f ca="1"/>
        <v>5</v>
      </c>
      <c r="F42" s="54" t="str">
        <f ca="1"/>
        <v>ＰＴＰ</v>
      </c>
      <c r="G42" s="54" t="str">
        <f ca="1"/>
        <v>１００Ｔ</v>
      </c>
      <c r="H42" s="54" t="str">
        <f ca="1">IF(E42="","",OFFSET(分類!$B$29,E42,0))</f>
        <v>普通薬バラ</v>
      </c>
    </row>
    <row r="43" spans="2:8">
      <c r="B43" s="27">
        <f t="shared" si="0"/>
        <v>39</v>
      </c>
      <c r="C43" s="27" t="str">
        <f ca="1"/>
        <v>カルボシステイン錠２５０ｍｇ「トーワ」</v>
      </c>
      <c r="D43" s="27">
        <f ca="1"/>
        <v>0</v>
      </c>
      <c r="E43" s="54">
        <f ca="1"/>
        <v>5</v>
      </c>
      <c r="F43" s="54" t="str">
        <f ca="1"/>
        <v>ＰＴＰ</v>
      </c>
      <c r="G43" s="54" t="str">
        <f ca="1"/>
        <v>１０００Ｔ</v>
      </c>
      <c r="H43" s="54" t="str">
        <f ca="1">IF(E43="","",OFFSET(分類!$B$29,E43,0))</f>
        <v>普通薬バラ</v>
      </c>
    </row>
    <row r="44" spans="2:8">
      <c r="B44" s="27">
        <f t="shared" si="0"/>
        <v>40</v>
      </c>
      <c r="C44" s="27" t="str">
        <f ca="1"/>
        <v>カロナール錠２００</v>
      </c>
      <c r="D44" s="27">
        <f ca="1"/>
        <v>0</v>
      </c>
      <c r="E44" s="54">
        <f ca="1"/>
        <v>5</v>
      </c>
      <c r="F44" s="54" t="str">
        <f ca="1"/>
        <v>ＰＴＰ</v>
      </c>
      <c r="G44" s="54" t="str">
        <f ca="1"/>
        <v>１０００Ｔ</v>
      </c>
      <c r="H44" s="54" t="str">
        <f ca="1">IF(E44="","",OFFSET(分類!$B$29,E44,0))</f>
        <v>普通薬バラ</v>
      </c>
    </row>
    <row r="45" spans="2:8">
      <c r="B45" s="27">
        <f t="shared" si="0"/>
        <v>41</v>
      </c>
      <c r="C45" s="27" t="str">
        <f ca="1"/>
        <v>カロナール錠２００</v>
      </c>
      <c r="D45" s="27">
        <f ca="1"/>
        <v>0</v>
      </c>
      <c r="E45" s="54">
        <f ca="1"/>
        <v>5</v>
      </c>
      <c r="F45" s="54" t="str">
        <f ca="1"/>
        <v>バラ</v>
      </c>
      <c r="G45" s="54" t="str">
        <f ca="1"/>
        <v>５００Ｔ</v>
      </c>
      <c r="H45" s="54" t="str">
        <f ca="1">IF(E45="","",OFFSET(分類!$B$29,E45,0))</f>
        <v>普通薬バラ</v>
      </c>
    </row>
    <row r="46" spans="2:8">
      <c r="B46" s="27">
        <f t="shared" si="0"/>
        <v>42</v>
      </c>
      <c r="C46" s="27" t="str">
        <f ca="1"/>
        <v>クアゼパム錠１５ｍｇ「アメル」</v>
      </c>
      <c r="D46" s="27">
        <f ca="1"/>
        <v>0</v>
      </c>
      <c r="E46" s="54">
        <f ca="1"/>
        <v>1</v>
      </c>
      <c r="F46" s="54" t="str">
        <f ca="1"/>
        <v>ＰＴＰ</v>
      </c>
      <c r="G46" s="54" t="str">
        <f ca="1"/>
        <v>１００Ｔ</v>
      </c>
      <c r="H46" s="54" t="str">
        <f ca="1">IF(E46="","",OFFSET(分類!$B$29,E46,0))</f>
        <v>調剤棚</v>
      </c>
    </row>
    <row r="47" spans="2:8">
      <c r="B47" s="27">
        <f t="shared" si="0"/>
        <v>43</v>
      </c>
      <c r="C47" s="27" t="str">
        <f ca="1"/>
        <v>クアゼパム錠１５ｍｇ「アメル」</v>
      </c>
      <c r="D47" s="27">
        <f ca="1"/>
        <v>0</v>
      </c>
      <c r="E47" s="54">
        <f ca="1"/>
        <v>1</v>
      </c>
      <c r="F47" s="54" t="str">
        <f ca="1"/>
        <v>バラ</v>
      </c>
      <c r="G47" s="54" t="str">
        <f ca="1"/>
        <v>５００Ｔ</v>
      </c>
      <c r="H47" s="54" t="str">
        <f ca="1">IF(E47="","",OFFSET(分類!$B$29,E47,0))</f>
        <v>調剤棚</v>
      </c>
    </row>
    <row r="48" spans="2:8">
      <c r="B48" s="27">
        <f t="shared" si="0"/>
        <v>44</v>
      </c>
      <c r="C48" s="27" t="str">
        <f ca="1"/>
        <v>クービビック錠２５ｍｇ</v>
      </c>
      <c r="D48" s="27">
        <f ca="1"/>
        <v>0</v>
      </c>
      <c r="E48" s="54">
        <f ca="1"/>
        <v>1</v>
      </c>
      <c r="F48" s="54" t="str">
        <f ca="1"/>
        <v>ＰＴＰ</v>
      </c>
      <c r="G48" s="54" t="str">
        <f ca="1"/>
        <v>１００Ｔ</v>
      </c>
      <c r="H48" s="54" t="str">
        <f ca="1">IF(E48="","",OFFSET(分類!$B$29,E48,0))</f>
        <v>調剤棚</v>
      </c>
    </row>
    <row r="49" spans="2:8">
      <c r="B49" s="27">
        <f t="shared" si="0"/>
        <v>45</v>
      </c>
      <c r="C49" s="27" t="str">
        <f ca="1"/>
        <v>グーフィス錠５ｍｇ</v>
      </c>
      <c r="D49" s="27">
        <f ca="1"/>
        <v>0</v>
      </c>
      <c r="E49" s="54">
        <f ca="1"/>
        <v>5</v>
      </c>
      <c r="F49" s="54" t="str">
        <f ca="1"/>
        <v>ＰＴＰ</v>
      </c>
      <c r="G49" s="54" t="str">
        <f ca="1"/>
        <v>５００Ｔ</v>
      </c>
      <c r="H49" s="54" t="str">
        <f ca="1">IF(E49="","",OFFSET(分類!$B$29,E49,0))</f>
        <v>普通薬バラ</v>
      </c>
    </row>
    <row r="50" spans="2:8">
      <c r="B50" s="27">
        <f t="shared" si="0"/>
        <v>46</v>
      </c>
      <c r="C50" s="27" t="str">
        <f ca="1"/>
        <v>グラクティブ錠５０ｍｇ</v>
      </c>
      <c r="D50" s="27">
        <f ca="1"/>
        <v>0</v>
      </c>
      <c r="E50" s="54">
        <f ca="1"/>
        <v>5</v>
      </c>
      <c r="F50" s="54" t="str">
        <f ca="1"/>
        <v>バラ</v>
      </c>
      <c r="G50" s="54" t="str">
        <f ca="1"/>
        <v>１００Ｔ</v>
      </c>
      <c r="H50" s="54" t="str">
        <f ca="1">IF(E50="","",OFFSET(分類!$B$29,E50,0))</f>
        <v>普通薬バラ</v>
      </c>
    </row>
    <row r="51" spans="2:8">
      <c r="B51" s="27">
        <f t="shared" si="0"/>
        <v>47</v>
      </c>
      <c r="C51" s="27" t="str">
        <f ca="1"/>
        <v>グラマリール錠２５ｍｇ</v>
      </c>
      <c r="D51" s="27">
        <f ca="1"/>
        <v>0</v>
      </c>
      <c r="E51" s="54">
        <f ca="1"/>
        <v>5</v>
      </c>
      <c r="F51" s="54" t="str">
        <f ca="1"/>
        <v>バラ</v>
      </c>
      <c r="G51" s="54" t="str">
        <f ca="1"/>
        <v>１０００Ｔ</v>
      </c>
      <c r="H51" s="54" t="str">
        <f ca="1">IF(E51="","",OFFSET(分類!$B$29,E51,0))</f>
        <v>普通薬バラ</v>
      </c>
    </row>
    <row r="52" spans="2:8">
      <c r="B52" s="27">
        <f t="shared" si="0"/>
        <v>48</v>
      </c>
      <c r="C52" s="27" t="str">
        <f ca="1"/>
        <v>グラマリール錠５０ｍｇ</v>
      </c>
      <c r="D52" s="27">
        <f ca="1"/>
        <v>0</v>
      </c>
      <c r="E52" s="54">
        <f ca="1"/>
        <v>5</v>
      </c>
      <c r="F52" s="54" t="str">
        <f ca="1"/>
        <v>ＰＴＰ</v>
      </c>
      <c r="G52" s="54" t="str">
        <f ca="1"/>
        <v>１００Ｔ</v>
      </c>
      <c r="H52" s="54" t="str">
        <f ca="1">IF(E52="","",OFFSET(分類!$B$29,E52,0))</f>
        <v>普通薬バラ</v>
      </c>
    </row>
    <row r="53" spans="2:8">
      <c r="B53" s="27">
        <f t="shared" si="0"/>
        <v>49</v>
      </c>
      <c r="C53" s="27" t="str">
        <f ca="1"/>
        <v>クラリシッド錠２００ｍｇ</v>
      </c>
      <c r="D53" s="27">
        <f ca="1"/>
        <v>0</v>
      </c>
      <c r="E53" s="54">
        <f ca="1"/>
        <v>5</v>
      </c>
      <c r="F53" s="54" t="str">
        <f ca="1"/>
        <v>ＰＴＰ</v>
      </c>
      <c r="G53" s="54" t="str">
        <f ca="1"/>
        <v>１００Ｔ</v>
      </c>
      <c r="H53" s="54" t="str">
        <f ca="1">IF(E53="","",OFFSET(分類!$B$29,E53,0))</f>
        <v>普通薬バラ</v>
      </c>
    </row>
    <row r="54" spans="2:8">
      <c r="B54" s="27">
        <f t="shared" si="0"/>
        <v>50</v>
      </c>
      <c r="C54" s="27" t="str">
        <f ca="1"/>
        <v>クラリチン錠１０ｍｇ</v>
      </c>
      <c r="D54" s="27">
        <f ca="1"/>
        <v>0</v>
      </c>
      <c r="E54" s="54">
        <f ca="1"/>
        <v>5</v>
      </c>
      <c r="F54" s="54" t="str">
        <f ca="1"/>
        <v>ＰＴＰ</v>
      </c>
      <c r="G54" s="54" t="str">
        <f ca="1"/>
        <v>１００Ｔ</v>
      </c>
      <c r="H54" s="54" t="str">
        <f ca="1">IF(E54="","",OFFSET(分類!$B$29,E54,0))</f>
        <v>普通薬バラ</v>
      </c>
    </row>
    <row r="55" spans="2:8">
      <c r="B55" s="27">
        <f t="shared" si="0"/>
        <v>51</v>
      </c>
      <c r="C55" s="27" t="str">
        <f ca="1"/>
        <v>グランダキシン錠５０</v>
      </c>
      <c r="D55" s="27">
        <f ca="1"/>
        <v>0</v>
      </c>
      <c r="E55" s="54">
        <f ca="1"/>
        <v>5</v>
      </c>
      <c r="F55" s="54" t="str">
        <f ca="1"/>
        <v>ＰＴＰ</v>
      </c>
      <c r="G55" s="54" t="str">
        <f ca="1"/>
        <v>１００Ｔ</v>
      </c>
      <c r="H55" s="54" t="str">
        <f ca="1">IF(E55="","",OFFSET(分類!$B$29,E55,0))</f>
        <v>普通薬バラ</v>
      </c>
    </row>
    <row r="56" spans="2:8">
      <c r="B56" s="27">
        <f t="shared" si="0"/>
        <v>52</v>
      </c>
      <c r="C56" s="27" t="str">
        <f ca="1"/>
        <v>グリチロン配合錠</v>
      </c>
      <c r="D56" s="27">
        <f ca="1"/>
        <v>0</v>
      </c>
      <c r="E56" s="54">
        <f ca="1"/>
        <v>5</v>
      </c>
      <c r="F56" s="54" t="str">
        <f ca="1"/>
        <v>バラ</v>
      </c>
      <c r="G56" s="54" t="str">
        <f ca="1"/>
        <v>１０００Ｔ</v>
      </c>
      <c r="H56" s="54" t="str">
        <f ca="1">IF(E56="","",OFFSET(分類!$B$29,E56,0))</f>
        <v>普通薬バラ</v>
      </c>
    </row>
    <row r="57" spans="2:8">
      <c r="B57" s="27">
        <f t="shared" si="0"/>
        <v>53</v>
      </c>
      <c r="C57" s="27" t="str">
        <f ca="1"/>
        <v>クロピドグレル錠７５ｍｇ「ＪＧ」</v>
      </c>
      <c r="D57" s="27">
        <f ca="1"/>
        <v>0</v>
      </c>
      <c r="E57" s="54">
        <f ca="1"/>
        <v>5</v>
      </c>
      <c r="F57" s="54" t="str">
        <f ca="1"/>
        <v>ＰＴＰ</v>
      </c>
      <c r="G57" s="54" t="str">
        <f ca="1"/>
        <v>１００Ｔ</v>
      </c>
      <c r="H57" s="54" t="str">
        <f ca="1">IF(E57="","",OFFSET(分類!$B$29,E57,0))</f>
        <v>普通薬バラ</v>
      </c>
    </row>
    <row r="58" spans="2:8">
      <c r="B58" s="27">
        <f t="shared" si="0"/>
        <v>54</v>
      </c>
      <c r="C58" s="27" t="str">
        <f ca="1"/>
        <v>クロピドグレル錠７５ｍｇ「ＪＧ」</v>
      </c>
      <c r="D58" s="27">
        <f ca="1"/>
        <v>0</v>
      </c>
      <c r="E58" s="54">
        <f ca="1"/>
        <v>5</v>
      </c>
      <c r="F58" s="54" t="str">
        <f ca="1"/>
        <v>バラ</v>
      </c>
      <c r="G58" s="54" t="str">
        <f ca="1"/>
        <v>５００Ｔ</v>
      </c>
      <c r="H58" s="54" t="str">
        <f ca="1">IF(E58="","",OFFSET(分類!$B$29,E58,0))</f>
        <v>普通薬バラ</v>
      </c>
    </row>
    <row r="59" spans="2:8">
      <c r="B59" s="27">
        <f t="shared" si="0"/>
        <v>55</v>
      </c>
      <c r="C59" s="27" t="str">
        <f ca="1"/>
        <v>ケルロング錠１０ｍｇ</v>
      </c>
      <c r="D59" s="27">
        <f ca="1"/>
        <v>0</v>
      </c>
      <c r="E59" s="54">
        <f ca="1"/>
        <v>5</v>
      </c>
      <c r="F59" s="54" t="str">
        <f ca="1"/>
        <v>ＰＴＰ</v>
      </c>
      <c r="G59" s="54" t="str">
        <f ca="1"/>
        <v>１００Ｔ</v>
      </c>
      <c r="H59" s="54" t="str">
        <f ca="1">IF(E59="","",OFFSET(分類!$B$29,E59,0))</f>
        <v>普通薬バラ</v>
      </c>
    </row>
    <row r="60" spans="2:8">
      <c r="B60" s="27">
        <f t="shared" si="0"/>
        <v>56</v>
      </c>
      <c r="C60" s="27" t="str">
        <f ca="1"/>
        <v>コントミン糖衣錠２５ｍｇ</v>
      </c>
      <c r="D60" s="27">
        <f ca="1"/>
        <v>0</v>
      </c>
      <c r="E60" s="54">
        <f ca="1"/>
        <v>6</v>
      </c>
      <c r="F60" s="54" t="str">
        <f ca="1"/>
        <v>ＰＴＰ</v>
      </c>
      <c r="G60" s="54" t="str">
        <f ca="1"/>
        <v>１００Ｔ</v>
      </c>
      <c r="H60" s="54" t="str">
        <f ca="1">IF(E60="","",OFFSET(分類!$B$29,E60,0))</f>
        <v>劇薬バラ</v>
      </c>
    </row>
    <row r="61" spans="2:8">
      <c r="B61" s="27">
        <f t="shared" si="0"/>
        <v>57</v>
      </c>
      <c r="C61" s="27" t="str">
        <f ca="1"/>
        <v>コントミン糖衣錠２５ｍｇ</v>
      </c>
      <c r="D61" s="27">
        <f ca="1"/>
        <v>0</v>
      </c>
      <c r="E61" s="54">
        <f ca="1"/>
        <v>6</v>
      </c>
      <c r="F61" s="54" t="str">
        <f ca="1"/>
        <v>ＰＴＰ</v>
      </c>
      <c r="G61" s="54" t="str">
        <f ca="1"/>
        <v>１０００Ｔ</v>
      </c>
      <c r="H61" s="54" t="str">
        <f ca="1">IF(E61="","",OFFSET(分類!$B$29,E61,0))</f>
        <v>劇薬バラ</v>
      </c>
    </row>
    <row r="62" spans="2:8">
      <c r="B62" s="27">
        <f t="shared" si="0"/>
        <v>58</v>
      </c>
      <c r="C62" s="27" t="str">
        <f ca="1"/>
        <v>コントミン糖衣錠２５ｍｇ</v>
      </c>
      <c r="D62" s="27">
        <f ca="1"/>
        <v>0</v>
      </c>
      <c r="E62" s="54">
        <f ca="1"/>
        <v>6</v>
      </c>
      <c r="F62" s="54" t="str">
        <f ca="1"/>
        <v>バラ</v>
      </c>
      <c r="G62" s="54" t="str">
        <f ca="1"/>
        <v>１０００Ｔ</v>
      </c>
      <c r="H62" s="54" t="str">
        <f ca="1">IF(E62="","",OFFSET(分類!$B$29,E62,0))</f>
        <v>劇薬バラ</v>
      </c>
    </row>
    <row r="63" spans="2:8">
      <c r="B63" s="27">
        <f t="shared" si="0"/>
        <v>59</v>
      </c>
      <c r="C63" s="27" t="str">
        <f ca="1"/>
        <v>サワシリン錠２５０</v>
      </c>
      <c r="D63" s="27">
        <f ca="1"/>
        <v>0</v>
      </c>
      <c r="E63" s="54">
        <f ca="1"/>
        <v>2</v>
      </c>
      <c r="F63" s="54" t="str">
        <f ca="1"/>
        <v>ＰＴＰ</v>
      </c>
      <c r="G63" s="54" t="str">
        <f ca="1"/>
        <v>１００Ｔ</v>
      </c>
      <c r="H63" s="54" t="str">
        <f ca="1">IF(E63="","",OFFSET(分類!$B$29,E63,0))</f>
        <v>散薬調剤台</v>
      </c>
    </row>
    <row r="64" spans="2:8">
      <c r="B64" s="27">
        <f t="shared" si="0"/>
        <v>60</v>
      </c>
      <c r="C64" s="27" t="str">
        <f ca="1"/>
        <v>ジアゼパム錠２ｍｇ「アメル」</v>
      </c>
      <c r="D64" s="27">
        <f ca="1"/>
        <v>0</v>
      </c>
      <c r="E64" s="54">
        <f ca="1"/>
        <v>5</v>
      </c>
      <c r="F64" s="54" t="str">
        <f ca="1"/>
        <v>ＰＴＰ</v>
      </c>
      <c r="G64" s="54" t="str">
        <f ca="1"/>
        <v>１００Ｔ</v>
      </c>
      <c r="H64" s="54" t="str">
        <f ca="1">IF(E64="","",OFFSET(分類!$B$29,E64,0))</f>
        <v>普通薬バラ</v>
      </c>
    </row>
    <row r="65" spans="2:8">
      <c r="B65" s="27">
        <f t="shared" si="0"/>
        <v>61</v>
      </c>
      <c r="C65" s="27" t="str">
        <f ca="1"/>
        <v>ジアゼパム錠５ｍｇ「アメル」</v>
      </c>
      <c r="D65" s="27">
        <f ca="1"/>
        <v>0</v>
      </c>
      <c r="E65" s="54">
        <f ca="1"/>
        <v>5</v>
      </c>
      <c r="F65" s="54" t="str">
        <f ca="1"/>
        <v>ＰＴＰ</v>
      </c>
      <c r="G65" s="54" t="str">
        <f ca="1"/>
        <v>１００Ｔ</v>
      </c>
      <c r="H65" s="54" t="str">
        <f ca="1">IF(E65="","",OFFSET(分類!$B$29,E65,0))</f>
        <v>普通薬バラ</v>
      </c>
    </row>
    <row r="66" spans="2:8">
      <c r="B66" s="27">
        <f t="shared" si="0"/>
        <v>62</v>
      </c>
      <c r="C66" s="27" t="str">
        <f ca="1"/>
        <v>ジェニナック錠２００ＭＧ</v>
      </c>
      <c r="D66" s="27">
        <f ca="1"/>
        <v>0</v>
      </c>
      <c r="E66" s="54">
        <f ca="1"/>
        <v>1</v>
      </c>
      <c r="F66" s="54" t="str">
        <f ca="1"/>
        <v>ＰＴＰ</v>
      </c>
      <c r="G66" s="54" t="str">
        <f ca="1"/>
        <v>１００Ｔ</v>
      </c>
      <c r="H66" s="54" t="str">
        <f ca="1">IF(E66="","",OFFSET(分類!$B$29,E66,0))</f>
        <v>調剤棚</v>
      </c>
    </row>
    <row r="67" spans="2:8">
      <c r="B67" s="27">
        <f t="shared" si="0"/>
        <v>63</v>
      </c>
      <c r="C67" s="27" t="str">
        <f ca="1"/>
        <v>ジフェニドール塩酸塩錠２５ｍｇ「ＮＩＧ」</v>
      </c>
      <c r="D67" s="27">
        <f ca="1"/>
        <v>0</v>
      </c>
      <c r="E67" s="54">
        <f ca="1"/>
        <v>1</v>
      </c>
      <c r="F67" s="54" t="str">
        <f ca="1"/>
        <v>ＰＴＰ</v>
      </c>
      <c r="G67" s="54" t="str">
        <f ca="1"/>
        <v>１０００Ｔ</v>
      </c>
      <c r="H67" s="54" t="str">
        <f ca="1">IF(E67="","",OFFSET(分類!$B$29,E67,0))</f>
        <v>調剤棚</v>
      </c>
    </row>
    <row r="68" spans="2:8">
      <c r="B68" s="27">
        <f t="shared" si="0"/>
        <v>64</v>
      </c>
      <c r="C68" s="27" t="str">
        <f ca="1"/>
        <v>ジメチコン錠４０ｍｇ「ＹＤ」</v>
      </c>
      <c r="D68" s="27">
        <f ca="1"/>
        <v>0</v>
      </c>
      <c r="E68" s="54">
        <f ca="1"/>
        <v>5</v>
      </c>
      <c r="F68" s="54" t="str">
        <f ca="1"/>
        <v>ＰＴＰ</v>
      </c>
      <c r="G68" s="54" t="str">
        <f ca="1"/>
        <v>１００Ｔ</v>
      </c>
      <c r="H68" s="54" t="str">
        <f ca="1">IF(E68="","",OFFSET(分類!$B$29,E68,0))</f>
        <v>普通薬バラ</v>
      </c>
    </row>
    <row r="69" spans="2:8">
      <c r="B69" s="27">
        <f t="shared" si="0"/>
        <v>65</v>
      </c>
      <c r="C69" s="27" t="str">
        <f ca="1"/>
        <v>ジメチコン錠４０ｍｇ「ＹＤ」</v>
      </c>
      <c r="D69" s="27">
        <f ca="1"/>
        <v>0</v>
      </c>
      <c r="E69" s="54">
        <f ca="1"/>
        <v>5</v>
      </c>
      <c r="F69" s="54" t="str">
        <f ca="1"/>
        <v>バラ</v>
      </c>
      <c r="G69" s="54" t="str">
        <f ca="1"/>
        <v>１０００Ｔ</v>
      </c>
      <c r="H69" s="54" t="str">
        <f ca="1">IF(E69="","",OFFSET(分類!$B$29,E69,0))</f>
        <v>普通薬バラ</v>
      </c>
    </row>
    <row r="70" spans="2:8">
      <c r="B70" s="27">
        <f t="shared" si="0"/>
        <v>66</v>
      </c>
      <c r="C70" s="27" t="str">
        <f ca="1"/>
        <v>シロスタゾールＯＤ錠１００ｍｇ「タカタ」</v>
      </c>
      <c r="D70" s="27">
        <f ca="1"/>
        <v>0</v>
      </c>
      <c r="E70" s="54">
        <f ca="1"/>
        <v>5</v>
      </c>
      <c r="F70" s="54" t="str">
        <f ca="1"/>
        <v>ＰＴＰ</v>
      </c>
      <c r="G70" s="54" t="str">
        <f ca="1"/>
        <v>１００Ｔ</v>
      </c>
      <c r="H70" s="54" t="str">
        <f ca="1">IF(E70="","",OFFSET(分類!$B$29,E70,0))</f>
        <v>普通薬バラ</v>
      </c>
    </row>
    <row r="71" spans="2:8">
      <c r="B71" s="27">
        <f t="shared" ref="B71:B134" si="1">B70+1</f>
        <v>67</v>
      </c>
      <c r="C71" s="27" t="str">
        <f ca="1"/>
        <v>シロスタゾールＯＤ錠１００ｍｇ「タカタ」　</v>
      </c>
      <c r="D71" s="27">
        <f ca="1"/>
        <v>0</v>
      </c>
      <c r="E71" s="54">
        <f ca="1"/>
        <v>5</v>
      </c>
      <c r="F71" s="54" t="str">
        <f ca="1"/>
        <v>バラ</v>
      </c>
      <c r="G71" s="54" t="str">
        <f ca="1"/>
        <v>５００Ｔ</v>
      </c>
      <c r="H71" s="54" t="str">
        <f ca="1">IF(E71="","",OFFSET(分類!$B$29,E71,0))</f>
        <v>普通薬バラ</v>
      </c>
    </row>
    <row r="72" spans="2:8">
      <c r="B72" s="27">
        <f t="shared" si="1"/>
        <v>68</v>
      </c>
      <c r="C72" s="27" t="str">
        <f ca="1"/>
        <v>シングレア錠１０ｍｇ</v>
      </c>
      <c r="D72" s="27">
        <f ca="1"/>
        <v>0</v>
      </c>
      <c r="E72" s="54">
        <f ca="1"/>
        <v>5</v>
      </c>
      <c r="F72" s="54" t="str">
        <f ca="1"/>
        <v>ＰＴＰ</v>
      </c>
      <c r="G72" s="54" t="str">
        <f ca="1"/>
        <v>１００Ｔ</v>
      </c>
      <c r="H72" s="54" t="str">
        <f ca="1">IF(E72="","",OFFSET(分類!$B$29,E72,0))</f>
        <v>普通薬バラ</v>
      </c>
    </row>
    <row r="73" spans="2:8">
      <c r="B73" s="27">
        <f t="shared" si="1"/>
        <v>69</v>
      </c>
      <c r="C73" s="27" t="str">
        <f ca="1"/>
        <v>スピロペント錠１０μｇ</v>
      </c>
      <c r="D73" s="27">
        <f ca="1"/>
        <v>0</v>
      </c>
      <c r="E73" s="54">
        <f ca="1"/>
        <v>5</v>
      </c>
      <c r="F73" s="54" t="str">
        <f ca="1"/>
        <v>ＰＴＰ</v>
      </c>
      <c r="G73" s="54" t="str">
        <f ca="1"/>
        <v>１００Ｔ</v>
      </c>
      <c r="H73" s="54" t="str">
        <f ca="1">IF(E73="","",OFFSET(分類!$B$29,E73,0))</f>
        <v>普通薬バラ</v>
      </c>
    </row>
    <row r="74" spans="2:8">
      <c r="B74" s="27">
        <f t="shared" si="1"/>
        <v>70</v>
      </c>
      <c r="C74" s="27" t="str">
        <f ca="1"/>
        <v>スルピリド錠５０ｍｇ「アメル」</v>
      </c>
      <c r="D74" s="27">
        <f ca="1"/>
        <v>0</v>
      </c>
      <c r="E74" s="54">
        <f ca="1"/>
        <v>5</v>
      </c>
      <c r="F74" s="54" t="str">
        <f ca="1"/>
        <v>ＰＴＰ</v>
      </c>
      <c r="G74" s="54" t="str">
        <f ca="1"/>
        <v>１００Ｔ</v>
      </c>
      <c r="H74" s="54" t="str">
        <f ca="1">IF(E74="","",OFFSET(分類!$B$29,E74,0))</f>
        <v>普通薬バラ</v>
      </c>
    </row>
    <row r="75" spans="2:8">
      <c r="B75" s="27">
        <f t="shared" si="1"/>
        <v>71</v>
      </c>
      <c r="C75" s="27" t="str">
        <f ca="1"/>
        <v>スルピリド錠５０ｍｇ「アメル」</v>
      </c>
      <c r="D75" s="27">
        <f ca="1"/>
        <v>0</v>
      </c>
      <c r="E75" s="54">
        <f ca="1"/>
        <v>5</v>
      </c>
      <c r="F75" s="54" t="str">
        <f ca="1"/>
        <v>バラ</v>
      </c>
      <c r="G75" s="54" t="str">
        <f ca="1"/>
        <v>１０００Ｔ</v>
      </c>
      <c r="H75" s="54" t="str">
        <f ca="1">IF(E75="","",OFFSET(分類!$B$29,E75,0))</f>
        <v>普通薬バラ</v>
      </c>
    </row>
    <row r="76" spans="2:8">
      <c r="B76" s="27">
        <f t="shared" si="1"/>
        <v>72</v>
      </c>
      <c r="C76" s="27" t="str">
        <f ca="1"/>
        <v>セパゾン錠１</v>
      </c>
      <c r="D76" s="27">
        <f ca="1"/>
        <v>0</v>
      </c>
      <c r="E76" s="54">
        <f ca="1"/>
        <v>5</v>
      </c>
      <c r="F76" s="54" t="str">
        <f ca="1"/>
        <v>ＰＴＰ</v>
      </c>
      <c r="G76" s="54" t="str">
        <f ca="1"/>
        <v>１００Ｔ</v>
      </c>
      <c r="H76" s="54" t="str">
        <f ca="1">IF(E76="","",OFFSET(分類!$B$29,E76,0))</f>
        <v>普通薬バラ</v>
      </c>
    </row>
    <row r="77" spans="2:8">
      <c r="B77" s="27">
        <f t="shared" si="1"/>
        <v>73</v>
      </c>
      <c r="C77" s="27" t="str">
        <f ca="1"/>
        <v>セパゾン錠１</v>
      </c>
      <c r="D77" s="27">
        <f ca="1"/>
        <v>0</v>
      </c>
      <c r="E77" s="54">
        <f ca="1"/>
        <v>5</v>
      </c>
      <c r="F77" s="54" t="str">
        <f ca="1"/>
        <v>バラ</v>
      </c>
      <c r="G77" s="54" t="str">
        <f ca="1"/>
        <v>１０００Ｔ</v>
      </c>
      <c r="H77" s="54" t="str">
        <f ca="1">IF(E77="","",OFFSET(分類!$B$29,E77,0))</f>
        <v>普通薬バラ</v>
      </c>
    </row>
    <row r="78" spans="2:8">
      <c r="B78" s="27">
        <f t="shared" si="1"/>
        <v>74</v>
      </c>
      <c r="C78" s="27" t="str">
        <f ca="1"/>
        <v>セパゾン錠２</v>
      </c>
      <c r="D78" s="27">
        <f ca="1"/>
        <v>0</v>
      </c>
      <c r="E78" s="54">
        <f ca="1"/>
        <v>1</v>
      </c>
      <c r="F78" s="54" t="str">
        <f ca="1"/>
        <v>ＰＴＰ</v>
      </c>
      <c r="G78" s="54" t="str">
        <f ca="1"/>
        <v>１００Ｔ</v>
      </c>
      <c r="H78" s="54" t="str">
        <f ca="1">IF(E78="","",OFFSET(分類!$B$29,E78,0))</f>
        <v>調剤棚</v>
      </c>
    </row>
    <row r="79" spans="2:8">
      <c r="B79" s="27">
        <f t="shared" si="1"/>
        <v>75</v>
      </c>
      <c r="C79" s="27" t="str">
        <f ca="1"/>
        <v>セレスタミン配合錠</v>
      </c>
      <c r="D79" s="27">
        <f ca="1"/>
        <v>0</v>
      </c>
      <c r="E79" s="54">
        <f ca="1"/>
        <v>5</v>
      </c>
      <c r="F79" s="54" t="str">
        <f ca="1"/>
        <v>バラ</v>
      </c>
      <c r="G79" s="54" t="str">
        <f ca="1"/>
        <v>１００Ｔ</v>
      </c>
      <c r="H79" s="54" t="str">
        <f ca="1">IF(E79="","",OFFSET(分類!$B$29,E79,0))</f>
        <v>普通薬バラ</v>
      </c>
    </row>
    <row r="80" spans="2:8">
      <c r="B80" s="27">
        <f t="shared" si="1"/>
        <v>76</v>
      </c>
      <c r="C80" s="27" t="str">
        <f ca="1"/>
        <v>センノシド錠１２ｍｇ「クニヒロ」</v>
      </c>
      <c r="D80" s="27">
        <f ca="1"/>
        <v>0</v>
      </c>
      <c r="E80" s="54">
        <f ca="1"/>
        <v>5</v>
      </c>
      <c r="F80" s="54" t="str">
        <f ca="1"/>
        <v>ＰＴＰ</v>
      </c>
      <c r="G80" s="54" t="str">
        <f ca="1"/>
        <v>１０００Ｔ</v>
      </c>
      <c r="H80" s="54" t="str">
        <f ca="1">IF(E80="","",OFFSET(分類!$B$29,E80,0))</f>
        <v>普通薬バラ</v>
      </c>
    </row>
    <row r="81" spans="2:8">
      <c r="B81" s="27">
        <f t="shared" si="1"/>
        <v>77</v>
      </c>
      <c r="C81" s="27" t="str">
        <f ca="1"/>
        <v>センノシド錠１２ｍｇ「クニヒロ」</v>
      </c>
      <c r="D81" s="27">
        <f ca="1"/>
        <v>0</v>
      </c>
      <c r="E81" s="54">
        <f ca="1"/>
        <v>5</v>
      </c>
      <c r="F81" s="54" t="str">
        <f ca="1"/>
        <v>バラ</v>
      </c>
      <c r="G81" s="54" t="str">
        <f ca="1"/>
        <v>１０００Ｔ</v>
      </c>
      <c r="H81" s="54" t="str">
        <f ca="1">IF(E81="","",OFFSET(分類!$B$29,E81,0))</f>
        <v>普通薬バラ</v>
      </c>
    </row>
    <row r="82" spans="2:8">
      <c r="B82" s="27">
        <f t="shared" si="1"/>
        <v>78</v>
      </c>
      <c r="C82" s="27" t="str">
        <f ca="1"/>
        <v>ゾピクロン錠７．５ｍｇ「トーワ」</v>
      </c>
      <c r="D82" s="27">
        <f ca="1"/>
        <v>0</v>
      </c>
      <c r="E82" s="54">
        <f ca="1"/>
        <v>5</v>
      </c>
      <c r="F82" s="54" t="str">
        <f ca="1"/>
        <v>ＰＴＰ</v>
      </c>
      <c r="G82" s="54" t="str">
        <f ca="1"/>
        <v>１００Ｔ</v>
      </c>
      <c r="H82" s="54" t="str">
        <f ca="1">IF(E82="","",OFFSET(分類!$B$29,E82,0))</f>
        <v>普通薬バラ</v>
      </c>
    </row>
    <row r="83" spans="2:8">
      <c r="B83" s="27">
        <f t="shared" si="1"/>
        <v>79</v>
      </c>
      <c r="C83" s="27" t="str">
        <f ca="1"/>
        <v>ゾピクロン錠７．５ｍｇ「トーワ」</v>
      </c>
      <c r="D83" s="27">
        <f ca="1"/>
        <v>0</v>
      </c>
      <c r="E83" s="54">
        <f ca="1"/>
        <v>5</v>
      </c>
      <c r="F83" s="54" t="str">
        <f ca="1"/>
        <v>バラ</v>
      </c>
      <c r="G83" s="54" t="str">
        <f ca="1"/>
        <v>１０００Ｔ</v>
      </c>
      <c r="H83" s="54" t="str">
        <f ca="1">IF(E83="","",OFFSET(分類!$B$29,E83,0))</f>
        <v>普通薬バラ</v>
      </c>
    </row>
    <row r="84" spans="2:8">
      <c r="B84" s="27">
        <f t="shared" si="1"/>
        <v>80</v>
      </c>
      <c r="C84" s="27" t="str">
        <f ca="1"/>
        <v>ゾフルーザ錠２０ｍｇ</v>
      </c>
      <c r="D84" s="27">
        <f ca="1"/>
        <v>0</v>
      </c>
      <c r="E84" s="54">
        <f ca="1"/>
        <v>1</v>
      </c>
      <c r="F84" s="54" t="str">
        <f ca="1"/>
        <v>ＰＴＰ</v>
      </c>
      <c r="G84" s="54" t="str">
        <f ca="1"/>
        <v>１０Ｔ</v>
      </c>
      <c r="H84" s="54" t="str">
        <f ca="1">IF(E84="","",OFFSET(分類!$B$29,E84,0))</f>
        <v>調剤棚</v>
      </c>
    </row>
    <row r="85" spans="2:8">
      <c r="B85" s="27">
        <f t="shared" si="1"/>
        <v>81</v>
      </c>
      <c r="C85" s="27" t="str">
        <f ca="1"/>
        <v>ソラナックス０．４ｍｇ錠</v>
      </c>
      <c r="D85" s="27">
        <f ca="1"/>
        <v>0</v>
      </c>
      <c r="E85" s="54">
        <f ca="1"/>
        <v>1</v>
      </c>
      <c r="F85" s="54" t="str">
        <f ca="1"/>
        <v>ＰＴＰ</v>
      </c>
      <c r="G85" s="54" t="str">
        <f ca="1"/>
        <v>１０００Ｔ</v>
      </c>
      <c r="H85" s="54" t="str">
        <f ca="1">IF(E85="","",OFFSET(分類!$B$29,E85,0))</f>
        <v>調剤棚</v>
      </c>
    </row>
    <row r="86" spans="2:8">
      <c r="B86" s="27">
        <f t="shared" si="1"/>
        <v>82</v>
      </c>
      <c r="C86" s="27" t="str">
        <f ca="1"/>
        <v>ソラナックス０．４ｍｇ錠</v>
      </c>
      <c r="D86" s="27">
        <f ca="1"/>
        <v>0</v>
      </c>
      <c r="E86" s="54">
        <f ca="1"/>
        <v>1</v>
      </c>
      <c r="F86" s="54" t="str">
        <f ca="1"/>
        <v>バラ</v>
      </c>
      <c r="G86" s="54" t="str">
        <f ca="1"/>
        <v>５００Ｔ</v>
      </c>
      <c r="H86" s="54" t="str">
        <f ca="1">IF(E86="","",OFFSET(分類!$B$29,E86,0))</f>
        <v>調剤棚</v>
      </c>
    </row>
    <row r="87" spans="2:8">
      <c r="B87" s="27">
        <f t="shared" si="1"/>
        <v>83</v>
      </c>
      <c r="C87" s="27" t="str">
        <f ca="1"/>
        <v>ソラナックス０．８ｍｇ錠</v>
      </c>
      <c r="D87" s="27">
        <f ca="1"/>
        <v>0</v>
      </c>
      <c r="E87" s="54">
        <f ca="1"/>
        <v>1</v>
      </c>
      <c r="F87" s="54" t="str">
        <f ca="1"/>
        <v>ＰＴＰ</v>
      </c>
      <c r="G87" s="54" t="str">
        <f ca="1"/>
        <v>５００Ｔ</v>
      </c>
      <c r="H87" s="54" t="str">
        <f ca="1">IF(E87="","",OFFSET(分類!$B$29,E87,0))</f>
        <v>調剤棚</v>
      </c>
    </row>
    <row r="88" spans="2:8">
      <c r="B88" s="27">
        <f t="shared" si="1"/>
        <v>84</v>
      </c>
      <c r="C88" s="27" t="str">
        <f ca="1"/>
        <v>ソラナックス０．８ｍｇ錠</v>
      </c>
      <c r="D88" s="27">
        <f ca="1"/>
        <v>0</v>
      </c>
      <c r="E88" s="54">
        <f ca="1"/>
        <v>1</v>
      </c>
      <c r="F88" s="54" t="str">
        <f ca="1"/>
        <v>バラ</v>
      </c>
      <c r="G88" s="54" t="str">
        <f ca="1"/>
        <v>５００Ｔ</v>
      </c>
      <c r="H88" s="54" t="str">
        <f ca="1">IF(E88="","",OFFSET(分類!$B$29,E88,0))</f>
        <v>調剤棚</v>
      </c>
    </row>
    <row r="89" spans="2:8">
      <c r="B89" s="27">
        <f t="shared" si="1"/>
        <v>85</v>
      </c>
      <c r="C89" s="27" t="str">
        <f ca="1"/>
        <v>ソリフェナシンコハク酸塩ＯＤ錠５ｍｇ「トーワ」</v>
      </c>
      <c r="D89" s="27">
        <f ca="1"/>
        <v>0</v>
      </c>
      <c r="E89" s="54">
        <f ca="1"/>
        <v>1</v>
      </c>
      <c r="F89" s="54" t="str">
        <f ca="1"/>
        <v>ＰＴＰ</v>
      </c>
      <c r="G89" s="54" t="str">
        <f ca="1"/>
        <v>１００Ｔ</v>
      </c>
      <c r="H89" s="54" t="str">
        <f ca="1">IF(E89="","",OFFSET(分類!$B$29,E89,0))</f>
        <v>調剤棚</v>
      </c>
    </row>
    <row r="90" spans="2:8">
      <c r="B90" s="27">
        <f t="shared" si="1"/>
        <v>86</v>
      </c>
      <c r="C90" s="27" t="str">
        <f ca="1"/>
        <v>ソリフェナシンコハク酸塩ＯＤ錠５ｍｇ「トーワ」</v>
      </c>
      <c r="D90" s="27">
        <f ca="1"/>
        <v>0</v>
      </c>
      <c r="E90" s="54">
        <f ca="1"/>
        <v>1</v>
      </c>
      <c r="F90" s="54" t="str">
        <f ca="1"/>
        <v>バラ</v>
      </c>
      <c r="G90" s="54" t="str">
        <f ca="1"/>
        <v>１００Ｔ</v>
      </c>
      <c r="H90" s="54" t="str">
        <f ca="1">IF(E90="","",OFFSET(分類!$B$29,E90,0))</f>
        <v>調剤棚</v>
      </c>
    </row>
    <row r="91" spans="2:8">
      <c r="B91" s="27">
        <f t="shared" si="1"/>
        <v>87</v>
      </c>
      <c r="C91" s="27" t="str">
        <f ca="1"/>
        <v>タケキャブＯＤ錠１０ｍｇ</v>
      </c>
      <c r="D91" s="27">
        <f ca="1"/>
        <v>0</v>
      </c>
      <c r="E91" s="54">
        <f ca="1"/>
        <v>5</v>
      </c>
      <c r="F91" s="54" t="str">
        <f ca="1"/>
        <v>ＰＴＰ</v>
      </c>
      <c r="G91" s="54" t="str">
        <f ca="1"/>
        <v>１００Ｔ</v>
      </c>
      <c r="H91" s="54" t="str">
        <f ca="1">IF(E91="","",OFFSET(分類!$B$29,E91,0))</f>
        <v>普通薬バラ</v>
      </c>
    </row>
    <row r="92" spans="2:8">
      <c r="B92" s="27">
        <f t="shared" si="1"/>
        <v>88</v>
      </c>
      <c r="C92" s="27" t="str">
        <f ca="1"/>
        <v>タケキャブＯＤ錠１０ｍｇ</v>
      </c>
      <c r="D92" s="27">
        <f ca="1"/>
        <v>0</v>
      </c>
      <c r="E92" s="54">
        <f ca="1"/>
        <v>5</v>
      </c>
      <c r="F92" s="54" t="str">
        <f ca="1"/>
        <v>バラ</v>
      </c>
      <c r="G92" s="54" t="str">
        <f ca="1"/>
        <v>２００Ｔ</v>
      </c>
      <c r="H92" s="54" t="str">
        <f ca="1">IF(E92="","",OFFSET(分類!$B$29,E92,0))</f>
        <v>普通薬バラ</v>
      </c>
    </row>
    <row r="93" spans="2:8">
      <c r="B93" s="27">
        <f t="shared" si="1"/>
        <v>89</v>
      </c>
      <c r="C93" s="27" t="str">
        <f ca="1"/>
        <v>タケキャブＯＤ錠２０ｍｇ</v>
      </c>
      <c r="D93" s="27">
        <f ca="1"/>
        <v>0</v>
      </c>
      <c r="E93" s="54">
        <f ca="1"/>
        <v>5</v>
      </c>
      <c r="F93" s="54" t="str">
        <f ca="1"/>
        <v>ＰＴＰ</v>
      </c>
      <c r="G93" s="54" t="str">
        <f ca="1"/>
        <v>１００Ｔ</v>
      </c>
      <c r="H93" s="54" t="str">
        <f ca="1">IF(E93="","",OFFSET(分類!$B$29,E93,0))</f>
        <v>普通薬バラ</v>
      </c>
    </row>
    <row r="94" spans="2:8">
      <c r="B94" s="27">
        <f t="shared" si="1"/>
        <v>90</v>
      </c>
      <c r="C94" s="27" t="str">
        <f ca="1"/>
        <v>タムスロシン塩酸塩ＯＤ錠０．２ｍｇ「サワイ」</v>
      </c>
      <c r="D94" s="27">
        <f ca="1"/>
        <v>0</v>
      </c>
      <c r="E94" s="54">
        <f ca="1"/>
        <v>5</v>
      </c>
      <c r="F94" s="54" t="str">
        <f ca="1"/>
        <v>ＰＴＰ</v>
      </c>
      <c r="G94" s="54" t="str">
        <f ca="1"/>
        <v>１４０Ｔ</v>
      </c>
      <c r="H94" s="54" t="str">
        <f ca="1">IF(E94="","",OFFSET(分類!$B$29,E94,0))</f>
        <v>普通薬バラ</v>
      </c>
    </row>
    <row r="95" spans="2:8">
      <c r="B95" s="27">
        <f t="shared" si="1"/>
        <v>91</v>
      </c>
      <c r="C95" s="27" t="str">
        <f ca="1"/>
        <v>タムスロシン塩酸塩ＯＤ錠０．２ｍｇ「サワイ」</v>
      </c>
      <c r="D95" s="27">
        <f ca="1"/>
        <v>0</v>
      </c>
      <c r="E95" s="54">
        <f ca="1"/>
        <v>5</v>
      </c>
      <c r="F95" s="54" t="str">
        <f ca="1"/>
        <v>バラ</v>
      </c>
      <c r="G95" s="54" t="str">
        <f ca="1"/>
        <v>３００Ｔ</v>
      </c>
      <c r="H95" s="54" t="str">
        <f ca="1">IF(E95="","",OFFSET(分類!$B$29,E95,0))</f>
        <v>普通薬バラ</v>
      </c>
    </row>
    <row r="96" spans="2:8">
      <c r="B96" s="27">
        <f t="shared" si="1"/>
        <v>92</v>
      </c>
      <c r="C96" s="27" t="str">
        <f ca="1"/>
        <v>チザニジン錠１ｍｇ「トーワ」　</v>
      </c>
      <c r="D96" s="27">
        <f ca="1"/>
        <v>0</v>
      </c>
      <c r="E96" s="54">
        <f ca="1"/>
        <v>5</v>
      </c>
      <c r="F96" s="54" t="str">
        <f ca="1"/>
        <v>ＰＴＰ</v>
      </c>
      <c r="G96" s="54" t="str">
        <f ca="1"/>
        <v>１００Ｔ</v>
      </c>
      <c r="H96" s="54" t="str">
        <f ca="1">IF(E96="","",OFFSET(分類!$B$29,E96,0))</f>
        <v>普通薬バラ</v>
      </c>
    </row>
    <row r="97" spans="2:8">
      <c r="B97" s="27">
        <f t="shared" si="1"/>
        <v>93</v>
      </c>
      <c r="C97" s="27" t="str">
        <f ca="1"/>
        <v>チザニジン錠１ｍｇ「トーワ」　</v>
      </c>
      <c r="D97" s="27">
        <f ca="1"/>
        <v>0</v>
      </c>
      <c r="E97" s="54">
        <f ca="1"/>
        <v>5</v>
      </c>
      <c r="F97" s="54" t="str">
        <f ca="1"/>
        <v>バラ</v>
      </c>
      <c r="G97" s="54" t="str">
        <f ca="1"/>
        <v>１０００Ｔ</v>
      </c>
      <c r="H97" s="54" t="str">
        <f ca="1">IF(E97="","",OFFSET(分類!$B$29,E97,0))</f>
        <v>普通薬バラ</v>
      </c>
    </row>
    <row r="98" spans="2:8">
      <c r="B98" s="27">
        <f t="shared" si="1"/>
        <v>94</v>
      </c>
      <c r="C98" s="27" t="str">
        <f ca="1"/>
        <v>デエビゴ錠２．５ｍｇ</v>
      </c>
      <c r="D98" s="27">
        <f ca="1"/>
        <v>0</v>
      </c>
      <c r="E98" s="54">
        <f ca="1"/>
        <v>5</v>
      </c>
      <c r="F98" s="54" t="str">
        <f ca="1"/>
        <v>ＰＴＰ</v>
      </c>
      <c r="G98" s="54" t="str">
        <f ca="1"/>
        <v>１００Ｔ</v>
      </c>
      <c r="H98" s="54" t="str">
        <f ca="1">IF(E98="","",OFFSET(分類!$B$29,E98,0))</f>
        <v>普通薬バラ</v>
      </c>
    </row>
    <row r="99" spans="2:8">
      <c r="B99" s="27">
        <f t="shared" si="1"/>
        <v>95</v>
      </c>
      <c r="C99" s="27" t="str">
        <f ca="1"/>
        <v>デエビゴ錠２．５ｍｇ</v>
      </c>
      <c r="D99" s="27">
        <f ca="1"/>
        <v>0</v>
      </c>
      <c r="E99" s="54">
        <f ca="1"/>
        <v>5</v>
      </c>
      <c r="F99" s="54" t="str">
        <f ca="1"/>
        <v>バラ</v>
      </c>
      <c r="G99" s="54" t="str">
        <f ca="1"/>
        <v>１００Ｔ</v>
      </c>
      <c r="H99" s="54" t="str">
        <f ca="1">IF(E99="","",OFFSET(分類!$B$29,E99,0))</f>
        <v>普通薬バラ</v>
      </c>
    </row>
    <row r="100" spans="2:8">
      <c r="B100" s="27">
        <f t="shared" si="1"/>
        <v>96</v>
      </c>
      <c r="C100" s="27" t="str">
        <f ca="1"/>
        <v>デエビゴ錠５ｍｇ</v>
      </c>
      <c r="D100" s="27">
        <f ca="1"/>
        <v>0</v>
      </c>
      <c r="E100" s="54">
        <f ca="1"/>
        <v>5</v>
      </c>
      <c r="F100" s="54" t="str">
        <f ca="1"/>
        <v>ＰＴＰ</v>
      </c>
      <c r="G100" s="54" t="str">
        <f ca="1"/>
        <v>５００Ｔ</v>
      </c>
      <c r="H100" s="54" t="str">
        <f ca="1">IF(E100="","",OFFSET(分類!$B$29,E100,0))</f>
        <v>普通薬バラ</v>
      </c>
    </row>
    <row r="101" spans="2:8">
      <c r="B101" s="27">
        <f t="shared" si="1"/>
        <v>97</v>
      </c>
      <c r="C101" s="27" t="str">
        <f ca="1"/>
        <v>デエビゴ錠５ｍｇ</v>
      </c>
      <c r="D101" s="27">
        <f ca="1"/>
        <v>0</v>
      </c>
      <c r="E101" s="54">
        <f ca="1"/>
        <v>5</v>
      </c>
      <c r="F101" s="54" t="str">
        <f ca="1"/>
        <v>バラ</v>
      </c>
      <c r="G101" s="54" t="str">
        <f ca="1"/>
        <v>１００Ｔ</v>
      </c>
      <c r="H101" s="54" t="str">
        <f ca="1">IF(E101="","",OFFSET(分類!$B$29,E101,0))</f>
        <v>普通薬バラ</v>
      </c>
    </row>
    <row r="102" spans="2:8">
      <c r="B102" s="27">
        <f t="shared" si="1"/>
        <v>98</v>
      </c>
      <c r="C102" s="27" t="str">
        <f ca="1"/>
        <v>テトラミド錠１０ｍｇ</v>
      </c>
      <c r="D102" s="27">
        <f ca="1"/>
        <v>0</v>
      </c>
      <c r="E102" s="54">
        <f ca="1"/>
        <v>5</v>
      </c>
      <c r="F102" s="54" t="str">
        <f ca="1"/>
        <v>ＰＴＰ</v>
      </c>
      <c r="G102" s="54" t="str">
        <f ca="1"/>
        <v>１０５Ｔ</v>
      </c>
      <c r="H102" s="54" t="str">
        <f ca="1">IF(E102="","",OFFSET(分類!$B$29,E102,0))</f>
        <v>普通薬バラ</v>
      </c>
    </row>
    <row r="103" spans="2:8">
      <c r="B103" s="27">
        <f t="shared" si="1"/>
        <v>99</v>
      </c>
      <c r="C103" s="27" t="str">
        <f ca="1"/>
        <v>テトラミド錠３０ｍｇ</v>
      </c>
      <c r="D103" s="27">
        <f ca="1"/>
        <v>0</v>
      </c>
      <c r="E103" s="54">
        <f ca="1"/>
        <v>5</v>
      </c>
      <c r="F103" s="54" t="str">
        <f ca="1"/>
        <v>ＰＴＰ</v>
      </c>
      <c r="G103" s="54" t="str">
        <f ca="1"/>
        <v>１００Ｔ</v>
      </c>
      <c r="H103" s="54" t="str">
        <f ca="1">IF(E103="","",OFFSET(分類!$B$29,E103,0))</f>
        <v>普通薬バラ</v>
      </c>
    </row>
    <row r="104" spans="2:8">
      <c r="B104" s="27">
        <f t="shared" si="1"/>
        <v>100</v>
      </c>
      <c r="C104" s="27" t="str">
        <f ca="1"/>
        <v>デパケンＲ錠２００ｍｇ</v>
      </c>
      <c r="D104" s="27">
        <f ca="1"/>
        <v>0</v>
      </c>
      <c r="E104" s="54">
        <f ca="1"/>
        <v>5</v>
      </c>
      <c r="F104" s="54" t="str">
        <f ca="1"/>
        <v>ＰＴＰ</v>
      </c>
      <c r="G104" s="54" t="str">
        <f ca="1"/>
        <v>１００Ｔ</v>
      </c>
      <c r="H104" s="54" t="str">
        <f ca="1">IF(E104="","",OFFSET(分類!$B$29,E104,0))</f>
        <v>普通薬バラ</v>
      </c>
    </row>
    <row r="105" spans="2:8">
      <c r="B105" s="27">
        <f t="shared" si="1"/>
        <v>101</v>
      </c>
      <c r="C105" s="27" t="str">
        <f ca="1"/>
        <v>デパケンＲ錠２００ｍｇ</v>
      </c>
      <c r="D105" s="27">
        <f ca="1"/>
        <v>0</v>
      </c>
      <c r="E105" s="54">
        <f ca="1"/>
        <v>5</v>
      </c>
      <c r="F105" s="54" t="str">
        <f ca="1"/>
        <v>バラ</v>
      </c>
      <c r="G105" s="54" t="str">
        <f ca="1"/>
        <v>１０００Ｔ</v>
      </c>
      <c r="H105" s="54" t="str">
        <f ca="1">IF(E105="","",OFFSET(分類!$B$29,E105,0))</f>
        <v>普通薬バラ</v>
      </c>
    </row>
    <row r="106" spans="2:8">
      <c r="B106" s="27">
        <f t="shared" si="1"/>
        <v>102</v>
      </c>
      <c r="C106" s="27" t="str">
        <f ca="1"/>
        <v>デプロメール錠２５</v>
      </c>
      <c r="D106" s="27">
        <f ca="1"/>
        <v>0</v>
      </c>
      <c r="E106" s="54">
        <f ca="1"/>
        <v>5</v>
      </c>
      <c r="F106" s="54" t="str">
        <f ca="1"/>
        <v>ＰＴＰ</v>
      </c>
      <c r="G106" s="54" t="str">
        <f ca="1"/>
        <v>５００Ｔ</v>
      </c>
      <c r="H106" s="54" t="str">
        <f ca="1">IF(E106="","",OFFSET(分類!$B$29,E106,0))</f>
        <v>普通薬バラ</v>
      </c>
    </row>
    <row r="107" spans="2:8">
      <c r="B107" s="27">
        <f t="shared" si="1"/>
        <v>103</v>
      </c>
      <c r="C107" s="27" t="str">
        <f ca="1"/>
        <v>デプロメール錠２５</v>
      </c>
      <c r="D107" s="27">
        <f ca="1"/>
        <v>0</v>
      </c>
      <c r="E107" s="54">
        <f ca="1"/>
        <v>5</v>
      </c>
      <c r="F107" s="54" t="str">
        <f ca="1"/>
        <v>バラ</v>
      </c>
      <c r="G107" s="54" t="str">
        <f ca="1"/>
        <v>１０００Ｔ</v>
      </c>
      <c r="H107" s="54" t="str">
        <f ca="1">IF(E107="","",OFFSET(分類!$B$29,E107,0))</f>
        <v>普通薬バラ</v>
      </c>
    </row>
    <row r="108" spans="2:8">
      <c r="B108" s="27">
        <f t="shared" si="1"/>
        <v>104</v>
      </c>
      <c r="C108" s="27" t="str">
        <f ca="1"/>
        <v>テルミサルタンＯＤ錠２０ｍｇ「トーワ」</v>
      </c>
      <c r="D108" s="27">
        <f ca="1"/>
        <v>0</v>
      </c>
      <c r="E108" s="54">
        <f ca="1"/>
        <v>5</v>
      </c>
      <c r="F108" s="54" t="str">
        <f ca="1"/>
        <v>ＰＴＰ</v>
      </c>
      <c r="G108" s="54" t="str">
        <f ca="1"/>
        <v>１００Ｔ</v>
      </c>
      <c r="H108" s="54" t="str">
        <f ca="1">IF(E108="","",OFFSET(分類!$B$29,E108,0))</f>
        <v>普通薬バラ</v>
      </c>
    </row>
    <row r="109" spans="2:8">
      <c r="B109" s="27">
        <f t="shared" si="1"/>
        <v>105</v>
      </c>
      <c r="C109" s="27" t="str">
        <f ca="1"/>
        <v>テルミサルタンＯＤ錠２０ｍｇ「トーワ」</v>
      </c>
      <c r="D109" s="27">
        <f ca="1"/>
        <v>0</v>
      </c>
      <c r="E109" s="54">
        <f ca="1"/>
        <v>5</v>
      </c>
      <c r="F109" s="54" t="str">
        <f ca="1"/>
        <v>バラ</v>
      </c>
      <c r="G109" s="54" t="str">
        <f ca="1"/>
        <v>３００Ｔ</v>
      </c>
      <c r="H109" s="54" t="str">
        <f ca="1">IF(E109="","",OFFSET(分類!$B$29,E109,0))</f>
        <v>普通薬バラ</v>
      </c>
    </row>
    <row r="110" spans="2:8">
      <c r="B110" s="27">
        <f t="shared" si="1"/>
        <v>106</v>
      </c>
      <c r="C110" s="27" t="str">
        <f ca="1"/>
        <v>トピロリック錠４０ｍｇ</v>
      </c>
      <c r="D110" s="27">
        <f ca="1"/>
        <v>0</v>
      </c>
      <c r="E110" s="54">
        <f ca="1"/>
        <v>5</v>
      </c>
      <c r="F110" s="54" t="str">
        <f ca="1"/>
        <v>ＰＴＰ</v>
      </c>
      <c r="G110" s="54" t="str">
        <f ca="1"/>
        <v>１００Ｔ</v>
      </c>
      <c r="H110" s="54" t="str">
        <f ca="1">IF(E110="","",OFFSET(分類!$B$29,E110,0))</f>
        <v>普通薬バラ</v>
      </c>
    </row>
    <row r="111" spans="2:8">
      <c r="B111" s="27">
        <f t="shared" si="1"/>
        <v>107</v>
      </c>
      <c r="C111" s="27" t="str">
        <f ca="1"/>
        <v>ドプスＯＤ錠１００ｍｇ</v>
      </c>
      <c r="D111" s="27">
        <f ca="1"/>
        <v>0</v>
      </c>
      <c r="E111" s="54">
        <f ca="1"/>
        <v>5</v>
      </c>
      <c r="F111" s="54" t="str">
        <f ca="1"/>
        <v>ＰＴＰ</v>
      </c>
      <c r="G111" s="54" t="str">
        <f ca="1"/>
        <v>１００Ｔ</v>
      </c>
      <c r="H111" s="54" t="str">
        <f ca="1">IF(E111="","",OFFSET(分類!$B$29,E111,0))</f>
        <v>普通薬バラ</v>
      </c>
    </row>
    <row r="112" spans="2:8">
      <c r="B112" s="27">
        <f t="shared" si="1"/>
        <v>108</v>
      </c>
      <c r="C112" s="27" t="str">
        <f ca="1"/>
        <v>トフラニール錠１０ｍｇ</v>
      </c>
      <c r="D112" s="27">
        <f ca="1"/>
        <v>0</v>
      </c>
      <c r="E112" s="54">
        <f ca="1"/>
        <v>5</v>
      </c>
      <c r="F112" s="54" t="str">
        <f ca="1"/>
        <v>ＰＴＰ</v>
      </c>
      <c r="G112" s="54" t="str">
        <f ca="1"/>
        <v>３００Ｔ</v>
      </c>
      <c r="H112" s="54" t="str">
        <f ca="1">IF(E112="","",OFFSET(分類!$B$29,E112,0))</f>
        <v>普通薬バラ</v>
      </c>
    </row>
    <row r="113" spans="2:8">
      <c r="B113" s="27">
        <f t="shared" si="1"/>
        <v>109</v>
      </c>
      <c r="C113" s="27" t="str">
        <f ca="1"/>
        <v>トリアゾラム錠０．２５ｍｇ「日医工」　　　　　　　　</v>
      </c>
      <c r="D113" s="27">
        <f ca="1"/>
        <v>0</v>
      </c>
      <c r="E113" s="54">
        <f ca="1"/>
        <v>5</v>
      </c>
      <c r="F113" s="54" t="str">
        <f ca="1"/>
        <v>ＰＴＰ</v>
      </c>
      <c r="G113" s="54" t="str">
        <f ca="1"/>
        <v>１００Ｔ</v>
      </c>
      <c r="H113" s="54" t="str">
        <f ca="1">IF(E113="","",OFFSET(分類!$B$29,E113,0))</f>
        <v>普通薬バラ</v>
      </c>
    </row>
    <row r="114" spans="2:8">
      <c r="B114" s="27">
        <f t="shared" si="1"/>
        <v>110</v>
      </c>
      <c r="C114" s="27" t="str">
        <f ca="1"/>
        <v>トリプタノール錠２５</v>
      </c>
      <c r="D114" s="27">
        <f ca="1"/>
        <v>0</v>
      </c>
      <c r="E114" s="54">
        <f ca="1"/>
        <v>5</v>
      </c>
      <c r="F114" s="54" t="str">
        <f ca="1"/>
        <v>ＰＴＰ</v>
      </c>
      <c r="G114" s="54" t="str">
        <f ca="1"/>
        <v>１００Ｔ</v>
      </c>
      <c r="H114" s="54" t="str">
        <f ca="1">IF(E114="","",OFFSET(分類!$B$29,E114,0))</f>
        <v>普通薬バラ</v>
      </c>
    </row>
    <row r="115" spans="2:8">
      <c r="B115" s="27">
        <f t="shared" si="1"/>
        <v>111</v>
      </c>
      <c r="C115" s="27" t="str">
        <f ca="1"/>
        <v>トリヘキシフェニジル塩酸塩錠２ｍｇ「ＮＩＧ」　</v>
      </c>
      <c r="D115" s="27">
        <f ca="1"/>
        <v>0</v>
      </c>
      <c r="E115" s="54">
        <f ca="1"/>
        <v>5</v>
      </c>
      <c r="F115" s="54" t="str">
        <f ca="1"/>
        <v>ＰＴＰ</v>
      </c>
      <c r="G115" s="54" t="str">
        <f ca="1"/>
        <v>１００Ｔ</v>
      </c>
      <c r="H115" s="54" t="str">
        <f ca="1">IF(E115="","",OFFSET(分類!$B$29,E115,0))</f>
        <v>普通薬バラ</v>
      </c>
    </row>
    <row r="116" spans="2:8">
      <c r="B116" s="27">
        <f t="shared" si="1"/>
        <v>112</v>
      </c>
      <c r="C116" s="27" t="str">
        <f ca="1"/>
        <v>トリヘキシフェニジル塩酸塩錠２ｍｇ「ＮＩＧ」　</v>
      </c>
      <c r="D116" s="27">
        <f ca="1"/>
        <v>0</v>
      </c>
      <c r="E116" s="54">
        <f ca="1"/>
        <v>5</v>
      </c>
      <c r="F116" s="54" t="str">
        <f ca="1"/>
        <v>バラ</v>
      </c>
      <c r="G116" s="54" t="str">
        <f ca="1"/>
        <v>１２００Ｔ</v>
      </c>
      <c r="H116" s="54" t="str">
        <f ca="1">IF(E116="","",OFFSET(分類!$B$29,E116,0))</f>
        <v>普通薬バラ</v>
      </c>
    </row>
    <row r="117" spans="2:8">
      <c r="B117" s="27">
        <f t="shared" si="1"/>
        <v>113</v>
      </c>
      <c r="C117" s="27" t="str">
        <f ca="1"/>
        <v>トリメブチンマレイン酸塩錠１００ｍｇ「トーワ」</v>
      </c>
      <c r="D117" s="27">
        <f ca="1"/>
        <v>0</v>
      </c>
      <c r="E117" s="54">
        <f ca="1"/>
        <v>5</v>
      </c>
      <c r="F117" s="54" t="str">
        <f ca="1"/>
        <v>バラ</v>
      </c>
      <c r="G117" s="54" t="str">
        <f ca="1"/>
        <v>１０００Ｔ</v>
      </c>
      <c r="H117" s="54" t="str">
        <f ca="1">IF(E117="","",OFFSET(分類!$B$29,E117,0))</f>
        <v>普通薬バラ</v>
      </c>
    </row>
    <row r="118" spans="2:8">
      <c r="B118" s="27">
        <f t="shared" si="1"/>
        <v>114</v>
      </c>
      <c r="C118" s="27" t="str">
        <f ca="1"/>
        <v>ドンペリドン錠１０ｍｇ「ＪＧ」</v>
      </c>
      <c r="D118" s="27">
        <f ca="1"/>
        <v>0</v>
      </c>
      <c r="E118" s="54">
        <f ca="1"/>
        <v>5</v>
      </c>
      <c r="F118" s="54" t="str">
        <f ca="1"/>
        <v>ＰＴＰ</v>
      </c>
      <c r="G118" s="54" t="str">
        <f ca="1"/>
        <v>１０００Ｔ</v>
      </c>
      <c r="H118" s="54" t="str">
        <f ca="1">IF(E118="","",OFFSET(分類!$B$29,E118,0))</f>
        <v>普通薬バラ</v>
      </c>
    </row>
    <row r="119" spans="2:8">
      <c r="B119" s="27">
        <f t="shared" si="1"/>
        <v>115</v>
      </c>
      <c r="C119" s="27" t="str">
        <f ca="1"/>
        <v>ナトリックス錠１</v>
      </c>
      <c r="D119" s="27">
        <f ca="1"/>
        <v>0</v>
      </c>
      <c r="E119" s="54">
        <f ca="1"/>
        <v>5</v>
      </c>
      <c r="F119" s="54" t="str">
        <f ca="1"/>
        <v>ＰＴＰ</v>
      </c>
      <c r="G119" s="54" t="str">
        <f ca="1"/>
        <v>１００Ｔ</v>
      </c>
      <c r="H119" s="54" t="str">
        <f ca="1">IF(E119="","",OFFSET(分類!$B$29,E119,0))</f>
        <v>普通薬バラ</v>
      </c>
    </row>
    <row r="120" spans="2:8">
      <c r="B120" s="27">
        <f t="shared" si="1"/>
        <v>116</v>
      </c>
      <c r="C120" s="27" t="str">
        <f ca="1"/>
        <v>ニコランジル錠５ｍｇ「トーワ」　　　　　　　　　</v>
      </c>
      <c r="D120" s="27">
        <f ca="1"/>
        <v>0</v>
      </c>
      <c r="E120" s="54">
        <f ca="1"/>
        <v>5</v>
      </c>
      <c r="F120" s="54" t="str">
        <f ca="1"/>
        <v>バラ</v>
      </c>
      <c r="G120" s="54" t="str">
        <f ca="1"/>
        <v>１０００Ｔ</v>
      </c>
      <c r="H120" s="54" t="str">
        <f ca="1">IF(E120="","",OFFSET(分類!$B$29,E120,0))</f>
        <v>普通薬バラ</v>
      </c>
    </row>
    <row r="121" spans="2:8">
      <c r="B121" s="27">
        <f t="shared" si="1"/>
        <v>117</v>
      </c>
      <c r="C121" s="27" t="str">
        <f ca="1"/>
        <v>ニセルゴリン錠５ｍｇ「トーワ」</v>
      </c>
      <c r="D121" s="27">
        <f ca="1"/>
        <v>0</v>
      </c>
      <c r="E121" s="54">
        <f ca="1"/>
        <v>5</v>
      </c>
      <c r="F121" s="54" t="str">
        <f ca="1"/>
        <v>バラ</v>
      </c>
      <c r="G121" s="54" t="str">
        <f ca="1"/>
        <v>１０００Ｔ</v>
      </c>
      <c r="H121" s="54" t="str">
        <f ca="1">IF(E121="","",OFFSET(分類!$B$29,E121,0))</f>
        <v>普通薬バラ</v>
      </c>
    </row>
    <row r="122" spans="2:8">
      <c r="B122" s="27">
        <f t="shared" si="1"/>
        <v>118</v>
      </c>
      <c r="C122" s="27" t="str">
        <f ca="1"/>
        <v>ニューレプチル錠１０ｍｇ</v>
      </c>
      <c r="D122" s="27">
        <f ca="1"/>
        <v>0</v>
      </c>
      <c r="E122" s="54">
        <f ca="1"/>
        <v>5</v>
      </c>
      <c r="F122" s="54" t="str">
        <f ca="1"/>
        <v>バラ</v>
      </c>
      <c r="G122" s="54" t="str">
        <f ca="1"/>
        <v>１０００Ｔ</v>
      </c>
      <c r="H122" s="54" t="str">
        <f ca="1">IF(E122="","",OFFSET(分類!$B$29,E122,0))</f>
        <v>普通薬バラ</v>
      </c>
    </row>
    <row r="123" spans="2:8">
      <c r="B123" s="27">
        <f t="shared" si="1"/>
        <v>119</v>
      </c>
      <c r="C123" s="27" t="str">
        <f ca="1"/>
        <v>ニューレプチル錠５ｍｇ</v>
      </c>
      <c r="D123" s="27">
        <f ca="1"/>
        <v>0</v>
      </c>
      <c r="E123" s="54">
        <f ca="1"/>
        <v>5</v>
      </c>
      <c r="F123" s="54" t="str">
        <f ca="1"/>
        <v>バラ</v>
      </c>
      <c r="G123" s="54" t="str">
        <f ca="1"/>
        <v>１０００Ｔ</v>
      </c>
      <c r="H123" s="54" t="str">
        <f ca="1">IF(E123="","",OFFSET(分類!$B$29,E123,0))</f>
        <v>普通薬バラ</v>
      </c>
    </row>
    <row r="124" spans="2:8">
      <c r="B124" s="27">
        <f t="shared" si="1"/>
        <v>120</v>
      </c>
      <c r="C124" s="27" t="str">
        <f ca="1"/>
        <v>ネオドパストン配合錠Ｌ１００</v>
      </c>
      <c r="D124" s="27">
        <f ca="1"/>
        <v>0</v>
      </c>
      <c r="E124" s="54">
        <f ca="1"/>
        <v>5</v>
      </c>
      <c r="F124" s="54" t="str">
        <f ca="1"/>
        <v>バラ</v>
      </c>
      <c r="G124" s="54" t="str">
        <f ca="1"/>
        <v>１０００Ｔ</v>
      </c>
      <c r="H124" s="54" t="str">
        <f ca="1">IF(E124="","",OFFSET(分類!$B$29,E124,0))</f>
        <v>普通薬バラ</v>
      </c>
    </row>
    <row r="125" spans="2:8">
      <c r="B125" s="27">
        <f t="shared" si="1"/>
        <v>121</v>
      </c>
      <c r="C125" s="27" t="str">
        <f ca="1"/>
        <v>ノイロトロピン錠４単位</v>
      </c>
      <c r="D125" s="27">
        <f ca="1"/>
        <v>0</v>
      </c>
      <c r="E125" s="54">
        <f ca="1"/>
        <v>5</v>
      </c>
      <c r="F125" s="54" t="str">
        <f ca="1"/>
        <v>ＰＴＰ</v>
      </c>
      <c r="G125" s="54" t="str">
        <f ca="1"/>
        <v>１０００Ｔ</v>
      </c>
      <c r="H125" s="54" t="str">
        <f ca="1">IF(E125="","",OFFSET(分類!$B$29,E125,0))</f>
        <v>普通薬バラ</v>
      </c>
    </row>
    <row r="126" spans="2:8">
      <c r="B126" s="27">
        <f t="shared" si="1"/>
        <v>122</v>
      </c>
      <c r="C126" s="27" t="str">
        <f ca="1"/>
        <v>ノイロビタン配合錠</v>
      </c>
      <c r="D126" s="27">
        <f ca="1"/>
        <v>0</v>
      </c>
      <c r="E126" s="54">
        <f ca="1"/>
        <v>5</v>
      </c>
      <c r="F126" s="54" t="str">
        <f ca="1"/>
        <v>ＰＴＰ</v>
      </c>
      <c r="G126" s="54" t="str">
        <f ca="1"/>
        <v>５００Ｔ</v>
      </c>
      <c r="H126" s="54" t="str">
        <f ca="1">IF(E126="","",OFFSET(分類!$B$29,E126,0))</f>
        <v>普通薬バラ</v>
      </c>
    </row>
    <row r="127" spans="2:8">
      <c r="B127" s="27">
        <f t="shared" si="1"/>
        <v>123</v>
      </c>
      <c r="C127" s="27" t="str">
        <f ca="1"/>
        <v>ノイロビタン配合錠</v>
      </c>
      <c r="D127" s="27">
        <f ca="1"/>
        <v>0</v>
      </c>
      <c r="E127" s="54">
        <f ca="1"/>
        <v>5</v>
      </c>
      <c r="F127" s="54" t="str">
        <f ca="1"/>
        <v>バラ</v>
      </c>
      <c r="G127" s="54" t="str">
        <f ca="1"/>
        <v>１０００Ｔ</v>
      </c>
      <c r="H127" s="54" t="str">
        <f ca="1">IF(E127="","",OFFSET(分類!$B$29,E127,0))</f>
        <v>普通薬バラ</v>
      </c>
    </row>
    <row r="128" spans="2:8">
      <c r="B128" s="27">
        <f t="shared" si="1"/>
        <v>124</v>
      </c>
      <c r="C128" s="27" t="str">
        <f ca="1"/>
        <v>バッサミン配合錠Ａ８１</v>
      </c>
      <c r="D128" s="27">
        <f ca="1"/>
        <v>0</v>
      </c>
      <c r="E128" s="54">
        <f ca="1"/>
        <v>5</v>
      </c>
      <c r="F128" s="54" t="str">
        <f ca="1"/>
        <v>ＰＴＰ</v>
      </c>
      <c r="G128" s="54" t="str">
        <f ca="1"/>
        <v>１０００Ｔ</v>
      </c>
      <c r="H128" s="54" t="str">
        <f ca="1">IF(E128="","",OFFSET(分類!$B$29,E128,0))</f>
        <v>普通薬バラ</v>
      </c>
    </row>
    <row r="129" spans="2:8">
      <c r="B129" s="27">
        <f t="shared" si="1"/>
        <v>125</v>
      </c>
      <c r="C129" s="27" t="str">
        <f ca="1"/>
        <v>バナン錠１００ｍｇ（第一三共）</v>
      </c>
      <c r="D129" s="27">
        <f ca="1"/>
        <v>0</v>
      </c>
      <c r="E129" s="54">
        <f ca="1"/>
        <v>1</v>
      </c>
      <c r="F129" s="54" t="str">
        <f ca="1"/>
        <v>ＰＴＰ</v>
      </c>
      <c r="G129" s="54" t="str">
        <f ca="1"/>
        <v>１００Ｔ</v>
      </c>
      <c r="H129" s="54" t="str">
        <f ca="1">IF(E129="","",OFFSET(分類!$B$29,E129,0))</f>
        <v>調剤棚</v>
      </c>
    </row>
    <row r="130" spans="2:8">
      <c r="B130" s="27">
        <f t="shared" si="1"/>
        <v>126</v>
      </c>
      <c r="C130" s="27" t="str">
        <f ca="1"/>
        <v>バラシクロビル錠５００ｍｇ「ＳＰＫＫ」</v>
      </c>
      <c r="D130" s="27">
        <f ca="1"/>
        <v>0</v>
      </c>
      <c r="E130" s="54">
        <f ca="1"/>
        <v>1</v>
      </c>
      <c r="F130" s="54" t="str">
        <f ca="1"/>
        <v>ＰＴＰ</v>
      </c>
      <c r="G130" s="54" t="str">
        <f ca="1"/>
        <v>４２Ｔ</v>
      </c>
      <c r="H130" s="54" t="str">
        <f ca="1">IF(E130="","",OFFSET(分類!$B$29,E130,0))</f>
        <v>調剤棚</v>
      </c>
    </row>
    <row r="131" spans="2:8">
      <c r="B131" s="27">
        <f t="shared" si="1"/>
        <v>127</v>
      </c>
      <c r="C131" s="27" t="str">
        <f ca="1"/>
        <v>バルプロ酸ナトリウム錠２００ｍｇ「ＤＳＰ」</v>
      </c>
      <c r="D131" s="27">
        <f ca="1"/>
        <v>0</v>
      </c>
      <c r="E131" s="54">
        <f ca="1"/>
        <v>5</v>
      </c>
      <c r="F131" s="54" t="str">
        <f ca="1"/>
        <v>バラ</v>
      </c>
      <c r="G131" s="54" t="str">
        <f ca="1"/>
        <v>５００Ｔ</v>
      </c>
      <c r="H131" s="54" t="str">
        <f ca="1">IF(E131="","",OFFSET(分類!$B$29,E131,0))</f>
        <v>普通薬バラ</v>
      </c>
    </row>
    <row r="132" spans="2:8">
      <c r="B132" s="27">
        <f t="shared" si="1"/>
        <v>128</v>
      </c>
      <c r="C132" s="27" t="str">
        <f ca="1"/>
        <v>パントシン錠２００</v>
      </c>
      <c r="D132" s="27">
        <f ca="1"/>
        <v>0</v>
      </c>
      <c r="E132" s="54">
        <f ca="1"/>
        <v>5</v>
      </c>
      <c r="F132" s="54" t="str">
        <f ca="1"/>
        <v>ＰＴＰ</v>
      </c>
      <c r="G132" s="54" t="str">
        <f ca="1"/>
        <v>１００Ｔ</v>
      </c>
      <c r="H132" s="54" t="str">
        <f ca="1">IF(E132="","",OFFSET(分類!$B$29,E132,0))</f>
        <v>普通薬バラ</v>
      </c>
    </row>
    <row r="133" spans="2:8">
      <c r="B133" s="27">
        <f t="shared" si="1"/>
        <v>129</v>
      </c>
      <c r="C133" s="27" t="str">
        <f ca="1"/>
        <v>パントシン錠２００</v>
      </c>
      <c r="D133" s="27">
        <f ca="1"/>
        <v>0</v>
      </c>
      <c r="E133" s="54">
        <f ca="1"/>
        <v>5</v>
      </c>
      <c r="F133" s="54" t="str">
        <f ca="1"/>
        <v>バラ</v>
      </c>
      <c r="G133" s="54" t="str">
        <f ca="1"/>
        <v>５００Ｔ</v>
      </c>
      <c r="H133" s="54" t="str">
        <f ca="1">IF(E133="","",OFFSET(分類!$B$29,E133,0))</f>
        <v>普通薬バラ</v>
      </c>
    </row>
    <row r="134" spans="2:8">
      <c r="B134" s="27">
        <f t="shared" si="1"/>
        <v>130</v>
      </c>
      <c r="C134" s="27" t="str">
        <f ca="1"/>
        <v>ビオフェルミン錠剤</v>
      </c>
      <c r="D134" s="27">
        <f ca="1"/>
        <v>0</v>
      </c>
      <c r="E134" s="54">
        <f ca="1"/>
        <v>5</v>
      </c>
      <c r="F134" s="54" t="str">
        <f ca="1"/>
        <v>ＰＴＰ</v>
      </c>
      <c r="G134" s="54" t="str">
        <f ca="1"/>
        <v>６３０Ｔ</v>
      </c>
      <c r="H134" s="54" t="str">
        <f ca="1">IF(E134="","",OFFSET(分類!$B$29,E134,0))</f>
        <v>普通薬バラ</v>
      </c>
    </row>
    <row r="135" spans="2:8">
      <c r="B135" s="27">
        <f t="shared" ref="B135:B198" si="2">B134+1</f>
        <v>131</v>
      </c>
      <c r="C135" s="27" t="str">
        <f ca="1"/>
        <v>ビオフェルミン錠剤</v>
      </c>
      <c r="D135" s="27">
        <f ca="1"/>
        <v>0</v>
      </c>
      <c r="E135" s="54">
        <f ca="1"/>
        <v>5</v>
      </c>
      <c r="F135" s="54" t="str">
        <f ca="1"/>
        <v>バラ</v>
      </c>
      <c r="G135" s="54" t="str">
        <f ca="1"/>
        <v>１０００Ｔ</v>
      </c>
      <c r="H135" s="54" t="str">
        <f ca="1">IF(E135="","",OFFSET(分類!$B$29,E135,0))</f>
        <v>普通薬バラ</v>
      </c>
    </row>
    <row r="136" spans="2:8">
      <c r="B136" s="27">
        <f t="shared" si="2"/>
        <v>132</v>
      </c>
      <c r="C136" s="27" t="str">
        <f ca="1"/>
        <v>ピコスルファートナトリウム錠２．５ｍｇ「イワキ」</v>
      </c>
      <c r="D136" s="27">
        <f ca="1"/>
        <v>0</v>
      </c>
      <c r="E136" s="54">
        <f ca="1"/>
        <v>5</v>
      </c>
      <c r="F136" s="54" t="str">
        <f ca="1"/>
        <v>ＰＴＰ</v>
      </c>
      <c r="G136" s="54" t="str">
        <f ca="1"/>
        <v>１０００Ｔ</v>
      </c>
      <c r="H136" s="54" t="str">
        <f ca="1">IF(E136="","",OFFSET(分類!$B$29,E136,0))</f>
        <v>普通薬バラ</v>
      </c>
    </row>
    <row r="137" spans="2:8">
      <c r="B137" s="27">
        <f t="shared" si="2"/>
        <v>133</v>
      </c>
      <c r="C137" s="27" t="str">
        <f ca="1"/>
        <v>ピコスルファートナトリウム錠２．５ｍｇ「イワキ」</v>
      </c>
      <c r="D137" s="27">
        <f ca="1"/>
        <v>0</v>
      </c>
      <c r="E137" s="54">
        <f ca="1"/>
        <v>5</v>
      </c>
      <c r="F137" s="54" t="str">
        <f ca="1"/>
        <v>バラ</v>
      </c>
      <c r="G137" s="54" t="str">
        <f ca="1"/>
        <v>１０００Ｔ</v>
      </c>
      <c r="H137" s="54" t="str">
        <f ca="1">IF(E137="","",OFFSET(分類!$B$29,E137,0))</f>
        <v>普通薬バラ</v>
      </c>
    </row>
    <row r="138" spans="2:8">
      <c r="B138" s="27">
        <f t="shared" si="2"/>
        <v>134</v>
      </c>
      <c r="C138" s="27" t="str">
        <f ca="1"/>
        <v>ビソプロロールフマル酸塩錠０．６２５ｍｇ「トーワ」</v>
      </c>
      <c r="D138" s="27">
        <f ca="1"/>
        <v>0</v>
      </c>
      <c r="E138" s="54">
        <f ca="1"/>
        <v>5</v>
      </c>
      <c r="F138" s="54" t="str">
        <f ca="1"/>
        <v>ＰＴＰ</v>
      </c>
      <c r="G138" s="54" t="str">
        <f ca="1"/>
        <v>１００Ｔ</v>
      </c>
      <c r="H138" s="54" t="str">
        <f ca="1">IF(E138="","",OFFSET(分類!$B$29,E138,0))</f>
        <v>普通薬バラ</v>
      </c>
    </row>
    <row r="139" spans="2:8">
      <c r="B139" s="27">
        <f t="shared" si="2"/>
        <v>135</v>
      </c>
      <c r="C139" s="27" t="str">
        <f ca="1"/>
        <v>ビソプロロールフマル酸塩錠２．５ｍｇ「トーワ」</v>
      </c>
      <c r="D139" s="27">
        <f ca="1"/>
        <v>0</v>
      </c>
      <c r="E139" s="54">
        <f ca="1"/>
        <v>1</v>
      </c>
      <c r="F139" s="54" t="str">
        <f ca="1"/>
        <v>ＰＴＰ</v>
      </c>
      <c r="G139" s="54" t="str">
        <f ca="1"/>
        <v>１００Ｔ</v>
      </c>
      <c r="H139" s="54" t="str">
        <f ca="1">IF(E139="","",OFFSET(分類!$B$29,E139,0))</f>
        <v>調剤棚</v>
      </c>
    </row>
    <row r="140" spans="2:8">
      <c r="B140" s="27">
        <f t="shared" si="2"/>
        <v>136</v>
      </c>
      <c r="C140" s="27" t="str">
        <f ca="1"/>
        <v>ビブラマイシン錠５０ｍｇ</v>
      </c>
      <c r="D140" s="27">
        <f ca="1"/>
        <v>0</v>
      </c>
      <c r="E140" s="54">
        <f ca="1"/>
        <v>1</v>
      </c>
      <c r="F140" s="54" t="str">
        <f ca="1"/>
        <v>ＰＴＰ</v>
      </c>
      <c r="G140" s="54" t="str">
        <f ca="1"/>
        <v>１００Ｔ</v>
      </c>
      <c r="H140" s="54" t="str">
        <f ca="1">IF(E140="","",OFFSET(分類!$B$29,E140,0))</f>
        <v>調剤棚</v>
      </c>
    </row>
    <row r="141" spans="2:8">
      <c r="B141" s="27">
        <f t="shared" si="2"/>
        <v>137</v>
      </c>
      <c r="C141" s="27" t="str">
        <f ca="1"/>
        <v>ビペリデン塩酸塩錠１ｍｇ「アメル」</v>
      </c>
      <c r="D141" s="27">
        <f ca="1"/>
        <v>0</v>
      </c>
      <c r="E141" s="54">
        <f ca="1"/>
        <v>5</v>
      </c>
      <c r="F141" s="54" t="str">
        <f ca="1"/>
        <v>ＰＴＰ</v>
      </c>
      <c r="G141" s="54" t="str">
        <f ca="1"/>
        <v>１０００Ｔ</v>
      </c>
      <c r="H141" s="54" t="str">
        <f ca="1">IF(E141="","",OFFSET(分類!$B$29,E141,0))</f>
        <v>普通薬バラ</v>
      </c>
    </row>
    <row r="142" spans="2:8">
      <c r="B142" s="27">
        <f t="shared" si="2"/>
        <v>138</v>
      </c>
      <c r="C142" s="27" t="str">
        <f ca="1"/>
        <v>ビペリデン塩酸塩錠１ｍｇ「アメル」</v>
      </c>
      <c r="D142" s="27">
        <f ca="1"/>
        <v>0</v>
      </c>
      <c r="E142" s="54">
        <f ca="1"/>
        <v>5</v>
      </c>
      <c r="F142" s="54" t="str">
        <f ca="1"/>
        <v>バラ</v>
      </c>
      <c r="G142" s="54" t="str">
        <f ca="1"/>
        <v>１０００Ｔ</v>
      </c>
      <c r="H142" s="54" t="str">
        <f ca="1">IF(E142="","",OFFSET(分類!$B$29,E142,0))</f>
        <v>普通薬バラ</v>
      </c>
    </row>
    <row r="143" spans="2:8">
      <c r="B143" s="27">
        <f t="shared" si="2"/>
        <v>139</v>
      </c>
      <c r="C143" s="27" t="str">
        <f ca="1"/>
        <v>ヒベルナ糖衣錠２５ｍｇ</v>
      </c>
      <c r="D143" s="27">
        <f ca="1"/>
        <v>0</v>
      </c>
      <c r="E143" s="54">
        <f ca="1"/>
        <v>5</v>
      </c>
      <c r="F143" s="54" t="str">
        <f ca="1"/>
        <v>ＰＴＰ</v>
      </c>
      <c r="G143" s="54" t="str">
        <f ca="1"/>
        <v>１００Ｔ</v>
      </c>
      <c r="H143" s="54" t="str">
        <f ca="1">IF(E143="","",OFFSET(分類!$B$29,E143,0))</f>
        <v>普通薬バラ</v>
      </c>
    </row>
    <row r="144" spans="2:8">
      <c r="B144" s="27">
        <f t="shared" si="2"/>
        <v>140</v>
      </c>
      <c r="C144" s="27" t="str">
        <f ca="1"/>
        <v>ヒベルナ糖衣錠２５ｍｇ</v>
      </c>
      <c r="D144" s="27">
        <f ca="1"/>
        <v>0</v>
      </c>
      <c r="E144" s="54">
        <f ca="1"/>
        <v>5</v>
      </c>
      <c r="F144" s="54" t="str">
        <f ca="1"/>
        <v>バラ</v>
      </c>
      <c r="G144" s="54" t="str">
        <f ca="1"/>
        <v>１０００Ｔ</v>
      </c>
      <c r="H144" s="54" t="str">
        <f ca="1">IF(E144="","",OFFSET(分類!$B$29,E144,0))</f>
        <v>普通薬バラ</v>
      </c>
    </row>
    <row r="145" spans="2:8">
      <c r="B145" s="27">
        <f t="shared" si="2"/>
        <v>141</v>
      </c>
      <c r="C145" s="27" t="str">
        <f ca="1"/>
        <v>ビラノアＯＤ錠２０ｍｇ</v>
      </c>
      <c r="D145" s="27">
        <f ca="1"/>
        <v>0</v>
      </c>
      <c r="E145" s="54">
        <f ca="1"/>
        <v>5</v>
      </c>
      <c r="F145" s="54" t="str">
        <f ca="1"/>
        <v>ＰＴＰ</v>
      </c>
      <c r="G145" s="54" t="str">
        <f ca="1"/>
        <v>１００Ｔ</v>
      </c>
      <c r="H145" s="54" t="str">
        <f ca="1">IF(E145="","",OFFSET(分類!$B$29,E145,0))</f>
        <v>普通薬バラ</v>
      </c>
    </row>
    <row r="146" spans="2:8">
      <c r="B146" s="27">
        <f t="shared" si="2"/>
        <v>142</v>
      </c>
      <c r="C146" s="27" t="str">
        <f ca="1"/>
        <v>ビラノアＯＤ錠２０ｍｇ</v>
      </c>
      <c r="D146" s="27">
        <f ca="1"/>
        <v>0</v>
      </c>
      <c r="E146" s="54">
        <f ca="1"/>
        <v>5</v>
      </c>
      <c r="F146" s="54" t="str">
        <f ca="1"/>
        <v>ＰＴＰ</v>
      </c>
      <c r="G146" s="54" t="str">
        <f ca="1"/>
        <v>５００Ｔ</v>
      </c>
      <c r="H146" s="54" t="str">
        <f ca="1">IF(E146="","",OFFSET(分類!$B$29,E146,0))</f>
        <v>普通薬バラ</v>
      </c>
    </row>
    <row r="147" spans="2:8">
      <c r="B147" s="27">
        <f t="shared" si="2"/>
        <v>143</v>
      </c>
      <c r="C147" s="27" t="str">
        <f ca="1"/>
        <v>ヒルナミン錠（２５ｍｇ）</v>
      </c>
      <c r="D147" s="27">
        <f ca="1"/>
        <v>0</v>
      </c>
      <c r="E147" s="54">
        <f ca="1"/>
        <v>5</v>
      </c>
      <c r="F147" s="54" t="str">
        <f ca="1"/>
        <v>ＰＴＰ</v>
      </c>
      <c r="G147" s="54" t="str">
        <f ca="1"/>
        <v>１００Ｔ</v>
      </c>
      <c r="H147" s="54" t="str">
        <f ca="1">IF(E147="","",OFFSET(分類!$B$29,E147,0))</f>
        <v>普通薬バラ</v>
      </c>
    </row>
    <row r="148" spans="2:8">
      <c r="B148" s="27">
        <f t="shared" si="2"/>
        <v>144</v>
      </c>
      <c r="C148" s="27" t="str">
        <f ca="1"/>
        <v>ヒルナミン錠（２５ｍｇ）</v>
      </c>
      <c r="D148" s="27">
        <f ca="1"/>
        <v>0</v>
      </c>
      <c r="E148" s="54">
        <f ca="1"/>
        <v>5</v>
      </c>
      <c r="F148" s="54" t="str">
        <f ca="1"/>
        <v>バラ</v>
      </c>
      <c r="G148" s="54" t="str">
        <f ca="1"/>
        <v>１０００Ｔ</v>
      </c>
      <c r="H148" s="54" t="str">
        <f ca="1">IF(E148="","",OFFSET(分類!$B$29,E148,0))</f>
        <v>普通薬バラ</v>
      </c>
    </row>
    <row r="149" spans="2:8">
      <c r="B149" s="27">
        <f t="shared" si="2"/>
        <v>145</v>
      </c>
      <c r="C149" s="27" t="str">
        <f ca="1"/>
        <v>ヒルナミン錠（５ｍｇ）</v>
      </c>
      <c r="D149" s="27">
        <f ca="1"/>
        <v>0</v>
      </c>
      <c r="E149" s="54">
        <f ca="1"/>
        <v>5</v>
      </c>
      <c r="F149" s="54" t="str">
        <f ca="1"/>
        <v>ＰＴＰ</v>
      </c>
      <c r="G149" s="54" t="str">
        <f ca="1"/>
        <v>１０００Ｔ</v>
      </c>
      <c r="H149" s="54" t="str">
        <f ca="1">IF(E149="","",OFFSET(分類!$B$29,E149,0))</f>
        <v>普通薬バラ</v>
      </c>
    </row>
    <row r="150" spans="2:8">
      <c r="B150" s="27">
        <f t="shared" si="2"/>
        <v>146</v>
      </c>
      <c r="C150" s="27" t="str">
        <f ca="1"/>
        <v>ヒルナミン錠（５ｍｇ）</v>
      </c>
      <c r="D150" s="27">
        <f ca="1"/>
        <v>0</v>
      </c>
      <c r="E150" s="54">
        <f ca="1"/>
        <v>5</v>
      </c>
      <c r="F150" s="54" t="str">
        <f ca="1"/>
        <v>バラ</v>
      </c>
      <c r="G150" s="54" t="str">
        <f ca="1"/>
        <v>１０００Ｔ</v>
      </c>
      <c r="H150" s="54" t="str">
        <f ca="1">IF(E150="","",OFFSET(分類!$B$29,E150,0))</f>
        <v>普通薬バラ</v>
      </c>
    </row>
    <row r="151" spans="2:8">
      <c r="B151" s="27">
        <f t="shared" si="2"/>
        <v>147</v>
      </c>
      <c r="C151" s="27" t="str">
        <f ca="1"/>
        <v>ファモチジンＤ錠２０ｍｇ「サワイ」</v>
      </c>
      <c r="D151" s="27">
        <f ca="1"/>
        <v>0</v>
      </c>
      <c r="E151" s="54">
        <f ca="1"/>
        <v>5</v>
      </c>
      <c r="F151" s="54" t="str">
        <f ca="1"/>
        <v>ＰＴＰ</v>
      </c>
      <c r="G151" s="54" t="str">
        <f ca="1"/>
        <v>１００Ｔ</v>
      </c>
      <c r="H151" s="54" t="str">
        <f ca="1">IF(E151="","",OFFSET(分類!$B$29,E151,0))</f>
        <v>普通薬バラ</v>
      </c>
    </row>
    <row r="152" spans="2:8">
      <c r="B152" s="27">
        <f t="shared" si="2"/>
        <v>148</v>
      </c>
      <c r="C152" s="27" t="str">
        <f ca="1"/>
        <v>ファモチジンＤ錠２０ｍｇ「サワイ」</v>
      </c>
      <c r="D152" s="27">
        <f ca="1"/>
        <v>0</v>
      </c>
      <c r="E152" s="54">
        <f ca="1"/>
        <v>5</v>
      </c>
      <c r="F152" s="54" t="str">
        <f ca="1"/>
        <v>バラ</v>
      </c>
      <c r="G152" s="54" t="str">
        <f ca="1"/>
        <v>５００Ｔ</v>
      </c>
      <c r="H152" s="54" t="str">
        <f ca="1">IF(E152="","",OFFSET(分類!$B$29,E152,0))</f>
        <v>普通薬バラ</v>
      </c>
    </row>
    <row r="153" spans="2:8">
      <c r="B153" s="27">
        <f t="shared" si="2"/>
        <v>149</v>
      </c>
      <c r="C153" s="27" t="str">
        <f ca="1"/>
        <v>ファロム錠２００ｍｇ</v>
      </c>
      <c r="D153" s="27">
        <f ca="1"/>
        <v>0</v>
      </c>
      <c r="E153" s="54">
        <f ca="1"/>
        <v>1</v>
      </c>
      <c r="F153" s="54" t="str">
        <f ca="1"/>
        <v>ＰＴＰ</v>
      </c>
      <c r="G153" s="54" t="str">
        <f ca="1"/>
        <v>１００Ｔ</v>
      </c>
      <c r="H153" s="54" t="str">
        <f ca="1">IF(E153="","",OFFSET(分類!$B$29,E153,0))</f>
        <v>調剤棚</v>
      </c>
    </row>
    <row r="154" spans="2:8">
      <c r="B154" s="27">
        <f t="shared" si="2"/>
        <v>150</v>
      </c>
      <c r="C154" s="27" t="str">
        <f ca="1"/>
        <v>フィコンパ錠２ｍｇ</v>
      </c>
      <c r="D154" s="27">
        <f ca="1"/>
        <v>0</v>
      </c>
      <c r="E154" s="54">
        <f ca="1"/>
        <v>1</v>
      </c>
      <c r="F154" s="54" t="str">
        <f ca="1"/>
        <v>ＰＴＰ</v>
      </c>
      <c r="G154" s="54" t="str">
        <f ca="1"/>
        <v>５６Ｔ</v>
      </c>
      <c r="H154" s="54" t="str">
        <f ca="1">IF(E154="","",OFFSET(分類!$B$29,E154,0))</f>
        <v>調剤棚</v>
      </c>
    </row>
    <row r="155" spans="2:8">
      <c r="B155" s="27">
        <f t="shared" si="2"/>
        <v>151</v>
      </c>
      <c r="C155" s="27" t="str">
        <f ca="1"/>
        <v>フェブキソスタット錠１０ｍｇ「サワイ」　</v>
      </c>
      <c r="D155" s="27">
        <f ca="1"/>
        <v>0</v>
      </c>
      <c r="E155" s="54">
        <f ca="1"/>
        <v>5</v>
      </c>
      <c r="F155" s="54" t="str">
        <f ca="1"/>
        <v>ＰＴＰ</v>
      </c>
      <c r="G155" s="54" t="str">
        <f ca="1"/>
        <v>１００Ｔ</v>
      </c>
      <c r="H155" s="54" t="str">
        <f ca="1">IF(E155="","",OFFSET(分類!$B$29,E155,0))</f>
        <v>普通薬バラ</v>
      </c>
    </row>
    <row r="156" spans="2:8">
      <c r="B156" s="27">
        <f t="shared" si="2"/>
        <v>152</v>
      </c>
      <c r="C156" s="27" t="str">
        <f ca="1"/>
        <v>フェロミア錠５０ｍｇ</v>
      </c>
      <c r="D156" s="27">
        <f ca="1"/>
        <v>0</v>
      </c>
      <c r="E156" s="54">
        <f ca="1"/>
        <v>5</v>
      </c>
      <c r="F156" s="54" t="str">
        <f ca="1"/>
        <v>ＰＴＰ</v>
      </c>
      <c r="G156" s="54" t="str">
        <f ca="1"/>
        <v>５００Ｔ</v>
      </c>
      <c r="H156" s="54" t="str">
        <f ca="1">IF(E156="","",OFFSET(分類!$B$29,E156,0))</f>
        <v>普通薬バラ</v>
      </c>
    </row>
    <row r="157" spans="2:8">
      <c r="B157" s="27">
        <f t="shared" si="2"/>
        <v>153</v>
      </c>
      <c r="C157" s="27" t="str">
        <f ca="1"/>
        <v>フェロミア錠５０ｍｇ</v>
      </c>
      <c r="D157" s="27">
        <f ca="1"/>
        <v>0</v>
      </c>
      <c r="E157" s="54">
        <f ca="1"/>
        <v>5</v>
      </c>
      <c r="F157" s="54" t="str">
        <f ca="1"/>
        <v>バラ</v>
      </c>
      <c r="G157" s="54" t="str">
        <f ca="1"/>
        <v>５００Ｔ</v>
      </c>
      <c r="H157" s="54" t="str">
        <f ca="1">IF(E157="","",OFFSET(分類!$B$29,E157,0))</f>
        <v>普通薬バラ</v>
      </c>
    </row>
    <row r="158" spans="2:8">
      <c r="B158" s="27">
        <f t="shared" si="2"/>
        <v>154</v>
      </c>
      <c r="C158" s="27" t="str">
        <f ca="1"/>
        <v>フォシーガ錠５ｍｇ</v>
      </c>
      <c r="D158" s="27">
        <f ca="1"/>
        <v>0</v>
      </c>
      <c r="E158" s="54">
        <f ca="1"/>
        <v>5</v>
      </c>
      <c r="F158" s="54" t="str">
        <f ca="1"/>
        <v>ＰＴＰ</v>
      </c>
      <c r="G158" s="54" t="str">
        <f ca="1"/>
        <v>１００Ｔ</v>
      </c>
      <c r="H158" s="54" t="str">
        <f ca="1">IF(E158="","",OFFSET(分類!$B$29,E158,0))</f>
        <v>普通薬バラ</v>
      </c>
    </row>
    <row r="159" spans="2:8">
      <c r="B159" s="27">
        <f t="shared" si="2"/>
        <v>155</v>
      </c>
      <c r="C159" s="27" t="str">
        <f ca="1"/>
        <v>プラバスタチンＮａ錠５ｍｇ「サワイ」</v>
      </c>
      <c r="D159" s="27">
        <f ca="1"/>
        <v>0</v>
      </c>
      <c r="E159" s="54">
        <f ca="1"/>
        <v>5</v>
      </c>
      <c r="F159" s="54" t="str">
        <f ca="1"/>
        <v>ＰＴＰ</v>
      </c>
      <c r="G159" s="54" t="str">
        <f ca="1"/>
        <v>１００Ｔ</v>
      </c>
      <c r="H159" s="54" t="str">
        <f ca="1">IF(E159="","",OFFSET(分類!$B$29,E159,0))</f>
        <v>普通薬バラ</v>
      </c>
    </row>
    <row r="160" spans="2:8">
      <c r="B160" s="27">
        <f t="shared" si="2"/>
        <v>156</v>
      </c>
      <c r="C160" s="27" t="str">
        <f ca="1"/>
        <v>プラバスタチンＮａ錠５ｍｇ「サワイ」</v>
      </c>
      <c r="D160" s="27">
        <f ca="1"/>
        <v>0</v>
      </c>
      <c r="E160" s="54">
        <f ca="1"/>
        <v>5</v>
      </c>
      <c r="F160" s="54" t="str">
        <f ca="1"/>
        <v>バラ</v>
      </c>
      <c r="G160" s="54" t="str">
        <f ca="1"/>
        <v>１０００Ｔ</v>
      </c>
      <c r="H160" s="54" t="str">
        <f ca="1">IF(E160="","",OFFSET(分類!$B$29,E160,0))</f>
        <v>普通薬バラ</v>
      </c>
    </row>
    <row r="161" spans="2:8">
      <c r="B161" s="27">
        <f t="shared" si="2"/>
        <v>157</v>
      </c>
      <c r="C161" s="27" t="str">
        <f ca="1"/>
        <v>フルニトラゼパム錠１ｍｇ「アメル」</v>
      </c>
      <c r="D161" s="27">
        <f ca="1"/>
        <v>0</v>
      </c>
      <c r="E161" s="54">
        <f ca="1"/>
        <v>3</v>
      </c>
      <c r="F161" s="54" t="str">
        <f ca="1"/>
        <v>ＰＴＰ</v>
      </c>
      <c r="G161" s="54" t="str">
        <f ca="1"/>
        <v>１０００Ｔ</v>
      </c>
      <c r="H161" s="54" t="str">
        <f ca="1">IF(E161="","",OFFSET(分類!$B$29,E161,0))</f>
        <v>外用.臨時.散薬ヒート</v>
      </c>
    </row>
    <row r="162" spans="2:8">
      <c r="B162" s="27">
        <f t="shared" si="2"/>
        <v>158</v>
      </c>
      <c r="C162" s="27" t="str">
        <f ca="1"/>
        <v>フルニトラゼパム錠１ｍｇ「アメル」</v>
      </c>
      <c r="D162" s="27">
        <f ca="1"/>
        <v>0</v>
      </c>
      <c r="E162" s="54">
        <f ca="1"/>
        <v>3</v>
      </c>
      <c r="F162" s="54" t="str">
        <f ca="1"/>
        <v>バラ</v>
      </c>
      <c r="G162" s="54" t="str">
        <f ca="1"/>
        <v>１０００Ｔ</v>
      </c>
      <c r="H162" s="54" t="str">
        <f ca="1">IF(E162="","",OFFSET(分類!$B$29,E162,0))</f>
        <v>外用.臨時.散薬ヒート</v>
      </c>
    </row>
    <row r="163" spans="2:8">
      <c r="B163" s="27">
        <f t="shared" si="2"/>
        <v>159</v>
      </c>
      <c r="C163" s="27" t="str">
        <f ca="1"/>
        <v>フルニトラゼパム錠２ｍｇ「アメル」</v>
      </c>
      <c r="D163" s="27">
        <f ca="1"/>
        <v>0</v>
      </c>
      <c r="E163" s="54">
        <f ca="1"/>
        <v>3</v>
      </c>
      <c r="F163" s="54" t="str">
        <f ca="1"/>
        <v>ＰＴＰ</v>
      </c>
      <c r="G163" s="54" t="str">
        <f ca="1"/>
        <v>１０００Ｔ</v>
      </c>
      <c r="H163" s="54" t="str">
        <f ca="1">IF(E163="","",OFFSET(分類!$B$29,E163,0))</f>
        <v>外用.臨時.散薬ヒート</v>
      </c>
    </row>
    <row r="164" spans="2:8">
      <c r="B164" s="27">
        <f t="shared" si="2"/>
        <v>160</v>
      </c>
      <c r="C164" s="27" t="str">
        <f ca="1"/>
        <v>フルニトラゼパム錠２ｍｇ「アメル」</v>
      </c>
      <c r="D164" s="27">
        <f ca="1"/>
        <v>0</v>
      </c>
      <c r="E164" s="54">
        <f ca="1"/>
        <v>3</v>
      </c>
      <c r="F164" s="54" t="str">
        <f ca="1"/>
        <v>バラ</v>
      </c>
      <c r="G164" s="54" t="str">
        <f ca="1"/>
        <v>１０００Ｔ</v>
      </c>
      <c r="H164" s="54" t="str">
        <f ca="1">IF(E164="","",OFFSET(分類!$B$29,E164,0))</f>
        <v>外用.臨時.散薬ヒート</v>
      </c>
    </row>
    <row r="165" spans="2:8">
      <c r="B165" s="27">
        <f t="shared" si="2"/>
        <v>161</v>
      </c>
      <c r="C165" s="27" t="str">
        <f ca="1"/>
        <v>プレドニゾロン錠５ｍｇ「ＶＴＲＳ」　　　　　</v>
      </c>
      <c r="D165" s="27">
        <f ca="1"/>
        <v>0</v>
      </c>
      <c r="E165" s="54">
        <f ca="1"/>
        <v>5</v>
      </c>
      <c r="F165" s="54" t="str">
        <f ca="1"/>
        <v>ＰＴＰ</v>
      </c>
      <c r="G165" s="54" t="str">
        <f ca="1"/>
        <v>１００Ｔ</v>
      </c>
      <c r="H165" s="54" t="str">
        <f ca="1">IF(E165="","",OFFSET(分類!$B$29,E165,0))</f>
        <v>普通薬バラ</v>
      </c>
    </row>
    <row r="166" spans="2:8">
      <c r="B166" s="27">
        <f t="shared" si="2"/>
        <v>162</v>
      </c>
      <c r="C166" s="27" t="str">
        <f ca="1"/>
        <v>フロセミド錠２０ｍｇ「ＮＩＧ」</v>
      </c>
      <c r="D166" s="27">
        <f ca="1"/>
        <v>0</v>
      </c>
      <c r="E166" s="54">
        <f ca="1"/>
        <v>5</v>
      </c>
      <c r="F166" s="54" t="str">
        <f ca="1"/>
        <v>バラ</v>
      </c>
      <c r="G166" s="54" t="str">
        <f ca="1"/>
        <v>１２００錠</v>
      </c>
      <c r="H166" s="54" t="str">
        <f ca="1">IF(E166="","",OFFSET(分類!$B$29,E166,0))</f>
        <v>普通薬バラ</v>
      </c>
    </row>
    <row r="167" spans="2:8">
      <c r="B167" s="27">
        <f t="shared" si="2"/>
        <v>163</v>
      </c>
      <c r="C167" s="27" t="str">
        <f ca="1"/>
        <v>ブロチゾラム錠０．２５ｍｇ「ヨシトミ」</v>
      </c>
      <c r="D167" s="27">
        <f ca="1"/>
        <v>0</v>
      </c>
      <c r="E167" s="54">
        <f ca="1"/>
        <v>5</v>
      </c>
      <c r="F167" s="54" t="str">
        <f ca="1"/>
        <v>ＰＴＰ</v>
      </c>
      <c r="G167" s="54" t="str">
        <f ca="1"/>
        <v>１０００Ｔ</v>
      </c>
      <c r="H167" s="54" t="str">
        <f ca="1">IF(E167="","",OFFSET(分類!$B$29,E167,0))</f>
        <v>普通薬バラ</v>
      </c>
    </row>
    <row r="168" spans="2:8">
      <c r="B168" s="27">
        <f t="shared" si="2"/>
        <v>164</v>
      </c>
      <c r="C168" s="27" t="str">
        <f ca="1"/>
        <v>ブロチゾラム錠０．２５ｍｇ「ヨシトミ」</v>
      </c>
      <c r="D168" s="27">
        <f ca="1"/>
        <v>0</v>
      </c>
      <c r="E168" s="54">
        <f ca="1"/>
        <v>5</v>
      </c>
      <c r="F168" s="54" t="str">
        <f ca="1"/>
        <v>バラ</v>
      </c>
      <c r="G168" s="54" t="str">
        <f ca="1"/>
        <v>５００Ｔ</v>
      </c>
      <c r="H168" s="54" t="str">
        <f ca="1">IF(E168="","",OFFSET(分類!$B$29,E168,0))</f>
        <v>普通薬バラ</v>
      </c>
    </row>
    <row r="169" spans="2:8">
      <c r="B169" s="27">
        <f t="shared" si="2"/>
        <v>165</v>
      </c>
      <c r="C169" s="27" t="str">
        <f ca="1"/>
        <v>プロピベリン塩酸塩錠１０ｍｇ「ＮＩＧ」　</v>
      </c>
      <c r="D169" s="27">
        <f ca="1"/>
        <v>0</v>
      </c>
      <c r="E169" s="54">
        <f ca="1"/>
        <v>1</v>
      </c>
      <c r="F169" s="54" t="str">
        <f ca="1"/>
        <v>ＰＴＰ</v>
      </c>
      <c r="G169" s="54" t="str">
        <f ca="1"/>
        <v>１００Ｔ</v>
      </c>
      <c r="H169" s="54" t="str">
        <f ca="1">IF(E169="","",OFFSET(分類!$B$29,E169,0))</f>
        <v>調剤棚</v>
      </c>
    </row>
    <row r="170" spans="2:8">
      <c r="B170" s="27">
        <f t="shared" si="2"/>
        <v>166</v>
      </c>
      <c r="C170" s="27" t="str">
        <f ca="1"/>
        <v>プロピベリン塩酸塩錠１０ｍｇ「ＮＩＧ」　</v>
      </c>
      <c r="D170" s="27">
        <f ca="1"/>
        <v>0</v>
      </c>
      <c r="E170" s="54">
        <f ca="1"/>
        <v>1</v>
      </c>
      <c r="F170" s="54" t="str">
        <f ca="1"/>
        <v>バラ</v>
      </c>
      <c r="G170" s="54" t="str">
        <f ca="1"/>
        <v>５００Ｔ</v>
      </c>
      <c r="H170" s="54" t="str">
        <f ca="1">IF(E170="","",OFFSET(分類!$B$29,E170,0))</f>
        <v>調剤棚</v>
      </c>
    </row>
    <row r="171" spans="2:8">
      <c r="B171" s="27">
        <f t="shared" si="2"/>
        <v>167</v>
      </c>
      <c r="C171" s="27" t="str">
        <f ca="1"/>
        <v>プロマックＤ錠７５</v>
      </c>
      <c r="D171" s="27">
        <f ca="1"/>
        <v>0</v>
      </c>
      <c r="E171" s="54">
        <f ca="1"/>
        <v>5</v>
      </c>
      <c r="F171" s="54" t="str">
        <f ca="1"/>
        <v>ＰＴＰ</v>
      </c>
      <c r="G171" s="54" t="str">
        <f ca="1"/>
        <v>１４０Ｔ</v>
      </c>
      <c r="H171" s="54" t="str">
        <f ca="1">IF(E171="","",OFFSET(分類!$B$29,E171,0))</f>
        <v>普通薬バラ</v>
      </c>
    </row>
    <row r="172" spans="2:8">
      <c r="B172" s="27">
        <f t="shared" si="2"/>
        <v>168</v>
      </c>
      <c r="C172" s="27" t="str">
        <f ca="1"/>
        <v>ブロムヘキシン塩酸塩錠４ｍｇ「トーワ」</v>
      </c>
      <c r="D172" s="27">
        <f ca="1"/>
        <v>0</v>
      </c>
      <c r="E172" s="54">
        <f ca="1"/>
        <v>5</v>
      </c>
      <c r="F172" s="54" t="str">
        <f ca="1"/>
        <v>ＰＴＰ</v>
      </c>
      <c r="G172" s="54" t="str">
        <f ca="1"/>
        <v>１０００Ｔ</v>
      </c>
      <c r="H172" s="54" t="str">
        <f ca="1">IF(E172="","",OFFSET(分類!$B$29,E172,0))</f>
        <v>普通薬バラ</v>
      </c>
    </row>
    <row r="173" spans="2:8">
      <c r="B173" s="27">
        <f t="shared" si="2"/>
        <v>169</v>
      </c>
      <c r="C173" s="27" t="str">
        <f ca="1"/>
        <v>ベオーパ錠５０ｍｇ</v>
      </c>
      <c r="D173" s="27">
        <f ca="1"/>
        <v>0</v>
      </c>
      <c r="E173" s="54">
        <f ca="1"/>
        <v>5</v>
      </c>
      <c r="F173" s="54" t="str">
        <f ca="1"/>
        <v>ＰＴＰ</v>
      </c>
      <c r="G173" s="54" t="str">
        <f ca="1"/>
        <v>１００Ｔ</v>
      </c>
      <c r="H173" s="54" t="str">
        <f ca="1">IF(E173="","",OFFSET(分類!$B$29,E173,0))</f>
        <v>普通薬バラ</v>
      </c>
    </row>
    <row r="174" spans="2:8">
      <c r="B174" s="27">
        <f t="shared" si="2"/>
        <v>170</v>
      </c>
      <c r="C174" s="27" t="str">
        <f ca="1"/>
        <v>ベザフィブラートＳＲ錠２００ｍｇ「日医工」　　　</v>
      </c>
      <c r="D174" s="27">
        <f ca="1"/>
        <v>0</v>
      </c>
      <c r="E174" s="54">
        <f ca="1"/>
        <v>5</v>
      </c>
      <c r="F174" s="54" t="str">
        <f ca="1"/>
        <v>ＰＴＰ</v>
      </c>
      <c r="G174" s="54" t="str">
        <f ca="1"/>
        <v>１００Ｔ</v>
      </c>
      <c r="H174" s="54" t="str">
        <f ca="1">IF(E174="","",OFFSET(分類!$B$29,E174,0))</f>
        <v>普通薬バラ</v>
      </c>
    </row>
    <row r="175" spans="2:8">
      <c r="B175" s="27">
        <f t="shared" si="2"/>
        <v>171</v>
      </c>
      <c r="C175" s="27" t="str">
        <f ca="1"/>
        <v>ベルソムラ錠１５ｍｇ</v>
      </c>
      <c r="D175" s="27">
        <f ca="1"/>
        <v>0</v>
      </c>
      <c r="E175" s="54">
        <f ca="1"/>
        <v>1</v>
      </c>
      <c r="F175" s="54" t="str">
        <f ca="1"/>
        <v>ＰＴＰ</v>
      </c>
      <c r="G175" s="54" t="str">
        <f ca="1"/>
        <v>５００Ｔ</v>
      </c>
      <c r="H175" s="54" t="str">
        <f ca="1">IF(E175="","",OFFSET(分類!$B$29,E175,0))</f>
        <v>調剤棚</v>
      </c>
    </row>
    <row r="176" spans="2:8">
      <c r="B176" s="27">
        <f t="shared" si="2"/>
        <v>172</v>
      </c>
      <c r="C176" s="27" t="str">
        <f ca="1"/>
        <v>ベルソムラ錠２０ｍｇ</v>
      </c>
      <c r="D176" s="27">
        <f ca="1"/>
        <v>0</v>
      </c>
      <c r="E176" s="54">
        <f ca="1"/>
        <v>1</v>
      </c>
      <c r="F176" s="54" t="str">
        <f ca="1"/>
        <v>ＰＴＰ</v>
      </c>
      <c r="G176" s="54" t="str">
        <f ca="1"/>
        <v>１００Ｔ</v>
      </c>
      <c r="H176" s="54" t="str">
        <f ca="1">IF(E176="","",OFFSET(分類!$B$29,E176,0))</f>
        <v>調剤棚</v>
      </c>
    </row>
    <row r="177" spans="2:8">
      <c r="B177" s="27">
        <f t="shared" si="2"/>
        <v>173</v>
      </c>
      <c r="C177" s="27" t="str">
        <f ca="1"/>
        <v>ヘルベッサー錠３０　　　　　</v>
      </c>
      <c r="D177" s="27">
        <f ca="1"/>
        <v>0</v>
      </c>
      <c r="E177" s="54">
        <f ca="1"/>
        <v>5</v>
      </c>
      <c r="F177" s="54" t="str">
        <f ca="1"/>
        <v>ＰＴＰ</v>
      </c>
      <c r="G177" s="54" t="str">
        <f ca="1"/>
        <v>１００Ｔ</v>
      </c>
      <c r="H177" s="54" t="str">
        <f ca="1">IF(E177="","",OFFSET(分類!$B$29,E177,0))</f>
        <v>普通薬バラ</v>
      </c>
    </row>
    <row r="178" spans="2:8">
      <c r="B178" s="27">
        <f t="shared" si="2"/>
        <v>174</v>
      </c>
      <c r="C178" s="27" t="str">
        <f ca="1"/>
        <v>ベンザリン錠５</v>
      </c>
      <c r="D178" s="27">
        <f ca="1"/>
        <v>0</v>
      </c>
      <c r="E178" s="54">
        <f ca="1"/>
        <v>5</v>
      </c>
      <c r="F178" s="54" t="str">
        <f ca="1"/>
        <v>ＰＴＰ</v>
      </c>
      <c r="G178" s="54" t="str">
        <f ca="1"/>
        <v>１００Ｔ</v>
      </c>
      <c r="H178" s="54" t="str">
        <f ca="1">IF(E178="","",OFFSET(分類!$B$29,E178,0))</f>
        <v>普通薬バラ</v>
      </c>
    </row>
    <row r="179" spans="2:8">
      <c r="B179" s="27">
        <f t="shared" si="2"/>
        <v>175</v>
      </c>
      <c r="C179" s="27" t="str">
        <f ca="1"/>
        <v>ベンザリン錠５</v>
      </c>
      <c r="D179" s="27">
        <f ca="1"/>
        <v>0</v>
      </c>
      <c r="E179" s="54">
        <f ca="1"/>
        <v>5</v>
      </c>
      <c r="F179" s="54" t="str">
        <f ca="1"/>
        <v>バラ</v>
      </c>
      <c r="G179" s="54" t="str">
        <f ca="1"/>
        <v>１０００Ｔ</v>
      </c>
      <c r="H179" s="54" t="str">
        <f ca="1">IF(E179="","",OFFSET(分類!$B$29,E179,0))</f>
        <v>普通薬バラ</v>
      </c>
    </row>
    <row r="180" spans="2:8">
      <c r="B180" s="27">
        <f t="shared" si="2"/>
        <v>176</v>
      </c>
      <c r="C180" s="27" t="str">
        <f ca="1"/>
        <v>ボグリボーズＯＤ錠０．２ｍｇ　「トーワ」</v>
      </c>
      <c r="D180" s="27">
        <f ca="1"/>
        <v>0</v>
      </c>
      <c r="E180" s="54">
        <f ca="1"/>
        <v>5</v>
      </c>
      <c r="F180" s="54" t="str">
        <f ca="1"/>
        <v>ＰＴＰ</v>
      </c>
      <c r="G180" s="54" t="str">
        <f ca="1"/>
        <v>１００Ｔ</v>
      </c>
      <c r="H180" s="54" t="str">
        <f ca="1">IF(E180="","",OFFSET(分類!$B$29,E180,0))</f>
        <v>普通薬バラ</v>
      </c>
    </row>
    <row r="181" spans="2:8">
      <c r="B181" s="27">
        <f t="shared" si="2"/>
        <v>177</v>
      </c>
      <c r="C181" s="27" t="str">
        <f ca="1"/>
        <v>ボグリボーズＯＤ錠０．２ｍｇ「トーワ」</v>
      </c>
      <c r="D181" s="27">
        <f ca="1"/>
        <v>0</v>
      </c>
      <c r="E181" s="54">
        <f ca="1"/>
        <v>5</v>
      </c>
      <c r="F181" s="54" t="str">
        <f ca="1"/>
        <v>バラ</v>
      </c>
      <c r="G181" s="54" t="str">
        <f ca="1"/>
        <v>５００Ｔ</v>
      </c>
      <c r="H181" s="54" t="str">
        <f ca="1">IF(E181="","",OFFSET(分類!$B$29,E181,0))</f>
        <v>普通薬バラ</v>
      </c>
    </row>
    <row r="182" spans="2:8">
      <c r="B182" s="27">
        <f t="shared" si="2"/>
        <v>178</v>
      </c>
      <c r="C182" s="27" t="str">
        <f ca="1"/>
        <v>マイスタン錠５ｍｇ</v>
      </c>
      <c r="D182" s="27">
        <f ca="1"/>
        <v>0</v>
      </c>
      <c r="E182" s="54">
        <f ca="1"/>
        <v>5</v>
      </c>
      <c r="F182" s="54" t="str">
        <f ca="1"/>
        <v>バラ</v>
      </c>
      <c r="G182" s="54" t="str">
        <f ca="1"/>
        <v>５００Ｔ</v>
      </c>
      <c r="H182" s="54" t="str">
        <f ca="1">IF(E182="","",OFFSET(分類!$B$29,E182,0))</f>
        <v>普通薬バラ</v>
      </c>
    </row>
    <row r="183" spans="2:8">
      <c r="B183" s="27">
        <f t="shared" si="2"/>
        <v>179</v>
      </c>
      <c r="C183" s="27" t="str">
        <f ca="1"/>
        <v>マイスリー錠５ｍｇ</v>
      </c>
      <c r="D183" s="27">
        <f ca="1"/>
        <v>0</v>
      </c>
      <c r="E183" s="54">
        <f ca="1"/>
        <v>5</v>
      </c>
      <c r="F183" s="54" t="str">
        <f ca="1"/>
        <v>ＰＴＰ</v>
      </c>
      <c r="G183" s="54" t="str">
        <f ca="1"/>
        <v>１００Ｔ</v>
      </c>
      <c r="H183" s="54" t="str">
        <f ca="1">IF(E183="","",OFFSET(分類!$B$29,E183,0))</f>
        <v>普通薬バラ</v>
      </c>
    </row>
    <row r="184" spans="2:8">
      <c r="B184" s="27">
        <f t="shared" si="2"/>
        <v>180</v>
      </c>
      <c r="C184" s="27" t="str">
        <f ca="1"/>
        <v>マイスリー錠５ｍｇ</v>
      </c>
      <c r="D184" s="27">
        <f ca="1"/>
        <v>0</v>
      </c>
      <c r="E184" s="54">
        <f ca="1"/>
        <v>5</v>
      </c>
      <c r="F184" s="54" t="str">
        <f ca="1"/>
        <v>バラ</v>
      </c>
      <c r="G184" s="54" t="str">
        <f ca="1"/>
        <v>１０００Ｔ</v>
      </c>
      <c r="H184" s="54" t="str">
        <f ca="1">IF(E184="","",OFFSET(分類!$B$29,E184,0))</f>
        <v>普通薬バラ</v>
      </c>
    </row>
    <row r="185" spans="2:8">
      <c r="B185" s="27">
        <f t="shared" si="2"/>
        <v>181</v>
      </c>
      <c r="C185" s="27" t="str">
        <f ca="1"/>
        <v>マグミット錠３３０ｍｇ</v>
      </c>
      <c r="D185" s="27">
        <f ca="1"/>
        <v>0</v>
      </c>
      <c r="E185" s="54">
        <f ca="1"/>
        <v>5</v>
      </c>
      <c r="F185" s="54" t="str">
        <f ca="1"/>
        <v>ＰＴＰ</v>
      </c>
      <c r="G185" s="54" t="str">
        <f ca="1"/>
        <v>１０００Ｔ</v>
      </c>
      <c r="H185" s="54" t="str">
        <f ca="1">IF(E185="","",OFFSET(分類!$B$29,E185,0))</f>
        <v>普通薬バラ</v>
      </c>
    </row>
    <row r="186" spans="2:8">
      <c r="B186" s="27">
        <f t="shared" si="2"/>
        <v>182</v>
      </c>
      <c r="C186" s="27" t="str">
        <f ca="1"/>
        <v>マグミット錠３３０ｍｇ</v>
      </c>
      <c r="D186" s="27">
        <f ca="1"/>
        <v>0</v>
      </c>
      <c r="E186" s="54">
        <f ca="1"/>
        <v>5</v>
      </c>
      <c r="F186" s="54" t="str">
        <f ca="1"/>
        <v>バラ</v>
      </c>
      <c r="G186" s="54" t="str">
        <f ca="1"/>
        <v>１０００Ｔ</v>
      </c>
      <c r="H186" s="54" t="str">
        <f ca="1">IF(E186="","",OFFSET(分類!$B$29,E186,0))</f>
        <v>普通薬バラ</v>
      </c>
    </row>
    <row r="187" spans="2:8">
      <c r="B187" s="27">
        <f t="shared" si="2"/>
        <v>183</v>
      </c>
      <c r="C187" s="27" t="str">
        <f ca="1"/>
        <v>マグミット錠５００ｍｇ</v>
      </c>
      <c r="D187" s="27">
        <f ca="1"/>
        <v>0</v>
      </c>
      <c r="E187" s="54">
        <f ca="1"/>
        <v>5</v>
      </c>
      <c r="F187" s="54" t="str">
        <f ca="1"/>
        <v>ＰＴＰ</v>
      </c>
      <c r="G187" s="54" t="str">
        <f ca="1"/>
        <v>５００Ｔ</v>
      </c>
      <c r="H187" s="54" t="str">
        <f ca="1">IF(E187="","",OFFSET(分類!$B$29,E187,0))</f>
        <v>普通薬バラ</v>
      </c>
    </row>
    <row r="188" spans="2:8">
      <c r="B188" s="27">
        <f t="shared" si="2"/>
        <v>184</v>
      </c>
      <c r="C188" s="27" t="str">
        <f ca="1"/>
        <v>マグミット錠５００ｍｇ</v>
      </c>
      <c r="D188" s="27">
        <f ca="1"/>
        <v>0</v>
      </c>
      <c r="E188" s="54">
        <f ca="1"/>
        <v>5</v>
      </c>
      <c r="F188" s="54" t="str">
        <f ca="1"/>
        <v>バラ</v>
      </c>
      <c r="G188" s="54" t="str">
        <f ca="1"/>
        <v>５００Ｔ</v>
      </c>
      <c r="H188" s="54" t="str">
        <f ca="1">IF(E188="","",OFFSET(分類!$B$29,E188,0))</f>
        <v>普通薬バラ</v>
      </c>
    </row>
    <row r="189" spans="2:8">
      <c r="B189" s="27">
        <f t="shared" si="2"/>
        <v>185</v>
      </c>
      <c r="C189" s="27" t="str">
        <f ca="1"/>
        <v>マプロチリン塩酸塩錠１０ｍｇ「アメル」</v>
      </c>
      <c r="D189" s="27">
        <f ca="1"/>
        <v>0</v>
      </c>
      <c r="E189" s="54">
        <f ca="1"/>
        <v>5</v>
      </c>
      <c r="F189" s="54" t="str">
        <f ca="1"/>
        <v>ＰＴＰ</v>
      </c>
      <c r="G189" s="54" t="str">
        <f ca="1"/>
        <v>１００Ｔ</v>
      </c>
      <c r="H189" s="54" t="str">
        <f ca="1">IF(E189="","",OFFSET(分類!$B$29,E189,0))</f>
        <v>普通薬バラ</v>
      </c>
    </row>
    <row r="190" spans="2:8">
      <c r="B190" s="27">
        <f t="shared" si="2"/>
        <v>186</v>
      </c>
      <c r="C190" s="27" t="str">
        <f ca="1"/>
        <v>マプロチリン塩酸塩錠２５ｍｇ「アメル」</v>
      </c>
      <c r="D190" s="27">
        <f ca="1"/>
        <v>0</v>
      </c>
      <c r="E190" s="54">
        <f ca="1"/>
        <v>5</v>
      </c>
      <c r="F190" s="54" t="str">
        <f ca="1"/>
        <v>ＰＴＰ</v>
      </c>
      <c r="G190" s="54" t="str">
        <f ca="1"/>
        <v>１００Ｔ</v>
      </c>
      <c r="H190" s="54" t="str">
        <f ca="1">IF(E190="","",OFFSET(分類!$B$29,E190,0))</f>
        <v>普通薬バラ</v>
      </c>
    </row>
    <row r="191" spans="2:8">
      <c r="B191" s="27">
        <f t="shared" si="2"/>
        <v>187</v>
      </c>
      <c r="C191" s="27" t="str">
        <f ca="1"/>
        <v>ミチグリニドＣａ・ＯＤ錠１０ｍｇ「三和」</v>
      </c>
      <c r="D191" s="27">
        <f ca="1"/>
        <v>0</v>
      </c>
      <c r="E191" s="54">
        <f ca="1"/>
        <v>5</v>
      </c>
      <c r="F191" s="54" t="str">
        <f ca="1"/>
        <v>ＰＴＰ</v>
      </c>
      <c r="G191" s="54" t="str">
        <f ca="1"/>
        <v>１００Ｔ</v>
      </c>
      <c r="H191" s="54" t="str">
        <f ca="1">IF(E191="","",OFFSET(分類!$B$29,E191,0))</f>
        <v>普通薬バラ</v>
      </c>
    </row>
    <row r="192" spans="2:8">
      <c r="B192" s="27">
        <f t="shared" si="2"/>
        <v>188</v>
      </c>
      <c r="C192" s="27" t="str">
        <f ca="1"/>
        <v>ミドドリン塩酸塩錠２ｍｇ「トーワ」</v>
      </c>
      <c r="D192" s="27">
        <f ca="1"/>
        <v>0</v>
      </c>
      <c r="E192" s="54">
        <f ca="1"/>
        <v>5</v>
      </c>
      <c r="F192" s="54" t="str">
        <f ca="1"/>
        <v>ＰＴＰ</v>
      </c>
      <c r="G192" s="54" t="str">
        <f ca="1"/>
        <v>１００Ｔ</v>
      </c>
      <c r="H192" s="54" t="str">
        <f ca="1">IF(E192="","",OFFSET(分類!$B$29,E192,0))</f>
        <v>普通薬バラ</v>
      </c>
    </row>
    <row r="193" spans="2:8">
      <c r="B193" s="27">
        <f t="shared" si="2"/>
        <v>189</v>
      </c>
      <c r="C193" s="27" t="str">
        <f ca="1"/>
        <v>メイラックス錠１ｍｇ</v>
      </c>
      <c r="D193" s="27">
        <f ca="1"/>
        <v>0</v>
      </c>
      <c r="E193" s="54">
        <f ca="1"/>
        <v>5</v>
      </c>
      <c r="F193" s="54" t="str">
        <f ca="1"/>
        <v>ＰＴＰ</v>
      </c>
      <c r="G193" s="54" t="str">
        <f ca="1"/>
        <v>５００Ｔ</v>
      </c>
      <c r="H193" s="54" t="str">
        <f ca="1">IF(E193="","",OFFSET(分類!$B$29,E193,0))</f>
        <v>普通薬バラ</v>
      </c>
    </row>
    <row r="194" spans="2:8">
      <c r="B194" s="27">
        <f t="shared" si="2"/>
        <v>190</v>
      </c>
      <c r="C194" s="27" t="str">
        <f ca="1"/>
        <v>メコバラミン錠５００「トーワ」</v>
      </c>
      <c r="D194" s="27">
        <f ca="1"/>
        <v>0</v>
      </c>
      <c r="E194" s="54">
        <f ca="1"/>
        <v>5</v>
      </c>
      <c r="F194" s="54" t="str">
        <f ca="1"/>
        <v>ＰＴＰ</v>
      </c>
      <c r="G194" s="54" t="str">
        <f ca="1"/>
        <v>１０００Ｔ</v>
      </c>
      <c r="H194" s="54" t="str">
        <f ca="1">IF(E194="","",OFFSET(分類!$B$29,E194,0))</f>
        <v>普通薬バラ</v>
      </c>
    </row>
    <row r="195" spans="2:8">
      <c r="B195" s="27">
        <f t="shared" si="2"/>
        <v>191</v>
      </c>
      <c r="C195" s="27" t="str">
        <f ca="1"/>
        <v>メコバラミン錠５００「トーワ」</v>
      </c>
      <c r="D195" s="27">
        <f ca="1"/>
        <v>0</v>
      </c>
      <c r="E195" s="54">
        <f ca="1"/>
        <v>5</v>
      </c>
      <c r="F195" s="54" t="str">
        <f ca="1"/>
        <v>バラ</v>
      </c>
      <c r="G195" s="54" t="str">
        <f ca="1"/>
        <v>１０００Ｔ</v>
      </c>
      <c r="H195" s="54" t="str">
        <f ca="1">IF(E195="","",OFFSET(分類!$B$29,E195,0))</f>
        <v>普通薬バラ</v>
      </c>
    </row>
    <row r="196" spans="2:8">
      <c r="B196" s="27">
        <f t="shared" si="2"/>
        <v>192</v>
      </c>
      <c r="C196" s="27" t="str">
        <f ca="1"/>
        <v>モサプリドクエン酸塩錠５ｍｇ「日医工」</v>
      </c>
      <c r="D196" s="27">
        <f ca="1"/>
        <v>0</v>
      </c>
      <c r="E196" s="54">
        <f ca="1"/>
        <v>5</v>
      </c>
      <c r="F196" s="54" t="str">
        <f ca="1"/>
        <v>ＰＴＰ</v>
      </c>
      <c r="G196" s="54" t="str">
        <f ca="1"/>
        <v>１００Ｔ</v>
      </c>
      <c r="H196" s="54" t="str">
        <f ca="1">IF(E196="","",OFFSET(分類!$B$29,E196,0))</f>
        <v>普通薬バラ</v>
      </c>
    </row>
    <row r="197" spans="2:8">
      <c r="B197" s="27">
        <f t="shared" si="2"/>
        <v>193</v>
      </c>
      <c r="C197" s="27" t="str">
        <f ca="1"/>
        <v>モサプリドクエン酸塩錠５ｍｇ「日医工」</v>
      </c>
      <c r="D197" s="27">
        <f ca="1"/>
        <v>0</v>
      </c>
      <c r="E197" s="54">
        <f ca="1"/>
        <v>5</v>
      </c>
      <c r="F197" s="54" t="str">
        <f ca="1"/>
        <v>バラ</v>
      </c>
      <c r="G197" s="54" t="str">
        <f ca="1"/>
        <v>１０００Ｔ</v>
      </c>
      <c r="H197" s="54" t="str">
        <f ca="1">IF(E197="","",OFFSET(分類!$B$29,E197,0))</f>
        <v>普通薬バラ</v>
      </c>
    </row>
    <row r="198" spans="2:8">
      <c r="B198" s="27">
        <f t="shared" si="2"/>
        <v>194</v>
      </c>
      <c r="C198" s="27" t="str">
        <f ca="1"/>
        <v>ユーロジン２ｍｇ錠</v>
      </c>
      <c r="D198" s="27">
        <f ca="1"/>
        <v>0</v>
      </c>
      <c r="E198" s="54">
        <f ca="1"/>
        <v>5</v>
      </c>
      <c r="F198" s="54" t="str">
        <f ca="1"/>
        <v>ＰＴＰ</v>
      </c>
      <c r="G198" s="54" t="str">
        <f ca="1"/>
        <v>１００Ｔ</v>
      </c>
      <c r="H198" s="54" t="str">
        <f ca="1">IF(E198="","",OFFSET(分類!$B$29,E198,0))</f>
        <v>普通薬バラ</v>
      </c>
    </row>
    <row r="199" spans="2:8">
      <c r="B199" s="27">
        <f t="shared" ref="B199:B262" si="3">B198+1</f>
        <v>195</v>
      </c>
      <c r="C199" s="27" t="str">
        <f ca="1"/>
        <v>ラメルテオン錠８ｍｇ「トーワ」</v>
      </c>
      <c r="D199" s="27">
        <f ca="1"/>
        <v>0</v>
      </c>
      <c r="E199" s="54">
        <f ca="1"/>
        <v>5</v>
      </c>
      <c r="F199" s="54" t="str">
        <f ca="1"/>
        <v>ＰＴＰ</v>
      </c>
      <c r="G199" s="54" t="str">
        <f ca="1"/>
        <v>１００Ｔ</v>
      </c>
      <c r="H199" s="54" t="str">
        <f ca="1">IF(E199="","",OFFSET(分類!$B$29,E199,0))</f>
        <v>普通薬バラ</v>
      </c>
    </row>
    <row r="200" spans="2:8">
      <c r="B200" s="27">
        <f t="shared" si="3"/>
        <v>196</v>
      </c>
      <c r="C200" s="27" t="str">
        <f ca="1"/>
        <v>ラメルテオン錠８ｍｇ「トーワ」</v>
      </c>
      <c r="D200" s="27">
        <f ca="1"/>
        <v>0</v>
      </c>
      <c r="E200" s="54">
        <f ca="1"/>
        <v>5</v>
      </c>
      <c r="F200" s="54" t="str">
        <f ca="1"/>
        <v>バラ</v>
      </c>
      <c r="G200" s="54" t="str">
        <f ca="1"/>
        <v>３００Ｔ</v>
      </c>
      <c r="H200" s="54" t="str">
        <f ca="1">IF(E200="","",OFFSET(分類!$B$29,E200,0))</f>
        <v>普通薬バラ</v>
      </c>
    </row>
    <row r="201" spans="2:8">
      <c r="B201" s="27">
        <f t="shared" si="3"/>
        <v>197</v>
      </c>
      <c r="C201" s="27" t="str">
        <f ca="1"/>
        <v>ランソプラゾールＯＤ錠１５ｍｇ「トーワ」</v>
      </c>
      <c r="D201" s="27">
        <f ca="1"/>
        <v>0</v>
      </c>
      <c r="E201" s="54">
        <f ca="1"/>
        <v>5</v>
      </c>
      <c r="F201" s="54" t="str">
        <f ca="1"/>
        <v>ＰＴＰ</v>
      </c>
      <c r="G201" s="54" t="str">
        <f ca="1"/>
        <v>５００Ｔ</v>
      </c>
      <c r="H201" s="54" t="str">
        <f ca="1">IF(E201="","",OFFSET(分類!$B$29,E201,0))</f>
        <v>普通薬バラ</v>
      </c>
    </row>
    <row r="202" spans="2:8">
      <c r="B202" s="27">
        <f t="shared" si="3"/>
        <v>198</v>
      </c>
      <c r="C202" s="27" t="str">
        <f ca="1"/>
        <v>ランソプラゾールＯＤ錠１５ｍｇ「トーワ」</v>
      </c>
      <c r="D202" s="27">
        <f ca="1"/>
        <v>0</v>
      </c>
      <c r="E202" s="54">
        <f ca="1"/>
        <v>5</v>
      </c>
      <c r="F202" s="54" t="str">
        <f ca="1"/>
        <v>バラ</v>
      </c>
      <c r="G202" s="54" t="str">
        <f ca="1"/>
        <v>５００Ｔ</v>
      </c>
      <c r="H202" s="54" t="str">
        <f ca="1">IF(E202="","",OFFSET(分類!$B$29,E202,0))</f>
        <v>普通薬バラ</v>
      </c>
    </row>
    <row r="203" spans="2:8">
      <c r="B203" s="27">
        <f t="shared" si="3"/>
        <v>199</v>
      </c>
      <c r="C203" s="27" t="str">
        <f ca="1"/>
        <v>リーゼ錠５ｍｇ</v>
      </c>
      <c r="D203" s="27">
        <f ca="1"/>
        <v>0</v>
      </c>
      <c r="E203" s="54">
        <f ca="1"/>
        <v>1</v>
      </c>
      <c r="F203" s="54" t="str">
        <f ca="1"/>
        <v>ＰＴＰ</v>
      </c>
      <c r="G203" s="54" t="str">
        <f ca="1"/>
        <v>１００Ｔ</v>
      </c>
      <c r="H203" s="54" t="str">
        <f ca="1">IF(E203="","",OFFSET(分類!$B$29,E203,0))</f>
        <v>調剤棚</v>
      </c>
    </row>
    <row r="204" spans="2:8">
      <c r="B204" s="27">
        <f t="shared" si="3"/>
        <v>200</v>
      </c>
      <c r="C204" s="27" t="str">
        <f ca="1"/>
        <v>リクシアナＯＤ錠３０ｍｇ</v>
      </c>
      <c r="D204" s="27">
        <f ca="1"/>
        <v>0</v>
      </c>
      <c r="E204" s="54">
        <f ca="1"/>
        <v>5</v>
      </c>
      <c r="F204" s="54" t="str">
        <f ca="1"/>
        <v>バラ</v>
      </c>
      <c r="G204" s="54" t="str">
        <f ca="1"/>
        <v>１００Ｔ</v>
      </c>
      <c r="H204" s="54" t="str">
        <f ca="1">IF(E204="","",OFFSET(分類!$B$29,E204,0))</f>
        <v>普通薬バラ</v>
      </c>
    </row>
    <row r="205" spans="2:8">
      <c r="B205" s="27">
        <f t="shared" si="3"/>
        <v>201</v>
      </c>
      <c r="C205" s="27" t="str">
        <f ca="1"/>
        <v>リスミー錠２ｍｇ</v>
      </c>
      <c r="D205" s="27">
        <f ca="1"/>
        <v>0</v>
      </c>
      <c r="E205" s="54">
        <f ca="1"/>
        <v>5</v>
      </c>
      <c r="F205" s="54" t="str">
        <f ca="1"/>
        <v>ＰＴＰ</v>
      </c>
      <c r="G205" s="54" t="str">
        <f ca="1"/>
        <v>１００Ｔ</v>
      </c>
      <c r="H205" s="54" t="str">
        <f ca="1">IF(E205="","",OFFSET(分類!$B$29,E205,0))</f>
        <v>普通薬バラ</v>
      </c>
    </row>
    <row r="206" spans="2:8">
      <c r="B206" s="27">
        <f t="shared" si="3"/>
        <v>202</v>
      </c>
      <c r="C206" s="27" t="str">
        <f ca="1"/>
        <v>リバーロキサバンＯＤ錠１０ｍｇ「バイエル」</v>
      </c>
      <c r="D206" s="27">
        <f ca="1"/>
        <v>0</v>
      </c>
      <c r="E206" s="54">
        <f ca="1"/>
        <v>5</v>
      </c>
      <c r="F206" s="54" t="str">
        <f ca="1"/>
        <v>ＰＴＰ</v>
      </c>
      <c r="G206" s="54" t="str">
        <f ca="1"/>
        <v>１００Ｔ</v>
      </c>
      <c r="H206" s="54" t="str">
        <f ca="1">IF(E206="","",OFFSET(分類!$B$29,E206,0))</f>
        <v>普通薬バラ</v>
      </c>
    </row>
    <row r="207" spans="2:8">
      <c r="B207" s="27">
        <f t="shared" si="3"/>
        <v>203</v>
      </c>
      <c r="C207" s="27" t="str">
        <f ca="1"/>
        <v>リボトリール錠０．５ｍｇ</v>
      </c>
      <c r="D207" s="27">
        <f ca="1"/>
        <v>0</v>
      </c>
      <c r="E207" s="54">
        <f ca="1"/>
        <v>5</v>
      </c>
      <c r="F207" s="54" t="str">
        <f ca="1"/>
        <v>ＰＴＰ</v>
      </c>
      <c r="G207" s="54" t="str">
        <f ca="1"/>
        <v>１００Ｔ</v>
      </c>
      <c r="H207" s="54" t="str">
        <f ca="1">IF(E207="","",OFFSET(分類!$B$29,E207,0))</f>
        <v>普通薬バラ</v>
      </c>
    </row>
    <row r="208" spans="2:8">
      <c r="B208" s="27">
        <f t="shared" si="3"/>
        <v>204</v>
      </c>
      <c r="C208" s="27" t="str">
        <f ca="1"/>
        <v>リボトリール錠０．５ｍｇ</v>
      </c>
      <c r="D208" s="27">
        <f ca="1"/>
        <v>0</v>
      </c>
      <c r="E208" s="54">
        <f ca="1"/>
        <v>5</v>
      </c>
      <c r="F208" s="54" t="str">
        <f ca="1"/>
        <v>バラ</v>
      </c>
      <c r="G208" s="54" t="str">
        <f ca="1"/>
        <v>１０００Ｔ</v>
      </c>
      <c r="H208" s="54" t="str">
        <f ca="1">IF(E208="","",OFFSET(分類!$B$29,E208,0))</f>
        <v>普通薬バラ</v>
      </c>
    </row>
    <row r="209" spans="2:8">
      <c r="B209" s="27">
        <f t="shared" si="3"/>
        <v>205</v>
      </c>
      <c r="C209" s="27" t="str">
        <f ca="1"/>
        <v>リボトリール錠１ｍｇ</v>
      </c>
      <c r="D209" s="27">
        <f ca="1"/>
        <v>0</v>
      </c>
      <c r="E209" s="54">
        <f ca="1"/>
        <v>5</v>
      </c>
      <c r="F209" s="54" t="str">
        <f ca="1"/>
        <v>ＰＴＰ</v>
      </c>
      <c r="G209" s="54" t="str">
        <f ca="1"/>
        <v>１００Ｔ</v>
      </c>
      <c r="H209" s="54" t="str">
        <f ca="1">IF(E209="","",OFFSET(分類!$B$29,E209,0))</f>
        <v>普通薬バラ</v>
      </c>
    </row>
    <row r="210" spans="2:8">
      <c r="B210" s="27">
        <f t="shared" si="3"/>
        <v>206</v>
      </c>
      <c r="C210" s="27" t="str">
        <f ca="1"/>
        <v>リボトリール錠１ｍｇ</v>
      </c>
      <c r="D210" s="27">
        <f ca="1"/>
        <v>0</v>
      </c>
      <c r="E210" s="54">
        <f ca="1"/>
        <v>5</v>
      </c>
      <c r="F210" s="54" t="str">
        <f ca="1"/>
        <v>バラ</v>
      </c>
      <c r="G210" s="54" t="str">
        <f ca="1"/>
        <v>１０００Ｔ</v>
      </c>
      <c r="H210" s="54" t="str">
        <f ca="1">IF(E210="","",OFFSET(分類!$B$29,E210,0))</f>
        <v>普通薬バラ</v>
      </c>
    </row>
    <row r="211" spans="2:8">
      <c r="B211" s="27">
        <f t="shared" si="3"/>
        <v>207</v>
      </c>
      <c r="C211" s="27" t="str">
        <f ca="1"/>
        <v>リマプロスト　アルファデクス錠５μｇ「サワイ」</v>
      </c>
      <c r="D211" s="27">
        <f ca="1"/>
        <v>0</v>
      </c>
      <c r="E211" s="54">
        <f ca="1"/>
        <v>5</v>
      </c>
      <c r="F211" s="54" t="str">
        <f ca="1"/>
        <v>バラ</v>
      </c>
      <c r="G211" s="54" t="str">
        <f ca="1"/>
        <v>２００Ｔ</v>
      </c>
      <c r="H211" s="54" t="str">
        <f ca="1">IF(E211="","",OFFSET(分類!$B$29,E211,0))</f>
        <v>普通薬バラ</v>
      </c>
    </row>
    <row r="212" spans="2:8">
      <c r="B212" s="27">
        <f t="shared" si="3"/>
        <v>208</v>
      </c>
      <c r="C212" s="27" t="str">
        <f ca="1"/>
        <v>リンゼス錠０．２５ｍｇ</v>
      </c>
      <c r="D212" s="27">
        <f ca="1"/>
        <v>0</v>
      </c>
      <c r="E212" s="54">
        <f ca="1"/>
        <v>1</v>
      </c>
      <c r="F212" s="54" t="str">
        <f ca="1"/>
        <v>ＰＴＰ</v>
      </c>
      <c r="G212" s="54" t="str">
        <f ca="1"/>
        <v>１００Ｔ</v>
      </c>
      <c r="H212" s="54" t="str">
        <f ca="1">IF(E212="","",OFFSET(分類!$B$29,E212,0))</f>
        <v>調剤棚</v>
      </c>
    </row>
    <row r="213" spans="2:8">
      <c r="B213" s="27">
        <f t="shared" si="3"/>
        <v>209</v>
      </c>
      <c r="C213" s="27" t="str">
        <f ca="1"/>
        <v>レキソタン錠２</v>
      </c>
      <c r="D213" s="27">
        <f ca="1"/>
        <v>0</v>
      </c>
      <c r="E213" s="54">
        <f ca="1"/>
        <v>5</v>
      </c>
      <c r="F213" s="54" t="str">
        <f ca="1"/>
        <v>ＰＴＰ</v>
      </c>
      <c r="G213" s="54" t="str">
        <f ca="1"/>
        <v>１００Ｔ</v>
      </c>
      <c r="H213" s="54" t="str">
        <f ca="1">IF(E213="","",OFFSET(分類!$B$29,E213,0))</f>
        <v>普通薬バラ</v>
      </c>
    </row>
    <row r="214" spans="2:8">
      <c r="B214" s="27">
        <f t="shared" si="3"/>
        <v>210</v>
      </c>
      <c r="C214" s="27" t="str">
        <f ca="1"/>
        <v>レキソタン錠２</v>
      </c>
      <c r="D214" s="27">
        <f ca="1"/>
        <v>0</v>
      </c>
      <c r="E214" s="54">
        <f ca="1"/>
        <v>5</v>
      </c>
      <c r="F214" s="54" t="str">
        <f ca="1"/>
        <v>バラ</v>
      </c>
      <c r="G214" s="54" t="str">
        <f ca="1"/>
        <v>５００Ｔ</v>
      </c>
      <c r="H214" s="54" t="str">
        <f ca="1">IF(E214="","",OFFSET(分類!$B$29,E214,0))</f>
        <v>普通薬バラ</v>
      </c>
    </row>
    <row r="215" spans="2:8">
      <c r="B215" s="27">
        <f t="shared" si="3"/>
        <v>211</v>
      </c>
      <c r="C215" s="27" t="str">
        <f ca="1"/>
        <v>レキソタン錠５</v>
      </c>
      <c r="D215" s="27">
        <f ca="1"/>
        <v>0</v>
      </c>
      <c r="E215" s="54">
        <f ca="1"/>
        <v>5</v>
      </c>
      <c r="F215" s="54" t="str">
        <f ca="1"/>
        <v>ＰＴＰ</v>
      </c>
      <c r="G215" s="54" t="str">
        <f ca="1"/>
        <v>１００Ｔ</v>
      </c>
      <c r="H215" s="54" t="str">
        <f ca="1">IF(E215="","",OFFSET(分類!$B$29,E215,0))</f>
        <v>普通薬バラ</v>
      </c>
    </row>
    <row r="216" spans="2:8">
      <c r="B216" s="27">
        <f t="shared" si="3"/>
        <v>212</v>
      </c>
      <c r="C216" s="27" t="str">
        <f ca="1"/>
        <v>レキソタン錠５</v>
      </c>
      <c r="D216" s="27">
        <f ca="1"/>
        <v>0</v>
      </c>
      <c r="E216" s="54">
        <f ca="1"/>
        <v>5</v>
      </c>
      <c r="F216" s="54" t="str">
        <f ca="1"/>
        <v>バラ</v>
      </c>
      <c r="G216" s="54" t="str">
        <f ca="1"/>
        <v>５００Ｔ</v>
      </c>
      <c r="H216" s="54" t="str">
        <f ca="1">IF(E216="","",OFFSET(分類!$B$29,E216,0))</f>
        <v>普通薬バラ</v>
      </c>
    </row>
    <row r="217" spans="2:8">
      <c r="B217" s="27">
        <f t="shared" si="3"/>
        <v>213</v>
      </c>
      <c r="C217" s="27" t="str">
        <f ca="1"/>
        <v>レグテクト錠３３３ｍｇ</v>
      </c>
      <c r="D217" s="27">
        <f ca="1"/>
        <v>0</v>
      </c>
      <c r="E217" s="54">
        <f ca="1"/>
        <v>5</v>
      </c>
      <c r="F217" s="54" t="str">
        <f ca="1"/>
        <v>ＰＴＰ</v>
      </c>
      <c r="G217" s="54" t="str">
        <f ca="1"/>
        <v>１００Ｔ　</v>
      </c>
      <c r="H217" s="54" t="str">
        <f ca="1">IF(E217="","",OFFSET(分類!$B$29,E217,0))</f>
        <v>普通薬バラ</v>
      </c>
    </row>
    <row r="218" spans="2:8">
      <c r="B218" s="27">
        <f t="shared" si="3"/>
        <v>214</v>
      </c>
      <c r="C218" s="27" t="str">
        <f ca="1"/>
        <v>レグテクト錠３３３ｍｇ</v>
      </c>
      <c r="D218" s="27">
        <f ca="1"/>
        <v>0</v>
      </c>
      <c r="E218" s="54">
        <f ca="1"/>
        <v>5</v>
      </c>
      <c r="F218" s="54" t="str">
        <f ca="1"/>
        <v>バラ</v>
      </c>
      <c r="G218" s="54" t="str">
        <f ca="1"/>
        <v>５００Ｔ　</v>
      </c>
      <c r="H218" s="54" t="str">
        <f ca="1">IF(E218="","",OFFSET(分類!$B$29,E218,0))</f>
        <v>普通薬バラ</v>
      </c>
    </row>
    <row r="219" spans="2:8">
      <c r="B219" s="27">
        <f t="shared" si="3"/>
        <v>215</v>
      </c>
      <c r="C219" s="27" t="str">
        <f ca="1"/>
        <v>レスプレン錠２０ｍｇ</v>
      </c>
      <c r="D219" s="27">
        <f ca="1"/>
        <v>0</v>
      </c>
      <c r="E219" s="54">
        <f ca="1"/>
        <v>1</v>
      </c>
      <c r="F219" s="54" t="str">
        <f ca="1"/>
        <v>ＰＴＰ</v>
      </c>
      <c r="G219" s="54" t="str">
        <f ca="1"/>
        <v>５００Ｔ</v>
      </c>
      <c r="H219" s="54" t="str">
        <f ca="1">IF(E219="","",OFFSET(分類!$B$29,E219,0))</f>
        <v>調剤棚</v>
      </c>
    </row>
    <row r="220" spans="2:8">
      <c r="B220" s="27">
        <f t="shared" si="3"/>
        <v>216</v>
      </c>
      <c r="C220" s="27" t="str">
        <f ca="1"/>
        <v>レバミピド錠１００ｍｇ「オーツカ」</v>
      </c>
      <c r="D220" s="27">
        <f ca="1"/>
        <v>0</v>
      </c>
      <c r="E220" s="54">
        <f ca="1"/>
        <v>5</v>
      </c>
      <c r="F220" s="54" t="str">
        <f ca="1"/>
        <v>ＰＴＰ</v>
      </c>
      <c r="G220" s="54" t="str">
        <f ca="1"/>
        <v>５００Ｔ</v>
      </c>
      <c r="H220" s="54" t="str">
        <f ca="1">IF(E220="","",OFFSET(分類!$B$29,E220,0))</f>
        <v>普通薬バラ</v>
      </c>
    </row>
    <row r="221" spans="2:8">
      <c r="B221" s="27">
        <f t="shared" si="3"/>
        <v>217</v>
      </c>
      <c r="C221" s="27" t="str">
        <f ca="1"/>
        <v>レバミピド錠１００ｍｇ「オーツカ」</v>
      </c>
      <c r="D221" s="27">
        <f ca="1"/>
        <v>0</v>
      </c>
      <c r="E221" s="54">
        <f ca="1"/>
        <v>5</v>
      </c>
      <c r="F221" s="54" t="str">
        <f ca="1"/>
        <v>バラ</v>
      </c>
      <c r="G221" s="54" t="str">
        <f ca="1"/>
        <v>５００Ｔ</v>
      </c>
      <c r="H221" s="54" t="str">
        <f ca="1">IF(E221="","",OFFSET(分類!$B$29,E221,0))</f>
        <v>普通薬バラ</v>
      </c>
    </row>
    <row r="222" spans="2:8">
      <c r="B222" s="27">
        <f t="shared" si="3"/>
        <v>218</v>
      </c>
      <c r="C222" s="27" t="str">
        <f ca="1"/>
        <v>レベチラセタム錠２５０ｍｇ「トーワ」</v>
      </c>
      <c r="D222" s="27">
        <f ca="1"/>
        <v>0</v>
      </c>
      <c r="E222" s="54">
        <f ca="1"/>
        <v>5</v>
      </c>
      <c r="F222" s="54" t="str">
        <f ca="1"/>
        <v>ＰＴＰ</v>
      </c>
      <c r="G222" s="54" t="str">
        <f ca="1"/>
        <v>１００Ｔ</v>
      </c>
      <c r="H222" s="54" t="str">
        <f ca="1">IF(E222="","",OFFSET(分類!$B$29,E222,0))</f>
        <v>普通薬バラ</v>
      </c>
    </row>
    <row r="223" spans="2:8">
      <c r="B223" s="27">
        <f t="shared" si="3"/>
        <v>219</v>
      </c>
      <c r="C223" s="27" t="str">
        <f ca="1"/>
        <v>レベチラセタム錠２５０ｍｇ「トーワ」</v>
      </c>
      <c r="D223" s="27">
        <f ca="1"/>
        <v>0</v>
      </c>
      <c r="E223" s="54">
        <f ca="1"/>
        <v>5</v>
      </c>
      <c r="F223" s="54" t="str">
        <f ca="1"/>
        <v>バラ</v>
      </c>
      <c r="G223" s="54" t="str">
        <f ca="1"/>
        <v>３００Ｔ</v>
      </c>
      <c r="H223" s="54" t="str">
        <f ca="1">IF(E223="","",OFFSET(分類!$B$29,E223,0))</f>
        <v>普通薬バラ</v>
      </c>
    </row>
    <row r="224" spans="2:8">
      <c r="B224" s="27">
        <f t="shared" si="3"/>
        <v>220</v>
      </c>
      <c r="C224" s="27" t="str">
        <f ca="1"/>
        <v>レボフロキサシン錠２５０ｍｇ「ＤＳＥＰ」</v>
      </c>
      <c r="D224" s="27">
        <f ca="1"/>
        <v>0</v>
      </c>
      <c r="E224" s="54">
        <f ca="1"/>
        <v>1</v>
      </c>
      <c r="F224" s="54" t="str">
        <f ca="1"/>
        <v>ＰＴＰ</v>
      </c>
      <c r="G224" s="54" t="str">
        <f ca="1"/>
        <v>１００Ｔ</v>
      </c>
      <c r="H224" s="54" t="str">
        <f ca="1">IF(E224="","",OFFSET(分類!$B$29,E224,0))</f>
        <v>調剤棚</v>
      </c>
    </row>
    <row r="225" spans="2:8">
      <c r="B225" s="27">
        <f t="shared" si="3"/>
        <v>221</v>
      </c>
      <c r="C225" s="27" t="str">
        <f ca="1"/>
        <v>ロキソプロフェンナトリウム錠６０ｍｇ「日医工」</v>
      </c>
      <c r="D225" s="27">
        <f ca="1"/>
        <v>0</v>
      </c>
      <c r="E225" s="54">
        <f ca="1"/>
        <v>5</v>
      </c>
      <c r="F225" s="54" t="str">
        <f ca="1"/>
        <v>ＰＴＰ</v>
      </c>
      <c r="G225" s="54" t="str">
        <f ca="1"/>
        <v>１０００Ｔ</v>
      </c>
      <c r="H225" s="54" t="str">
        <f ca="1">IF(E225="","",OFFSET(分類!$B$29,E225,0))</f>
        <v>普通薬バラ</v>
      </c>
    </row>
    <row r="226" spans="2:8">
      <c r="B226" s="27">
        <f t="shared" si="3"/>
        <v>222</v>
      </c>
      <c r="C226" s="27" t="str">
        <f ca="1"/>
        <v>ロキソプロフェンナトリウム錠６０ｍｇ「日医工」</v>
      </c>
      <c r="D226" s="27">
        <f ca="1"/>
        <v>0</v>
      </c>
      <c r="E226" s="54">
        <f ca="1"/>
        <v>5</v>
      </c>
      <c r="F226" s="54" t="str">
        <f ca="1"/>
        <v>バラ</v>
      </c>
      <c r="G226" s="54" t="str">
        <f ca="1"/>
        <v>１０００Ｔ</v>
      </c>
      <c r="H226" s="54" t="str">
        <f ca="1">IF(E226="","",OFFSET(分類!$B$29,E226,0))</f>
        <v>普通薬バラ</v>
      </c>
    </row>
    <row r="227" spans="2:8">
      <c r="B227" s="27">
        <f t="shared" si="3"/>
        <v>223</v>
      </c>
      <c r="C227" s="27" t="str">
        <f ca="1"/>
        <v>ロスバスタチン錠２．５ｍｇ「トーワ」</v>
      </c>
      <c r="D227" s="27">
        <f ca="1"/>
        <v>0</v>
      </c>
      <c r="E227" s="54">
        <f ca="1"/>
        <v>5</v>
      </c>
      <c r="F227" s="54" t="str">
        <f ca="1"/>
        <v>ＰＴＰ</v>
      </c>
      <c r="G227" s="54" t="str">
        <f ca="1"/>
        <v>１００Ｔ</v>
      </c>
      <c r="H227" s="54" t="str">
        <f ca="1">IF(E227="","",OFFSET(分類!$B$29,E227,0))</f>
        <v>普通薬バラ</v>
      </c>
    </row>
    <row r="228" spans="2:8">
      <c r="B228" s="27">
        <f t="shared" si="3"/>
        <v>224</v>
      </c>
      <c r="C228" s="27" t="str">
        <f ca="1"/>
        <v>ロスバスタチン錠２．５ｍｇ「トーワ」</v>
      </c>
      <c r="D228" s="27">
        <f ca="1"/>
        <v>0</v>
      </c>
      <c r="E228" s="54">
        <f ca="1"/>
        <v>5</v>
      </c>
      <c r="F228" s="54" t="str">
        <f ca="1"/>
        <v>バラ</v>
      </c>
      <c r="G228" s="54" t="str">
        <f ca="1"/>
        <v>３００Ｔ</v>
      </c>
      <c r="H228" s="54" t="str">
        <f ca="1">IF(E228="","",OFFSET(分類!$B$29,E228,0))</f>
        <v>普通薬バラ</v>
      </c>
    </row>
    <row r="229" spans="2:8">
      <c r="B229" s="27">
        <f t="shared" si="3"/>
        <v>225</v>
      </c>
      <c r="C229" s="27" t="str">
        <f ca="1"/>
        <v>ロラゼパム錠０．５ｍｇ「サワイ」</v>
      </c>
      <c r="D229" s="27">
        <f ca="1"/>
        <v>0</v>
      </c>
      <c r="E229" s="54">
        <f ca="1"/>
        <v>5</v>
      </c>
      <c r="F229" s="54" t="str">
        <f ca="1"/>
        <v>ＰＴＰ</v>
      </c>
      <c r="G229" s="54" t="str">
        <f ca="1"/>
        <v>１０００Ｔ</v>
      </c>
      <c r="H229" s="54" t="str">
        <f ca="1">IF(E229="","",OFFSET(分類!$B$29,E229,0))</f>
        <v>普通薬バラ</v>
      </c>
    </row>
    <row r="230" spans="2:8">
      <c r="B230" s="27">
        <f t="shared" si="3"/>
        <v>226</v>
      </c>
      <c r="C230" s="27" t="str">
        <f ca="1"/>
        <v>ロラメット錠１．０（アスカ）</v>
      </c>
      <c r="D230" s="27">
        <f ca="1"/>
        <v>0</v>
      </c>
      <c r="E230" s="54">
        <f ca="1"/>
        <v>5</v>
      </c>
      <c r="F230" s="54" t="str">
        <f ca="1"/>
        <v>ＰＴＰ</v>
      </c>
      <c r="G230" s="54" t="str">
        <f ca="1"/>
        <v>１００Ｔ</v>
      </c>
      <c r="H230" s="54" t="str">
        <f ca="1">IF(E230="","",OFFSET(分類!$B$29,E230,0))</f>
        <v>普通薬バラ</v>
      </c>
    </row>
    <row r="231" spans="2:8">
      <c r="B231" s="27">
        <f t="shared" si="3"/>
        <v>227</v>
      </c>
      <c r="C231" s="27" t="str">
        <f ca="1"/>
        <v>ロラメット錠１．０（アスカ）</v>
      </c>
      <c r="D231" s="27">
        <f ca="1"/>
        <v>0</v>
      </c>
      <c r="E231" s="54">
        <f ca="1"/>
        <v>5</v>
      </c>
      <c r="F231" s="54" t="str">
        <f ca="1"/>
        <v>バラ</v>
      </c>
      <c r="G231" s="54" t="str">
        <f ca="1"/>
        <v>５００Ｔ</v>
      </c>
      <c r="H231" s="54" t="str">
        <f ca="1">IF(E231="","",OFFSET(分類!$B$29,E231,0))</f>
        <v>普通薬バラ</v>
      </c>
    </row>
    <row r="232" spans="2:8">
      <c r="B232" s="27">
        <f t="shared" si="3"/>
        <v>228</v>
      </c>
      <c r="C232" s="27" t="str">
        <f ca="1"/>
        <v>ワーファリン錠１ｍｇ</v>
      </c>
      <c r="D232" s="27">
        <f ca="1"/>
        <v>0</v>
      </c>
      <c r="E232" s="54">
        <f ca="1"/>
        <v>5</v>
      </c>
      <c r="F232" s="54" t="str">
        <f ca="1"/>
        <v>バラ</v>
      </c>
      <c r="G232" s="54" t="str">
        <f ca="1"/>
        <v>１００Ｔ</v>
      </c>
      <c r="H232" s="54" t="str">
        <f ca="1">IF(E232="","",OFFSET(分類!$B$29,E232,0))</f>
        <v>普通薬バラ</v>
      </c>
    </row>
    <row r="233" spans="2:8">
      <c r="B233" s="27">
        <f t="shared" si="3"/>
        <v>229</v>
      </c>
      <c r="C233" s="27" t="str">
        <f ca="1"/>
        <v>ワソラン錠４０ｍｇ</v>
      </c>
      <c r="D233" s="27">
        <f ca="1"/>
        <v>0</v>
      </c>
      <c r="E233" s="54">
        <f ca="1"/>
        <v>4</v>
      </c>
      <c r="F233" s="54" t="str">
        <f ca="1"/>
        <v>バラ</v>
      </c>
      <c r="G233" s="54" t="str">
        <f ca="1"/>
        <v>１００Ｔ</v>
      </c>
      <c r="H233" s="54" t="str">
        <f ca="1">IF(E233="","",OFFSET(分類!$B$29,E233,0))</f>
        <v>漢方薬</v>
      </c>
    </row>
    <row r="234" spans="2:8">
      <c r="B234" s="27">
        <f t="shared" si="3"/>
        <v>230</v>
      </c>
      <c r="C234" s="27" t="str">
        <f ca="1"/>
        <v>ジスチグミン臭化物錠５ｍｇ「ＮＩＧ」</v>
      </c>
      <c r="D234" s="27">
        <f ca="1"/>
        <v>1</v>
      </c>
      <c r="E234" s="54">
        <f ca="1"/>
        <v>3</v>
      </c>
      <c r="F234" s="54" t="str">
        <f ca="1"/>
        <v>ＰＴＰ</v>
      </c>
      <c r="G234" s="54" t="str">
        <f ca="1"/>
        <v>１００Ｔ</v>
      </c>
      <c r="H234" s="54" t="str">
        <f ca="1">IF(E234="","",OFFSET(分類!$B$29,E234,0))</f>
        <v>外用.臨時.散薬ヒート</v>
      </c>
    </row>
    <row r="235" spans="2:8">
      <c r="B235" s="27">
        <f t="shared" si="3"/>
        <v>231</v>
      </c>
      <c r="C235" s="27" t="str">
        <f ca="1"/>
        <v>アダラートＣＲ錠２０ｍｇ</v>
      </c>
      <c r="D235" s="27">
        <f ca="1"/>
        <v>2</v>
      </c>
      <c r="E235" s="54">
        <f ca="1"/>
        <v>6</v>
      </c>
      <c r="F235" s="54" t="str">
        <f ca="1"/>
        <v>ＰＴＰ</v>
      </c>
      <c r="G235" s="54" t="str">
        <f ca="1"/>
        <v>１００Ｔ</v>
      </c>
      <c r="H235" s="54" t="str">
        <f ca="1">IF(E235="","",OFFSET(分類!$B$29,E235,0))</f>
        <v>劇薬バラ</v>
      </c>
    </row>
    <row r="236" spans="2:8">
      <c r="B236" s="27">
        <f t="shared" si="3"/>
        <v>232</v>
      </c>
      <c r="C236" s="27" t="str">
        <f ca="1"/>
        <v>アムロジピンＯＤ錠２．５ｍｇ「明治」</v>
      </c>
      <c r="D236" s="27">
        <f ca="1"/>
        <v>2</v>
      </c>
      <c r="E236" s="54">
        <f ca="1"/>
        <v>5</v>
      </c>
      <c r="F236" s="54" t="str">
        <f ca="1"/>
        <v>ＰＴＰ</v>
      </c>
      <c r="G236" s="54" t="str">
        <f ca="1"/>
        <v>５００Ｔ</v>
      </c>
      <c r="H236" s="54" t="str">
        <f ca="1">IF(E236="","",OFFSET(分類!$B$29,E236,0))</f>
        <v>普通薬バラ</v>
      </c>
    </row>
    <row r="237" spans="2:8">
      <c r="B237" s="27">
        <f t="shared" si="3"/>
        <v>233</v>
      </c>
      <c r="C237" s="27" t="str">
        <f ca="1"/>
        <v>アムロジピンＯＤ錠２．５ｍｇ「明治」</v>
      </c>
      <c r="D237" s="27">
        <f ca="1"/>
        <v>2</v>
      </c>
      <c r="E237" s="54">
        <f ca="1"/>
        <v>5</v>
      </c>
      <c r="F237" s="54" t="str">
        <f ca="1"/>
        <v>バラ</v>
      </c>
      <c r="G237" s="54" t="str">
        <f ca="1"/>
        <v>５００Ｔ</v>
      </c>
      <c r="H237" s="54" t="str">
        <f ca="1">IF(E237="","",OFFSET(分類!$B$29,E237,0))</f>
        <v>普通薬バラ</v>
      </c>
    </row>
    <row r="238" spans="2:8">
      <c r="B238" s="27">
        <f t="shared" si="3"/>
        <v>234</v>
      </c>
      <c r="C238" s="27" t="str">
        <f ca="1"/>
        <v>アリピプラゾールＯＤ錠１２ｍｇ「ニプロ」</v>
      </c>
      <c r="D238" s="27">
        <f ca="1"/>
        <v>2</v>
      </c>
      <c r="E238" s="54">
        <f ca="1"/>
        <v>6</v>
      </c>
      <c r="F238" s="54" t="str">
        <f ca="1"/>
        <v>ＰＴＰ</v>
      </c>
      <c r="G238" s="54" t="str">
        <f ca="1"/>
        <v>１００Ｔ</v>
      </c>
      <c r="H238" s="54" t="str">
        <f ca="1">IF(E238="","",OFFSET(分類!$B$29,E238,0))</f>
        <v>劇薬バラ</v>
      </c>
    </row>
    <row r="239" spans="2:8">
      <c r="B239" s="27">
        <f t="shared" si="3"/>
        <v>235</v>
      </c>
      <c r="C239" s="27" t="str">
        <f ca="1"/>
        <v>アリピプラゾールＯＤ錠１２ｍｇ「ニプロ」</v>
      </c>
      <c r="D239" s="27">
        <f ca="1"/>
        <v>2</v>
      </c>
      <c r="E239" s="54">
        <f ca="1"/>
        <v>6</v>
      </c>
      <c r="F239" s="54" t="str">
        <f ca="1"/>
        <v>バラ</v>
      </c>
      <c r="G239" s="54" t="str">
        <f ca="1"/>
        <v>５００Ｔ</v>
      </c>
      <c r="H239" s="54" t="str">
        <f ca="1">IF(E239="","",OFFSET(分類!$B$29,E239,0))</f>
        <v>劇薬バラ</v>
      </c>
    </row>
    <row r="240" spans="2:8">
      <c r="B240" s="27">
        <f t="shared" si="3"/>
        <v>236</v>
      </c>
      <c r="C240" s="27" t="str">
        <f ca="1"/>
        <v>アリピプラゾールＯＤ錠３ｍｇ「ニプロ」</v>
      </c>
      <c r="D240" s="27">
        <f ca="1"/>
        <v>2</v>
      </c>
      <c r="E240" s="54">
        <f ca="1"/>
        <v>6</v>
      </c>
      <c r="F240" s="54" t="str">
        <f ca="1"/>
        <v>ＰＴＰ</v>
      </c>
      <c r="G240" s="54" t="str">
        <f ca="1"/>
        <v>１００Ｔ</v>
      </c>
      <c r="H240" s="54" t="str">
        <f ca="1">IF(E240="","",OFFSET(分類!$B$29,E240,0))</f>
        <v>劇薬バラ</v>
      </c>
    </row>
    <row r="241" spans="2:8">
      <c r="B241" s="27">
        <f t="shared" si="3"/>
        <v>237</v>
      </c>
      <c r="C241" s="27" t="str">
        <f ca="1"/>
        <v>アリピプラゾールＯＤ錠３ｍｇ「ニプロ」</v>
      </c>
      <c r="D241" s="27">
        <f ca="1"/>
        <v>2</v>
      </c>
      <c r="E241" s="54">
        <f ca="1"/>
        <v>6</v>
      </c>
      <c r="F241" s="54" t="str">
        <f ca="1"/>
        <v>バラ</v>
      </c>
      <c r="G241" s="54" t="str">
        <f ca="1"/>
        <v>１００Ｔ</v>
      </c>
      <c r="H241" s="54" t="str">
        <f ca="1">IF(E241="","",OFFSET(分類!$B$29,E241,0))</f>
        <v>劇薬バラ</v>
      </c>
    </row>
    <row r="242" spans="2:8">
      <c r="B242" s="27">
        <f t="shared" si="3"/>
        <v>238</v>
      </c>
      <c r="C242" s="27" t="str">
        <f ca="1"/>
        <v>アリピプラゾールＯＤ錠６ｍｇ「ニプロ」</v>
      </c>
      <c r="D242" s="27">
        <f ca="1"/>
        <v>2</v>
      </c>
      <c r="E242" s="54">
        <f ca="1"/>
        <v>6</v>
      </c>
      <c r="F242" s="54" t="str">
        <f ca="1"/>
        <v>ＰＴＰ</v>
      </c>
      <c r="G242" s="54" t="str">
        <f ca="1"/>
        <v>１００Ｔ</v>
      </c>
      <c r="H242" s="54" t="str">
        <f ca="1">IF(E242="","",OFFSET(分類!$B$29,E242,0))</f>
        <v>劇薬バラ</v>
      </c>
    </row>
    <row r="243" spans="2:8">
      <c r="B243" s="27">
        <f t="shared" si="3"/>
        <v>239</v>
      </c>
      <c r="C243" s="27" t="str">
        <f ca="1"/>
        <v>アリピプラゾールＯＤ錠６ｍｇ「ニプロ」</v>
      </c>
      <c r="D243" s="27">
        <f ca="1"/>
        <v>2</v>
      </c>
      <c r="E243" s="54">
        <f ca="1"/>
        <v>6</v>
      </c>
      <c r="F243" s="54" t="str">
        <f ca="1"/>
        <v>バラ</v>
      </c>
      <c r="G243" s="54" t="str">
        <f ca="1"/>
        <v>１００Ｔ</v>
      </c>
      <c r="H243" s="54" t="str">
        <f ca="1">IF(E243="","",OFFSET(分類!$B$29,E243,0))</f>
        <v>劇薬バラ</v>
      </c>
    </row>
    <row r="244" spans="2:8">
      <c r="B244" s="27">
        <f t="shared" si="3"/>
        <v>240</v>
      </c>
      <c r="C244" s="27" t="str">
        <f ca="1"/>
        <v>アリピプラゾール錠１ｍｇ「サワイ」</v>
      </c>
      <c r="D244" s="27">
        <f ca="1"/>
        <v>2</v>
      </c>
      <c r="E244" s="54">
        <f ca="1"/>
        <v>6</v>
      </c>
      <c r="F244" s="54" t="str">
        <f ca="1"/>
        <v>ＰＴＰ</v>
      </c>
      <c r="G244" s="54" t="str">
        <f ca="1"/>
        <v>１００Ｔ</v>
      </c>
      <c r="H244" s="54" t="str">
        <f ca="1">IF(E244="","",OFFSET(分類!$B$29,E244,0))</f>
        <v>劇薬バラ</v>
      </c>
    </row>
    <row r="245" spans="2:8">
      <c r="B245" s="27">
        <f t="shared" si="3"/>
        <v>241</v>
      </c>
      <c r="C245" s="27" t="str">
        <f ca="1"/>
        <v>インヴェガ錠３ｍｇ</v>
      </c>
      <c r="D245" s="27">
        <f ca="1"/>
        <v>2</v>
      </c>
      <c r="E245" s="54">
        <f ca="1"/>
        <v>6</v>
      </c>
      <c r="F245" s="54" t="str">
        <f ca="1"/>
        <v>ＰＴＰ</v>
      </c>
      <c r="G245" s="54" t="str">
        <f ca="1"/>
        <v>１００Ｔ</v>
      </c>
      <c r="H245" s="54" t="str">
        <f ca="1">IF(E245="","",OFFSET(分類!$B$29,E245,0))</f>
        <v>劇薬バラ</v>
      </c>
    </row>
    <row r="246" spans="2:8">
      <c r="B246" s="27">
        <f t="shared" si="3"/>
        <v>242</v>
      </c>
      <c r="C246" s="27" t="str">
        <f ca="1"/>
        <v>インヴェガ錠６ｍｇ</v>
      </c>
      <c r="D246" s="27">
        <f ca="1"/>
        <v>2</v>
      </c>
      <c r="E246" s="54">
        <f ca="1"/>
        <v>6</v>
      </c>
      <c r="F246" s="54" t="str">
        <f ca="1"/>
        <v>ＰＴＰ</v>
      </c>
      <c r="G246" s="54" t="str">
        <f ca="1"/>
        <v>１００Ｔ</v>
      </c>
      <c r="H246" s="54" t="str">
        <f ca="1">IF(E246="","",OFFSET(分類!$B$29,E246,0))</f>
        <v>劇薬バラ</v>
      </c>
    </row>
    <row r="247" spans="2:8">
      <c r="B247" s="27">
        <f t="shared" si="3"/>
        <v>243</v>
      </c>
      <c r="C247" s="27" t="str">
        <f ca="1"/>
        <v>インデラル錠１０ｍｇ</v>
      </c>
      <c r="D247" s="27">
        <f ca="1"/>
        <v>2</v>
      </c>
      <c r="E247" s="54">
        <f ca="1"/>
        <v>3</v>
      </c>
      <c r="F247" s="54" t="str">
        <f ca="1"/>
        <v>ＰＴＰ</v>
      </c>
      <c r="G247" s="54" t="str">
        <f ca="1"/>
        <v>５００Ｔ</v>
      </c>
      <c r="H247" s="54" t="str">
        <f ca="1">IF(E247="","",OFFSET(分類!$B$29,E247,0))</f>
        <v>外用.臨時.散薬ヒート</v>
      </c>
    </row>
    <row r="248" spans="2:8">
      <c r="B248" s="27">
        <f t="shared" si="3"/>
        <v>244</v>
      </c>
      <c r="C248" s="27" t="str">
        <f ca="1"/>
        <v>エスシタロプラムＯＤ錠１０ｍｇ「トーワ」</v>
      </c>
      <c r="D248" s="27">
        <f ca="1"/>
        <v>2</v>
      </c>
      <c r="E248" s="54">
        <f ca="1"/>
        <v>6</v>
      </c>
      <c r="F248" s="54" t="str">
        <f ca="1"/>
        <v>ＰＴＰ</v>
      </c>
      <c r="G248" s="54" t="str">
        <f ca="1"/>
        <v>１００Ｔ</v>
      </c>
      <c r="H248" s="54" t="str">
        <f ca="1">IF(E248="","",OFFSET(分類!$B$29,E248,0))</f>
        <v>劇薬バラ</v>
      </c>
    </row>
    <row r="249" spans="2:8">
      <c r="B249" s="27">
        <f t="shared" si="3"/>
        <v>245</v>
      </c>
      <c r="C249" s="27" t="str">
        <f ca="1"/>
        <v>エスシタロプラムＯＤ錠１０ｍｇ「トーワ」</v>
      </c>
      <c r="D249" s="27">
        <f ca="1"/>
        <v>2</v>
      </c>
      <c r="E249" s="54">
        <f ca="1"/>
        <v>6</v>
      </c>
      <c r="F249" s="54" t="str">
        <f ca="1"/>
        <v>バラ</v>
      </c>
      <c r="G249" s="54" t="str">
        <f ca="1"/>
        <v>３００Ｔ</v>
      </c>
      <c r="H249" s="54" t="str">
        <f ca="1">IF(E249="","",OFFSET(分類!$B$29,E249,0))</f>
        <v>劇薬バラ</v>
      </c>
    </row>
    <row r="250" spans="2:8">
      <c r="B250" s="27">
        <f t="shared" si="3"/>
        <v>246</v>
      </c>
      <c r="C250" s="27" t="str">
        <f ca="1"/>
        <v>オランザピンＯＤ錠１０ｍｇ「ニプロ」</v>
      </c>
      <c r="D250" s="27">
        <f ca="1"/>
        <v>2</v>
      </c>
      <c r="E250" s="54">
        <f ca="1"/>
        <v>6</v>
      </c>
      <c r="F250" s="54" t="str">
        <f ca="1"/>
        <v>ＰＴＰ</v>
      </c>
      <c r="G250" s="54" t="str">
        <f ca="1"/>
        <v>１００Ｔ</v>
      </c>
      <c r="H250" s="54" t="str">
        <f ca="1">IF(E250="","",OFFSET(分類!$B$29,E250,0))</f>
        <v>劇薬バラ</v>
      </c>
    </row>
    <row r="251" spans="2:8">
      <c r="B251" s="27">
        <f t="shared" si="3"/>
        <v>247</v>
      </c>
      <c r="C251" s="27" t="str">
        <f ca="1"/>
        <v>オランザピンＯＤ錠１０ｍｇ「ニプロ」</v>
      </c>
      <c r="D251" s="27">
        <f ca="1"/>
        <v>2</v>
      </c>
      <c r="E251" s="54">
        <f ca="1"/>
        <v>6</v>
      </c>
      <c r="F251" s="54" t="str">
        <f ca="1"/>
        <v>バラ</v>
      </c>
      <c r="G251" s="54" t="str">
        <f ca="1"/>
        <v>１００Ｔ</v>
      </c>
      <c r="H251" s="54" t="str">
        <f ca="1">IF(E251="","",OFFSET(分類!$B$29,E251,0))</f>
        <v>劇薬バラ</v>
      </c>
    </row>
    <row r="252" spans="2:8">
      <c r="B252" s="27">
        <f t="shared" si="3"/>
        <v>248</v>
      </c>
      <c r="C252" s="27" t="str">
        <f ca="1"/>
        <v>オランザピンＯＤ錠５ｍｇ「ニプロ」</v>
      </c>
      <c r="D252" s="27">
        <f ca="1"/>
        <v>2</v>
      </c>
      <c r="E252" s="54">
        <f ca="1"/>
        <v>6</v>
      </c>
      <c r="F252" s="54" t="str">
        <f ca="1"/>
        <v>ＰＴＰ</v>
      </c>
      <c r="G252" s="54" t="str">
        <f ca="1"/>
        <v>１００Ｔ</v>
      </c>
      <c r="H252" s="54" t="str">
        <f ca="1">IF(E252="","",OFFSET(分類!$B$29,E252,0))</f>
        <v>劇薬バラ</v>
      </c>
    </row>
    <row r="253" spans="2:8">
      <c r="B253" s="27">
        <f t="shared" si="3"/>
        <v>249</v>
      </c>
      <c r="C253" s="27" t="str">
        <f ca="1"/>
        <v>オランザピンＯＤ錠５ｍｇ「ニプロ」</v>
      </c>
      <c r="D253" s="27">
        <f ca="1"/>
        <v>2</v>
      </c>
      <c r="E253" s="54">
        <f ca="1"/>
        <v>6</v>
      </c>
      <c r="F253" s="54" t="str">
        <f ca="1"/>
        <v>バラ</v>
      </c>
      <c r="G253" s="54" t="str">
        <f ca="1"/>
        <v>１００Ｔ</v>
      </c>
      <c r="H253" s="54" t="str">
        <f ca="1">IF(E253="","",OFFSET(分類!$B$29,E253,0))</f>
        <v>劇薬バラ</v>
      </c>
    </row>
    <row r="254" spans="2:8">
      <c r="B254" s="27">
        <f t="shared" si="3"/>
        <v>250</v>
      </c>
      <c r="C254" s="27" t="str">
        <f ca="1"/>
        <v>オランザピン錠２．５ｍｇ「ニプロ」　　</v>
      </c>
      <c r="D254" s="27">
        <f ca="1"/>
        <v>2</v>
      </c>
      <c r="E254" s="54">
        <f ca="1"/>
        <v>1</v>
      </c>
      <c r="F254" s="54" t="str">
        <f ca="1"/>
        <v>ＰＴＰ</v>
      </c>
      <c r="G254" s="54" t="str">
        <f ca="1"/>
        <v>１００Ｔ</v>
      </c>
      <c r="H254" s="54" t="str">
        <f ca="1">IF(E254="","",OFFSET(分類!$B$29,E254,0))</f>
        <v>調剤棚</v>
      </c>
    </row>
    <row r="255" spans="2:8">
      <c r="B255" s="27">
        <f t="shared" si="3"/>
        <v>251</v>
      </c>
      <c r="C255" s="27" t="str">
        <f ca="1"/>
        <v>オランザピン錠２．５ｍｇ「ニプロ」　　</v>
      </c>
      <c r="D255" s="27">
        <f ca="1"/>
        <v>2</v>
      </c>
      <c r="E255" s="54">
        <f ca="1"/>
        <v>1</v>
      </c>
      <c r="F255" s="54" t="str">
        <f ca="1"/>
        <v>バラ</v>
      </c>
      <c r="G255" s="54" t="str">
        <f ca="1"/>
        <v>１００Ｔ</v>
      </c>
      <c r="H255" s="54" t="str">
        <f ca="1">IF(E255="","",OFFSET(分類!$B$29,E255,0))</f>
        <v>調剤棚</v>
      </c>
    </row>
    <row r="256" spans="2:8">
      <c r="B256" s="27">
        <f t="shared" si="3"/>
        <v>252</v>
      </c>
      <c r="C256" s="27" t="str">
        <f ca="1"/>
        <v>ガランタミンＯＤ錠１２ｍｇ「日医工」</v>
      </c>
      <c r="D256" s="27">
        <f ca="1"/>
        <v>2</v>
      </c>
      <c r="E256" s="54">
        <f ca="1"/>
        <v>6</v>
      </c>
      <c r="F256" s="54" t="str">
        <f ca="1"/>
        <v>ＰＴＰ</v>
      </c>
      <c r="G256" s="54" t="str">
        <f ca="1"/>
        <v>５６Ｔ</v>
      </c>
      <c r="H256" s="54" t="str">
        <f ca="1">IF(E256="","",OFFSET(分類!$B$29,E256,0))</f>
        <v>劇薬バラ</v>
      </c>
    </row>
    <row r="257" spans="2:8">
      <c r="B257" s="27">
        <f t="shared" si="3"/>
        <v>253</v>
      </c>
      <c r="C257" s="27" t="str">
        <f ca="1"/>
        <v>ガランタミンＯＤ錠４ｍｇ「日医工」</v>
      </c>
      <c r="D257" s="27">
        <f ca="1"/>
        <v>2</v>
      </c>
      <c r="E257" s="54">
        <f ca="1"/>
        <v>6</v>
      </c>
      <c r="F257" s="54" t="str">
        <f ca="1"/>
        <v>ＰＴＰ</v>
      </c>
      <c r="G257" s="54" t="str">
        <f ca="1"/>
        <v>１４０Ｔ</v>
      </c>
      <c r="H257" s="54" t="str">
        <f ca="1">IF(E257="","",OFFSET(分類!$B$29,E257,0))</f>
        <v>劇薬バラ</v>
      </c>
    </row>
    <row r="258" spans="2:8">
      <c r="B258" s="27">
        <f t="shared" si="3"/>
        <v>254</v>
      </c>
      <c r="C258" s="27" t="str">
        <f ca="1"/>
        <v>クエチアピン錠１００ｍｇ「アメル」</v>
      </c>
      <c r="D258" s="27">
        <f ca="1"/>
        <v>2</v>
      </c>
      <c r="E258" s="54">
        <f ca="1"/>
        <v>6</v>
      </c>
      <c r="F258" s="54" t="str">
        <f ca="1"/>
        <v>ＰＴＰ</v>
      </c>
      <c r="G258" s="54" t="str">
        <f ca="1"/>
        <v>１００Ｔ</v>
      </c>
      <c r="H258" s="54" t="str">
        <f ca="1">IF(E258="","",OFFSET(分類!$B$29,E258,0))</f>
        <v>劇薬バラ</v>
      </c>
    </row>
    <row r="259" spans="2:8">
      <c r="B259" s="27">
        <f t="shared" si="3"/>
        <v>255</v>
      </c>
      <c r="C259" s="27" t="str">
        <f ca="1"/>
        <v>クエチアピン錠１００ｍｇ「アメル」</v>
      </c>
      <c r="D259" s="27">
        <f ca="1"/>
        <v>2</v>
      </c>
      <c r="E259" s="54">
        <f ca="1"/>
        <v>6</v>
      </c>
      <c r="F259" s="54" t="str">
        <f ca="1"/>
        <v>バラ</v>
      </c>
      <c r="G259" s="54" t="str">
        <f ca="1"/>
        <v>１０００Ｔ</v>
      </c>
      <c r="H259" s="54" t="str">
        <f ca="1">IF(E259="","",OFFSET(分類!$B$29,E259,0))</f>
        <v>劇薬バラ</v>
      </c>
    </row>
    <row r="260" spans="2:8">
      <c r="B260" s="27">
        <f t="shared" si="3"/>
        <v>256</v>
      </c>
      <c r="C260" s="27" t="str">
        <f ca="1"/>
        <v>クエチアピン錠１２．５ｍｇ「アメル」</v>
      </c>
      <c r="D260" s="27">
        <f ca="1"/>
        <v>2</v>
      </c>
      <c r="E260" s="54">
        <f ca="1"/>
        <v>6</v>
      </c>
      <c r="F260" s="54" t="str">
        <f ca="1"/>
        <v>ＰＴＰ</v>
      </c>
      <c r="G260" s="54" t="str">
        <f ca="1"/>
        <v>１００Ｔ</v>
      </c>
      <c r="H260" s="54" t="str">
        <f ca="1">IF(E260="","",OFFSET(分類!$B$29,E260,0))</f>
        <v>劇薬バラ</v>
      </c>
    </row>
    <row r="261" spans="2:8">
      <c r="B261" s="27">
        <f t="shared" si="3"/>
        <v>257</v>
      </c>
      <c r="C261" s="27" t="str">
        <f ca="1"/>
        <v>クエチアピン錠１２．５ｍｇ「アメル」</v>
      </c>
      <c r="D261" s="27">
        <f ca="1"/>
        <v>2</v>
      </c>
      <c r="E261" s="54">
        <f ca="1"/>
        <v>6</v>
      </c>
      <c r="F261" s="54" t="str">
        <f ca="1"/>
        <v>バラ</v>
      </c>
      <c r="G261" s="54" t="str">
        <f ca="1"/>
        <v>２００Ｔ</v>
      </c>
      <c r="H261" s="54" t="str">
        <f ca="1">IF(E261="","",OFFSET(分類!$B$29,E261,0))</f>
        <v>劇薬バラ</v>
      </c>
    </row>
    <row r="262" spans="2:8">
      <c r="B262" s="27">
        <f t="shared" si="3"/>
        <v>258</v>
      </c>
      <c r="C262" s="27" t="str">
        <f ca="1"/>
        <v>クエチアピン錠２００ｍｇ「アメル」</v>
      </c>
      <c r="D262" s="27">
        <f ca="1"/>
        <v>2</v>
      </c>
      <c r="E262" s="54">
        <f ca="1"/>
        <v>6</v>
      </c>
      <c r="F262" s="54" t="str">
        <f ca="1"/>
        <v>ＰＴＰ</v>
      </c>
      <c r="G262" s="54" t="str">
        <f ca="1"/>
        <v>１００Ｔ</v>
      </c>
      <c r="H262" s="54" t="str">
        <f ca="1">IF(E262="","",OFFSET(分類!$B$29,E262,0))</f>
        <v>劇薬バラ</v>
      </c>
    </row>
    <row r="263" spans="2:8">
      <c r="B263" s="27">
        <f t="shared" ref="B263:B326" si="4">B262+1</f>
        <v>259</v>
      </c>
      <c r="C263" s="27" t="str">
        <f ca="1"/>
        <v>クエチアピン錠２００ｍｇ「アメル」</v>
      </c>
      <c r="D263" s="27">
        <f ca="1"/>
        <v>2</v>
      </c>
      <c r="E263" s="54">
        <f ca="1"/>
        <v>6</v>
      </c>
      <c r="F263" s="54" t="str">
        <f ca="1"/>
        <v>バラ</v>
      </c>
      <c r="G263" s="54" t="str">
        <f ca="1"/>
        <v>５００Ｔ</v>
      </c>
      <c r="H263" s="54" t="str">
        <f ca="1">IF(E263="","",OFFSET(分類!$B$29,E263,0))</f>
        <v>劇薬バラ</v>
      </c>
    </row>
    <row r="264" spans="2:8">
      <c r="B264" s="27">
        <f t="shared" si="4"/>
        <v>260</v>
      </c>
      <c r="C264" s="27" t="str">
        <f ca="1"/>
        <v>クエチアピン錠２５ｍｇ「アメル」</v>
      </c>
      <c r="D264" s="27">
        <f ca="1"/>
        <v>2</v>
      </c>
      <c r="E264" s="54">
        <f ca="1"/>
        <v>6</v>
      </c>
      <c r="F264" s="54" t="str">
        <f ca="1"/>
        <v>ＰＴＰ</v>
      </c>
      <c r="G264" s="54" t="str">
        <f ca="1"/>
        <v>１００Ｔ</v>
      </c>
      <c r="H264" s="54" t="str">
        <f ca="1">IF(E264="","",OFFSET(分類!$B$29,E264,0))</f>
        <v>劇薬バラ</v>
      </c>
    </row>
    <row r="265" spans="2:8">
      <c r="B265" s="27">
        <f t="shared" si="4"/>
        <v>261</v>
      </c>
      <c r="C265" s="27" t="str">
        <f ca="1"/>
        <v>クエチアピン錠２５ｍｇ「アメル」</v>
      </c>
      <c r="D265" s="27">
        <f ca="1"/>
        <v>2</v>
      </c>
      <c r="E265" s="54">
        <f ca="1"/>
        <v>6</v>
      </c>
      <c r="F265" s="54" t="str">
        <f ca="1"/>
        <v>バラ</v>
      </c>
      <c r="G265" s="54" t="str">
        <f ca="1"/>
        <v>１０００Ｔ</v>
      </c>
      <c r="H265" s="54" t="str">
        <f ca="1">IF(E265="","",OFFSET(分類!$B$29,E265,0))</f>
        <v>劇薬バラ</v>
      </c>
    </row>
    <row r="266" spans="2:8">
      <c r="B266" s="27">
        <f t="shared" si="4"/>
        <v>262</v>
      </c>
      <c r="C266" s="27" t="str">
        <f ca="1"/>
        <v>グリメピリドＯＤ錠１ｍｇ「トーワ」</v>
      </c>
      <c r="D266" s="27">
        <f ca="1"/>
        <v>2</v>
      </c>
      <c r="E266" s="54">
        <f ca="1"/>
        <v>6</v>
      </c>
      <c r="F266" s="54" t="str">
        <f ca="1"/>
        <v>バラ</v>
      </c>
      <c r="G266" s="54" t="str">
        <f ca="1"/>
        <v>３００Ｔ</v>
      </c>
      <c r="H266" s="54" t="str">
        <f ca="1">IF(E266="","",OFFSET(分類!$B$29,E266,0))</f>
        <v>劇薬バラ</v>
      </c>
    </row>
    <row r="267" spans="2:8">
      <c r="B267" s="27">
        <f t="shared" si="4"/>
        <v>263</v>
      </c>
      <c r="C267" s="27" t="str">
        <f ca="1"/>
        <v>コントミン糖衣錠１００ｍｇ</v>
      </c>
      <c r="D267" s="27">
        <f ca="1"/>
        <v>2</v>
      </c>
      <c r="E267" s="54">
        <f ca="1"/>
        <v>6</v>
      </c>
      <c r="F267" s="54" t="str">
        <f ca="1"/>
        <v>ＰＴＰ</v>
      </c>
      <c r="G267" s="54" t="str">
        <f ca="1"/>
        <v>１００Ｔ</v>
      </c>
      <c r="H267" s="54" t="str">
        <f ca="1">IF(E267="","",OFFSET(分類!$B$29,E267,0))</f>
        <v>劇薬バラ</v>
      </c>
    </row>
    <row r="268" spans="2:8">
      <c r="B268" s="27">
        <f t="shared" si="4"/>
        <v>264</v>
      </c>
      <c r="C268" s="27" t="str">
        <f ca="1"/>
        <v>コントミン糖衣錠５０ｍｇ</v>
      </c>
      <c r="D268" s="27">
        <f ca="1"/>
        <v>2</v>
      </c>
      <c r="E268" s="54">
        <f ca="1"/>
        <v>5</v>
      </c>
      <c r="F268" s="54" t="str">
        <f ca="1"/>
        <v>ＰＴＰ</v>
      </c>
      <c r="G268" s="54" t="str">
        <f ca="1"/>
        <v>１００Ｔ</v>
      </c>
      <c r="H268" s="54" t="str">
        <f ca="1">IF(E268="","",OFFSET(分類!$B$29,E268,0))</f>
        <v>普通薬バラ</v>
      </c>
    </row>
    <row r="269" spans="2:8">
      <c r="B269" s="27">
        <f t="shared" si="4"/>
        <v>265</v>
      </c>
      <c r="C269" s="27" t="str">
        <f ca="1"/>
        <v>コントミン糖衣錠５０ｍｇ</v>
      </c>
      <c r="D269" s="27">
        <f ca="1"/>
        <v>2</v>
      </c>
      <c r="E269" s="54">
        <f ca="1"/>
        <v>5</v>
      </c>
      <c r="F269" s="54" t="str">
        <f ca="1"/>
        <v>バラ</v>
      </c>
      <c r="G269" s="54" t="str">
        <f ca="1"/>
        <v>１０００Ｔ</v>
      </c>
      <c r="H269" s="54" t="str">
        <f ca="1">IF(E269="","",OFFSET(分類!$B$29,E269,0))</f>
        <v>普通薬バラ</v>
      </c>
    </row>
    <row r="270" spans="2:8">
      <c r="B270" s="27">
        <f t="shared" si="4"/>
        <v>266</v>
      </c>
      <c r="C270" s="27" t="str">
        <f ca="1"/>
        <v>シクレスト舌下錠１０ｍｇ</v>
      </c>
      <c r="D270" s="27">
        <f ca="1"/>
        <v>2</v>
      </c>
      <c r="E270" s="54">
        <f ca="1"/>
        <v>1</v>
      </c>
      <c r="F270" s="54" t="str">
        <f ca="1"/>
        <v>ＰＴＰ</v>
      </c>
      <c r="G270" s="54" t="str">
        <f ca="1"/>
        <v>１００Ｔ</v>
      </c>
      <c r="H270" s="54" t="str">
        <f ca="1">IF(E270="","",OFFSET(分類!$B$29,E270,0))</f>
        <v>調剤棚</v>
      </c>
    </row>
    <row r="271" spans="2:8">
      <c r="B271" s="27">
        <f t="shared" si="4"/>
        <v>267</v>
      </c>
      <c r="C271" s="27" t="str">
        <f ca="1"/>
        <v>シクレスト舌下錠５ｍｇ</v>
      </c>
      <c r="D271" s="27">
        <f ca="1"/>
        <v>2</v>
      </c>
      <c r="E271" s="54">
        <f ca="1"/>
        <v>1</v>
      </c>
      <c r="F271" s="54" t="str">
        <f ca="1"/>
        <v>ＰＴＰ</v>
      </c>
      <c r="G271" s="54" t="str">
        <f ca="1"/>
        <v>１００Ｔ</v>
      </c>
      <c r="H271" s="54" t="str">
        <f ca="1">IF(E271="","",OFFSET(分類!$B$29,E271,0))</f>
        <v>調剤棚</v>
      </c>
    </row>
    <row r="272" spans="2:8">
      <c r="B272" s="27">
        <f t="shared" si="4"/>
        <v>268</v>
      </c>
      <c r="C272" s="27" t="str">
        <f ca="1"/>
        <v>ジプレキサ　ザイディス錠１０ｍｇ</v>
      </c>
      <c r="D272" s="27">
        <f ca="1"/>
        <v>2</v>
      </c>
      <c r="E272" s="54">
        <f ca="1"/>
        <v>1</v>
      </c>
      <c r="F272" s="54" t="str">
        <f ca="1"/>
        <v>ＰＴＰ</v>
      </c>
      <c r="G272" s="54" t="str">
        <f ca="1"/>
        <v>３５０Ｔ</v>
      </c>
      <c r="H272" s="54" t="str">
        <f ca="1">IF(E272="","",OFFSET(分類!$B$29,E272,0))</f>
        <v>調剤棚</v>
      </c>
    </row>
    <row r="273" spans="2:8">
      <c r="B273" s="27">
        <f t="shared" si="4"/>
        <v>269</v>
      </c>
      <c r="C273" s="27" t="str">
        <f ca="1"/>
        <v>ジプレキサ　ザイディス錠２．５ｍｇ</v>
      </c>
      <c r="D273" s="27">
        <f ca="1"/>
        <v>2</v>
      </c>
      <c r="E273" s="54">
        <f ca="1"/>
        <v>1</v>
      </c>
      <c r="F273" s="54" t="str">
        <f ca="1"/>
        <v>ＰＴＰ</v>
      </c>
      <c r="G273" s="54" t="str">
        <f ca="1"/>
        <v>７０Ｔ</v>
      </c>
      <c r="H273" s="54" t="str">
        <f ca="1">IF(E273="","",OFFSET(分類!$B$29,E273,0))</f>
        <v>調剤棚</v>
      </c>
    </row>
    <row r="274" spans="2:8">
      <c r="B274" s="27">
        <f t="shared" si="4"/>
        <v>270</v>
      </c>
      <c r="C274" s="27" t="str">
        <f ca="1"/>
        <v>ジプレキサ　ザイディス錠５ｍｇ</v>
      </c>
      <c r="D274" s="27">
        <f ca="1"/>
        <v>2</v>
      </c>
      <c r="E274" s="54">
        <f ca="1"/>
        <v>1</v>
      </c>
      <c r="F274" s="54" t="str">
        <f ca="1"/>
        <v>ＰＴＰ</v>
      </c>
      <c r="G274" s="54" t="str">
        <f ca="1"/>
        <v>３５０Ｔ</v>
      </c>
      <c r="H274" s="54" t="str">
        <f ca="1">IF(E274="","",OFFSET(分類!$B$29,E274,0))</f>
        <v>調剤棚</v>
      </c>
    </row>
    <row r="275" spans="2:8">
      <c r="B275" s="27">
        <f t="shared" si="4"/>
        <v>271</v>
      </c>
      <c r="C275" s="27" t="str">
        <f ca="1"/>
        <v>シロドシンＯＤ錠４ｍｇ「ＫＭＰ」</v>
      </c>
      <c r="D275" s="27">
        <f ca="1"/>
        <v>2</v>
      </c>
      <c r="E275" s="54">
        <f ca="1"/>
        <v>6</v>
      </c>
      <c r="F275" s="54" t="str">
        <f ca="1"/>
        <v>ＰＴＰ</v>
      </c>
      <c r="G275" s="54" t="str">
        <f ca="1"/>
        <v>１００Ｔ</v>
      </c>
      <c r="H275" s="54" t="str">
        <f ca="1">IF(E275="","",OFFSET(分類!$B$29,E275,0))</f>
        <v>劇薬バラ</v>
      </c>
    </row>
    <row r="276" spans="2:8">
      <c r="B276" s="27">
        <f t="shared" si="4"/>
        <v>272</v>
      </c>
      <c r="C276" s="27" t="str">
        <f ca="1"/>
        <v>スルピリド錠１００ｍｇ「アメル」</v>
      </c>
      <c r="D276" s="27">
        <f ca="1"/>
        <v>2</v>
      </c>
      <c r="E276" s="54">
        <f ca="1"/>
        <v>6</v>
      </c>
      <c r="F276" s="54" t="str">
        <f ca="1"/>
        <v>ＰＴＰ</v>
      </c>
      <c r="G276" s="54" t="str">
        <f ca="1"/>
        <v>１００Ｔ</v>
      </c>
      <c r="H276" s="54" t="str">
        <f ca="1">IF(E276="","",OFFSET(分類!$B$29,E276,0))</f>
        <v>劇薬バラ</v>
      </c>
    </row>
    <row r="277" spans="2:8">
      <c r="B277" s="27">
        <f t="shared" si="4"/>
        <v>273</v>
      </c>
      <c r="C277" s="27" t="str">
        <f ca="1"/>
        <v>スルピリド錠２００ｍｇ「アメル」</v>
      </c>
      <c r="D277" s="27">
        <f ca="1"/>
        <v>2</v>
      </c>
      <c r="E277" s="54">
        <f ca="1"/>
        <v>6</v>
      </c>
      <c r="F277" s="54" t="str">
        <f ca="1"/>
        <v>ＰＴＰ</v>
      </c>
      <c r="G277" s="54" t="str">
        <f ca="1"/>
        <v>１００Ｔ</v>
      </c>
      <c r="H277" s="54" t="str">
        <f ca="1">IF(E277="","",OFFSET(分類!$B$29,E277,0))</f>
        <v>劇薬バラ</v>
      </c>
    </row>
    <row r="278" spans="2:8">
      <c r="B278" s="27">
        <f t="shared" si="4"/>
        <v>274</v>
      </c>
      <c r="C278" s="27" t="str">
        <f ca="1"/>
        <v>セディール錠１０ｍｇ　　　　　　　　　　</v>
      </c>
      <c r="D278" s="27">
        <f ca="1"/>
        <v>2</v>
      </c>
      <c r="E278" s="54">
        <f ca="1"/>
        <v>6</v>
      </c>
      <c r="F278" s="54" t="str">
        <f ca="1"/>
        <v>ＰＴＰ</v>
      </c>
      <c r="G278" s="54" t="str">
        <f ca="1"/>
        <v>１００Ｔ</v>
      </c>
      <c r="H278" s="54" t="str">
        <f ca="1">IF(E278="","",OFFSET(分類!$B$29,E278,0))</f>
        <v>劇薬バラ</v>
      </c>
    </row>
    <row r="279" spans="2:8">
      <c r="B279" s="27">
        <f t="shared" si="4"/>
        <v>275</v>
      </c>
      <c r="C279" s="27" t="str">
        <f ca="1"/>
        <v>セディール錠１０ｍｇ　　　　　　　　　　</v>
      </c>
      <c r="D279" s="27">
        <f ca="1"/>
        <v>2</v>
      </c>
      <c r="E279" s="54">
        <f ca="1"/>
        <v>6</v>
      </c>
      <c r="F279" s="54" t="str">
        <f ca="1"/>
        <v>バラ</v>
      </c>
      <c r="G279" s="54" t="str">
        <f ca="1"/>
        <v>５００Ｔ</v>
      </c>
      <c r="H279" s="54" t="str">
        <f ca="1">IF(E279="","",OFFSET(分類!$B$29,E279,0))</f>
        <v>劇薬バラ</v>
      </c>
    </row>
    <row r="280" spans="2:8">
      <c r="B280" s="27">
        <f t="shared" si="4"/>
        <v>276</v>
      </c>
      <c r="C280" s="27" t="str">
        <f ca="1"/>
        <v>セルトラリン錠２５ｍｇ「明治」</v>
      </c>
      <c r="D280" s="27">
        <f ca="1"/>
        <v>2</v>
      </c>
      <c r="E280" s="54">
        <f ca="1"/>
        <v>6</v>
      </c>
      <c r="F280" s="54" t="str">
        <f ca="1"/>
        <v>ＰＴＰ</v>
      </c>
      <c r="G280" s="54" t="str">
        <f ca="1"/>
        <v>１００Ｔ</v>
      </c>
      <c r="H280" s="54" t="str">
        <f ca="1">IF(E280="","",OFFSET(分類!$B$29,E280,0))</f>
        <v>劇薬バラ</v>
      </c>
    </row>
    <row r="281" spans="2:8">
      <c r="B281" s="27">
        <f t="shared" si="4"/>
        <v>277</v>
      </c>
      <c r="C281" s="27" t="str">
        <f ca="1"/>
        <v>セルトラリン錠２５ｍｇ「明治」</v>
      </c>
      <c r="D281" s="27">
        <f ca="1"/>
        <v>2</v>
      </c>
      <c r="E281" s="54">
        <f ca="1"/>
        <v>6</v>
      </c>
      <c r="F281" s="54" t="str">
        <f ca="1"/>
        <v>バラ</v>
      </c>
      <c r="G281" s="54" t="str">
        <f ca="1"/>
        <v>５００Ｔ</v>
      </c>
      <c r="H281" s="54" t="str">
        <f ca="1">IF(E281="","",OFFSET(分類!$B$29,E281,0))</f>
        <v>劇薬バラ</v>
      </c>
    </row>
    <row r="282" spans="2:8">
      <c r="B282" s="27">
        <f t="shared" si="4"/>
        <v>278</v>
      </c>
      <c r="C282" s="27" t="str">
        <f ca="1"/>
        <v>セレコキシブ錠１００ｍｇ「ＤＳＥＰ」</v>
      </c>
      <c r="D282" s="27">
        <f ca="1"/>
        <v>2</v>
      </c>
      <c r="E282" s="54">
        <f ca="1"/>
        <v>6</v>
      </c>
      <c r="F282" s="54" t="str">
        <f ca="1"/>
        <v>ＰＴＰ</v>
      </c>
      <c r="G282" s="54" t="str">
        <f ca="1"/>
        <v>１００Ｔ</v>
      </c>
      <c r="H282" s="54" t="str">
        <f ca="1">IF(E282="","",OFFSET(分類!$B$29,E282,0))</f>
        <v>劇薬バラ</v>
      </c>
    </row>
    <row r="283" spans="2:8">
      <c r="B283" s="27">
        <f t="shared" si="4"/>
        <v>279</v>
      </c>
      <c r="C283" s="27" t="str">
        <f ca="1"/>
        <v>セレコキシブ錠１００ｍｇ「ＤＳＥＰ」</v>
      </c>
      <c r="D283" s="27">
        <f ca="1"/>
        <v>2</v>
      </c>
      <c r="E283" s="54">
        <f ca="1"/>
        <v>6</v>
      </c>
      <c r="F283" s="54" t="str">
        <f ca="1"/>
        <v>バラ</v>
      </c>
      <c r="G283" s="54" t="str">
        <f ca="1"/>
        <v>５００Ｔ</v>
      </c>
      <c r="H283" s="54" t="str">
        <f ca="1">IF(E283="","",OFFSET(分類!$B$29,E283,0))</f>
        <v>劇薬バラ</v>
      </c>
    </row>
    <row r="284" spans="2:8">
      <c r="B284" s="27">
        <f t="shared" si="4"/>
        <v>280</v>
      </c>
      <c r="C284" s="27" t="str">
        <f ca="1"/>
        <v>ゾニサミドＯＤ錠２５ｍｇＴＲＥ「ＤＳＥＰ」</v>
      </c>
      <c r="D284" s="27">
        <f ca="1"/>
        <v>2</v>
      </c>
      <c r="E284" s="54">
        <f ca="1"/>
        <v>6</v>
      </c>
      <c r="F284" s="54" t="str">
        <f ca="1"/>
        <v>バラ</v>
      </c>
      <c r="G284" s="54" t="str">
        <f ca="1"/>
        <v>１００Ｔ</v>
      </c>
      <c r="H284" s="54" t="str">
        <f ca="1">IF(E284="","",OFFSET(分類!$B$29,E284,0))</f>
        <v>劇薬バラ</v>
      </c>
    </row>
    <row r="285" spans="2:8">
      <c r="B285" s="27">
        <f t="shared" si="4"/>
        <v>281</v>
      </c>
      <c r="C285" s="27" t="str">
        <f ca="1"/>
        <v>ゾニサミド錠１００ＭＧ「アメル」</v>
      </c>
      <c r="D285" s="27">
        <f ca="1"/>
        <v>2</v>
      </c>
      <c r="E285" s="54">
        <f ca="1"/>
        <v>6</v>
      </c>
      <c r="F285" s="54" t="str">
        <f ca="1"/>
        <v>バラ</v>
      </c>
      <c r="G285" s="54" t="str">
        <f ca="1"/>
        <v>１０００Ｔ</v>
      </c>
      <c r="H285" s="54" t="str">
        <f ca="1">IF(E285="","",OFFSET(分類!$B$29,E285,0))</f>
        <v>劇薬バラ</v>
      </c>
    </row>
    <row r="286" spans="2:8">
      <c r="B286" s="27">
        <f t="shared" si="4"/>
        <v>282</v>
      </c>
      <c r="C286" s="27" t="str">
        <f ca="1"/>
        <v>チラーヂンＳ錠２５μｇ</v>
      </c>
      <c r="D286" s="27">
        <f ca="1"/>
        <v>2</v>
      </c>
      <c r="E286" s="54">
        <f ca="1"/>
        <v>6</v>
      </c>
      <c r="F286" s="54" t="str">
        <f ca="1"/>
        <v>バラ</v>
      </c>
      <c r="G286" s="54" t="str">
        <f ca="1"/>
        <v>５００Ｔ</v>
      </c>
      <c r="H286" s="54" t="str">
        <f ca="1">IF(E286="","",OFFSET(分類!$B$29,E286,0))</f>
        <v>劇薬バラ</v>
      </c>
    </row>
    <row r="287" spans="2:8">
      <c r="B287" s="27">
        <f t="shared" si="4"/>
        <v>283</v>
      </c>
      <c r="C287" s="27" t="str">
        <f ca="1"/>
        <v>チラーヂンＳ錠５０μｇ</v>
      </c>
      <c r="D287" s="27">
        <f ca="1"/>
        <v>2</v>
      </c>
      <c r="E287" s="54">
        <f ca="1"/>
        <v>6</v>
      </c>
      <c r="F287" s="54" t="str">
        <f ca="1"/>
        <v>バラ</v>
      </c>
      <c r="G287" s="54" t="str">
        <f ca="1"/>
        <v>５００Ｔ</v>
      </c>
      <c r="H287" s="54" t="str">
        <f ca="1">IF(E287="","",OFFSET(分類!$B$29,E287,0))</f>
        <v>劇薬バラ</v>
      </c>
    </row>
    <row r="288" spans="2:8">
      <c r="B288" s="27">
        <f t="shared" si="4"/>
        <v>284</v>
      </c>
      <c r="C288" s="27" t="str">
        <f ca="1"/>
        <v>テオフィリン徐放Ｕ錠２００ｍｇ「トーワ」</v>
      </c>
      <c r="D288" s="27">
        <f ca="1"/>
        <v>2</v>
      </c>
      <c r="E288" s="54">
        <f ca="1"/>
        <v>6</v>
      </c>
      <c r="F288" s="54" t="str">
        <f ca="1"/>
        <v>ＰＴＰ</v>
      </c>
      <c r="G288" s="54" t="str">
        <f ca="1"/>
        <v>１００Ｔ</v>
      </c>
      <c r="H288" s="54" t="str">
        <f ca="1">IF(E288="","",OFFSET(分類!$B$29,E288,0))</f>
        <v>劇薬バラ</v>
      </c>
    </row>
    <row r="289" spans="2:8">
      <c r="B289" s="27">
        <f t="shared" si="4"/>
        <v>285</v>
      </c>
      <c r="C289" s="27" t="str">
        <f ca="1"/>
        <v>ドネペジル塩酸塩ＯＤ錠１０ｍｇ「トーワ」</v>
      </c>
      <c r="D289" s="27">
        <f ca="1"/>
        <v>2</v>
      </c>
      <c r="E289" s="54">
        <f ca="1"/>
        <v>6</v>
      </c>
      <c r="F289" s="54" t="str">
        <f ca="1"/>
        <v>ＰＴＰ</v>
      </c>
      <c r="G289" s="54" t="str">
        <f ca="1"/>
        <v>１４０Ｔ</v>
      </c>
      <c r="H289" s="54" t="str">
        <f ca="1">IF(E289="","",OFFSET(分類!$B$29,E289,0))</f>
        <v>劇薬バラ</v>
      </c>
    </row>
    <row r="290" spans="2:8">
      <c r="B290" s="27">
        <f t="shared" si="4"/>
        <v>286</v>
      </c>
      <c r="C290" s="27" t="str">
        <f ca="1"/>
        <v>ドネペジル塩酸塩ＯＤ錠１０ｍｇ「トーワ」</v>
      </c>
      <c r="D290" s="27">
        <f ca="1"/>
        <v>2</v>
      </c>
      <c r="E290" s="54">
        <f ca="1"/>
        <v>6</v>
      </c>
      <c r="F290" s="54" t="str">
        <f ca="1"/>
        <v>バラ</v>
      </c>
      <c r="G290" s="54" t="str">
        <f ca="1"/>
        <v>１００Ｔ</v>
      </c>
      <c r="H290" s="54" t="str">
        <f ca="1">IF(E290="","",OFFSET(分類!$B$29,E290,0))</f>
        <v>劇薬バラ</v>
      </c>
    </row>
    <row r="291" spans="2:8">
      <c r="B291" s="27">
        <f t="shared" si="4"/>
        <v>287</v>
      </c>
      <c r="C291" s="27" t="str">
        <f ca="1"/>
        <v>ドネペジル塩酸塩ＯＤ錠３ｍｇ「トーワ」</v>
      </c>
      <c r="D291" s="27">
        <f ca="1"/>
        <v>2</v>
      </c>
      <c r="E291" s="54">
        <f ca="1"/>
        <v>6</v>
      </c>
      <c r="F291" s="54" t="str">
        <f ca="1"/>
        <v>ＰＴＰ</v>
      </c>
      <c r="G291" s="54" t="str">
        <f ca="1"/>
        <v>２８Ｔ</v>
      </c>
      <c r="H291" s="54" t="str">
        <f ca="1">IF(E291="","",OFFSET(分類!$B$29,E291,0))</f>
        <v>劇薬バラ</v>
      </c>
    </row>
    <row r="292" spans="2:8">
      <c r="B292" s="27">
        <f t="shared" si="4"/>
        <v>288</v>
      </c>
      <c r="C292" s="27" t="str">
        <f ca="1"/>
        <v>ドネペジル塩酸塩ＯＤ錠３ｍｇ「トーワ」</v>
      </c>
      <c r="D292" s="27">
        <f ca="1"/>
        <v>2</v>
      </c>
      <c r="E292" s="54">
        <f ca="1"/>
        <v>6</v>
      </c>
      <c r="F292" s="54" t="str">
        <f ca="1"/>
        <v>バラ</v>
      </c>
      <c r="G292" s="54" t="str">
        <f ca="1"/>
        <v>１００Ｔ</v>
      </c>
      <c r="H292" s="54" t="str">
        <f ca="1">IF(E292="","",OFFSET(分類!$B$29,E292,0))</f>
        <v>劇薬バラ</v>
      </c>
    </row>
    <row r="293" spans="2:8">
      <c r="B293" s="27">
        <f t="shared" si="4"/>
        <v>289</v>
      </c>
      <c r="C293" s="27" t="str">
        <f ca="1"/>
        <v>ドネペジル塩酸塩ＯＤ錠５ｍｇ「トーワ」</v>
      </c>
      <c r="D293" s="27">
        <f ca="1"/>
        <v>2</v>
      </c>
      <c r="E293" s="54">
        <f ca="1"/>
        <v>6</v>
      </c>
      <c r="F293" s="54" t="str">
        <f ca="1"/>
        <v>ＰＴＰ</v>
      </c>
      <c r="G293" s="54" t="str">
        <f ca="1"/>
        <v>１４０Ｔ</v>
      </c>
      <c r="H293" s="54" t="str">
        <f ca="1">IF(E293="","",OFFSET(分類!$B$29,E293,0))</f>
        <v>劇薬バラ</v>
      </c>
    </row>
    <row r="294" spans="2:8">
      <c r="B294" s="27">
        <f t="shared" si="4"/>
        <v>290</v>
      </c>
      <c r="C294" s="27" t="str">
        <f ca="1"/>
        <v>ドネペジル塩酸塩ＯＤ錠５ｍｇ「トーワ」</v>
      </c>
      <c r="D294" s="27">
        <f ca="1"/>
        <v>2</v>
      </c>
      <c r="E294" s="54">
        <f ca="1"/>
        <v>6</v>
      </c>
      <c r="F294" s="54" t="str">
        <f ca="1"/>
        <v>バラ</v>
      </c>
      <c r="G294" s="54" t="str">
        <f ca="1"/>
        <v>１００Ｔ</v>
      </c>
      <c r="H294" s="54" t="str">
        <f ca="1">IF(E294="","",OFFSET(分類!$B$29,E294,0))</f>
        <v>劇薬バラ</v>
      </c>
    </row>
    <row r="295" spans="2:8">
      <c r="B295" s="27">
        <f t="shared" si="4"/>
        <v>291</v>
      </c>
      <c r="C295" s="27" t="str">
        <f ca="1"/>
        <v>トラゾドン塩酸塩錠２５ｍｇ「アメル」</v>
      </c>
      <c r="D295" s="27">
        <f ca="1"/>
        <v>2</v>
      </c>
      <c r="E295" s="54">
        <f ca="1"/>
        <v>6</v>
      </c>
      <c r="F295" s="54" t="str">
        <f ca="1"/>
        <v>ＰＴＰ</v>
      </c>
      <c r="G295" s="54" t="str">
        <f ca="1"/>
        <v>１００Ｔ</v>
      </c>
      <c r="H295" s="54" t="str">
        <f ca="1">IF(E295="","",OFFSET(分類!$B$29,E295,0))</f>
        <v>劇薬バラ</v>
      </c>
    </row>
    <row r="296" spans="2:8">
      <c r="B296" s="27">
        <f t="shared" si="4"/>
        <v>292</v>
      </c>
      <c r="C296" s="27" t="str">
        <f ca="1"/>
        <v>トラゾドン塩酸塩錠２５ｍｇ「アメル」</v>
      </c>
      <c r="D296" s="27">
        <f ca="1"/>
        <v>2</v>
      </c>
      <c r="E296" s="54">
        <f ca="1"/>
        <v>6</v>
      </c>
      <c r="F296" s="54" t="str">
        <f ca="1"/>
        <v>バラ</v>
      </c>
      <c r="G296" s="54" t="str">
        <f ca="1"/>
        <v>１０００Ｔ</v>
      </c>
      <c r="H296" s="54" t="str">
        <f ca="1">IF(E296="","",OFFSET(分類!$B$29,E296,0))</f>
        <v>劇薬バラ</v>
      </c>
    </row>
    <row r="297" spans="2:8">
      <c r="B297" s="27">
        <f t="shared" si="4"/>
        <v>293</v>
      </c>
      <c r="C297" s="27" t="str">
        <f ca="1"/>
        <v>トリンテリックス錠１０ｍｇ</v>
      </c>
      <c r="D297" s="27">
        <f ca="1"/>
        <v>2</v>
      </c>
      <c r="E297" s="54">
        <f ca="1"/>
        <v>6</v>
      </c>
      <c r="F297" s="54" t="str">
        <f ca="1"/>
        <v>ＰＴＰ</v>
      </c>
      <c r="G297" s="54" t="str">
        <f ca="1"/>
        <v>１００Ｔ</v>
      </c>
      <c r="H297" s="54" t="str">
        <f ca="1">IF(E297="","",OFFSET(分類!$B$29,E297,0))</f>
        <v>劇薬バラ</v>
      </c>
    </row>
    <row r="298" spans="2:8">
      <c r="B298" s="27">
        <f t="shared" si="4"/>
        <v>294</v>
      </c>
      <c r="C298" s="27" t="str">
        <f ca="1"/>
        <v>トレドミン錠１５ｍｇ　　　　　　　</v>
      </c>
      <c r="D298" s="27">
        <f ca="1"/>
        <v>2</v>
      </c>
      <c r="E298" s="54">
        <f ca="1"/>
        <v>6</v>
      </c>
      <c r="F298" s="54" t="str">
        <f ca="1"/>
        <v>ＰＴＰ</v>
      </c>
      <c r="G298" s="54" t="str">
        <f ca="1"/>
        <v>１００Ｔ</v>
      </c>
      <c r="H298" s="54" t="str">
        <f ca="1">IF(E298="","",OFFSET(分類!$B$29,E298,0))</f>
        <v>劇薬バラ</v>
      </c>
    </row>
    <row r="299" spans="2:8">
      <c r="B299" s="27">
        <f t="shared" si="4"/>
        <v>295</v>
      </c>
      <c r="C299" s="27" t="str">
        <f ca="1"/>
        <v>トレドミン錠２５ｍｇ　　　　　　　</v>
      </c>
      <c r="D299" s="27">
        <f ca="1"/>
        <v>2</v>
      </c>
      <c r="E299" s="54">
        <f ca="1"/>
        <v>6</v>
      </c>
      <c r="F299" s="54" t="str">
        <f ca="1"/>
        <v>ＰＴＰ</v>
      </c>
      <c r="G299" s="54" t="str">
        <f ca="1"/>
        <v>１００Ｔ</v>
      </c>
      <c r="H299" s="54" t="str">
        <f ca="1">IF(E299="","",OFFSET(分類!$B$29,E299,0))</f>
        <v>劇薬バラ</v>
      </c>
    </row>
    <row r="300" spans="2:8">
      <c r="B300" s="27">
        <f t="shared" si="4"/>
        <v>296</v>
      </c>
      <c r="C300" s="27" t="str">
        <f ca="1"/>
        <v>ニトロペン舌下錠０．３ｍｇ</v>
      </c>
      <c r="D300" s="27">
        <f ca="1"/>
        <v>2</v>
      </c>
      <c r="E300" s="54">
        <f ca="1"/>
        <v>1</v>
      </c>
      <c r="F300" s="54" t="str">
        <f ca="1"/>
        <v>ＰＴＰ</v>
      </c>
      <c r="G300" s="54" t="str">
        <f ca="1"/>
        <v>１００Ｔ</v>
      </c>
      <c r="H300" s="54" t="str">
        <f ca="1">IF(E300="","",OFFSET(分類!$B$29,E300,0))</f>
        <v>調剤棚</v>
      </c>
    </row>
    <row r="301" spans="2:8">
      <c r="B301" s="27">
        <f t="shared" si="4"/>
        <v>297</v>
      </c>
      <c r="C301" s="27" t="str">
        <f ca="1"/>
        <v>ニルバジピン錠４ｍｇ「サワイ」</v>
      </c>
      <c r="D301" s="27">
        <f ca="1"/>
        <v>2</v>
      </c>
      <c r="E301" s="54">
        <f ca="1"/>
        <v>6</v>
      </c>
      <c r="F301" s="54" t="str">
        <f ca="1"/>
        <v>ＰＴＰ</v>
      </c>
      <c r="G301" s="54" t="str">
        <f ca="1"/>
        <v>１００Ｔ</v>
      </c>
      <c r="H301" s="54" t="str">
        <f ca="1">IF(E301="","",OFFSET(分類!$B$29,E301,0))</f>
        <v>劇薬バラ</v>
      </c>
    </row>
    <row r="302" spans="2:8">
      <c r="B302" s="27">
        <f t="shared" si="4"/>
        <v>298</v>
      </c>
      <c r="C302" s="27" t="str">
        <f ca="1"/>
        <v>ハイペン錠２００ｍｇ</v>
      </c>
      <c r="D302" s="27">
        <f ca="1"/>
        <v>2</v>
      </c>
      <c r="E302" s="54">
        <f ca="1"/>
        <v>6</v>
      </c>
      <c r="F302" s="54" t="str">
        <f ca="1"/>
        <v>ＰＴＰ</v>
      </c>
      <c r="G302" s="54" t="str">
        <f ca="1"/>
        <v>１００Ｔ</v>
      </c>
      <c r="H302" s="54" t="str">
        <f ca="1">IF(E302="","",OFFSET(分類!$B$29,E302,0))</f>
        <v>劇薬バラ</v>
      </c>
    </row>
    <row r="303" spans="2:8">
      <c r="B303" s="27">
        <f t="shared" si="4"/>
        <v>299</v>
      </c>
      <c r="C303" s="27" t="str">
        <f ca="1"/>
        <v>パキシルＣＲ錠１２．５ｍｇ</v>
      </c>
      <c r="D303" s="27">
        <f ca="1"/>
        <v>2</v>
      </c>
      <c r="E303" s="54">
        <f ca="1"/>
        <v>6</v>
      </c>
      <c r="F303" s="54" t="str">
        <f ca="1"/>
        <v>ＰＴＰ</v>
      </c>
      <c r="G303" s="54" t="str">
        <f ca="1"/>
        <v>１４０Ｔ</v>
      </c>
      <c r="H303" s="54" t="str">
        <f ca="1">IF(E303="","",OFFSET(分類!$B$29,E303,0))</f>
        <v>劇薬バラ</v>
      </c>
    </row>
    <row r="304" spans="2:8">
      <c r="B304" s="27">
        <f t="shared" si="4"/>
        <v>300</v>
      </c>
      <c r="C304" s="27" t="str">
        <f ca="1"/>
        <v>パキシルＣＲ錠１２．５ｍｇ</v>
      </c>
      <c r="D304" s="27">
        <f ca="1"/>
        <v>2</v>
      </c>
      <c r="E304" s="54">
        <f ca="1"/>
        <v>6</v>
      </c>
      <c r="F304" s="54" t="str">
        <f ca="1"/>
        <v>バラ</v>
      </c>
      <c r="G304" s="54" t="str">
        <f ca="1"/>
        <v>５００Ｔ</v>
      </c>
      <c r="H304" s="54" t="str">
        <f ca="1">IF(E304="","",OFFSET(分類!$B$29,E304,0))</f>
        <v>劇薬バラ</v>
      </c>
    </row>
    <row r="305" spans="2:7">
      <c r="B305" s="27">
        <f t="shared" si="4"/>
        <v>301</v>
      </c>
      <c r="C305" s="54" t="str">
        <f ca="1"/>
        <v>パロキセチンＯＤ錠１０ｍｇ「トーワ」</v>
      </c>
      <c r="D305" s="54">
        <f ca="1"/>
        <v>2</v>
      </c>
      <c r="E305" s="54">
        <f ca="1"/>
        <v>6</v>
      </c>
      <c r="F305" s="54" t="str">
        <f ca="1"/>
        <v>ＰＴＰ</v>
      </c>
      <c r="G305" s="54" t="str">
        <f ca="1"/>
        <v>１００Ｔ</v>
      </c>
    </row>
    <row r="306" spans="2:7">
      <c r="B306" s="27">
        <f t="shared" si="4"/>
        <v>302</v>
      </c>
      <c r="C306" s="54" t="str">
        <f ca="1"/>
        <v>パロキセチンＯＤ錠１０ｍｇ「トーワ」</v>
      </c>
      <c r="D306" s="54">
        <f ca="1"/>
        <v>2</v>
      </c>
      <c r="E306" s="54">
        <f ca="1"/>
        <v>6</v>
      </c>
      <c r="F306" s="54" t="str">
        <f ca="1"/>
        <v>バラ</v>
      </c>
      <c r="G306" s="54" t="str">
        <f ca="1"/>
        <v>３００Ｔ</v>
      </c>
    </row>
    <row r="307" spans="2:7">
      <c r="B307" s="27">
        <f t="shared" si="4"/>
        <v>303</v>
      </c>
      <c r="C307" s="54" t="str">
        <f ca="1"/>
        <v>ハロペリドール錠０．７５ｍｇ「アメル」　　　　　　</v>
      </c>
      <c r="D307" s="54">
        <f ca="1"/>
        <v>2</v>
      </c>
      <c r="E307" s="54">
        <f ca="1"/>
        <v>6</v>
      </c>
      <c r="F307" s="54" t="str">
        <f ca="1"/>
        <v>バラ</v>
      </c>
      <c r="G307" s="54" t="str">
        <f ca="1"/>
        <v>１０００Ｔ</v>
      </c>
    </row>
    <row r="308" spans="2:7">
      <c r="B308" s="27">
        <f t="shared" si="4"/>
        <v>304</v>
      </c>
      <c r="C308" s="54" t="str">
        <f ca="1"/>
        <v>ハロペリドール錠１．５ｍｇ「アメル」　　　　　　　</v>
      </c>
      <c r="D308" s="54">
        <f ca="1"/>
        <v>2</v>
      </c>
      <c r="E308" s="54">
        <f ca="1"/>
        <v>6</v>
      </c>
      <c r="F308" s="54" t="str">
        <f ca="1"/>
        <v>バラ</v>
      </c>
      <c r="G308" s="54" t="str">
        <f ca="1"/>
        <v>１０００Ｔ</v>
      </c>
    </row>
    <row r="309" spans="2:7">
      <c r="B309" s="27">
        <f t="shared" si="4"/>
        <v>305</v>
      </c>
      <c r="C309" s="54" t="str">
        <f ca="1"/>
        <v>ハロペリドール錠１ｍｇ「アメル」</v>
      </c>
      <c r="D309" s="54">
        <f ca="1"/>
        <v>2</v>
      </c>
      <c r="E309" s="54">
        <f ca="1"/>
        <v>6</v>
      </c>
      <c r="F309" s="54" t="str">
        <f ca="1"/>
        <v>ＰＴＰ</v>
      </c>
      <c r="G309" s="54" t="str">
        <f ca="1"/>
        <v>１００Ｔ</v>
      </c>
    </row>
    <row r="310" spans="2:7">
      <c r="B310" s="27">
        <f t="shared" si="4"/>
        <v>306</v>
      </c>
      <c r="C310" s="54" t="str">
        <f ca="1"/>
        <v>ハロペリドール錠１ｍｇ「アメル」</v>
      </c>
      <c r="D310" s="54">
        <f ca="1"/>
        <v>2</v>
      </c>
      <c r="E310" s="54">
        <f ca="1"/>
        <v>6</v>
      </c>
      <c r="F310" s="54" t="str">
        <f ca="1"/>
        <v>バラ</v>
      </c>
      <c r="G310" s="54" t="str">
        <f ca="1"/>
        <v>１０００Ｔ</v>
      </c>
    </row>
    <row r="311" spans="2:7">
      <c r="B311" s="27">
        <f t="shared" si="4"/>
        <v>307</v>
      </c>
      <c r="C311" s="54" t="str">
        <f ca="1"/>
        <v>ハロペリドール錠３ｍｇ「アメル」</v>
      </c>
      <c r="D311" s="54">
        <f ca="1"/>
        <v>2</v>
      </c>
      <c r="E311" s="54">
        <f ca="1"/>
        <v>6</v>
      </c>
      <c r="F311" s="54" t="str">
        <f ca="1"/>
        <v>バラ</v>
      </c>
      <c r="G311" s="54" t="str">
        <f ca="1"/>
        <v>１０００Ｔ</v>
      </c>
    </row>
    <row r="312" spans="2:7">
      <c r="B312" s="27">
        <f t="shared" si="4"/>
        <v>308</v>
      </c>
      <c r="C312" s="54" t="str">
        <f ca="1"/>
        <v>ヒルナミン錠（５０ｍｇ）</v>
      </c>
      <c r="D312" s="54">
        <f ca="1"/>
        <v>2</v>
      </c>
      <c r="E312" s="54">
        <f ca="1"/>
        <v>6</v>
      </c>
      <c r="F312" s="54" t="str">
        <f ca="1"/>
        <v>バラ</v>
      </c>
      <c r="G312" s="54" t="str">
        <f ca="1"/>
        <v>１０００Ｔ</v>
      </c>
    </row>
    <row r="313" spans="2:7">
      <c r="B313" s="27">
        <f t="shared" si="4"/>
        <v>309</v>
      </c>
      <c r="C313" s="54" t="str">
        <f ca="1"/>
        <v>フェロジピン錠５ｍｇ「ＮＩＧ」</v>
      </c>
      <c r="D313" s="54">
        <f ca="1"/>
        <v>2</v>
      </c>
      <c r="E313" s="54">
        <f ca="1"/>
        <v>6</v>
      </c>
      <c r="F313" s="54" t="str">
        <f ca="1"/>
        <v>ＰＴＰ</v>
      </c>
      <c r="G313" s="54" t="str">
        <f ca="1"/>
        <v>１００Ｔ</v>
      </c>
    </row>
    <row r="314" spans="2:7">
      <c r="B314" s="27">
        <f t="shared" si="4"/>
        <v>310</v>
      </c>
      <c r="C314" s="54" t="str">
        <f ca="1"/>
        <v>ブロナンセリン錠２ｍｇ「ＤＳＰＢ」</v>
      </c>
      <c r="D314" s="54">
        <f ca="1"/>
        <v>2</v>
      </c>
      <c r="E314" s="54">
        <f ca="1"/>
        <v>6</v>
      </c>
      <c r="F314" s="54" t="str">
        <f ca="1"/>
        <v>ＰＴＰ</v>
      </c>
      <c r="G314" s="54" t="str">
        <f ca="1"/>
        <v>１００Ｔ</v>
      </c>
    </row>
    <row r="315" spans="2:7">
      <c r="B315" s="27">
        <f t="shared" si="4"/>
        <v>311</v>
      </c>
      <c r="C315" s="54" t="str">
        <f ca="1"/>
        <v>ブロナンセリン錠４ｍｇ「ＤＳＰＢ」</v>
      </c>
      <c r="D315" s="54">
        <f ca="1"/>
        <v>2</v>
      </c>
      <c r="E315" s="54">
        <f ca="1"/>
        <v>6</v>
      </c>
      <c r="F315" s="54" t="str">
        <f ca="1"/>
        <v>ＰＴＰ</v>
      </c>
      <c r="G315" s="54" t="str">
        <f ca="1"/>
        <v>１００Ｔ</v>
      </c>
    </row>
    <row r="316" spans="2:7">
      <c r="B316" s="27">
        <f t="shared" si="4"/>
        <v>312</v>
      </c>
      <c r="C316" s="54" t="str">
        <f ca="1"/>
        <v>ブロナンセリン錠４ｍｇ「ＤＳＰＢ」</v>
      </c>
      <c r="D316" s="54">
        <f ca="1"/>
        <v>2</v>
      </c>
      <c r="E316" s="54">
        <f ca="1"/>
        <v>6</v>
      </c>
      <c r="F316" s="54" t="str">
        <f ca="1"/>
        <v>バラ</v>
      </c>
      <c r="G316" s="54" t="str">
        <f ca="1"/>
        <v>１０００Ｔ</v>
      </c>
    </row>
    <row r="317" spans="2:7">
      <c r="B317" s="27">
        <f t="shared" si="4"/>
        <v>313</v>
      </c>
      <c r="C317" s="54" t="str">
        <f ca="1"/>
        <v>ブロナンセリン錠８ｍｇ「ＤＳＰＢ」</v>
      </c>
      <c r="D317" s="54">
        <f ca="1"/>
        <v>2</v>
      </c>
      <c r="E317" s="54">
        <f ca="1"/>
        <v>6</v>
      </c>
      <c r="F317" s="54" t="str">
        <f ca="1"/>
        <v>ＰＴＰ</v>
      </c>
      <c r="G317" s="54" t="str">
        <f ca="1"/>
        <v>１００Ｔ</v>
      </c>
    </row>
    <row r="318" spans="2:7">
      <c r="B318" s="27">
        <f t="shared" si="4"/>
        <v>314</v>
      </c>
      <c r="C318" s="54" t="str">
        <f ca="1"/>
        <v>ブロナンセリン錠８ｍｇ「ＤＳＰＢ」</v>
      </c>
      <c r="D318" s="54">
        <f ca="1"/>
        <v>2</v>
      </c>
      <c r="E318" s="54">
        <f ca="1"/>
        <v>6</v>
      </c>
      <c r="F318" s="54" t="str">
        <f ca="1"/>
        <v>バラ</v>
      </c>
      <c r="G318" s="54" t="str">
        <f ca="1"/>
        <v>１０００Ｔ</v>
      </c>
    </row>
    <row r="319" spans="2:7">
      <c r="B319" s="27">
        <f t="shared" si="4"/>
        <v>315</v>
      </c>
      <c r="C319" s="54" t="str">
        <f ca="1"/>
        <v>ブロムペリドール錠３ｍｇ「アメル」</v>
      </c>
      <c r="D319" s="54">
        <f ca="1"/>
        <v>2</v>
      </c>
      <c r="E319" s="54">
        <f ca="1"/>
        <v>6</v>
      </c>
      <c r="F319" s="54" t="str">
        <f ca="1"/>
        <v>ＰＴＰ</v>
      </c>
      <c r="G319" s="54" t="str">
        <f ca="1"/>
        <v>１００Ｔ</v>
      </c>
    </row>
    <row r="320" spans="2:7">
      <c r="B320" s="27">
        <f t="shared" si="4"/>
        <v>316</v>
      </c>
      <c r="C320" s="54" t="str">
        <f ca="1"/>
        <v>ミノドロン酸錠５０ｍｇ「ＪＧ」</v>
      </c>
      <c r="D320" s="54">
        <f ca="1"/>
        <v>2</v>
      </c>
      <c r="E320" s="54">
        <f ca="1"/>
        <v>1</v>
      </c>
      <c r="F320" s="54" t="str">
        <f ca="1"/>
        <v>ＰＴＰ</v>
      </c>
      <c r="G320" s="54" t="str">
        <f ca="1"/>
        <v>２Ｔ</v>
      </c>
    </row>
    <row r="321" spans="2:7">
      <c r="B321" s="27">
        <f t="shared" si="4"/>
        <v>317</v>
      </c>
      <c r="C321" s="54" t="str">
        <f ca="1"/>
        <v>ミルタザピンＯＤ錠１５ｍｇ「サワイ」</v>
      </c>
      <c r="D321" s="54">
        <f ca="1"/>
        <v>2</v>
      </c>
      <c r="E321" s="54">
        <f ca="1"/>
        <v>6</v>
      </c>
      <c r="F321" s="54" t="str">
        <f ca="1"/>
        <v>ＰＴＰ</v>
      </c>
      <c r="G321" s="54" t="str">
        <f ca="1"/>
        <v>１００Ｔ</v>
      </c>
    </row>
    <row r="322" spans="2:7">
      <c r="B322" s="27">
        <f t="shared" si="4"/>
        <v>318</v>
      </c>
      <c r="C322" s="54" t="str">
        <f ca="1"/>
        <v>ミルタザピンＯＤ錠１５ｍｇ「サワイ」</v>
      </c>
      <c r="D322" s="54">
        <f ca="1"/>
        <v>2</v>
      </c>
      <c r="E322" s="54">
        <f ca="1"/>
        <v>6</v>
      </c>
      <c r="F322" s="54" t="str">
        <f ca="1"/>
        <v>バラ</v>
      </c>
      <c r="G322" s="54" t="str">
        <f ca="1"/>
        <v>２００Ｔ</v>
      </c>
    </row>
    <row r="323" spans="2:7">
      <c r="B323" s="27">
        <f t="shared" si="4"/>
        <v>319</v>
      </c>
      <c r="C323" s="54" t="str">
        <f ca="1"/>
        <v>メトホルミン塩酸塩錠２５０ｍｇＭＴ「ＤＳＰＢ」</v>
      </c>
      <c r="D323" s="54">
        <f ca="1"/>
        <v>2</v>
      </c>
      <c r="E323" s="54">
        <f ca="1"/>
        <v>6</v>
      </c>
      <c r="F323" s="54" t="str">
        <f ca="1"/>
        <v>バラ</v>
      </c>
      <c r="G323" s="54" t="str">
        <f ca="1"/>
        <v>５００Ｔ</v>
      </c>
    </row>
    <row r="324" spans="2:7">
      <c r="B324" s="27">
        <f t="shared" si="4"/>
        <v>320</v>
      </c>
      <c r="C324" s="54" t="str">
        <f ca="1"/>
        <v>メマンチン塩酸塩ＯＤ錠２０ｍｇ「ＤＳＥＰ」</v>
      </c>
      <c r="D324" s="54">
        <f ca="1"/>
        <v>2</v>
      </c>
      <c r="E324" s="54">
        <f ca="1"/>
        <v>6</v>
      </c>
      <c r="F324" s="54" t="str">
        <f ca="1"/>
        <v>ＰＴＰ</v>
      </c>
      <c r="G324" s="54" t="str">
        <f ca="1"/>
        <v>５６Ｔ</v>
      </c>
    </row>
    <row r="325" spans="2:7">
      <c r="B325" s="27">
        <f t="shared" si="4"/>
        <v>321</v>
      </c>
      <c r="C325" s="54" t="str">
        <f ca="1"/>
        <v>メマンチン塩酸塩ＯＤ錠２０ｍｇ「ＤＳＥＰ」</v>
      </c>
      <c r="D325" s="54">
        <f ca="1"/>
        <v>2</v>
      </c>
      <c r="E325" s="54">
        <f ca="1"/>
        <v>6</v>
      </c>
      <c r="F325" s="54" t="str">
        <f ca="1"/>
        <v>バラ</v>
      </c>
      <c r="G325" s="54" t="str">
        <f ca="1"/>
        <v>１００Ｔ</v>
      </c>
    </row>
    <row r="326" spans="2:7">
      <c r="B326" s="27">
        <f t="shared" si="4"/>
        <v>322</v>
      </c>
      <c r="C326" s="54" t="str">
        <f ca="1"/>
        <v>メマンチン塩酸塩ＯＤ錠５ｍｇ「ＤＳＥＰ」</v>
      </c>
      <c r="D326" s="54">
        <f ca="1"/>
        <v>2</v>
      </c>
      <c r="E326" s="54">
        <f ca="1"/>
        <v>6</v>
      </c>
      <c r="F326" s="54" t="str">
        <f ca="1"/>
        <v>ＰＴＰ</v>
      </c>
      <c r="G326" s="54" t="str">
        <f ca="1"/>
        <v>５６Ｔ</v>
      </c>
    </row>
    <row r="327" spans="2:7">
      <c r="B327" s="27">
        <f t="shared" ref="B327:B390" si="5">B326+1</f>
        <v>323</v>
      </c>
      <c r="C327" s="54" t="str">
        <f ca="1"/>
        <v>メマンチン塩酸塩ＯＤ錠５ｍｇ「ＤＳＥＰ」</v>
      </c>
      <c r="D327" s="54">
        <f ca="1"/>
        <v>2</v>
      </c>
      <c r="E327" s="54">
        <f ca="1"/>
        <v>6</v>
      </c>
      <c r="F327" s="54" t="str">
        <f ca="1"/>
        <v>バラ</v>
      </c>
      <c r="G327" s="54" t="str">
        <f ca="1"/>
        <v>１００Ｔ</v>
      </c>
    </row>
    <row r="328" spans="2:7">
      <c r="B328" s="27">
        <f t="shared" si="5"/>
        <v>324</v>
      </c>
      <c r="C328" s="54" t="str">
        <f ca="1"/>
        <v>モディオダール錠１００ｍｇ</v>
      </c>
      <c r="D328" s="54">
        <f ca="1"/>
        <v>2</v>
      </c>
      <c r="E328" s="54">
        <f ca="1"/>
        <v>3</v>
      </c>
      <c r="F328" s="54" t="str">
        <f ca="1"/>
        <v>ＰＴＰ</v>
      </c>
      <c r="G328" s="54" t="str">
        <f ca="1"/>
        <v>１００Ｔ</v>
      </c>
    </row>
    <row r="329" spans="2:7">
      <c r="B329" s="27">
        <f t="shared" si="5"/>
        <v>325</v>
      </c>
      <c r="C329" s="54" t="str">
        <f ca="1"/>
        <v>ラツーダ錠２０ｍｇ</v>
      </c>
      <c r="D329" s="54">
        <f ca="1"/>
        <v>2</v>
      </c>
      <c r="E329" s="54">
        <f ca="1"/>
        <v>6</v>
      </c>
      <c r="F329" s="54" t="str">
        <f ca="1"/>
        <v>ＰＴＰ</v>
      </c>
      <c r="G329" s="54" t="str">
        <f ca="1"/>
        <v>１００Ｔ</v>
      </c>
    </row>
    <row r="330" spans="2:7">
      <c r="B330" s="27">
        <f t="shared" si="5"/>
        <v>326</v>
      </c>
      <c r="C330" s="54" t="str">
        <f ca="1"/>
        <v>ラツーダ錠２０ｍｇ</v>
      </c>
      <c r="D330" s="54">
        <f ca="1"/>
        <v>2</v>
      </c>
      <c r="E330" s="54">
        <f ca="1"/>
        <v>6</v>
      </c>
      <c r="F330" s="54" t="str">
        <f ca="1"/>
        <v>バラ</v>
      </c>
      <c r="G330" s="54" t="str">
        <f ca="1"/>
        <v>５００Ｔ</v>
      </c>
    </row>
    <row r="331" spans="2:7">
      <c r="B331" s="27">
        <f t="shared" si="5"/>
        <v>327</v>
      </c>
      <c r="C331" s="54" t="str">
        <f ca="1"/>
        <v>ラツーダ錠４０ｍｇ</v>
      </c>
      <c r="D331" s="54">
        <f ca="1"/>
        <v>2</v>
      </c>
      <c r="E331" s="54">
        <f ca="1"/>
        <v>6</v>
      </c>
      <c r="F331" s="54" t="str">
        <f ca="1"/>
        <v>ＰＴＰ</v>
      </c>
      <c r="G331" s="54" t="str">
        <f ca="1"/>
        <v>１００Ｔ</v>
      </c>
    </row>
    <row r="332" spans="2:7">
      <c r="B332" s="27">
        <f t="shared" si="5"/>
        <v>328</v>
      </c>
      <c r="C332" s="54" t="str">
        <f ca="1"/>
        <v>ラツーダ錠４０ｍｇ</v>
      </c>
      <c r="D332" s="54">
        <f ca="1"/>
        <v>2</v>
      </c>
      <c r="E332" s="54">
        <f ca="1"/>
        <v>6</v>
      </c>
      <c r="F332" s="54" t="str">
        <f ca="1"/>
        <v>バラ</v>
      </c>
      <c r="G332" s="54" t="str">
        <f ca="1"/>
        <v>５００Ｔ</v>
      </c>
    </row>
    <row r="333" spans="2:7">
      <c r="B333" s="27">
        <f t="shared" si="5"/>
        <v>329</v>
      </c>
      <c r="C333" s="54" t="str">
        <f ca="1"/>
        <v>ラモトリギン錠１００ｍｇ「トーワ」</v>
      </c>
      <c r="D333" s="54">
        <f ca="1"/>
        <v>2</v>
      </c>
      <c r="E333" s="54">
        <f ca="1"/>
        <v>6</v>
      </c>
      <c r="F333" s="54" t="str">
        <f ca="1"/>
        <v>ＰＴＰ</v>
      </c>
      <c r="G333" s="54" t="str">
        <f ca="1"/>
        <v>１４０Ｔ</v>
      </c>
    </row>
    <row r="334" spans="2:7">
      <c r="B334" s="27">
        <f t="shared" si="5"/>
        <v>330</v>
      </c>
      <c r="C334" s="54" t="str">
        <f ca="1"/>
        <v>ラモトリギン錠１００ｍｇ「トーワ」</v>
      </c>
      <c r="D334" s="54">
        <f ca="1"/>
        <v>2</v>
      </c>
      <c r="E334" s="54">
        <f ca="1"/>
        <v>6</v>
      </c>
      <c r="F334" s="54" t="str">
        <f ca="1"/>
        <v>バラ</v>
      </c>
      <c r="G334" s="54" t="str">
        <f ca="1"/>
        <v>１００Ｔ</v>
      </c>
    </row>
    <row r="335" spans="2:7">
      <c r="B335" s="27">
        <f t="shared" si="5"/>
        <v>331</v>
      </c>
      <c r="C335" s="54" t="str">
        <f ca="1"/>
        <v>ラモトリギン錠２５ｍｇ「トーワ」</v>
      </c>
      <c r="D335" s="54">
        <f ca="1"/>
        <v>2</v>
      </c>
      <c r="E335" s="54">
        <f ca="1"/>
        <v>6</v>
      </c>
      <c r="F335" s="54" t="str">
        <f ca="1"/>
        <v>ＰＴＰ</v>
      </c>
      <c r="G335" s="54" t="str">
        <f ca="1"/>
        <v>１４０Ｔ</v>
      </c>
    </row>
    <row r="336" spans="2:7">
      <c r="B336" s="27">
        <f t="shared" si="5"/>
        <v>332</v>
      </c>
      <c r="C336" s="54" t="str">
        <f ca="1"/>
        <v>ラモトリギン錠２５ｍｇ「トーワ」</v>
      </c>
      <c r="D336" s="54">
        <f ca="1"/>
        <v>2</v>
      </c>
      <c r="E336" s="54">
        <f ca="1"/>
        <v>6</v>
      </c>
      <c r="F336" s="54" t="str">
        <f ca="1"/>
        <v>バラ</v>
      </c>
      <c r="G336" s="54" t="str">
        <f ca="1"/>
        <v>１００Ｔ</v>
      </c>
    </row>
    <row r="337" spans="2:7">
      <c r="B337" s="27">
        <f t="shared" si="5"/>
        <v>333</v>
      </c>
      <c r="C337" s="54" t="str">
        <f ca="1"/>
        <v>リスパダール錠１ｍｇ　　　　　　　　　　</v>
      </c>
      <c r="D337" s="54">
        <f ca="1"/>
        <v>2</v>
      </c>
      <c r="E337" s="54">
        <f ca="1"/>
        <v>6</v>
      </c>
      <c r="F337" s="54" t="str">
        <f ca="1"/>
        <v>ＰＴＰ</v>
      </c>
      <c r="G337" s="54" t="str">
        <f ca="1"/>
        <v>１００Ｔ</v>
      </c>
    </row>
    <row r="338" spans="2:7">
      <c r="B338" s="27">
        <f t="shared" si="5"/>
        <v>334</v>
      </c>
      <c r="C338" s="54" t="str">
        <f ca="1"/>
        <v>リスパダール錠１ｍｇ　　　　　　　　　　</v>
      </c>
      <c r="D338" s="54">
        <f ca="1"/>
        <v>2</v>
      </c>
      <c r="E338" s="54">
        <f ca="1"/>
        <v>6</v>
      </c>
      <c r="F338" s="54" t="str">
        <f ca="1"/>
        <v>バラ</v>
      </c>
      <c r="G338" s="54" t="str">
        <f ca="1"/>
        <v>１０００Ｔ</v>
      </c>
    </row>
    <row r="339" spans="2:7">
      <c r="B339" s="27">
        <f t="shared" si="5"/>
        <v>335</v>
      </c>
      <c r="C339" s="54" t="str">
        <f ca="1"/>
        <v>リスパダール錠２ｍｇ　　　　　　　　　　</v>
      </c>
      <c r="D339" s="54">
        <f ca="1"/>
        <v>2</v>
      </c>
      <c r="E339" s="54">
        <f ca="1"/>
        <v>6</v>
      </c>
      <c r="F339" s="54" t="str">
        <f ca="1"/>
        <v>ＰＴＰ</v>
      </c>
      <c r="G339" s="54" t="str">
        <f ca="1"/>
        <v>１００Ｔ</v>
      </c>
    </row>
    <row r="340" spans="2:7">
      <c r="B340" s="27">
        <f t="shared" si="5"/>
        <v>336</v>
      </c>
      <c r="C340" s="54" t="str">
        <f ca="1"/>
        <v>リスパダール錠２ｍｇ　　　　　　　　　　</v>
      </c>
      <c r="D340" s="54">
        <f ca="1"/>
        <v>2</v>
      </c>
      <c r="E340" s="54">
        <f ca="1"/>
        <v>6</v>
      </c>
      <c r="F340" s="54" t="str">
        <f ca="1"/>
        <v>バラ</v>
      </c>
      <c r="G340" s="54" t="str">
        <f ca="1"/>
        <v>１０００Ｔ</v>
      </c>
    </row>
    <row r="341" spans="2:7">
      <c r="B341" s="27">
        <f t="shared" si="5"/>
        <v>337</v>
      </c>
      <c r="C341" s="54" t="str">
        <f ca="1"/>
        <v>リスパダール錠３ｍｇ</v>
      </c>
      <c r="D341" s="54">
        <f ca="1"/>
        <v>2</v>
      </c>
      <c r="E341" s="54">
        <f ca="1"/>
        <v>6</v>
      </c>
      <c r="F341" s="54" t="str">
        <f ca="1"/>
        <v>ＰＴＰ</v>
      </c>
      <c r="G341" s="54" t="str">
        <f ca="1"/>
        <v>１００Ｔ</v>
      </c>
    </row>
    <row r="342" spans="2:7">
      <c r="B342" s="27">
        <f t="shared" si="5"/>
        <v>338</v>
      </c>
      <c r="C342" s="54" t="str">
        <f ca="1"/>
        <v>リスパダール錠３ｍｇ</v>
      </c>
      <c r="D342" s="54">
        <f ca="1"/>
        <v>2</v>
      </c>
      <c r="E342" s="54">
        <f ca="1"/>
        <v>6</v>
      </c>
      <c r="F342" s="54" t="str">
        <f ca="1"/>
        <v>バラ</v>
      </c>
      <c r="G342" s="54" t="str">
        <f ca="1"/>
        <v>１０００Ｔ</v>
      </c>
    </row>
    <row r="343" spans="2:7">
      <c r="B343" s="27">
        <f t="shared" si="5"/>
        <v>339</v>
      </c>
      <c r="C343" s="54" t="str">
        <f ca="1"/>
        <v>リスペリドンＯＤ錠０．５ｍｇ「アメル」</v>
      </c>
      <c r="D343" s="54">
        <f ca="1"/>
        <v>2</v>
      </c>
      <c r="E343" s="54">
        <f ca="1"/>
        <v>6</v>
      </c>
      <c r="F343" s="54" t="str">
        <f ca="1"/>
        <v>ＰＴＰ</v>
      </c>
      <c r="G343" s="54" t="str">
        <f ca="1"/>
        <v>１００Ｔ</v>
      </c>
    </row>
    <row r="344" spans="2:7">
      <c r="B344" s="27">
        <f t="shared" si="5"/>
        <v>340</v>
      </c>
      <c r="C344" s="54" t="str">
        <f ca="1"/>
        <v>リスペリドンＯＤ錠０．５ｍｇ「アメル」</v>
      </c>
      <c r="D344" s="54">
        <f ca="1"/>
        <v>2</v>
      </c>
      <c r="E344" s="54">
        <f ca="1"/>
        <v>6</v>
      </c>
      <c r="F344" s="54" t="str">
        <f ca="1"/>
        <v>バラ</v>
      </c>
      <c r="G344" s="54" t="str">
        <f ca="1"/>
        <v>５００Ｔ</v>
      </c>
    </row>
    <row r="345" spans="2:7">
      <c r="B345" s="27">
        <f t="shared" si="5"/>
        <v>341</v>
      </c>
      <c r="C345" s="54" t="str">
        <f ca="1"/>
        <v>リスペリドンＯＤ錠１ｍｇ「アメル」</v>
      </c>
      <c r="D345" s="54">
        <f ca="1"/>
        <v>2</v>
      </c>
      <c r="E345" s="54">
        <f ca="1"/>
        <v>6</v>
      </c>
      <c r="F345" s="54" t="str">
        <f ca="1"/>
        <v>ＰＴＰ</v>
      </c>
      <c r="G345" s="54" t="str">
        <f ca="1"/>
        <v>１００Ｔ</v>
      </c>
    </row>
    <row r="346" spans="2:7">
      <c r="B346" s="27">
        <f t="shared" si="5"/>
        <v>342</v>
      </c>
      <c r="C346" s="54" t="str">
        <f ca="1"/>
        <v>リスペリドンＯＤ錠１ｍｇ「アメル」</v>
      </c>
      <c r="D346" s="54">
        <f ca="1"/>
        <v>2</v>
      </c>
      <c r="E346" s="54">
        <f ca="1"/>
        <v>6</v>
      </c>
      <c r="F346" s="54" t="str">
        <f ca="1"/>
        <v>バラ</v>
      </c>
      <c r="G346" s="54" t="str">
        <f ca="1"/>
        <v>５００Ｔ</v>
      </c>
    </row>
    <row r="347" spans="2:7">
      <c r="B347" s="27">
        <f t="shared" si="5"/>
        <v>343</v>
      </c>
      <c r="C347" s="54" t="str">
        <f ca="1"/>
        <v>リスペリドンＯＤ錠２ｍｇ「アメル」</v>
      </c>
      <c r="D347" s="54">
        <f ca="1"/>
        <v>2</v>
      </c>
      <c r="E347" s="54">
        <f ca="1"/>
        <v>6</v>
      </c>
      <c r="F347" s="54" t="str">
        <f ca="1"/>
        <v>ＰＴＰ</v>
      </c>
      <c r="G347" s="54" t="str">
        <f ca="1"/>
        <v>１００Ｔ</v>
      </c>
    </row>
    <row r="348" spans="2:7">
      <c r="B348" s="27">
        <f t="shared" si="5"/>
        <v>344</v>
      </c>
      <c r="C348" s="54" t="str">
        <f ca="1"/>
        <v>リスペリドンＯＤ錠２ｍｇ「アメル」</v>
      </c>
      <c r="D348" s="54">
        <f ca="1"/>
        <v>2</v>
      </c>
      <c r="E348" s="54">
        <f ca="1"/>
        <v>6</v>
      </c>
      <c r="F348" s="54" t="str">
        <f ca="1"/>
        <v>バラ</v>
      </c>
      <c r="G348" s="54" t="str">
        <f ca="1"/>
        <v>５００Ｔ</v>
      </c>
    </row>
    <row r="349" spans="2:7">
      <c r="B349" s="27">
        <f t="shared" si="5"/>
        <v>345</v>
      </c>
      <c r="C349" s="54" t="str">
        <f ca="1"/>
        <v>リスペリドンＯＤ錠３ｍｇ「アメル」</v>
      </c>
      <c r="D349" s="54">
        <f ca="1"/>
        <v>2</v>
      </c>
      <c r="E349" s="54">
        <f ca="1"/>
        <v>6</v>
      </c>
      <c r="F349" s="54" t="str">
        <f ca="1"/>
        <v>ＰＴＰ</v>
      </c>
      <c r="G349" s="54" t="str">
        <f ca="1"/>
        <v>１００Ｔ</v>
      </c>
    </row>
    <row r="350" spans="2:7">
      <c r="B350" s="27">
        <f t="shared" si="5"/>
        <v>346</v>
      </c>
      <c r="C350" s="54" t="str">
        <f ca="1"/>
        <v>リスペリドンＯＤ錠３ｍｇ「アメル」</v>
      </c>
      <c r="D350" s="54">
        <f ca="1"/>
        <v>2</v>
      </c>
      <c r="E350" s="54">
        <f ca="1"/>
        <v>6</v>
      </c>
      <c r="F350" s="54" t="str">
        <f ca="1"/>
        <v>バラ</v>
      </c>
      <c r="G350" s="54" t="str">
        <f ca="1"/>
        <v>５００Ｔ</v>
      </c>
    </row>
    <row r="351" spans="2:7">
      <c r="B351" s="27">
        <f t="shared" si="5"/>
        <v>347</v>
      </c>
      <c r="C351" s="54" t="str">
        <f ca="1"/>
        <v>リスペリドン錠０．５ｍｇ「アメル」</v>
      </c>
      <c r="D351" s="54">
        <f ca="1"/>
        <v>2</v>
      </c>
      <c r="E351" s="54">
        <f ca="1"/>
        <v>6</v>
      </c>
      <c r="F351" s="54" t="str">
        <f ca="1"/>
        <v>ＰＴＰ</v>
      </c>
      <c r="G351" s="54" t="str">
        <f ca="1"/>
        <v>１００Ｔ</v>
      </c>
    </row>
    <row r="352" spans="2:7">
      <c r="B352" s="27">
        <f t="shared" si="5"/>
        <v>348</v>
      </c>
      <c r="C352" s="54" t="str">
        <f ca="1"/>
        <v>リスペリドン錠１ｍｇ「アメル」</v>
      </c>
      <c r="D352" s="54">
        <f ca="1"/>
        <v>2</v>
      </c>
      <c r="E352" s="54">
        <f ca="1"/>
        <v>6</v>
      </c>
      <c r="F352" s="54" t="str">
        <f ca="1"/>
        <v>ＰＴＰ</v>
      </c>
      <c r="G352" s="54" t="str">
        <f ca="1"/>
        <v>１００Ｔ</v>
      </c>
    </row>
    <row r="353" spans="2:7">
      <c r="B353" s="27">
        <f t="shared" si="5"/>
        <v>349</v>
      </c>
      <c r="C353" s="54" t="str">
        <f ca="1"/>
        <v>ルーラン錠４ｍｇ　　　　　　　　　　　　</v>
      </c>
      <c r="D353" s="54">
        <f ca="1"/>
        <v>2</v>
      </c>
      <c r="E353" s="54">
        <f ca="1"/>
        <v>6</v>
      </c>
      <c r="F353" s="54" t="str">
        <f ca="1"/>
        <v>ＰＴＰ</v>
      </c>
      <c r="G353" s="54" t="str">
        <f ca="1"/>
        <v>１００Ｔ　　　　</v>
      </c>
    </row>
    <row r="354" spans="2:7">
      <c r="B354" s="27">
        <f t="shared" si="5"/>
        <v>350</v>
      </c>
      <c r="C354" s="54" t="str">
        <f ca="1"/>
        <v>ルーラン錠４ｍｇ　　　　　　　　　　　　</v>
      </c>
      <c r="D354" s="54">
        <f ca="1"/>
        <v>2</v>
      </c>
      <c r="E354" s="54">
        <f ca="1"/>
        <v>6</v>
      </c>
      <c r="F354" s="54" t="str">
        <f ca="1"/>
        <v>バラ</v>
      </c>
      <c r="G354" s="54" t="str">
        <f ca="1"/>
        <v>１０００Ｔ</v>
      </c>
    </row>
    <row r="355" spans="2:7">
      <c r="B355" s="27">
        <f t="shared" si="5"/>
        <v>351</v>
      </c>
      <c r="C355" s="54" t="str">
        <f ca="1"/>
        <v>ルーラン錠８ｍｇ</v>
      </c>
      <c r="D355" s="54">
        <f ca="1"/>
        <v>2</v>
      </c>
      <c r="E355" s="54">
        <f ca="1"/>
        <v>6</v>
      </c>
      <c r="F355" s="54" t="str">
        <f ca="1"/>
        <v>バラ</v>
      </c>
      <c r="G355" s="54" t="str">
        <f ca="1"/>
        <v>１０００Ｔ</v>
      </c>
    </row>
    <row r="356" spans="2:7">
      <c r="B356" s="27">
        <f t="shared" si="5"/>
        <v>352</v>
      </c>
      <c r="C356" s="54" t="str">
        <f ca="1"/>
        <v>ルーラン錠８ｍｇ　　　　　　　　　　　　</v>
      </c>
      <c r="D356" s="54">
        <f ca="1"/>
        <v>2</v>
      </c>
      <c r="E356" s="54">
        <f ca="1"/>
        <v>6</v>
      </c>
      <c r="F356" s="54" t="str">
        <f ca="1"/>
        <v>ＰＴＰ</v>
      </c>
      <c r="G356" s="54" t="str">
        <f ca="1"/>
        <v>１００Ｔ</v>
      </c>
    </row>
    <row r="357" spans="2:7">
      <c r="B357" s="27">
        <f t="shared" si="5"/>
        <v>353</v>
      </c>
      <c r="C357" s="54" t="str">
        <f ca="1"/>
        <v>レキサルティＯＤ錠０．５ｍｇ</v>
      </c>
      <c r="D357" s="54">
        <f ca="1"/>
        <v>2</v>
      </c>
      <c r="E357" s="54">
        <f ca="1"/>
        <v>6</v>
      </c>
      <c r="F357" s="54" t="str">
        <f ca="1"/>
        <v>ＰＴＰ</v>
      </c>
      <c r="G357" s="54" t="str">
        <f ca="1"/>
        <v>１００Ｔ</v>
      </c>
    </row>
    <row r="358" spans="2:7">
      <c r="B358" s="27">
        <f t="shared" si="5"/>
        <v>354</v>
      </c>
      <c r="C358" s="54" t="str">
        <f ca="1"/>
        <v>レキサルティＯＤ錠０．５ｍｇ</v>
      </c>
      <c r="D358" s="54">
        <f ca="1"/>
        <v>2</v>
      </c>
      <c r="E358" s="54">
        <f ca="1"/>
        <v>6</v>
      </c>
      <c r="F358" s="54" t="str">
        <f ca="1"/>
        <v>バラ</v>
      </c>
      <c r="G358" s="54" t="str">
        <f ca="1"/>
        <v>５００Ｔ</v>
      </c>
    </row>
    <row r="359" spans="2:7">
      <c r="B359" s="27">
        <f t="shared" si="5"/>
        <v>355</v>
      </c>
      <c r="C359" s="54" t="str">
        <f ca="1"/>
        <v>レキサルティＯＤ錠１ｍｇ</v>
      </c>
      <c r="D359" s="54">
        <f ca="1"/>
        <v>2</v>
      </c>
      <c r="E359" s="54">
        <f ca="1"/>
        <v>6</v>
      </c>
      <c r="F359" s="54" t="str">
        <f ca="1"/>
        <v>ＰＴＰ</v>
      </c>
      <c r="G359" s="54" t="str">
        <f ca="1"/>
        <v>１００Ｔ</v>
      </c>
    </row>
    <row r="360" spans="2:7">
      <c r="B360" s="27">
        <f t="shared" si="5"/>
        <v>356</v>
      </c>
      <c r="C360" s="54" t="str">
        <f ca="1"/>
        <v>レキサルティＯＤ錠１ｍｇ</v>
      </c>
      <c r="D360" s="54">
        <f ca="1"/>
        <v>2</v>
      </c>
      <c r="E360" s="54">
        <f ca="1"/>
        <v>6</v>
      </c>
      <c r="F360" s="54" t="str">
        <f ca="1"/>
        <v>バラ</v>
      </c>
      <c r="G360" s="54" t="str">
        <f ca="1"/>
        <v>５００Ｔ</v>
      </c>
    </row>
    <row r="361" spans="2:7">
      <c r="B361" s="27">
        <f t="shared" si="5"/>
        <v>357</v>
      </c>
      <c r="C361" s="54" t="str">
        <f ca="1"/>
        <v>レキサルティＯＤ錠２ｍｇ</v>
      </c>
      <c r="D361" s="54">
        <f ca="1"/>
        <v>2</v>
      </c>
      <c r="E361" s="54">
        <f ca="1"/>
        <v>6</v>
      </c>
      <c r="F361" s="54" t="str">
        <f ca="1"/>
        <v>ＰＴＰ</v>
      </c>
      <c r="G361" s="54" t="str">
        <f ca="1"/>
        <v>１００Ｔ</v>
      </c>
    </row>
    <row r="362" spans="2:7">
      <c r="B362" s="27">
        <f t="shared" si="5"/>
        <v>358</v>
      </c>
      <c r="C362" s="54" t="str">
        <f ca="1"/>
        <v>レキサルティＯＤ錠２ｍｇ</v>
      </c>
      <c r="D362" s="54">
        <f ca="1"/>
        <v>2</v>
      </c>
      <c r="E362" s="54">
        <f ca="1"/>
        <v>6</v>
      </c>
      <c r="F362" s="54" t="str">
        <f ca="1"/>
        <v>バラ</v>
      </c>
      <c r="G362" s="54" t="str">
        <f ca="1"/>
        <v>５００Ｔ</v>
      </c>
    </row>
    <row r="363" spans="2:7">
      <c r="B363" s="27">
        <f t="shared" si="5"/>
        <v>359</v>
      </c>
      <c r="C363" s="54" t="str">
        <f ca="1"/>
        <v>ロドピン錠２５ｍｇ</v>
      </c>
      <c r="D363" s="54">
        <f ca="1"/>
        <v>2</v>
      </c>
      <c r="E363" s="54">
        <f ca="1"/>
        <v>6</v>
      </c>
      <c r="F363" s="54" t="str">
        <f ca="1"/>
        <v>ＰＴＰ</v>
      </c>
      <c r="G363" s="54" t="str">
        <f ca="1"/>
        <v>１００Ｔ</v>
      </c>
    </row>
    <row r="364" spans="2:7">
      <c r="B364" s="27">
        <f t="shared" si="5"/>
        <v>360</v>
      </c>
      <c r="C364" s="54" t="str">
        <f ca="1"/>
        <v>ロドピン錠２５ｍｇ</v>
      </c>
      <c r="D364" s="54">
        <f ca="1"/>
        <v>2</v>
      </c>
      <c r="E364" s="54">
        <f ca="1"/>
        <v>6</v>
      </c>
      <c r="F364" s="54" t="str">
        <f ca="1"/>
        <v>バラ</v>
      </c>
      <c r="G364" s="54" t="str">
        <f ca="1"/>
        <v>１０００Ｔ</v>
      </c>
    </row>
    <row r="365" spans="2:7">
      <c r="B365" s="27">
        <f t="shared" si="5"/>
        <v>361</v>
      </c>
      <c r="C365" s="54" t="str">
        <f ca="1"/>
        <v>ロドピン錠５０ｍｇ</v>
      </c>
      <c r="D365" s="54">
        <f ca="1"/>
        <v>2</v>
      </c>
      <c r="E365" s="54">
        <f ca="1"/>
        <v>6</v>
      </c>
      <c r="F365" s="54" t="str">
        <f ca="1"/>
        <v>ＰＴＰ</v>
      </c>
      <c r="G365" s="54" t="str">
        <f ca="1"/>
        <v>１００Ｔ</v>
      </c>
    </row>
    <row r="366" spans="2:7">
      <c r="B366" s="27">
        <f t="shared" si="5"/>
        <v>362</v>
      </c>
      <c r="C366" s="54" t="str">
        <f ca="1"/>
        <v>ロドピン錠５０ｍｇ</v>
      </c>
      <c r="D366" s="54">
        <f ca="1"/>
        <v>2</v>
      </c>
      <c r="E366" s="54">
        <f ca="1"/>
        <v>6</v>
      </c>
      <c r="F366" s="54" t="str">
        <f ca="1"/>
        <v>バラ</v>
      </c>
      <c r="G366" s="54" t="str">
        <f ca="1"/>
        <v>１０００Ｔ</v>
      </c>
    </row>
    <row r="367" spans="2:7">
      <c r="B367" s="27">
        <f t="shared" si="5"/>
        <v>363</v>
      </c>
      <c r="C367" s="54" t="str">
        <f ca="1"/>
        <v>炭酸リチウム錠１００ｍｇ「大正」</v>
      </c>
      <c r="D367" s="54">
        <f ca="1"/>
        <v>2</v>
      </c>
      <c r="E367" s="54">
        <f ca="1"/>
        <v>6</v>
      </c>
      <c r="F367" s="54" t="str">
        <f ca="1"/>
        <v>ＰＴＰ</v>
      </c>
      <c r="G367" s="54" t="str">
        <f ca="1"/>
        <v>１００Ｔ　　</v>
      </c>
    </row>
    <row r="368" spans="2:7">
      <c r="B368" s="27">
        <f t="shared" si="5"/>
        <v>364</v>
      </c>
      <c r="C368" s="54" t="str">
        <f ca="1"/>
        <v>炭酸リチウム錠１００ｍｇ「大正」</v>
      </c>
      <c r="D368" s="54">
        <f ca="1"/>
        <v>2</v>
      </c>
      <c r="E368" s="54">
        <f ca="1"/>
        <v>6</v>
      </c>
      <c r="F368" s="54" t="str">
        <f ca="1"/>
        <v>バラ</v>
      </c>
      <c r="G368" s="54" t="str">
        <f ca="1"/>
        <v>１０００Ｔ　　</v>
      </c>
    </row>
    <row r="369" spans="2:7">
      <c r="B369" s="27">
        <f t="shared" si="5"/>
        <v>365</v>
      </c>
      <c r="C369" s="54" t="str">
        <f ca="1"/>
        <v>炭酸リチウム錠２００ｍｇ「大正」</v>
      </c>
      <c r="D369" s="54">
        <f ca="1"/>
        <v>2</v>
      </c>
      <c r="E369" s="54">
        <f ca="1"/>
        <v>6</v>
      </c>
      <c r="F369" s="54" t="str">
        <f ca="1"/>
        <v>ＰＴＰ</v>
      </c>
      <c r="G369" s="54" t="str">
        <f ca="1"/>
        <v>１００Ｔ</v>
      </c>
    </row>
    <row r="370" spans="2:7">
      <c r="B370" s="27">
        <f t="shared" si="5"/>
        <v>366</v>
      </c>
      <c r="C370" s="54" t="str">
        <f ca="1"/>
        <v>炭酸リチウム錠２００ｍｇ「大正」</v>
      </c>
      <c r="D370" s="54">
        <f ca="1"/>
        <v>2</v>
      </c>
      <c r="E370" s="54">
        <f ca="1"/>
        <v>6</v>
      </c>
      <c r="F370" s="54" t="str">
        <f ca="1"/>
        <v>バラ</v>
      </c>
      <c r="G370" s="54" t="str">
        <f ca="1"/>
        <v>１０００Ｔ</v>
      </c>
    </row>
    <row r="371" spans="2:7">
      <c r="B371" s="27">
        <f t="shared" si="5"/>
        <v>367</v>
      </c>
      <c r="C371" s="54"/>
      <c r="D371" s="54"/>
      <c r="E371" s="54"/>
      <c r="F371" s="54"/>
      <c r="G371" s="54"/>
    </row>
    <row r="372" spans="2:7">
      <c r="B372" s="27">
        <f t="shared" si="5"/>
        <v>368</v>
      </c>
      <c r="C372" s="54"/>
      <c r="D372" s="54"/>
      <c r="E372" s="54"/>
      <c r="F372" s="54"/>
      <c r="G372" s="54"/>
    </row>
    <row r="373" spans="2:7">
      <c r="B373" s="27">
        <f t="shared" si="5"/>
        <v>369</v>
      </c>
      <c r="C373" s="54"/>
      <c r="D373" s="54"/>
      <c r="E373" s="54"/>
      <c r="F373" s="54"/>
      <c r="G373" s="54"/>
    </row>
    <row r="374" spans="2:7">
      <c r="B374" s="27">
        <f t="shared" si="5"/>
        <v>370</v>
      </c>
      <c r="C374" s="54"/>
      <c r="D374" s="54"/>
      <c r="E374" s="54"/>
      <c r="F374" s="54"/>
      <c r="G374" s="54"/>
    </row>
    <row r="375" spans="2:7">
      <c r="B375" s="27">
        <f t="shared" si="5"/>
        <v>371</v>
      </c>
      <c r="C375" s="54"/>
      <c r="D375" s="54"/>
      <c r="E375" s="54"/>
      <c r="F375" s="54"/>
      <c r="G375" s="54"/>
    </row>
    <row r="376" spans="2:7">
      <c r="B376" s="27">
        <f t="shared" si="5"/>
        <v>372</v>
      </c>
      <c r="C376" s="54"/>
      <c r="D376" s="54"/>
      <c r="E376" s="54"/>
      <c r="F376" s="54"/>
      <c r="G376" s="54"/>
    </row>
    <row r="377" spans="2:7">
      <c r="B377" s="27">
        <f t="shared" si="5"/>
        <v>373</v>
      </c>
      <c r="C377" s="54"/>
      <c r="D377" s="54"/>
      <c r="E377" s="54"/>
      <c r="F377" s="54"/>
      <c r="G377" s="54"/>
    </row>
    <row r="378" spans="2:7">
      <c r="B378" s="27">
        <f t="shared" si="5"/>
        <v>374</v>
      </c>
      <c r="C378" s="54"/>
      <c r="D378" s="54"/>
      <c r="E378" s="54"/>
      <c r="F378" s="54"/>
      <c r="G378" s="54"/>
    </row>
    <row r="379" spans="2:7">
      <c r="B379" s="27">
        <f t="shared" si="5"/>
        <v>375</v>
      </c>
      <c r="C379" s="54"/>
      <c r="D379" s="54"/>
      <c r="E379" s="54"/>
      <c r="F379" s="54"/>
      <c r="G379" s="54"/>
    </row>
    <row r="380" spans="2:7">
      <c r="B380" s="27">
        <f t="shared" si="5"/>
        <v>376</v>
      </c>
      <c r="C380" s="54"/>
      <c r="D380" s="54"/>
      <c r="E380" s="54"/>
      <c r="F380" s="54"/>
      <c r="G380" s="54"/>
    </row>
    <row r="381" spans="2:7">
      <c r="B381" s="27">
        <f t="shared" si="5"/>
        <v>377</v>
      </c>
      <c r="C381" s="54"/>
      <c r="D381" s="54"/>
      <c r="E381" s="54"/>
      <c r="F381" s="54"/>
      <c r="G381" s="54"/>
    </row>
    <row r="382" spans="2:7">
      <c r="B382" s="27">
        <f t="shared" si="5"/>
        <v>378</v>
      </c>
      <c r="C382" s="54"/>
      <c r="D382" s="54"/>
      <c r="E382" s="54"/>
      <c r="F382" s="54"/>
      <c r="G382" s="54"/>
    </row>
    <row r="383" spans="2:7">
      <c r="B383" s="27">
        <f t="shared" si="5"/>
        <v>379</v>
      </c>
      <c r="C383" s="54"/>
      <c r="D383" s="54"/>
      <c r="E383" s="54"/>
      <c r="F383" s="54"/>
      <c r="G383" s="54"/>
    </row>
    <row r="384" spans="2:7">
      <c r="B384" s="27">
        <f t="shared" si="5"/>
        <v>380</v>
      </c>
      <c r="C384" s="54"/>
      <c r="D384" s="54"/>
      <c r="E384" s="54"/>
      <c r="F384" s="54"/>
      <c r="G384" s="54"/>
    </row>
    <row r="385" spans="2:7">
      <c r="B385" s="27">
        <f t="shared" si="5"/>
        <v>381</v>
      </c>
      <c r="C385" s="54"/>
      <c r="D385" s="54"/>
      <c r="E385" s="54"/>
      <c r="F385" s="54"/>
      <c r="G385" s="54"/>
    </row>
    <row r="386" spans="2:7">
      <c r="B386" s="27">
        <f t="shared" si="5"/>
        <v>382</v>
      </c>
      <c r="C386" s="54"/>
      <c r="D386" s="54"/>
      <c r="E386" s="54"/>
      <c r="F386" s="54"/>
      <c r="G386" s="54"/>
    </row>
    <row r="387" spans="2:7">
      <c r="B387" s="27">
        <f t="shared" si="5"/>
        <v>383</v>
      </c>
      <c r="C387" s="54"/>
      <c r="D387" s="54"/>
      <c r="E387" s="54"/>
      <c r="F387" s="54"/>
      <c r="G387" s="54"/>
    </row>
    <row r="388" spans="2:7">
      <c r="B388" s="27">
        <f t="shared" si="5"/>
        <v>384</v>
      </c>
      <c r="C388" s="54"/>
      <c r="D388" s="54"/>
      <c r="E388" s="54"/>
      <c r="F388" s="54"/>
      <c r="G388" s="54"/>
    </row>
    <row r="389" spans="2:7">
      <c r="B389" s="27">
        <f t="shared" si="5"/>
        <v>385</v>
      </c>
      <c r="C389" s="54"/>
      <c r="D389" s="54"/>
      <c r="E389" s="54"/>
      <c r="F389" s="54"/>
      <c r="G389" s="54"/>
    </row>
    <row r="390" spans="2:7">
      <c r="B390" s="27">
        <f t="shared" si="5"/>
        <v>386</v>
      </c>
      <c r="C390" s="54"/>
      <c r="D390" s="54"/>
      <c r="E390" s="54"/>
      <c r="F390" s="54"/>
      <c r="G390" s="54"/>
    </row>
    <row r="391" spans="2:7">
      <c r="B391" s="27">
        <f t="shared" ref="B391:B454" si="6">B390+1</f>
        <v>387</v>
      </c>
      <c r="C391" s="54"/>
      <c r="D391" s="54"/>
      <c r="E391" s="54"/>
      <c r="F391" s="54"/>
      <c r="G391" s="54"/>
    </row>
    <row r="392" spans="2:7">
      <c r="B392" s="27">
        <f t="shared" si="6"/>
        <v>388</v>
      </c>
      <c r="C392" s="54"/>
      <c r="D392" s="54"/>
      <c r="E392" s="54"/>
      <c r="F392" s="54"/>
      <c r="G392" s="54"/>
    </row>
    <row r="393" spans="2:7">
      <c r="B393" s="27">
        <f t="shared" si="6"/>
        <v>389</v>
      </c>
      <c r="C393" s="54"/>
      <c r="D393" s="54"/>
      <c r="E393" s="54"/>
      <c r="F393" s="54"/>
      <c r="G393" s="54"/>
    </row>
    <row r="394" spans="2:7">
      <c r="B394" s="27">
        <f t="shared" si="6"/>
        <v>390</v>
      </c>
      <c r="C394" s="54"/>
      <c r="D394" s="54"/>
      <c r="E394" s="54"/>
      <c r="F394" s="54"/>
      <c r="G394" s="54"/>
    </row>
    <row r="395" spans="2:7">
      <c r="B395" s="27">
        <f t="shared" si="6"/>
        <v>391</v>
      </c>
      <c r="C395" s="54"/>
      <c r="D395" s="54"/>
      <c r="E395" s="54"/>
      <c r="F395" s="54"/>
      <c r="G395" s="54"/>
    </row>
    <row r="396" spans="2:7">
      <c r="B396" s="27">
        <f t="shared" si="6"/>
        <v>392</v>
      </c>
      <c r="C396" s="54"/>
      <c r="D396" s="54"/>
      <c r="E396" s="54"/>
      <c r="F396" s="54"/>
      <c r="G396" s="54"/>
    </row>
    <row r="397" spans="2:7">
      <c r="B397" s="27">
        <f t="shared" si="6"/>
        <v>393</v>
      </c>
      <c r="C397" s="54"/>
      <c r="D397" s="54"/>
      <c r="E397" s="54"/>
      <c r="F397" s="54"/>
      <c r="G397" s="54"/>
    </row>
    <row r="398" spans="2:7">
      <c r="B398" s="27">
        <f t="shared" si="6"/>
        <v>394</v>
      </c>
      <c r="C398" s="54"/>
      <c r="D398" s="54"/>
      <c r="E398" s="54"/>
      <c r="F398" s="54"/>
      <c r="G398" s="54"/>
    </row>
    <row r="399" spans="2:7">
      <c r="B399" s="27">
        <f t="shared" si="6"/>
        <v>395</v>
      </c>
      <c r="C399" s="54"/>
      <c r="D399" s="54"/>
      <c r="E399" s="54"/>
      <c r="F399" s="54"/>
      <c r="G399" s="54"/>
    </row>
    <row r="400" spans="2:7">
      <c r="B400" s="27">
        <f t="shared" si="6"/>
        <v>396</v>
      </c>
      <c r="C400" s="54"/>
      <c r="D400" s="54"/>
      <c r="E400" s="54"/>
      <c r="F400" s="54"/>
      <c r="G400" s="54"/>
    </row>
    <row r="401" spans="2:7">
      <c r="B401" s="27">
        <f t="shared" si="6"/>
        <v>397</v>
      </c>
      <c r="C401" s="54"/>
      <c r="D401" s="54"/>
      <c r="E401" s="54"/>
      <c r="F401" s="54"/>
      <c r="G401" s="54"/>
    </row>
    <row r="402" spans="2:7">
      <c r="B402" s="27">
        <f t="shared" si="6"/>
        <v>398</v>
      </c>
      <c r="C402" s="54"/>
      <c r="D402" s="54"/>
      <c r="E402" s="54"/>
      <c r="F402" s="54"/>
      <c r="G402" s="54"/>
    </row>
    <row r="403" spans="2:7">
      <c r="B403" s="27">
        <f t="shared" si="6"/>
        <v>399</v>
      </c>
      <c r="C403" s="54"/>
      <c r="D403" s="54"/>
      <c r="E403" s="54"/>
      <c r="F403" s="54"/>
      <c r="G403" s="54"/>
    </row>
    <row r="404" spans="2:7">
      <c r="B404" s="27">
        <f t="shared" si="6"/>
        <v>400</v>
      </c>
      <c r="C404" s="54"/>
      <c r="D404" s="54"/>
      <c r="E404" s="54"/>
      <c r="F404" s="54"/>
      <c r="G404" s="54"/>
    </row>
    <row r="405" spans="2:7">
      <c r="B405" s="27">
        <f t="shared" si="6"/>
        <v>401</v>
      </c>
      <c r="C405" s="54"/>
      <c r="D405" s="54"/>
      <c r="E405" s="54"/>
      <c r="F405" s="54"/>
      <c r="G405" s="54"/>
    </row>
    <row r="406" spans="2:7">
      <c r="B406" s="27">
        <f t="shared" si="6"/>
        <v>402</v>
      </c>
      <c r="C406" s="54"/>
      <c r="D406" s="54"/>
      <c r="E406" s="54"/>
      <c r="F406" s="54"/>
      <c r="G406" s="54"/>
    </row>
    <row r="407" spans="2:7">
      <c r="B407" s="27">
        <f t="shared" si="6"/>
        <v>403</v>
      </c>
      <c r="C407" s="54"/>
      <c r="D407" s="54"/>
      <c r="E407" s="54"/>
      <c r="F407" s="54"/>
      <c r="G407" s="54"/>
    </row>
    <row r="408" spans="2:7">
      <c r="B408" s="27">
        <f t="shared" si="6"/>
        <v>404</v>
      </c>
      <c r="C408" s="54"/>
      <c r="D408" s="54"/>
      <c r="E408" s="54"/>
      <c r="F408" s="54"/>
      <c r="G408" s="54"/>
    </row>
    <row r="409" spans="2:7">
      <c r="B409" s="27">
        <f t="shared" si="6"/>
        <v>405</v>
      </c>
      <c r="C409" s="54"/>
      <c r="D409" s="54"/>
      <c r="E409" s="54"/>
      <c r="F409" s="54"/>
      <c r="G409" s="54"/>
    </row>
    <row r="410" spans="2:7">
      <c r="B410" s="27">
        <f t="shared" si="6"/>
        <v>406</v>
      </c>
      <c r="C410" s="54"/>
      <c r="D410" s="54"/>
      <c r="E410" s="54"/>
      <c r="F410" s="54"/>
      <c r="G410" s="54"/>
    </row>
    <row r="411" spans="2:7">
      <c r="B411" s="27">
        <f t="shared" si="6"/>
        <v>407</v>
      </c>
      <c r="C411" s="54"/>
      <c r="D411" s="54"/>
      <c r="E411" s="54"/>
      <c r="F411" s="54"/>
      <c r="G411" s="54"/>
    </row>
    <row r="412" spans="2:7">
      <c r="B412" s="27">
        <f t="shared" si="6"/>
        <v>408</v>
      </c>
      <c r="C412" s="54"/>
      <c r="D412" s="54"/>
      <c r="E412" s="54"/>
      <c r="F412" s="54"/>
      <c r="G412" s="54"/>
    </row>
    <row r="413" spans="2:7">
      <c r="B413" s="27">
        <f t="shared" si="6"/>
        <v>409</v>
      </c>
      <c r="C413" s="54"/>
      <c r="D413" s="54"/>
      <c r="E413" s="54"/>
      <c r="F413" s="54"/>
      <c r="G413" s="54"/>
    </row>
    <row r="414" spans="2:7">
      <c r="B414" s="27">
        <f t="shared" si="6"/>
        <v>410</v>
      </c>
      <c r="C414" s="54"/>
      <c r="D414" s="54"/>
      <c r="E414" s="54"/>
      <c r="F414" s="54"/>
      <c r="G414" s="54"/>
    </row>
    <row r="415" spans="2:7">
      <c r="B415" s="27">
        <f t="shared" si="6"/>
        <v>411</v>
      </c>
      <c r="C415" s="54"/>
      <c r="D415" s="54"/>
      <c r="E415" s="54"/>
      <c r="F415" s="54"/>
      <c r="G415" s="54"/>
    </row>
    <row r="416" spans="2:7">
      <c r="B416" s="27">
        <f t="shared" si="6"/>
        <v>412</v>
      </c>
      <c r="C416" s="54"/>
      <c r="D416" s="54"/>
      <c r="E416" s="54"/>
      <c r="F416" s="54"/>
      <c r="G416" s="54"/>
    </row>
    <row r="417" spans="2:7">
      <c r="B417" s="27">
        <f t="shared" si="6"/>
        <v>413</v>
      </c>
      <c r="C417" s="54"/>
      <c r="D417" s="54"/>
      <c r="E417" s="54"/>
      <c r="F417" s="54"/>
      <c r="G417" s="54"/>
    </row>
    <row r="418" spans="2:7">
      <c r="B418" s="27">
        <f t="shared" si="6"/>
        <v>414</v>
      </c>
      <c r="C418" s="54"/>
      <c r="D418" s="54"/>
      <c r="E418" s="54"/>
      <c r="F418" s="54"/>
      <c r="G418" s="54"/>
    </row>
    <row r="419" spans="2:7">
      <c r="B419" s="27">
        <f t="shared" si="6"/>
        <v>415</v>
      </c>
      <c r="C419" s="54"/>
      <c r="D419" s="54"/>
      <c r="E419" s="54"/>
      <c r="F419" s="54"/>
      <c r="G419" s="54"/>
    </row>
    <row r="420" spans="2:7">
      <c r="B420" s="27">
        <f t="shared" si="6"/>
        <v>416</v>
      </c>
      <c r="C420" s="54"/>
      <c r="D420" s="54"/>
      <c r="E420" s="54"/>
      <c r="F420" s="54"/>
      <c r="G420" s="54"/>
    </row>
    <row r="421" spans="2:7">
      <c r="B421" s="27">
        <f t="shared" si="6"/>
        <v>417</v>
      </c>
      <c r="C421" s="54"/>
      <c r="D421" s="54"/>
      <c r="E421" s="54"/>
      <c r="F421" s="54"/>
      <c r="G421" s="54"/>
    </row>
    <row r="422" spans="2:7">
      <c r="B422" s="27">
        <f t="shared" si="6"/>
        <v>418</v>
      </c>
      <c r="C422" s="54"/>
      <c r="D422" s="54"/>
      <c r="E422" s="54"/>
      <c r="F422" s="54"/>
      <c r="G422" s="54"/>
    </row>
    <row r="423" spans="2:7">
      <c r="B423" s="27">
        <f t="shared" si="6"/>
        <v>419</v>
      </c>
      <c r="C423" s="54"/>
      <c r="D423" s="54"/>
      <c r="E423" s="54"/>
      <c r="F423" s="54"/>
      <c r="G423" s="54"/>
    </row>
    <row r="424" spans="2:7">
      <c r="B424" s="27">
        <f t="shared" si="6"/>
        <v>420</v>
      </c>
      <c r="C424" s="54"/>
      <c r="D424" s="54"/>
      <c r="E424" s="54"/>
      <c r="F424" s="54"/>
      <c r="G424" s="54"/>
    </row>
    <row r="425" spans="2:7">
      <c r="B425" s="27">
        <f t="shared" si="6"/>
        <v>421</v>
      </c>
      <c r="C425" s="54"/>
      <c r="D425" s="54"/>
      <c r="E425" s="54"/>
      <c r="F425" s="54"/>
      <c r="G425" s="54"/>
    </row>
    <row r="426" spans="2:7">
      <c r="B426" s="27">
        <f t="shared" si="6"/>
        <v>422</v>
      </c>
      <c r="C426" s="54"/>
      <c r="D426" s="54"/>
      <c r="E426" s="54"/>
      <c r="F426" s="54"/>
      <c r="G426" s="54"/>
    </row>
    <row r="427" spans="2:7">
      <c r="B427" s="27">
        <f t="shared" si="6"/>
        <v>423</v>
      </c>
      <c r="C427" s="54"/>
      <c r="D427" s="54"/>
      <c r="E427" s="54"/>
      <c r="F427" s="54"/>
      <c r="G427" s="54"/>
    </row>
    <row r="428" spans="2:7">
      <c r="B428" s="27">
        <f t="shared" si="6"/>
        <v>424</v>
      </c>
      <c r="C428" s="54"/>
      <c r="D428" s="54"/>
      <c r="E428" s="54"/>
      <c r="F428" s="54"/>
      <c r="G428" s="54"/>
    </row>
    <row r="429" spans="2:7">
      <c r="B429" s="27">
        <f t="shared" si="6"/>
        <v>425</v>
      </c>
      <c r="C429" s="54"/>
      <c r="D429" s="54"/>
      <c r="E429" s="54"/>
      <c r="F429" s="54"/>
      <c r="G429" s="54"/>
    </row>
    <row r="430" spans="2:7">
      <c r="B430" s="27">
        <f t="shared" si="6"/>
        <v>426</v>
      </c>
      <c r="C430" s="54"/>
      <c r="D430" s="54"/>
      <c r="E430" s="54"/>
      <c r="F430" s="54"/>
      <c r="G430" s="54"/>
    </row>
    <row r="431" spans="2:7">
      <c r="B431" s="27">
        <f t="shared" si="6"/>
        <v>427</v>
      </c>
      <c r="C431" s="54"/>
      <c r="D431" s="54"/>
      <c r="E431" s="54"/>
      <c r="F431" s="54"/>
      <c r="G431" s="54"/>
    </row>
    <row r="432" spans="2:7">
      <c r="B432" s="27">
        <f t="shared" si="6"/>
        <v>428</v>
      </c>
      <c r="C432" s="54"/>
      <c r="D432" s="54"/>
      <c r="E432" s="54"/>
      <c r="F432" s="54"/>
      <c r="G432" s="54"/>
    </row>
    <row r="433" spans="2:7">
      <c r="B433" s="27">
        <f t="shared" si="6"/>
        <v>429</v>
      </c>
      <c r="C433" s="54"/>
      <c r="D433" s="54"/>
      <c r="E433" s="54"/>
      <c r="F433" s="54"/>
      <c r="G433" s="54"/>
    </row>
    <row r="434" spans="2:7">
      <c r="B434" s="27">
        <f t="shared" si="6"/>
        <v>430</v>
      </c>
      <c r="C434" s="54"/>
      <c r="D434" s="54"/>
      <c r="E434" s="54"/>
      <c r="F434" s="54"/>
      <c r="G434" s="54"/>
    </row>
    <row r="435" spans="2:7">
      <c r="B435" s="27">
        <f t="shared" si="6"/>
        <v>431</v>
      </c>
      <c r="C435" s="54"/>
      <c r="D435" s="54"/>
      <c r="E435" s="54"/>
      <c r="F435" s="54"/>
      <c r="G435" s="54"/>
    </row>
    <row r="436" spans="2:7">
      <c r="B436" s="27">
        <f t="shared" si="6"/>
        <v>432</v>
      </c>
      <c r="C436" s="54"/>
      <c r="D436" s="54"/>
      <c r="E436" s="54"/>
      <c r="F436" s="54"/>
      <c r="G436" s="54"/>
    </row>
    <row r="437" spans="2:7">
      <c r="B437" s="27">
        <f t="shared" si="6"/>
        <v>433</v>
      </c>
      <c r="C437" s="54"/>
      <c r="D437" s="54"/>
      <c r="E437" s="54"/>
      <c r="F437" s="54"/>
      <c r="G437" s="54"/>
    </row>
    <row r="438" spans="2:7">
      <c r="B438" s="27">
        <f t="shared" si="6"/>
        <v>434</v>
      </c>
      <c r="C438" s="54"/>
      <c r="D438" s="54"/>
      <c r="E438" s="54"/>
      <c r="F438" s="54"/>
      <c r="G438" s="54"/>
    </row>
    <row r="439" spans="2:7">
      <c r="B439" s="27">
        <f t="shared" si="6"/>
        <v>435</v>
      </c>
      <c r="C439" s="54"/>
      <c r="D439" s="54"/>
      <c r="E439" s="54"/>
      <c r="F439" s="54"/>
      <c r="G439" s="54"/>
    </row>
    <row r="440" spans="2:7">
      <c r="B440" s="27">
        <f t="shared" si="6"/>
        <v>436</v>
      </c>
      <c r="C440" s="54"/>
      <c r="D440" s="54"/>
      <c r="E440" s="54"/>
      <c r="F440" s="54"/>
      <c r="G440" s="54"/>
    </row>
    <row r="441" spans="2:7">
      <c r="B441" s="27">
        <f t="shared" si="6"/>
        <v>437</v>
      </c>
      <c r="C441" s="54"/>
      <c r="D441" s="54"/>
      <c r="E441" s="54"/>
      <c r="F441" s="54"/>
      <c r="G441" s="54"/>
    </row>
    <row r="442" spans="2:7">
      <c r="B442" s="27">
        <f t="shared" si="6"/>
        <v>438</v>
      </c>
      <c r="C442" s="54"/>
      <c r="D442" s="54"/>
      <c r="E442" s="54"/>
      <c r="F442" s="54"/>
      <c r="G442" s="54"/>
    </row>
    <row r="443" spans="2:7">
      <c r="B443" s="27">
        <f t="shared" si="6"/>
        <v>439</v>
      </c>
      <c r="C443" s="54"/>
      <c r="D443" s="54"/>
      <c r="E443" s="54"/>
      <c r="F443" s="54"/>
      <c r="G443" s="54"/>
    </row>
    <row r="444" spans="2:7">
      <c r="B444" s="27">
        <f t="shared" si="6"/>
        <v>440</v>
      </c>
      <c r="C444" s="54"/>
      <c r="D444" s="54"/>
      <c r="E444" s="54"/>
      <c r="F444" s="54"/>
      <c r="G444" s="54"/>
    </row>
    <row r="445" spans="2:7">
      <c r="B445" s="27">
        <f t="shared" si="6"/>
        <v>441</v>
      </c>
      <c r="C445" s="54"/>
      <c r="D445" s="54"/>
      <c r="E445" s="54"/>
      <c r="F445" s="54"/>
      <c r="G445" s="54"/>
    </row>
    <row r="446" spans="2:7">
      <c r="B446" s="27">
        <f t="shared" si="6"/>
        <v>442</v>
      </c>
      <c r="C446" s="54"/>
      <c r="D446" s="54"/>
      <c r="E446" s="54"/>
      <c r="F446" s="54"/>
      <c r="G446" s="54"/>
    </row>
    <row r="447" spans="2:7">
      <c r="B447" s="27">
        <f t="shared" si="6"/>
        <v>443</v>
      </c>
      <c r="C447" s="54"/>
      <c r="D447" s="54"/>
      <c r="E447" s="54"/>
      <c r="F447" s="54"/>
      <c r="G447" s="54"/>
    </row>
    <row r="448" spans="2:7">
      <c r="B448" s="27">
        <f t="shared" si="6"/>
        <v>444</v>
      </c>
      <c r="C448" s="54"/>
      <c r="D448" s="54"/>
      <c r="E448" s="54"/>
      <c r="F448" s="54"/>
      <c r="G448" s="54"/>
    </row>
    <row r="449" spans="2:7">
      <c r="B449" s="27">
        <f t="shared" si="6"/>
        <v>445</v>
      </c>
      <c r="C449" s="54"/>
      <c r="D449" s="54"/>
      <c r="E449" s="54"/>
      <c r="F449" s="54"/>
      <c r="G449" s="54"/>
    </row>
    <row r="450" spans="2:7">
      <c r="B450" s="27">
        <f t="shared" si="6"/>
        <v>446</v>
      </c>
      <c r="C450" s="54"/>
      <c r="D450" s="54"/>
      <c r="E450" s="54"/>
      <c r="F450" s="54"/>
      <c r="G450" s="54"/>
    </row>
    <row r="451" spans="2:7">
      <c r="B451" s="27">
        <f t="shared" si="6"/>
        <v>447</v>
      </c>
      <c r="C451" s="54"/>
      <c r="D451" s="54"/>
      <c r="E451" s="54"/>
      <c r="F451" s="54"/>
      <c r="G451" s="54"/>
    </row>
    <row r="452" spans="2:7">
      <c r="B452" s="27">
        <f t="shared" si="6"/>
        <v>448</v>
      </c>
      <c r="C452" s="54"/>
      <c r="D452" s="54"/>
      <c r="E452" s="54"/>
      <c r="F452" s="54"/>
      <c r="G452" s="54"/>
    </row>
    <row r="453" spans="2:7">
      <c r="B453" s="27">
        <f t="shared" si="6"/>
        <v>449</v>
      </c>
      <c r="C453" s="54"/>
      <c r="D453" s="54"/>
      <c r="E453" s="54"/>
      <c r="F453" s="54"/>
      <c r="G453" s="54"/>
    </row>
    <row r="454" spans="2:7">
      <c r="B454" s="27">
        <f t="shared" si="6"/>
        <v>450</v>
      </c>
      <c r="C454" s="54"/>
      <c r="D454" s="54"/>
      <c r="E454" s="54"/>
      <c r="F454" s="54"/>
      <c r="G454" s="54"/>
    </row>
    <row r="455" spans="2:7">
      <c r="B455" s="27">
        <f t="shared" ref="B455:B504" si="7">B454+1</f>
        <v>451</v>
      </c>
      <c r="C455" s="54"/>
      <c r="D455" s="54"/>
      <c r="E455" s="54"/>
      <c r="F455" s="54"/>
      <c r="G455" s="54"/>
    </row>
    <row r="456" spans="2:7">
      <c r="B456" s="27">
        <f t="shared" si="7"/>
        <v>452</v>
      </c>
      <c r="C456" s="54"/>
      <c r="D456" s="54"/>
      <c r="E456" s="54"/>
      <c r="F456" s="54"/>
      <c r="G456" s="54"/>
    </row>
    <row r="457" spans="2:7">
      <c r="B457" s="27">
        <f t="shared" si="7"/>
        <v>453</v>
      </c>
      <c r="C457" s="54"/>
      <c r="D457" s="54"/>
      <c r="E457" s="54"/>
      <c r="F457" s="54"/>
      <c r="G457" s="54"/>
    </row>
    <row r="458" spans="2:7">
      <c r="B458" s="27">
        <f t="shared" si="7"/>
        <v>454</v>
      </c>
      <c r="C458" s="54"/>
      <c r="D458" s="54"/>
      <c r="E458" s="54"/>
      <c r="F458" s="54"/>
      <c r="G458" s="54"/>
    </row>
    <row r="459" spans="2:7">
      <c r="B459" s="27">
        <f t="shared" si="7"/>
        <v>455</v>
      </c>
      <c r="C459" s="54"/>
      <c r="D459" s="54"/>
      <c r="E459" s="54"/>
      <c r="F459" s="54"/>
      <c r="G459" s="54"/>
    </row>
    <row r="460" spans="2:7">
      <c r="B460" s="27">
        <f t="shared" si="7"/>
        <v>456</v>
      </c>
      <c r="C460" s="54"/>
      <c r="D460" s="54"/>
      <c r="E460" s="54"/>
      <c r="F460" s="54"/>
      <c r="G460" s="54"/>
    </row>
    <row r="461" spans="2:7">
      <c r="B461" s="27">
        <f t="shared" si="7"/>
        <v>457</v>
      </c>
      <c r="C461" s="54"/>
      <c r="D461" s="54"/>
      <c r="E461" s="54"/>
      <c r="F461" s="54"/>
      <c r="G461" s="54"/>
    </row>
    <row r="462" spans="2:7">
      <c r="B462" s="27">
        <f t="shared" si="7"/>
        <v>458</v>
      </c>
      <c r="C462" s="54"/>
      <c r="D462" s="54"/>
      <c r="E462" s="54"/>
      <c r="F462" s="54"/>
      <c r="G462" s="54"/>
    </row>
    <row r="463" spans="2:7">
      <c r="B463" s="27">
        <f t="shared" si="7"/>
        <v>459</v>
      </c>
      <c r="C463" s="54"/>
      <c r="D463" s="54"/>
      <c r="E463" s="54"/>
      <c r="F463" s="54"/>
      <c r="G463" s="54"/>
    </row>
    <row r="464" spans="2:7">
      <c r="B464" s="27">
        <f t="shared" si="7"/>
        <v>460</v>
      </c>
      <c r="C464" s="54"/>
      <c r="D464" s="54"/>
      <c r="E464" s="54"/>
      <c r="F464" s="54"/>
      <c r="G464" s="54"/>
    </row>
    <row r="465" spans="2:7">
      <c r="B465" s="27">
        <f t="shared" si="7"/>
        <v>461</v>
      </c>
      <c r="C465" s="54"/>
      <c r="D465" s="54"/>
      <c r="E465" s="54"/>
      <c r="F465" s="54"/>
      <c r="G465" s="54"/>
    </row>
    <row r="466" spans="2:7">
      <c r="B466" s="27">
        <f t="shared" si="7"/>
        <v>462</v>
      </c>
      <c r="C466" s="54"/>
      <c r="D466" s="54"/>
      <c r="E466" s="54"/>
      <c r="F466" s="54"/>
      <c r="G466" s="54"/>
    </row>
    <row r="467" spans="2:7">
      <c r="B467" s="27">
        <f t="shared" si="7"/>
        <v>463</v>
      </c>
      <c r="C467" s="54"/>
      <c r="D467" s="54"/>
      <c r="E467" s="54"/>
      <c r="F467" s="54"/>
      <c r="G467" s="54"/>
    </row>
    <row r="468" spans="2:7">
      <c r="B468" s="27">
        <f t="shared" si="7"/>
        <v>464</v>
      </c>
      <c r="C468" s="54"/>
      <c r="D468" s="54"/>
      <c r="E468" s="54"/>
      <c r="F468" s="54"/>
      <c r="G468" s="54"/>
    </row>
    <row r="469" spans="2:7">
      <c r="B469" s="27">
        <f t="shared" si="7"/>
        <v>465</v>
      </c>
      <c r="C469" s="54"/>
      <c r="D469" s="54"/>
      <c r="E469" s="54"/>
      <c r="F469" s="54"/>
      <c r="G469" s="54"/>
    </row>
    <row r="470" spans="2:7">
      <c r="B470" s="27">
        <f t="shared" si="7"/>
        <v>466</v>
      </c>
      <c r="C470" s="54"/>
      <c r="D470" s="54"/>
      <c r="E470" s="54"/>
      <c r="F470" s="54"/>
      <c r="G470" s="54"/>
    </row>
    <row r="471" spans="2:7">
      <c r="B471" s="27">
        <f t="shared" si="7"/>
        <v>467</v>
      </c>
      <c r="C471" s="54"/>
      <c r="D471" s="54"/>
      <c r="E471" s="54"/>
      <c r="F471" s="54"/>
      <c r="G471" s="54"/>
    </row>
    <row r="472" spans="2:7">
      <c r="B472" s="27">
        <f t="shared" si="7"/>
        <v>468</v>
      </c>
      <c r="C472" s="54"/>
      <c r="D472" s="54"/>
      <c r="E472" s="54"/>
      <c r="F472" s="54"/>
      <c r="G472" s="54"/>
    </row>
    <row r="473" spans="2:7">
      <c r="B473" s="27">
        <f t="shared" si="7"/>
        <v>469</v>
      </c>
      <c r="C473" s="54"/>
      <c r="D473" s="54"/>
      <c r="E473" s="54"/>
      <c r="F473" s="54"/>
      <c r="G473" s="54"/>
    </row>
    <row r="474" spans="2:7">
      <c r="B474" s="27">
        <f t="shared" si="7"/>
        <v>470</v>
      </c>
      <c r="C474" s="54"/>
      <c r="D474" s="54"/>
      <c r="E474" s="54"/>
      <c r="F474" s="54"/>
      <c r="G474" s="54"/>
    </row>
    <row r="475" spans="2:7">
      <c r="B475" s="27">
        <f t="shared" si="7"/>
        <v>471</v>
      </c>
      <c r="C475" s="54"/>
      <c r="D475" s="54"/>
      <c r="E475" s="54"/>
      <c r="F475" s="54"/>
      <c r="G475" s="54"/>
    </row>
    <row r="476" spans="2:7">
      <c r="B476" s="27">
        <f t="shared" si="7"/>
        <v>472</v>
      </c>
      <c r="C476" s="54"/>
      <c r="D476" s="54"/>
      <c r="E476" s="54"/>
      <c r="F476" s="54"/>
      <c r="G476" s="54"/>
    </row>
    <row r="477" spans="2:7">
      <c r="B477" s="27">
        <f t="shared" si="7"/>
        <v>473</v>
      </c>
      <c r="C477" s="54"/>
      <c r="D477" s="54"/>
      <c r="E477" s="54"/>
      <c r="F477" s="54"/>
      <c r="G477" s="54"/>
    </row>
    <row r="478" spans="2:7">
      <c r="B478" s="27">
        <f t="shared" si="7"/>
        <v>474</v>
      </c>
      <c r="C478" s="54"/>
      <c r="D478" s="54"/>
      <c r="E478" s="54"/>
      <c r="F478" s="54"/>
      <c r="G478" s="54"/>
    </row>
    <row r="479" spans="2:7">
      <c r="B479" s="27">
        <f t="shared" si="7"/>
        <v>475</v>
      </c>
      <c r="C479" s="54"/>
      <c r="D479" s="54"/>
      <c r="E479" s="54"/>
      <c r="F479" s="54"/>
      <c r="G479" s="54"/>
    </row>
    <row r="480" spans="2:7">
      <c r="B480" s="27">
        <f t="shared" si="7"/>
        <v>476</v>
      </c>
      <c r="C480" s="54"/>
      <c r="D480" s="54"/>
      <c r="E480" s="54"/>
      <c r="F480" s="54"/>
      <c r="G480" s="54"/>
    </row>
    <row r="481" spans="2:7">
      <c r="B481" s="27">
        <f t="shared" si="7"/>
        <v>477</v>
      </c>
      <c r="C481" s="54"/>
      <c r="D481" s="54"/>
      <c r="E481" s="54"/>
      <c r="F481" s="54"/>
      <c r="G481" s="54"/>
    </row>
    <row r="482" spans="2:7">
      <c r="B482" s="27">
        <f t="shared" si="7"/>
        <v>478</v>
      </c>
      <c r="C482" s="54"/>
      <c r="D482" s="54"/>
      <c r="E482" s="54"/>
      <c r="F482" s="54"/>
      <c r="G482" s="54"/>
    </row>
    <row r="483" spans="2:7">
      <c r="B483" s="27">
        <f t="shared" si="7"/>
        <v>479</v>
      </c>
      <c r="C483" s="54"/>
      <c r="D483" s="54"/>
      <c r="E483" s="54"/>
      <c r="F483" s="54"/>
      <c r="G483" s="54"/>
    </row>
    <row r="484" spans="2:7">
      <c r="B484" s="27">
        <f t="shared" si="7"/>
        <v>480</v>
      </c>
      <c r="C484" s="54"/>
      <c r="D484" s="54"/>
      <c r="E484" s="54"/>
      <c r="F484" s="54"/>
      <c r="G484" s="54"/>
    </row>
    <row r="485" spans="2:7">
      <c r="B485" s="27">
        <f t="shared" si="7"/>
        <v>481</v>
      </c>
      <c r="C485" s="54"/>
      <c r="D485" s="54"/>
      <c r="E485" s="54"/>
      <c r="F485" s="54"/>
      <c r="G485" s="54"/>
    </row>
    <row r="486" spans="2:7">
      <c r="B486" s="27">
        <f t="shared" si="7"/>
        <v>482</v>
      </c>
      <c r="C486" s="54"/>
      <c r="D486" s="54"/>
      <c r="E486" s="54"/>
      <c r="F486" s="54"/>
      <c r="G486" s="54"/>
    </row>
    <row r="487" spans="2:7">
      <c r="B487" s="27">
        <f t="shared" si="7"/>
        <v>483</v>
      </c>
      <c r="C487" s="54"/>
      <c r="D487" s="54"/>
      <c r="E487" s="54"/>
      <c r="F487" s="54"/>
      <c r="G487" s="54"/>
    </row>
    <row r="488" spans="2:7">
      <c r="B488" s="27">
        <f t="shared" si="7"/>
        <v>484</v>
      </c>
      <c r="C488" s="54"/>
      <c r="D488" s="54"/>
      <c r="E488" s="54"/>
      <c r="F488" s="54"/>
      <c r="G488" s="54"/>
    </row>
    <row r="489" spans="2:7">
      <c r="B489" s="27">
        <f t="shared" si="7"/>
        <v>485</v>
      </c>
      <c r="C489" s="54"/>
      <c r="D489" s="54"/>
      <c r="E489" s="54"/>
      <c r="F489" s="54"/>
      <c r="G489" s="54"/>
    </row>
    <row r="490" spans="2:7">
      <c r="B490" s="27">
        <f t="shared" si="7"/>
        <v>486</v>
      </c>
      <c r="C490" s="54"/>
      <c r="D490" s="54"/>
      <c r="E490" s="54"/>
      <c r="F490" s="54"/>
      <c r="G490" s="54"/>
    </row>
    <row r="491" spans="2:7">
      <c r="B491" s="27">
        <f t="shared" si="7"/>
        <v>487</v>
      </c>
      <c r="C491" s="54"/>
      <c r="D491" s="54"/>
      <c r="E491" s="54"/>
      <c r="F491" s="54"/>
      <c r="G491" s="54"/>
    </row>
    <row r="492" spans="2:7">
      <c r="B492" s="27">
        <f t="shared" si="7"/>
        <v>488</v>
      </c>
      <c r="C492" s="54"/>
      <c r="D492" s="54"/>
      <c r="E492" s="54"/>
      <c r="F492" s="54"/>
      <c r="G492" s="54"/>
    </row>
    <row r="493" spans="2:7">
      <c r="B493" s="27">
        <f t="shared" si="7"/>
        <v>489</v>
      </c>
      <c r="C493" s="54"/>
      <c r="D493" s="54"/>
      <c r="E493" s="54"/>
      <c r="F493" s="54"/>
      <c r="G493" s="54"/>
    </row>
    <row r="494" spans="2:7">
      <c r="B494" s="27">
        <f t="shared" si="7"/>
        <v>490</v>
      </c>
      <c r="C494" s="54"/>
      <c r="D494" s="54"/>
      <c r="E494" s="54"/>
      <c r="F494" s="54"/>
      <c r="G494" s="54"/>
    </row>
    <row r="495" spans="2:7">
      <c r="B495" s="27">
        <f t="shared" si="7"/>
        <v>491</v>
      </c>
      <c r="C495" s="54"/>
      <c r="D495" s="54"/>
      <c r="E495" s="54"/>
      <c r="F495" s="54"/>
      <c r="G495" s="54"/>
    </row>
    <row r="496" spans="2:7">
      <c r="B496" s="27">
        <f t="shared" si="7"/>
        <v>492</v>
      </c>
      <c r="C496" s="54"/>
      <c r="D496" s="54"/>
      <c r="E496" s="54"/>
      <c r="F496" s="54"/>
      <c r="G496" s="54"/>
    </row>
    <row r="497" spans="2:7">
      <c r="B497" s="27">
        <f t="shared" si="7"/>
        <v>493</v>
      </c>
      <c r="C497" s="54"/>
      <c r="D497" s="54"/>
      <c r="E497" s="54"/>
      <c r="F497" s="54"/>
      <c r="G497" s="54"/>
    </row>
    <row r="498" spans="2:7">
      <c r="B498" s="27">
        <f t="shared" si="7"/>
        <v>494</v>
      </c>
      <c r="C498" s="54"/>
      <c r="D498" s="54"/>
      <c r="E498" s="54"/>
      <c r="F498" s="54"/>
      <c r="G498" s="54"/>
    </row>
    <row r="499" spans="2:7">
      <c r="B499" s="27">
        <f t="shared" si="7"/>
        <v>495</v>
      </c>
      <c r="C499" s="54"/>
      <c r="D499" s="54"/>
      <c r="E499" s="54"/>
      <c r="F499" s="54"/>
      <c r="G499" s="54"/>
    </row>
    <row r="500" spans="2:7">
      <c r="B500" s="27">
        <f t="shared" si="7"/>
        <v>496</v>
      </c>
      <c r="C500" s="54"/>
      <c r="D500" s="54"/>
      <c r="E500" s="54"/>
      <c r="F500" s="54"/>
      <c r="G500" s="54"/>
    </row>
    <row r="501" spans="2:7">
      <c r="B501" s="27">
        <f t="shared" si="7"/>
        <v>497</v>
      </c>
      <c r="C501" s="54"/>
      <c r="D501" s="54"/>
      <c r="E501" s="54"/>
      <c r="F501" s="54"/>
      <c r="G501" s="54"/>
    </row>
    <row r="502" spans="2:7">
      <c r="B502" s="27">
        <f t="shared" si="7"/>
        <v>498</v>
      </c>
      <c r="C502" s="54"/>
      <c r="D502" s="54"/>
      <c r="E502" s="54"/>
      <c r="F502" s="54"/>
      <c r="G502" s="54"/>
    </row>
    <row r="503" spans="2:7">
      <c r="B503" s="27">
        <f t="shared" si="7"/>
        <v>499</v>
      </c>
      <c r="C503" s="54"/>
      <c r="D503" s="54"/>
      <c r="E503" s="54"/>
      <c r="F503" s="54"/>
      <c r="G503" s="54"/>
    </row>
    <row r="504" spans="2:7">
      <c r="B504" s="27">
        <f t="shared" si="7"/>
        <v>500</v>
      </c>
      <c r="C504" s="54"/>
      <c r="D504" s="54"/>
      <c r="E504" s="54"/>
      <c r="F504" s="54"/>
      <c r="G504" s="54"/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B2:H304"/>
  <sheetViews>
    <sheetView workbookViewId="0">
      <selection activeCell="M9" sqref="M9"/>
    </sheetView>
  </sheetViews>
  <sheetFormatPr defaultRowHeight="13.2"/>
  <cols>
    <col min="1" max="2" width="8.88671875" style="29"/>
    <col min="3" max="3" width="61.5546875" style="29" bestFit="1" customWidth="1"/>
    <col min="4" max="6" width="5.77734375" style="29" customWidth="1"/>
    <col min="7" max="7" width="12.33203125" style="29" customWidth="1"/>
    <col min="8" max="8" width="20.109375" style="29" bestFit="1" customWidth="1"/>
    <col min="9" max="16384" width="8.88671875" style="29"/>
  </cols>
  <sheetData>
    <row r="2" spans="2:8" ht="16.2">
      <c r="B2" s="28" t="str" cm="1">
        <f t="array" aca="1" ref="B2" ca="1">RIGHT(CELL("filename",A1),LEN(CELL("filename",A1))-FIND("]",CELL("filename",A1)))</f>
        <v>注射</v>
      </c>
    </row>
    <row r="4" spans="2:8" s="68" customFormat="1" ht="26.4">
      <c r="B4" s="67" t="s">
        <v>4038</v>
      </c>
      <c r="C4" s="67" t="s">
        <v>4039</v>
      </c>
      <c r="D4" s="67" t="s">
        <v>4040</v>
      </c>
      <c r="E4" s="67" t="s">
        <v>4062</v>
      </c>
      <c r="F4" s="67" t="s">
        <v>4064</v>
      </c>
      <c r="G4" s="67" t="s">
        <v>4065</v>
      </c>
      <c r="H4" s="67" t="s">
        <v>4113</v>
      </c>
    </row>
    <row r="5" spans="2:8">
      <c r="B5" s="27">
        <v>1</v>
      </c>
      <c r="C5" s="27" t="str" cm="1">
        <f t="array" aca="1" ref="C5:G89" ca="1">_xlfn._xlws.SORT(_xlfn.CHOOSECOLS(_xlfn._xlws.FILTER(IFERROR(統合マスタ!B2:Z1491,""),IFERROR(統合マスタ!R2:R1491=1,FALSE)*IFERROR(ISNUMBER(MATCH(統合マスタ!V2:V1491,分類!Q8:Q15,0)),FALSE)),2,23,25,4,5),2,1)</f>
        <v>アクチット輸液　　　　　　　　　　　　　　</v>
      </c>
      <c r="D5" s="27">
        <f ca="1"/>
        <v>0</v>
      </c>
      <c r="E5" s="54">
        <f ca="1"/>
        <v>10</v>
      </c>
      <c r="F5" s="54" t="str">
        <f ca="1"/>
        <v/>
      </c>
      <c r="G5" s="54" t="str">
        <f ca="1"/>
        <v>５００ｍｌｘ２０袋</v>
      </c>
      <c r="H5" s="54" t="str">
        <f ca="1">IF(E5="","",OFFSET(分類!$B$29,E5,0))</f>
        <v>輸液</v>
      </c>
    </row>
    <row r="6" spans="2:8">
      <c r="B6" s="27">
        <f>B5+1</f>
        <v>2</v>
      </c>
      <c r="C6" s="27" t="str">
        <f ca="1"/>
        <v>アスコルビン酸注５００ｍｇ「イセイ」　</v>
      </c>
      <c r="D6" s="27">
        <f ca="1"/>
        <v>0</v>
      </c>
      <c r="E6" s="54">
        <f ca="1"/>
        <v>11</v>
      </c>
      <c r="F6" s="54" t="str">
        <f ca="1"/>
        <v/>
      </c>
      <c r="G6" s="54" t="str">
        <f ca="1"/>
        <v>２ｍｌｘ５０Ａ</v>
      </c>
      <c r="H6" s="54" t="str">
        <f ca="1">IF(E6="","",OFFSET(分類!$B$29,E6,0))</f>
        <v>冷蔵庫</v>
      </c>
    </row>
    <row r="7" spans="2:8">
      <c r="B7" s="27">
        <f t="shared" ref="B7:B70" si="0">B6+1</f>
        <v>3</v>
      </c>
      <c r="C7" s="27" t="str">
        <f ca="1"/>
        <v>アスパラギン酸カリウム注　１０ＭＥＱキット「テルモ」</v>
      </c>
      <c r="D7" s="27">
        <f ca="1"/>
        <v>0</v>
      </c>
      <c r="E7" s="54">
        <f ca="1"/>
        <v>9</v>
      </c>
      <c r="F7" s="54" t="str">
        <f ca="1"/>
        <v/>
      </c>
      <c r="G7" s="54" t="str">
        <f ca="1"/>
        <v>１０ｍｌｘ１０</v>
      </c>
      <c r="H7" s="54" t="str">
        <f ca="1">IF(E7="","",OFFSET(分類!$B$29,E7,0))</f>
        <v>注射</v>
      </c>
    </row>
    <row r="8" spans="2:8">
      <c r="B8" s="27">
        <f t="shared" si="0"/>
        <v>4</v>
      </c>
      <c r="C8" s="27" t="str">
        <f ca="1"/>
        <v>アドナ注（静脈用）５０ｍｇ　　　　　　　</v>
      </c>
      <c r="D8" s="27">
        <f ca="1"/>
        <v>0</v>
      </c>
      <c r="E8" s="54">
        <f ca="1"/>
        <v>9</v>
      </c>
      <c r="F8" s="54" t="str">
        <f ca="1"/>
        <v/>
      </c>
      <c r="G8" s="54" t="str">
        <f ca="1"/>
        <v>１０ｍｌ×１０Ａ</v>
      </c>
      <c r="H8" s="54" t="str">
        <f ca="1">IF(E8="","",OFFSET(分類!$B$29,E8,0))</f>
        <v>注射</v>
      </c>
    </row>
    <row r="9" spans="2:8">
      <c r="B9" s="27">
        <f t="shared" si="0"/>
        <v>5</v>
      </c>
      <c r="C9" s="27" t="str">
        <f ca="1"/>
        <v>アドナ注（静脈用）５０ｍｇ　　　　　　　</v>
      </c>
      <c r="D9" s="27">
        <f ca="1"/>
        <v>0</v>
      </c>
      <c r="E9" s="54">
        <f ca="1"/>
        <v>9</v>
      </c>
      <c r="F9" s="54" t="str">
        <f ca="1"/>
        <v/>
      </c>
      <c r="G9" s="54" t="str">
        <f ca="1"/>
        <v>１０ｍｌ×５０Ａ</v>
      </c>
      <c r="H9" s="54" t="str">
        <f ca="1">IF(E9="","",OFFSET(分類!$B$29,E9,0))</f>
        <v>注射</v>
      </c>
    </row>
    <row r="10" spans="2:8">
      <c r="B10" s="27">
        <f t="shared" si="0"/>
        <v>6</v>
      </c>
      <c r="C10" s="27" t="str">
        <f ca="1"/>
        <v>アルブミナー２５％静注１２．５ｇ／５０ｍｌ</v>
      </c>
      <c r="D10" s="27">
        <f ca="1"/>
        <v>0</v>
      </c>
      <c r="E10" s="54">
        <f ca="1"/>
        <v>6</v>
      </c>
      <c r="F10" s="54" t="str">
        <f ca="1"/>
        <v/>
      </c>
      <c r="G10" s="54" t="str">
        <f ca="1"/>
        <v>５０ｍｌｘ１Ｖ</v>
      </c>
      <c r="H10" s="54" t="str">
        <f ca="1">IF(E10="","",OFFSET(分類!$B$29,E10,0))</f>
        <v>劇薬バラ</v>
      </c>
    </row>
    <row r="11" spans="2:8">
      <c r="B11" s="27">
        <f t="shared" si="0"/>
        <v>7</v>
      </c>
      <c r="C11" s="27" t="str">
        <f ca="1"/>
        <v>イベニティ皮下注１０５ｍｇシリンジ</v>
      </c>
      <c r="D11" s="27">
        <f ca="1"/>
        <v>0</v>
      </c>
      <c r="E11" s="54">
        <f ca="1"/>
        <v>11</v>
      </c>
      <c r="F11" s="54" t="str">
        <f ca="1"/>
        <v/>
      </c>
      <c r="G11" s="54" t="str">
        <f ca="1"/>
        <v>２筒</v>
      </c>
      <c r="H11" s="54" t="str">
        <f ca="1">IF(E11="","",OFFSET(分類!$B$29,E11,0))</f>
        <v>冷蔵庫</v>
      </c>
    </row>
    <row r="12" spans="2:8">
      <c r="B12" s="27">
        <f t="shared" si="0"/>
        <v>8</v>
      </c>
      <c r="C12" s="27" t="str">
        <f ca="1"/>
        <v>グリセオール注</v>
      </c>
      <c r="D12" s="27">
        <f ca="1"/>
        <v>0</v>
      </c>
      <c r="E12" s="54">
        <f ca="1"/>
        <v>9</v>
      </c>
      <c r="F12" s="54" t="str">
        <f ca="1"/>
        <v/>
      </c>
      <c r="G12" s="54" t="str">
        <f ca="1"/>
        <v>２００ｍｌｘ１０</v>
      </c>
      <c r="H12" s="54" t="str">
        <f ca="1">IF(E12="","",OFFSET(分類!$B$29,E12,0))</f>
        <v>注射</v>
      </c>
    </row>
    <row r="13" spans="2:8">
      <c r="B13" s="27">
        <f t="shared" si="0"/>
        <v>9</v>
      </c>
      <c r="C13" s="27" t="str">
        <f ca="1"/>
        <v>ケイツーＮ静注１０ｍｇ</v>
      </c>
      <c r="D13" s="27">
        <f ca="1"/>
        <v>0</v>
      </c>
      <c r="E13" s="54">
        <f ca="1"/>
        <v>9</v>
      </c>
      <c r="F13" s="54" t="str">
        <f ca="1"/>
        <v/>
      </c>
      <c r="G13" s="54" t="str">
        <f ca="1"/>
        <v>２ｍｌｘ１０管</v>
      </c>
      <c r="H13" s="54" t="str">
        <f ca="1">IF(E13="","",OFFSET(分類!$B$29,E13,0))</f>
        <v>注射</v>
      </c>
    </row>
    <row r="14" spans="2:8">
      <c r="B14" s="27">
        <f t="shared" si="0"/>
        <v>10</v>
      </c>
      <c r="C14" s="27" t="str">
        <f ca="1"/>
        <v>ジアゼパム注射液５ｍｇ「ＮＩＧ」</v>
      </c>
      <c r="D14" s="27">
        <f ca="1"/>
        <v>0</v>
      </c>
      <c r="E14" s="54">
        <f ca="1"/>
        <v>9</v>
      </c>
      <c r="F14" s="54" t="str">
        <f ca="1"/>
        <v/>
      </c>
      <c r="G14" s="54" t="str">
        <f ca="1"/>
        <v>１ｍｌｘ１０Ａ</v>
      </c>
      <c r="H14" s="54" t="str">
        <f ca="1">IF(E14="","",OFFSET(分類!$B$29,E14,0))</f>
        <v>注射</v>
      </c>
    </row>
    <row r="15" spans="2:8">
      <c r="B15" s="27">
        <f t="shared" si="0"/>
        <v>11</v>
      </c>
      <c r="C15" s="27" t="str">
        <f ca="1"/>
        <v>スルバシリン静注用１．５ｇ</v>
      </c>
      <c r="D15" s="27">
        <f ca="1"/>
        <v>0</v>
      </c>
      <c r="E15" s="54">
        <f ca="1"/>
        <v>8</v>
      </c>
      <c r="F15" s="54" t="str">
        <f ca="1"/>
        <v/>
      </c>
      <c r="G15" s="54" t="str">
        <f ca="1"/>
        <v>１０瓶</v>
      </c>
      <c r="H15" s="54" t="str">
        <f ca="1">IF(E15="","",OFFSET(分類!$B$29,E15,0))</f>
        <v>抗生剤.小輸液</v>
      </c>
    </row>
    <row r="16" spans="2:8">
      <c r="B16" s="27">
        <f t="shared" si="0"/>
        <v>12</v>
      </c>
      <c r="C16" s="27" t="str">
        <f ca="1"/>
        <v>セフェピム塩酸塩静注用１ｇ「サンド」</v>
      </c>
      <c r="D16" s="27">
        <f ca="1"/>
        <v>0</v>
      </c>
      <c r="E16" s="54">
        <f ca="1"/>
        <v>8</v>
      </c>
      <c r="F16" s="54" t="str">
        <f ca="1"/>
        <v/>
      </c>
      <c r="G16" s="54" t="str">
        <f ca="1"/>
        <v>１０Ｖ</v>
      </c>
      <c r="H16" s="54" t="str">
        <f ca="1">IF(E16="","",OFFSET(分類!$B$29,E16,0))</f>
        <v>抗生剤.小輸液</v>
      </c>
    </row>
    <row r="17" spans="2:8">
      <c r="B17" s="27">
        <f t="shared" si="0"/>
        <v>13</v>
      </c>
      <c r="C17" s="27" t="str">
        <f ca="1"/>
        <v>セフタジジム静注用１ｇ「ＶＴＲＳ」</v>
      </c>
      <c r="D17" s="27">
        <f ca="1"/>
        <v>0</v>
      </c>
      <c r="E17" s="54">
        <f ca="1"/>
        <v>8</v>
      </c>
      <c r="F17" s="54" t="str">
        <f ca="1"/>
        <v/>
      </c>
      <c r="G17" s="54" t="str">
        <f ca="1"/>
        <v>１０Ｖ</v>
      </c>
      <c r="H17" s="54" t="str">
        <f ca="1">IF(E17="","",OFFSET(分類!$B$29,E17,0))</f>
        <v>抗生剤.小輸液</v>
      </c>
    </row>
    <row r="18" spans="2:8">
      <c r="B18" s="27">
        <f t="shared" si="0"/>
        <v>14</v>
      </c>
      <c r="C18" s="27" t="str">
        <f ca="1"/>
        <v>セフトリアキソンＮａ静注１Ｇ「ニチイコウ」</v>
      </c>
      <c r="D18" s="27">
        <f ca="1"/>
        <v>0</v>
      </c>
      <c r="E18" s="54">
        <f ca="1"/>
        <v>8</v>
      </c>
      <c r="F18" s="54" t="str">
        <f ca="1"/>
        <v/>
      </c>
      <c r="G18" s="54" t="str">
        <f ca="1"/>
        <v>１Ｇ　　　１０Ｖ</v>
      </c>
      <c r="H18" s="54" t="str">
        <f ca="1">IF(E18="","",OFFSET(分類!$B$29,E18,0))</f>
        <v>抗生剤.小輸液</v>
      </c>
    </row>
    <row r="19" spans="2:8">
      <c r="B19" s="27">
        <f t="shared" si="0"/>
        <v>15</v>
      </c>
      <c r="C19" s="27" t="str">
        <f ca="1"/>
        <v>ゾシン静注用４．５</v>
      </c>
      <c r="D19" s="27">
        <f ca="1"/>
        <v>0</v>
      </c>
      <c r="E19" s="54">
        <f ca="1"/>
        <v>8</v>
      </c>
      <c r="F19" s="54" t="str">
        <f ca="1"/>
        <v/>
      </c>
      <c r="G19" s="54" t="str">
        <f ca="1"/>
        <v>１０Ｖ</v>
      </c>
      <c r="H19" s="54" t="str">
        <f ca="1">IF(E19="","",OFFSET(分類!$B$29,E19,0))</f>
        <v>抗生剤.小輸液</v>
      </c>
    </row>
    <row r="20" spans="2:8">
      <c r="B20" s="27">
        <f t="shared" si="0"/>
        <v>16</v>
      </c>
      <c r="C20" s="27" t="str">
        <f ca="1"/>
        <v>ソルデム－１輸液　２００ｍｌ</v>
      </c>
      <c r="D20" s="27">
        <f ca="1"/>
        <v>0</v>
      </c>
      <c r="E20" s="54">
        <f ca="1"/>
        <v>10</v>
      </c>
      <c r="F20" s="54" t="str">
        <f ca="1"/>
        <v/>
      </c>
      <c r="G20" s="54" t="str">
        <f ca="1"/>
        <v>２００ＭＬＸ３０</v>
      </c>
      <c r="H20" s="54" t="str">
        <f ca="1">IF(E20="","",OFFSET(分類!$B$29,E20,0))</f>
        <v>輸液</v>
      </c>
    </row>
    <row r="21" spans="2:8">
      <c r="B21" s="27">
        <f t="shared" si="0"/>
        <v>17</v>
      </c>
      <c r="C21" s="27" t="str">
        <f ca="1"/>
        <v>ソルデム１輸液　５００ｍｌ</v>
      </c>
      <c r="D21" s="27">
        <f ca="1"/>
        <v>0</v>
      </c>
      <c r="E21" s="54">
        <f ca="1"/>
        <v>10</v>
      </c>
      <c r="F21" s="54" t="str">
        <f ca="1"/>
        <v/>
      </c>
      <c r="G21" s="54" t="str">
        <f ca="1"/>
        <v>２０袋</v>
      </c>
      <c r="H21" s="54" t="str">
        <f ca="1">IF(E21="","",OFFSET(分類!$B$29,E21,0))</f>
        <v>輸液</v>
      </c>
    </row>
    <row r="22" spans="2:8">
      <c r="B22" s="27">
        <f t="shared" si="0"/>
        <v>18</v>
      </c>
      <c r="C22" s="27" t="str">
        <f ca="1"/>
        <v>ダイビタミックス注</v>
      </c>
      <c r="D22" s="27">
        <f ca="1"/>
        <v>0</v>
      </c>
      <c r="E22" s="54">
        <f ca="1"/>
        <v>11</v>
      </c>
      <c r="F22" s="54" t="str">
        <f ca="1"/>
        <v/>
      </c>
      <c r="G22" s="54" t="str">
        <f ca="1"/>
        <v>２ｍｌｘ５０管</v>
      </c>
      <c r="H22" s="54" t="str">
        <f ca="1">IF(E22="","",OFFSET(分類!$B$29,E22,0))</f>
        <v>冷蔵庫</v>
      </c>
    </row>
    <row r="23" spans="2:8">
      <c r="B23" s="27">
        <f t="shared" si="0"/>
        <v>19</v>
      </c>
      <c r="C23" s="27" t="str">
        <f ca="1"/>
        <v>タケプロン静注用３０ｍｇ</v>
      </c>
      <c r="D23" s="27">
        <f ca="1"/>
        <v>0</v>
      </c>
      <c r="E23" s="54">
        <f ca="1"/>
        <v>9</v>
      </c>
      <c r="F23" s="54" t="str">
        <f ca="1"/>
        <v/>
      </c>
      <c r="G23" s="54" t="str">
        <f ca="1"/>
        <v>１Ｖｘ１０</v>
      </c>
      <c r="H23" s="54" t="str">
        <f ca="1">IF(E23="","",OFFSET(分類!$B$29,E23,0))</f>
        <v>注射</v>
      </c>
    </row>
    <row r="24" spans="2:8">
      <c r="B24" s="27">
        <f t="shared" si="0"/>
        <v>20</v>
      </c>
      <c r="C24" s="27" t="str">
        <f ca="1"/>
        <v>ダントリウム静注用２０ＭＧ</v>
      </c>
      <c r="D24" s="27">
        <f ca="1"/>
        <v>0</v>
      </c>
      <c r="E24" s="54">
        <f ca="1"/>
        <v>9</v>
      </c>
      <c r="F24" s="54" t="str">
        <f ca="1"/>
        <v/>
      </c>
      <c r="G24" s="54" t="str">
        <f ca="1"/>
        <v>５Ｖ</v>
      </c>
      <c r="H24" s="54" t="str">
        <f ca="1">IF(E24="","",OFFSET(分類!$B$29,E24,0))</f>
        <v>注射</v>
      </c>
    </row>
    <row r="25" spans="2:8">
      <c r="B25" s="27">
        <f t="shared" si="0"/>
        <v>21</v>
      </c>
      <c r="C25" s="27" t="str">
        <f ca="1"/>
        <v>デカドロン注射液３．３ｍｇ</v>
      </c>
      <c r="D25" s="27">
        <f ca="1"/>
        <v>0</v>
      </c>
      <c r="E25" s="54">
        <f ca="1"/>
        <v>11</v>
      </c>
      <c r="F25" s="54" t="str">
        <f ca="1"/>
        <v/>
      </c>
      <c r="G25" s="54" t="str">
        <f ca="1"/>
        <v>１ｍｌｘ１０Ａ</v>
      </c>
      <c r="H25" s="54" t="str">
        <f ca="1">IF(E25="","",OFFSET(分類!$B$29,E25,0))</f>
        <v>冷蔵庫</v>
      </c>
    </row>
    <row r="26" spans="2:8">
      <c r="B26" s="27">
        <f t="shared" si="0"/>
        <v>22</v>
      </c>
      <c r="C26" s="27" t="str">
        <f ca="1"/>
        <v>トランサミン注５％　　　　　　　　　　</v>
      </c>
      <c r="D26" s="27">
        <f ca="1"/>
        <v>0</v>
      </c>
      <c r="E26" s="54">
        <f ca="1"/>
        <v>9</v>
      </c>
      <c r="F26" s="54" t="str">
        <f ca="1"/>
        <v/>
      </c>
      <c r="G26" s="54" t="str">
        <f ca="1"/>
        <v>５ｍｌ×１０Ａ</v>
      </c>
      <c r="H26" s="54" t="str">
        <f ca="1">IF(E26="","",OFFSET(分類!$B$29,E26,0))</f>
        <v>注射</v>
      </c>
    </row>
    <row r="27" spans="2:8">
      <c r="B27" s="27">
        <f t="shared" si="0"/>
        <v>23</v>
      </c>
      <c r="C27" s="27" t="str">
        <f ca="1"/>
        <v>トリフリード輸液（１）</v>
      </c>
      <c r="D27" s="27">
        <f ca="1"/>
        <v>0</v>
      </c>
      <c r="E27" s="54">
        <f ca="1"/>
        <v>10</v>
      </c>
      <c r="F27" s="54" t="str">
        <f ca="1"/>
        <v/>
      </c>
      <c r="G27" s="54" t="str">
        <f ca="1"/>
        <v>５００ｍｌｘ２０</v>
      </c>
      <c r="H27" s="54" t="str">
        <f ca="1">IF(E27="","",OFFSET(分類!$B$29,E27,0))</f>
        <v>輸液</v>
      </c>
    </row>
    <row r="28" spans="2:8">
      <c r="B28" s="27">
        <f t="shared" si="0"/>
        <v>24</v>
      </c>
      <c r="C28" s="27" t="str">
        <f ca="1"/>
        <v>ネオファーゲン静注２０ｍｌ</v>
      </c>
      <c r="D28" s="27">
        <f ca="1"/>
        <v>0</v>
      </c>
      <c r="E28" s="54">
        <f ca="1"/>
        <v>8</v>
      </c>
      <c r="F28" s="54" t="str">
        <f ca="1"/>
        <v/>
      </c>
      <c r="G28" s="54" t="str">
        <f ca="1"/>
        <v>２０ｍｌｘ５０Ａ</v>
      </c>
      <c r="H28" s="54" t="str">
        <f ca="1">IF(E28="","",OFFSET(分類!$B$29,E28,0))</f>
        <v>抗生剤.小輸液</v>
      </c>
    </row>
    <row r="29" spans="2:8">
      <c r="B29" s="27">
        <f t="shared" si="0"/>
        <v>25</v>
      </c>
      <c r="C29" s="27" t="str">
        <f ca="1"/>
        <v>ネオフィリン注２５０ｍｇ</v>
      </c>
      <c r="D29" s="27">
        <f ca="1"/>
        <v>0</v>
      </c>
      <c r="E29" s="54">
        <f ca="1"/>
        <v>15</v>
      </c>
      <c r="F29" s="54" t="str">
        <f ca="1"/>
        <v/>
      </c>
      <c r="G29" s="54" t="str">
        <f ca="1"/>
        <v>１０ｍｌｘ１０</v>
      </c>
      <c r="H29" s="54" t="str">
        <f ca="1">IF(E29="","",OFFSET(分類!$B$29,E29,0))</f>
        <v>不良在庫</v>
      </c>
    </row>
    <row r="30" spans="2:8">
      <c r="B30" s="27">
        <f t="shared" si="0"/>
        <v>26</v>
      </c>
      <c r="C30" s="27" t="str">
        <f ca="1"/>
        <v>パレプラス輸液</v>
      </c>
      <c r="D30" s="27">
        <f ca="1"/>
        <v>0</v>
      </c>
      <c r="E30" s="54">
        <f ca="1"/>
        <v>10</v>
      </c>
      <c r="F30" s="54" t="str">
        <f ca="1"/>
        <v/>
      </c>
      <c r="G30" s="54" t="str">
        <f ca="1"/>
        <v>５００ｍｌｘ２０</v>
      </c>
      <c r="H30" s="54" t="str">
        <f ca="1">IF(E30="","",OFFSET(分類!$B$29,E30,0))</f>
        <v>輸液</v>
      </c>
    </row>
    <row r="31" spans="2:8">
      <c r="B31" s="27">
        <f t="shared" si="0"/>
        <v>27</v>
      </c>
      <c r="C31" s="27" t="str">
        <f ca="1"/>
        <v>バンコマイシン塩酸塩点滴静注用０．５ｇ「ＶＴＲＳ」</v>
      </c>
      <c r="D31" s="27">
        <f ca="1"/>
        <v>0</v>
      </c>
      <c r="E31" s="54">
        <f ca="1"/>
        <v>8</v>
      </c>
      <c r="F31" s="54" t="str">
        <f ca="1"/>
        <v/>
      </c>
      <c r="G31" s="54" t="str">
        <f ca="1"/>
        <v>１０Ｖ</v>
      </c>
      <c r="H31" s="54" t="str">
        <f ca="1">IF(E31="","",OFFSET(分類!$B$29,E31,0))</f>
        <v>抗生剤.小輸液</v>
      </c>
    </row>
    <row r="32" spans="2:8">
      <c r="B32" s="27">
        <f t="shared" si="0"/>
        <v>28</v>
      </c>
      <c r="C32" s="27" t="str">
        <f ca="1"/>
        <v>パントール注射液５００ＭＧ</v>
      </c>
      <c r="D32" s="27">
        <f ca="1"/>
        <v>0</v>
      </c>
      <c r="E32" s="54">
        <f ca="1"/>
        <v>9</v>
      </c>
      <c r="F32" s="54" t="str">
        <f ca="1"/>
        <v/>
      </c>
      <c r="G32" s="54" t="str">
        <f ca="1"/>
        <v>２ｍｌｘ５０Ａ</v>
      </c>
      <c r="H32" s="54" t="str">
        <f ca="1">IF(E32="","",OFFSET(分類!$B$29,E32,0))</f>
        <v>注射</v>
      </c>
    </row>
    <row r="33" spans="2:8">
      <c r="B33" s="27">
        <f t="shared" si="0"/>
        <v>29</v>
      </c>
      <c r="C33" s="27" t="str">
        <f ca="1"/>
        <v>ファモチジン静注液２０ｍｇ「サワイ」</v>
      </c>
      <c r="D33" s="27">
        <f ca="1"/>
        <v>0</v>
      </c>
      <c r="E33" s="54">
        <f ca="1"/>
        <v>9</v>
      </c>
      <c r="F33" s="54" t="str">
        <f ca="1"/>
        <v/>
      </c>
      <c r="G33" s="54" t="str">
        <f ca="1"/>
        <v>２０ｍｇｘ１０Ａ</v>
      </c>
      <c r="H33" s="54" t="str">
        <f ca="1">IF(E33="","",OFFSET(分類!$B$29,E33,0))</f>
        <v>注射</v>
      </c>
    </row>
    <row r="34" spans="2:8">
      <c r="B34" s="27">
        <f t="shared" si="0"/>
        <v>30</v>
      </c>
      <c r="C34" s="27" t="str">
        <f ca="1"/>
        <v>フェジン静注４０ｍｇ</v>
      </c>
      <c r="D34" s="27">
        <f ca="1"/>
        <v>0</v>
      </c>
      <c r="E34" s="54">
        <f ca="1"/>
        <v>9</v>
      </c>
      <c r="F34" s="54" t="str">
        <f ca="1"/>
        <v/>
      </c>
      <c r="G34" s="54" t="str">
        <f ca="1"/>
        <v>　２ＭＬＸ１０Ａ</v>
      </c>
      <c r="H34" s="54" t="str">
        <f ca="1">IF(E34="","",OFFSET(分類!$B$29,E34,0))</f>
        <v>注射</v>
      </c>
    </row>
    <row r="35" spans="2:8">
      <c r="B35" s="27">
        <f t="shared" si="0"/>
        <v>31</v>
      </c>
      <c r="C35" s="27" t="str">
        <f ca="1"/>
        <v>ブドウ糖注５％ＰＬ「フソー」　　　　　　</v>
      </c>
      <c r="D35" s="27">
        <f ca="1"/>
        <v>0</v>
      </c>
      <c r="E35" s="54">
        <f ca="1"/>
        <v>8</v>
      </c>
      <c r="F35" s="54" t="str">
        <f ca="1"/>
        <v/>
      </c>
      <c r="G35" s="54" t="str">
        <f ca="1"/>
        <v>１００ｍｌ×１０Ｐ</v>
      </c>
      <c r="H35" s="54" t="str">
        <f ca="1">IF(E35="","",OFFSET(分類!$B$29,E35,0))</f>
        <v>抗生剤.小輸液</v>
      </c>
    </row>
    <row r="36" spans="2:8">
      <c r="B36" s="27">
        <f t="shared" si="0"/>
        <v>32</v>
      </c>
      <c r="C36" s="27" t="str">
        <f ca="1"/>
        <v>ブドウ糖注５％ＰＬ「フソー」２０ｍｌ</v>
      </c>
      <c r="D36" s="27">
        <f ca="1"/>
        <v>0</v>
      </c>
      <c r="E36" s="54">
        <f ca="1"/>
        <v>8</v>
      </c>
      <c r="F36" s="54" t="str">
        <f ca="1"/>
        <v/>
      </c>
      <c r="G36" s="54" t="str">
        <f ca="1"/>
        <v>２０ｍｌｘ１０</v>
      </c>
      <c r="H36" s="54" t="str">
        <f ca="1">IF(E36="","",OFFSET(分類!$B$29,E36,0))</f>
        <v>抗生剤.小輸液</v>
      </c>
    </row>
    <row r="37" spans="2:8">
      <c r="B37" s="27">
        <f t="shared" si="0"/>
        <v>33</v>
      </c>
      <c r="C37" s="27" t="str">
        <f ca="1"/>
        <v>プリンペラン注射液１０ｍｇ</v>
      </c>
      <c r="D37" s="27">
        <f ca="1"/>
        <v>0</v>
      </c>
      <c r="E37" s="54">
        <f ca="1"/>
        <v>9</v>
      </c>
      <c r="F37" s="54" t="str">
        <f ca="1"/>
        <v/>
      </c>
      <c r="G37" s="54" t="str">
        <f ca="1"/>
        <v>２ｍｌｘ１０Ａ</v>
      </c>
      <c r="H37" s="54" t="str">
        <f ca="1">IF(E37="","",OFFSET(分類!$B$29,E37,0))</f>
        <v>注射</v>
      </c>
    </row>
    <row r="38" spans="2:8">
      <c r="B38" s="27">
        <f t="shared" si="0"/>
        <v>34</v>
      </c>
      <c r="C38" s="27" t="str">
        <f ca="1"/>
        <v>フロセミド注２０ｍｇ「トーワ」</v>
      </c>
      <c r="D38" s="27">
        <f ca="1"/>
        <v>0</v>
      </c>
      <c r="E38" s="54">
        <f ca="1"/>
        <v>9</v>
      </c>
      <c r="F38" s="54" t="str">
        <f ca="1"/>
        <v/>
      </c>
      <c r="G38" s="54" t="str">
        <f ca="1"/>
        <v>２ｍｌｘ５０管</v>
      </c>
      <c r="H38" s="54" t="str">
        <f ca="1">IF(E38="","",OFFSET(分類!$B$29,E38,0))</f>
        <v>注射</v>
      </c>
    </row>
    <row r="39" spans="2:8">
      <c r="B39" s="27">
        <f t="shared" si="0"/>
        <v>35</v>
      </c>
      <c r="C39" s="27" t="str">
        <f ca="1"/>
        <v>ブロムヘキシン塩酸塩注射液４ｍｇ「タイヨー」</v>
      </c>
      <c r="D39" s="27">
        <f ca="1"/>
        <v>0</v>
      </c>
      <c r="E39" s="54">
        <f ca="1"/>
        <v>9</v>
      </c>
      <c r="F39" s="54" t="str">
        <f ca="1"/>
        <v/>
      </c>
      <c r="G39" s="54" t="str">
        <f ca="1"/>
        <v>２ｍｌｘ５０Ａ</v>
      </c>
      <c r="H39" s="54" t="str">
        <f ca="1">IF(E39="","",OFFSET(分類!$B$29,E39,0))</f>
        <v>注射</v>
      </c>
    </row>
    <row r="40" spans="2:8">
      <c r="B40" s="27">
        <f t="shared" si="0"/>
        <v>36</v>
      </c>
      <c r="C40" s="27" t="str">
        <f ca="1"/>
        <v>ベクルリー点滴静注用１００ｍｇ</v>
      </c>
      <c r="D40" s="27">
        <f ca="1"/>
        <v>0</v>
      </c>
      <c r="E40" s="54">
        <f ca="1"/>
        <v>6</v>
      </c>
      <c r="F40" s="54" t="str">
        <f ca="1"/>
        <v/>
      </c>
      <c r="G40" s="54" t="str">
        <f ca="1"/>
        <v>１Ｖ</v>
      </c>
      <c r="H40" s="54" t="str">
        <f ca="1">IF(E40="","",OFFSET(分類!$B$29,E40,0))</f>
        <v>劇薬バラ</v>
      </c>
    </row>
    <row r="41" spans="2:8">
      <c r="B41" s="27">
        <f t="shared" si="0"/>
        <v>37</v>
      </c>
      <c r="C41" s="27" t="str">
        <f ca="1"/>
        <v>ヘパリンＮＡロック用１０単位／ｍｌ「オーツカ」　１００単位</v>
      </c>
      <c r="D41" s="27">
        <f ca="1"/>
        <v>0</v>
      </c>
      <c r="E41" s="54">
        <f ca="1"/>
        <v>8</v>
      </c>
      <c r="F41" s="54" t="str">
        <f ca="1"/>
        <v/>
      </c>
      <c r="G41" s="54" t="str">
        <f ca="1"/>
        <v>１０ｍｌｘ１０</v>
      </c>
      <c r="H41" s="54" t="str">
        <f ca="1">IF(E41="","",OFFSET(分類!$B$29,E41,0))</f>
        <v>抗生剤.小輸液</v>
      </c>
    </row>
    <row r="42" spans="2:8">
      <c r="B42" s="27">
        <f t="shared" si="0"/>
        <v>38</v>
      </c>
      <c r="C42" s="27" t="str">
        <f ca="1"/>
        <v>ヘパリンＮａ注５千単位／５ｍｌ「モチダ」</v>
      </c>
      <c r="D42" s="27">
        <f ca="1"/>
        <v>0</v>
      </c>
      <c r="E42" s="54">
        <f ca="1"/>
        <v>9</v>
      </c>
      <c r="F42" s="54" t="str">
        <f ca="1"/>
        <v/>
      </c>
      <c r="G42" s="54" t="str">
        <f ca="1"/>
        <v>５ｍｌｘ５Ｖ</v>
      </c>
      <c r="H42" s="54" t="str">
        <f ca="1">IF(E42="","",OFFSET(分類!$B$29,E42,0))</f>
        <v>注射</v>
      </c>
    </row>
    <row r="43" spans="2:8">
      <c r="B43" s="27">
        <f t="shared" si="0"/>
        <v>39</v>
      </c>
      <c r="C43" s="27" t="str">
        <f ca="1"/>
        <v>ヘブスブリンＩＨ静注１０００単位</v>
      </c>
      <c r="D43" s="27">
        <f ca="1"/>
        <v>0</v>
      </c>
      <c r="E43" s="54">
        <f ca="1"/>
        <v>11</v>
      </c>
      <c r="F43" s="54" t="str">
        <f ca="1"/>
        <v/>
      </c>
      <c r="G43" s="54" t="str">
        <f ca="1"/>
        <v>５ｍｌｘ１Ｖ</v>
      </c>
      <c r="H43" s="54" t="str">
        <f ca="1">IF(E43="","",OFFSET(分類!$B$29,E43,0))</f>
        <v>冷蔵庫</v>
      </c>
    </row>
    <row r="44" spans="2:8">
      <c r="B44" s="27">
        <f t="shared" si="0"/>
        <v>40</v>
      </c>
      <c r="C44" s="27" t="str">
        <f ca="1"/>
        <v>ペントシリン注射用１ｇ　　　　　　　　　</v>
      </c>
      <c r="D44" s="27">
        <f ca="1"/>
        <v>0</v>
      </c>
      <c r="E44" s="54">
        <f ca="1"/>
        <v>8</v>
      </c>
      <c r="F44" s="54" t="str">
        <f ca="1"/>
        <v/>
      </c>
      <c r="G44" s="54" t="str">
        <f ca="1"/>
        <v>１０Ｖ</v>
      </c>
      <c r="H44" s="54" t="str">
        <f ca="1">IF(E44="","",OFFSET(分類!$B$29,E44,0))</f>
        <v>抗生剤.小輸液</v>
      </c>
    </row>
    <row r="45" spans="2:8">
      <c r="B45" s="27">
        <f t="shared" si="0"/>
        <v>41</v>
      </c>
      <c r="C45" s="27" t="str">
        <f ca="1"/>
        <v>ホスホマイシンナトリウム静注用２ｇ「日医工」</v>
      </c>
      <c r="D45" s="27">
        <f ca="1"/>
        <v>0</v>
      </c>
      <c r="E45" s="54">
        <f ca="1"/>
        <v>8</v>
      </c>
      <c r="F45" s="54" t="str">
        <f ca="1"/>
        <v/>
      </c>
      <c r="G45" s="54" t="str">
        <f ca="1"/>
        <v>２ｇ×１０Ｖ</v>
      </c>
      <c r="H45" s="54" t="str">
        <f ca="1">IF(E45="","",OFFSET(分類!$B$29,E45,0))</f>
        <v>抗生剤.小輸液</v>
      </c>
    </row>
    <row r="46" spans="2:8">
      <c r="B46" s="27">
        <f t="shared" si="0"/>
        <v>42</v>
      </c>
      <c r="C46" s="27" t="str">
        <f ca="1"/>
        <v>ポタコールＲ輸液　２５０ｍｌ</v>
      </c>
      <c r="D46" s="27">
        <f ca="1"/>
        <v>0</v>
      </c>
      <c r="E46" s="54">
        <f ca="1"/>
        <v>10</v>
      </c>
      <c r="F46" s="54" t="str">
        <f ca="1"/>
        <v/>
      </c>
      <c r="G46" s="54" t="str">
        <f ca="1"/>
        <v>２５０ｍｌＸ２０Ｂ</v>
      </c>
      <c r="H46" s="54" t="str">
        <f ca="1">IF(E46="","",OFFSET(分類!$B$29,E46,0))</f>
        <v>輸液</v>
      </c>
    </row>
    <row r="47" spans="2:8">
      <c r="B47" s="27">
        <f t="shared" si="0"/>
        <v>43</v>
      </c>
      <c r="C47" s="27" t="str">
        <f ca="1"/>
        <v>ポタコールＲ輸液　５００ｍｌ</v>
      </c>
      <c r="D47" s="27">
        <f ca="1"/>
        <v>0</v>
      </c>
      <c r="E47" s="54">
        <f ca="1"/>
        <v>10</v>
      </c>
      <c r="F47" s="54" t="str">
        <f ca="1"/>
        <v/>
      </c>
      <c r="G47" s="54" t="str">
        <f ca="1"/>
        <v>５００ｍｌｘ２０</v>
      </c>
      <c r="H47" s="54" t="str">
        <f ca="1">IF(E47="","",OFFSET(分類!$B$29,E47,0))</f>
        <v>輸液</v>
      </c>
    </row>
    <row r="48" spans="2:8">
      <c r="B48" s="27">
        <f t="shared" si="0"/>
        <v>44</v>
      </c>
      <c r="C48" s="27" t="str">
        <f ca="1"/>
        <v>ミノサイクリン塩酸塩点滴静注用１００ｍｇ「日医工」</v>
      </c>
      <c r="D48" s="27">
        <f ca="1"/>
        <v>0</v>
      </c>
      <c r="E48" s="54">
        <f ca="1"/>
        <v>8</v>
      </c>
      <c r="F48" s="54" t="str">
        <f ca="1"/>
        <v/>
      </c>
      <c r="G48" s="54" t="str">
        <f ca="1"/>
        <v>１０Ｖ</v>
      </c>
      <c r="H48" s="54" t="str">
        <f ca="1">IF(E48="","",OFFSET(分類!$B$29,E48,0))</f>
        <v>抗生剤.小輸液</v>
      </c>
    </row>
    <row r="49" spans="2:8">
      <c r="B49" s="27">
        <f t="shared" si="0"/>
        <v>45</v>
      </c>
      <c r="C49" s="27" t="str">
        <f ca="1"/>
        <v>メイロン静注７％　プラアンプル</v>
      </c>
      <c r="D49" s="27">
        <f ca="1"/>
        <v>0</v>
      </c>
      <c r="E49" s="54">
        <f ca="1"/>
        <v>9</v>
      </c>
      <c r="F49" s="54" t="str">
        <f ca="1"/>
        <v/>
      </c>
      <c r="G49" s="54" t="str">
        <f ca="1"/>
        <v>２０ＭＬＸ１０Ａ</v>
      </c>
      <c r="H49" s="54" t="str">
        <f ca="1">IF(E49="","",OFFSET(分類!$B$29,E49,0))</f>
        <v>注射</v>
      </c>
    </row>
    <row r="50" spans="2:8">
      <c r="B50" s="27">
        <f t="shared" si="0"/>
        <v>46</v>
      </c>
      <c r="C50" s="27" t="str">
        <f ca="1"/>
        <v>メロペネム点滴静注用０．５ｇ「サワイ」</v>
      </c>
      <c r="D50" s="27">
        <f ca="1"/>
        <v>0</v>
      </c>
      <c r="E50" s="54">
        <f ca="1"/>
        <v>8</v>
      </c>
      <c r="F50" s="54" t="str">
        <f ca="1"/>
        <v/>
      </c>
      <c r="G50" s="54" t="str">
        <f ca="1"/>
        <v>５００ｍｇｘ１０Ｖ</v>
      </c>
      <c r="H50" s="54" t="str">
        <f ca="1">IF(E50="","",OFFSET(分類!$B$29,E50,0))</f>
        <v>抗生剤.小輸液</v>
      </c>
    </row>
    <row r="51" spans="2:8">
      <c r="B51" s="27">
        <f t="shared" si="0"/>
        <v>47</v>
      </c>
      <c r="C51" s="27" t="str">
        <f ca="1"/>
        <v>レベチラセタム点滴静注５００ｍｇ「明治」</v>
      </c>
      <c r="D51" s="27">
        <f ca="1"/>
        <v>0</v>
      </c>
      <c r="E51" s="54">
        <f ca="1"/>
        <v>9</v>
      </c>
      <c r="F51" s="54" t="str">
        <f ca="1"/>
        <v/>
      </c>
      <c r="G51" s="54" t="str">
        <f ca="1"/>
        <v>５ｍｌｘ１０Ａ</v>
      </c>
      <c r="H51" s="54" t="str">
        <f ca="1">IF(E51="","",OFFSET(分類!$B$29,E51,0))</f>
        <v>注射</v>
      </c>
    </row>
    <row r="52" spans="2:8">
      <c r="B52" s="27">
        <f t="shared" si="0"/>
        <v>48</v>
      </c>
      <c r="C52" s="27" t="str">
        <f ca="1"/>
        <v>レボフロキサシン点滴静注バッグ５００ｍｇ／１００ｍｌ「ＤＳＥＰ」</v>
      </c>
      <c r="D52" s="27">
        <f ca="1"/>
        <v>0</v>
      </c>
      <c r="E52" s="54">
        <f ca="1"/>
        <v>9</v>
      </c>
      <c r="F52" s="54" t="str">
        <f ca="1"/>
        <v/>
      </c>
      <c r="G52" s="54" t="str">
        <f ca="1"/>
        <v>１０袋</v>
      </c>
      <c r="H52" s="54" t="str">
        <f ca="1">IF(E52="","",OFFSET(分類!$B$29,E52,0))</f>
        <v>注射</v>
      </c>
    </row>
    <row r="53" spans="2:8">
      <c r="B53" s="27">
        <f t="shared" si="0"/>
        <v>49</v>
      </c>
      <c r="C53" s="27" t="str">
        <f ca="1"/>
        <v>ワンパル２号輸液（１）</v>
      </c>
      <c r="D53" s="27">
        <f ca="1"/>
        <v>0</v>
      </c>
      <c r="E53" s="54">
        <f ca="1"/>
        <v>10</v>
      </c>
      <c r="F53" s="54" t="str">
        <f ca="1"/>
        <v/>
      </c>
      <c r="G53" s="54" t="str">
        <f ca="1"/>
        <v>８００ｍｌｘ１０袋</v>
      </c>
      <c r="H53" s="54" t="str">
        <f ca="1">IF(E53="","",OFFSET(分類!$B$29,E53,0))</f>
        <v>輸液</v>
      </c>
    </row>
    <row r="54" spans="2:8">
      <c r="B54" s="27">
        <f t="shared" si="0"/>
        <v>50</v>
      </c>
      <c r="C54" s="27" t="str">
        <f ca="1"/>
        <v>ワンパル２号輸液１２００ｍｌ</v>
      </c>
      <c r="D54" s="27">
        <f ca="1"/>
        <v>0</v>
      </c>
      <c r="E54" s="54">
        <f ca="1"/>
        <v>10</v>
      </c>
      <c r="F54" s="54" t="str">
        <f ca="1"/>
        <v/>
      </c>
      <c r="G54" s="54" t="str">
        <f ca="1"/>
        <v>１２００ｍｌｘ７</v>
      </c>
      <c r="H54" s="54" t="str">
        <f ca="1">IF(E54="","",OFFSET(分類!$B$29,E54,0))</f>
        <v>輸液</v>
      </c>
    </row>
    <row r="55" spans="2:8">
      <c r="B55" s="27">
        <f t="shared" si="0"/>
        <v>51</v>
      </c>
      <c r="C55" s="27" t="str">
        <f ca="1"/>
        <v>水溶性ハイドロコートン注射１００ｍｇ</v>
      </c>
      <c r="D55" s="27">
        <f ca="1"/>
        <v>0</v>
      </c>
      <c r="E55" s="54">
        <f ca="1"/>
        <v>9</v>
      </c>
      <c r="F55" s="54" t="str">
        <f ca="1"/>
        <v/>
      </c>
      <c r="G55" s="54" t="str">
        <f ca="1"/>
        <v>２ｍＬＸ１０瓶</v>
      </c>
      <c r="H55" s="54" t="str">
        <f ca="1">IF(E55="","",OFFSET(分類!$B$29,E55,0))</f>
        <v>注射</v>
      </c>
    </row>
    <row r="56" spans="2:8">
      <c r="B56" s="27">
        <f t="shared" si="0"/>
        <v>52</v>
      </c>
      <c r="C56" s="27" t="str">
        <f ca="1"/>
        <v>生食溶解液キットＨ（１）</v>
      </c>
      <c r="D56" s="27">
        <f ca="1"/>
        <v>0</v>
      </c>
      <c r="E56" s="54">
        <f ca="1"/>
        <v>9</v>
      </c>
      <c r="F56" s="54" t="str">
        <f ca="1"/>
        <v/>
      </c>
      <c r="G56" s="54" t="str">
        <f ca="1"/>
        <v>１００ｍｌｘ１０</v>
      </c>
      <c r="H56" s="54" t="str">
        <f ca="1">IF(E56="","",OFFSET(分類!$B$29,E56,0))</f>
        <v>注射</v>
      </c>
    </row>
    <row r="57" spans="2:8">
      <c r="B57" s="27">
        <f t="shared" si="0"/>
        <v>53</v>
      </c>
      <c r="C57" s="27" t="str">
        <f ca="1"/>
        <v>生理食塩液「ＶＴＲＳ」１００ｍｌ</v>
      </c>
      <c r="D57" s="27">
        <f ca="1"/>
        <v>0</v>
      </c>
      <c r="E57" s="54">
        <f ca="1"/>
        <v>9</v>
      </c>
      <c r="F57" s="54" t="str">
        <f ca="1"/>
        <v/>
      </c>
      <c r="G57" s="54" t="str">
        <f ca="1"/>
        <v>１００ｍｌｘ１０Ｖ</v>
      </c>
      <c r="H57" s="54" t="str">
        <f ca="1">IF(E57="","",OFFSET(分類!$B$29,E57,0))</f>
        <v>注射</v>
      </c>
    </row>
    <row r="58" spans="2:8">
      <c r="B58" s="27">
        <f t="shared" si="0"/>
        <v>54</v>
      </c>
      <c r="C58" s="27" t="str">
        <f ca="1"/>
        <v>大塚糖液５％　　　　　　　　　　　　　</v>
      </c>
      <c r="D58" s="27">
        <f ca="1"/>
        <v>0</v>
      </c>
      <c r="E58" s="54">
        <f ca="1"/>
        <v>10</v>
      </c>
      <c r="F58" s="54" t="str">
        <f ca="1"/>
        <v/>
      </c>
      <c r="G58" s="54" t="str">
        <f ca="1"/>
        <v>５００ｍｌｘ２０袋</v>
      </c>
      <c r="H58" s="54" t="str">
        <f ca="1">IF(E58="","",OFFSET(分類!$B$29,E58,0))</f>
        <v>輸液</v>
      </c>
    </row>
    <row r="59" spans="2:8">
      <c r="B59" s="27">
        <f t="shared" si="0"/>
        <v>55</v>
      </c>
      <c r="C59" s="27" t="str">
        <f ca="1"/>
        <v>アキネトン注射液５ｍｇ　　　　　　　　　</v>
      </c>
      <c r="D59" s="27">
        <f ca="1"/>
        <v>2</v>
      </c>
      <c r="E59" s="54">
        <f ca="1"/>
        <v>9</v>
      </c>
      <c r="F59" s="54" t="str">
        <f ca="1"/>
        <v/>
      </c>
      <c r="G59" s="54" t="str">
        <f ca="1"/>
        <v>１ｍＬ×５０Ａ</v>
      </c>
      <c r="H59" s="54" t="str">
        <f ca="1">IF(E59="","",OFFSET(分類!$B$29,E59,0))</f>
        <v>注射</v>
      </c>
    </row>
    <row r="60" spans="2:8">
      <c r="B60" s="27">
        <f t="shared" si="0"/>
        <v>56</v>
      </c>
      <c r="C60" s="27" t="str">
        <f ca="1"/>
        <v>アトロピン硫酸塩注０．５ｍｇ「ニプロ」</v>
      </c>
      <c r="D60" s="27">
        <f ca="1"/>
        <v>2</v>
      </c>
      <c r="E60" s="54">
        <f ca="1"/>
        <v>9</v>
      </c>
      <c r="F60" s="54" t="str">
        <f ca="1"/>
        <v/>
      </c>
      <c r="G60" s="54" t="str">
        <f ca="1"/>
        <v>１ｍｌｘ１０Ａ</v>
      </c>
      <c r="H60" s="54" t="str">
        <f ca="1">IF(E60="","",OFFSET(分類!$B$29,E60,0))</f>
        <v>注射</v>
      </c>
    </row>
    <row r="61" spans="2:8">
      <c r="B61" s="27">
        <f t="shared" si="0"/>
        <v>57</v>
      </c>
      <c r="C61" s="27" t="str">
        <f ca="1"/>
        <v>アネキセート注射液０．５ＭＧ</v>
      </c>
      <c r="D61" s="27">
        <f ca="1"/>
        <v>2</v>
      </c>
      <c r="E61" s="54">
        <f ca="1"/>
        <v>9</v>
      </c>
      <c r="F61" s="54" t="str">
        <f ca="1"/>
        <v/>
      </c>
      <c r="G61" s="54" t="str">
        <f ca="1"/>
        <v>５ＭＬＸ５Ａ</v>
      </c>
      <c r="H61" s="54" t="str">
        <f ca="1">IF(E61="","",OFFSET(分類!$B$29,E61,0))</f>
        <v>注射</v>
      </c>
    </row>
    <row r="62" spans="2:8">
      <c r="B62" s="27">
        <f t="shared" si="0"/>
        <v>58</v>
      </c>
      <c r="C62" s="27" t="str">
        <f ca="1"/>
        <v>アレビアチン注２５０ｍｇ</v>
      </c>
      <c r="D62" s="27">
        <f ca="1"/>
        <v>2</v>
      </c>
      <c r="E62" s="54">
        <f ca="1"/>
        <v>9</v>
      </c>
      <c r="F62" s="54" t="str">
        <f ca="1"/>
        <v/>
      </c>
      <c r="G62" s="54" t="str">
        <f ca="1"/>
        <v>５ｍＬＸ１０管</v>
      </c>
      <c r="H62" s="54" t="str">
        <f ca="1">IF(E62="","",OFFSET(分類!$B$29,E62,0))</f>
        <v>注射</v>
      </c>
    </row>
    <row r="63" spans="2:8">
      <c r="B63" s="27">
        <f t="shared" si="0"/>
        <v>59</v>
      </c>
      <c r="C63" s="27" t="str">
        <f ca="1"/>
        <v>イバンドロン酸静注１ｍｇシリンジ「トーワ」</v>
      </c>
      <c r="D63" s="27">
        <f ca="1"/>
        <v>2</v>
      </c>
      <c r="E63" s="54">
        <f ca="1"/>
        <v>9</v>
      </c>
      <c r="F63" s="54" t="str">
        <f ca="1"/>
        <v/>
      </c>
      <c r="G63" s="54" t="str">
        <f ca="1"/>
        <v>１０シリンジ</v>
      </c>
      <c r="H63" s="54" t="str">
        <f ca="1">IF(E63="","",OFFSET(分類!$B$29,E63,0))</f>
        <v>注射</v>
      </c>
    </row>
    <row r="64" spans="2:8">
      <c r="B64" s="27">
        <f t="shared" si="0"/>
        <v>60</v>
      </c>
      <c r="C64" s="27" t="str">
        <f ca="1"/>
        <v>イバンドロン酸静注１ｍｇシリンジ「トーワ」</v>
      </c>
      <c r="D64" s="27">
        <f ca="1"/>
        <v>2</v>
      </c>
      <c r="E64" s="54">
        <f ca="1"/>
        <v>9</v>
      </c>
      <c r="F64" s="54" t="str">
        <f ca="1"/>
        <v/>
      </c>
      <c r="G64" s="54" t="str">
        <f ca="1"/>
        <v>１シリンジ</v>
      </c>
      <c r="H64" s="54" t="str">
        <f ca="1">IF(E64="","",OFFSET(分類!$B$29,E64,0))</f>
        <v>注射</v>
      </c>
    </row>
    <row r="65" spans="2:8">
      <c r="B65" s="27">
        <f t="shared" si="0"/>
        <v>61</v>
      </c>
      <c r="C65" s="27" t="str">
        <f ca="1"/>
        <v>エビリファイ持続性水懸筋注用３００ｍｇ　シリンジ</v>
      </c>
      <c r="D65" s="27">
        <f ca="1"/>
        <v>2</v>
      </c>
      <c r="E65" s="54">
        <f ca="1"/>
        <v>9</v>
      </c>
      <c r="F65" s="54" t="str">
        <f ca="1"/>
        <v/>
      </c>
      <c r="G65" s="54" t="str">
        <f ca="1"/>
        <v>１キット</v>
      </c>
      <c r="H65" s="54" t="str">
        <f ca="1">IF(E65="","",OFFSET(分類!$B$29,E65,0))</f>
        <v>注射</v>
      </c>
    </row>
    <row r="66" spans="2:8">
      <c r="B66" s="27">
        <f t="shared" si="0"/>
        <v>62</v>
      </c>
      <c r="C66" s="27" t="str">
        <f ca="1"/>
        <v>エビリファイ持続性水懸筋注用４００ｍｇ　シリンジ</v>
      </c>
      <c r="D66" s="27">
        <f ca="1"/>
        <v>2</v>
      </c>
      <c r="E66" s="54">
        <f ca="1"/>
        <v>9</v>
      </c>
      <c r="F66" s="54" t="str">
        <f ca="1"/>
        <v/>
      </c>
      <c r="G66" s="54" t="str">
        <f ca="1"/>
        <v>１キット</v>
      </c>
      <c r="H66" s="54" t="str">
        <f ca="1">IF(E66="","",OFFSET(分類!$B$29,E66,0))</f>
        <v>注射</v>
      </c>
    </row>
    <row r="67" spans="2:8">
      <c r="B67" s="27">
        <f t="shared" si="0"/>
        <v>63</v>
      </c>
      <c r="C67" s="27" t="str">
        <f ca="1"/>
        <v>エホチール注１０ｍｇ</v>
      </c>
      <c r="D67" s="27">
        <f ca="1"/>
        <v>2</v>
      </c>
      <c r="E67" s="54">
        <f ca="1"/>
        <v>9</v>
      </c>
      <c r="F67" s="54" t="str">
        <f ca="1"/>
        <v/>
      </c>
      <c r="G67" s="54" t="str">
        <f ca="1"/>
        <v>１ｍｌｘ１０Ａ</v>
      </c>
      <c r="H67" s="54" t="str">
        <f ca="1">IF(E67="","",OFFSET(分類!$B$29,E67,0))</f>
        <v>注射</v>
      </c>
    </row>
    <row r="68" spans="2:8">
      <c r="B68" s="27">
        <f t="shared" si="0"/>
        <v>64</v>
      </c>
      <c r="C68" s="27" t="str">
        <f ca="1"/>
        <v>キシロカイン注シリンジ０．５％　　</v>
      </c>
      <c r="D68" s="27">
        <f ca="1"/>
        <v>2</v>
      </c>
      <c r="E68" s="54">
        <f ca="1"/>
        <v>9</v>
      </c>
      <c r="F68" s="54" t="str">
        <f ca="1"/>
        <v/>
      </c>
      <c r="G68" s="54" t="str">
        <f ca="1"/>
        <v>１０ｍｌｘ１０</v>
      </c>
      <c r="H68" s="54" t="str">
        <f ca="1">IF(E68="","",OFFSET(分類!$B$29,E68,0))</f>
        <v>注射</v>
      </c>
    </row>
    <row r="69" spans="2:8">
      <c r="B69" s="27">
        <f t="shared" si="0"/>
        <v>65</v>
      </c>
      <c r="C69" s="27" t="str">
        <f ca="1"/>
        <v>ジギラノゲン注０．４ｍｇ　０．０２％</v>
      </c>
      <c r="D69" s="27">
        <f ca="1"/>
        <v>2</v>
      </c>
      <c r="E69" s="54">
        <f ca="1"/>
        <v>9</v>
      </c>
      <c r="F69" s="54" t="str">
        <f ca="1"/>
        <v/>
      </c>
      <c r="G69" s="54" t="str">
        <f ca="1"/>
        <v>２ｍＬＸ１０管</v>
      </c>
      <c r="H69" s="54" t="str">
        <f ca="1">IF(E69="","",OFFSET(分類!$B$29,E69,0))</f>
        <v>注射</v>
      </c>
    </row>
    <row r="70" spans="2:8">
      <c r="B70" s="27">
        <f t="shared" si="0"/>
        <v>66</v>
      </c>
      <c r="C70" s="27" t="str">
        <f ca="1"/>
        <v>ゼプリオン水懸筋注１００ｍｇ　シリンジ</v>
      </c>
      <c r="D70" s="27">
        <f ca="1"/>
        <v>2</v>
      </c>
      <c r="E70" s="54">
        <f ca="1"/>
        <v>9</v>
      </c>
      <c r="F70" s="54" t="str">
        <f ca="1"/>
        <v/>
      </c>
      <c r="G70" s="54" t="str">
        <f ca="1"/>
        <v>１本</v>
      </c>
      <c r="H70" s="54" t="str">
        <f ca="1">IF(E70="","",OFFSET(分類!$B$29,E70,0))</f>
        <v>注射</v>
      </c>
    </row>
    <row r="71" spans="2:8">
      <c r="B71" s="27">
        <f t="shared" ref="B71:B134" si="1">B70+1</f>
        <v>67</v>
      </c>
      <c r="C71" s="27" t="str">
        <f ca="1"/>
        <v>ゼプリオン水懸筋注１５０ｍｇ　シリンジ</v>
      </c>
      <c r="D71" s="27">
        <f ca="1"/>
        <v>2</v>
      </c>
      <c r="E71" s="54">
        <f ca="1"/>
        <v>9</v>
      </c>
      <c r="F71" s="54" t="str">
        <f ca="1"/>
        <v/>
      </c>
      <c r="G71" s="54" t="str">
        <f ca="1"/>
        <v>１本</v>
      </c>
      <c r="H71" s="54" t="str">
        <f ca="1">IF(E71="","",OFFSET(分類!$B$29,E71,0))</f>
        <v>注射</v>
      </c>
    </row>
    <row r="72" spans="2:8">
      <c r="B72" s="27">
        <f t="shared" si="1"/>
        <v>68</v>
      </c>
      <c r="C72" s="27" t="str">
        <f ca="1"/>
        <v>ゼプリオン水懸筋注５０ｍｇシリンジ</v>
      </c>
      <c r="D72" s="27">
        <f ca="1"/>
        <v>2</v>
      </c>
      <c r="E72" s="54">
        <f ca="1"/>
        <v>9</v>
      </c>
      <c r="F72" s="54" t="str">
        <f ca="1"/>
        <v/>
      </c>
      <c r="G72" s="54" t="str">
        <f ca="1"/>
        <v>１シリンジ</v>
      </c>
      <c r="H72" s="54" t="str">
        <f ca="1">IF(E72="","",OFFSET(分類!$B$29,E72,0))</f>
        <v>注射</v>
      </c>
    </row>
    <row r="73" spans="2:8">
      <c r="B73" s="27">
        <f t="shared" si="1"/>
        <v>69</v>
      </c>
      <c r="C73" s="27" t="str">
        <f ca="1"/>
        <v>ゼプリオン水懸筋注７５ｍｇシリンジ</v>
      </c>
      <c r="D73" s="27">
        <f ca="1"/>
        <v>2</v>
      </c>
      <c r="E73" s="54">
        <f ca="1"/>
        <v>9</v>
      </c>
      <c r="F73" s="54" t="str">
        <f ca="1"/>
        <v/>
      </c>
      <c r="G73" s="54" t="str">
        <f ca="1"/>
        <v>１シリンジ</v>
      </c>
      <c r="H73" s="54" t="str">
        <f ca="1">IF(E73="","",OFFSET(分類!$B$29,E73,0))</f>
        <v>注射</v>
      </c>
    </row>
    <row r="74" spans="2:8">
      <c r="B74" s="27">
        <f t="shared" si="1"/>
        <v>70</v>
      </c>
      <c r="C74" s="27" t="str">
        <f ca="1"/>
        <v>セレネース注５ｍｇ</v>
      </c>
      <c r="D74" s="27">
        <f ca="1"/>
        <v>2</v>
      </c>
      <c r="E74" s="54">
        <f ca="1"/>
        <v>5</v>
      </c>
      <c r="F74" s="54" t="str">
        <f ca="1"/>
        <v/>
      </c>
      <c r="G74" s="54" t="str">
        <f ca="1"/>
        <v>１ｍＬＸ５０管</v>
      </c>
      <c r="H74" s="54" t="str">
        <f ca="1">IF(E74="","",OFFSET(分類!$B$29,E74,0))</f>
        <v>普通薬バラ</v>
      </c>
    </row>
    <row r="75" spans="2:8">
      <c r="B75" s="27">
        <f t="shared" si="1"/>
        <v>71</v>
      </c>
      <c r="C75" s="27" t="str">
        <f ca="1"/>
        <v>ドパミン塩酸塩点滴静注１００ｍｇ「ＮＰ」</v>
      </c>
      <c r="D75" s="27">
        <f ca="1"/>
        <v>2</v>
      </c>
      <c r="E75" s="54">
        <f ca="1"/>
        <v>9</v>
      </c>
      <c r="F75" s="54" t="str">
        <f ca="1"/>
        <v/>
      </c>
      <c r="G75" s="54" t="str">
        <f ca="1"/>
        <v>５ｍｌｘ１０Ａ</v>
      </c>
      <c r="H75" s="54" t="str">
        <f ca="1">IF(E75="","",OFFSET(分類!$B$29,E75,0))</f>
        <v>注射</v>
      </c>
    </row>
    <row r="76" spans="2:8">
      <c r="B76" s="27">
        <f t="shared" si="1"/>
        <v>72</v>
      </c>
      <c r="C76" s="27" t="str">
        <f ca="1"/>
        <v>ノルアドリナリン注１ｍｇ</v>
      </c>
      <c r="D76" s="27">
        <f ca="1"/>
        <v>2</v>
      </c>
      <c r="E76" s="54">
        <f ca="1"/>
        <v>9</v>
      </c>
      <c r="F76" s="54" t="str">
        <f ca="1"/>
        <v/>
      </c>
      <c r="G76" s="54" t="str">
        <f ca="1"/>
        <v>１ｍＬＸ１０管</v>
      </c>
      <c r="H76" s="54" t="str">
        <f ca="1">IF(E76="","",OFFSET(分類!$B$29,E76,0))</f>
        <v>注射</v>
      </c>
    </row>
    <row r="77" spans="2:8">
      <c r="B77" s="27">
        <f t="shared" si="1"/>
        <v>73</v>
      </c>
      <c r="C77" s="27" t="str">
        <f ca="1"/>
        <v>ハベカシン注射液７５ｍｇ</v>
      </c>
      <c r="D77" s="27">
        <f ca="1"/>
        <v>2</v>
      </c>
      <c r="E77" s="54">
        <f ca="1"/>
        <v>8</v>
      </c>
      <c r="F77" s="54" t="str">
        <f ca="1"/>
        <v/>
      </c>
      <c r="G77" s="54" t="str">
        <f ca="1"/>
        <v>１．５ｍｌｘ１０Ａ</v>
      </c>
      <c r="H77" s="54" t="str">
        <f ca="1">IF(E77="","",OFFSET(分類!$B$29,E77,0))</f>
        <v>抗生剤.小輸液</v>
      </c>
    </row>
    <row r="78" spans="2:8">
      <c r="B78" s="27">
        <f t="shared" si="1"/>
        <v>74</v>
      </c>
      <c r="C78" s="27" t="str">
        <f ca="1"/>
        <v>ハロマンス注１００ｍｇ</v>
      </c>
      <c r="D78" s="27">
        <f ca="1"/>
        <v>2</v>
      </c>
      <c r="E78" s="54">
        <f ca="1"/>
        <v>9</v>
      </c>
      <c r="F78" s="54" t="str">
        <f ca="1"/>
        <v/>
      </c>
      <c r="G78" s="54" t="str">
        <f ca="1"/>
        <v>１ｍｌｘ１０</v>
      </c>
      <c r="H78" s="54" t="str">
        <f ca="1">IF(E78="","",OFFSET(分類!$B$29,E78,0))</f>
        <v>注射</v>
      </c>
    </row>
    <row r="79" spans="2:8">
      <c r="B79" s="27">
        <f t="shared" si="1"/>
        <v>75</v>
      </c>
      <c r="C79" s="27" t="str">
        <f ca="1"/>
        <v>ハロマンス注５０ｍｇ</v>
      </c>
      <c r="D79" s="27">
        <f ca="1"/>
        <v>2</v>
      </c>
      <c r="E79" s="54">
        <f ca="1"/>
        <v>9</v>
      </c>
      <c r="F79" s="54" t="str">
        <f ca="1"/>
        <v/>
      </c>
      <c r="G79" s="54" t="str">
        <f ca="1"/>
        <v>１ｍｌｘ１０</v>
      </c>
      <c r="H79" s="54" t="str">
        <f ca="1">IF(E79="","",OFFSET(分類!$B$29,E79,0))</f>
        <v>注射</v>
      </c>
    </row>
    <row r="80" spans="2:8">
      <c r="B80" s="27">
        <f t="shared" si="1"/>
        <v>76</v>
      </c>
      <c r="C80" s="27" t="str">
        <f ca="1"/>
        <v>ヒューマリンＲ注Ｕ１００単位／ｍｌ　１０ｍｌ</v>
      </c>
      <c r="D80" s="27">
        <f ca="1"/>
        <v>2</v>
      </c>
      <c r="E80" s="54">
        <f ca="1"/>
        <v>11</v>
      </c>
      <c r="F80" s="54" t="str">
        <f ca="1"/>
        <v/>
      </c>
      <c r="G80" s="54" t="str">
        <f ca="1"/>
        <v>１０ＭＬＸ１Ｖ</v>
      </c>
      <c r="H80" s="54" t="str">
        <f ca="1">IF(E80="","",OFFSET(分類!$B$29,E80,0))</f>
        <v>冷蔵庫</v>
      </c>
    </row>
    <row r="81" spans="2:8">
      <c r="B81" s="27">
        <f t="shared" si="1"/>
        <v>77</v>
      </c>
      <c r="C81" s="27" t="str">
        <f ca="1"/>
        <v>フェノバール注射液１００ｍｇ</v>
      </c>
      <c r="D81" s="27">
        <f ca="1"/>
        <v>2</v>
      </c>
      <c r="E81" s="54">
        <f ca="1"/>
        <v>9</v>
      </c>
      <c r="F81" s="54" t="str">
        <f ca="1"/>
        <v/>
      </c>
      <c r="G81" s="54" t="str">
        <f ca="1"/>
        <v>１ｍｌｘ１０Ａ</v>
      </c>
      <c r="H81" s="54" t="str">
        <f ca="1">IF(E81="","",OFFSET(分類!$B$29,E81,0))</f>
        <v>注射</v>
      </c>
    </row>
    <row r="82" spans="2:8">
      <c r="B82" s="27">
        <f t="shared" si="1"/>
        <v>78</v>
      </c>
      <c r="C82" s="27" t="str">
        <f ca="1"/>
        <v>フルデカシン筋注２５ｍｇ</v>
      </c>
      <c r="D82" s="27">
        <f ca="1"/>
        <v>2</v>
      </c>
      <c r="E82" s="54">
        <f ca="1"/>
        <v>15</v>
      </c>
      <c r="F82" s="54" t="str">
        <f ca="1"/>
        <v/>
      </c>
      <c r="G82" s="54" t="str">
        <f ca="1"/>
        <v>１ｍＬＸ５瓶</v>
      </c>
      <c r="H82" s="54" t="str">
        <f ca="1">IF(E82="","",OFFSET(分類!$B$29,E82,0))</f>
        <v>不良在庫</v>
      </c>
    </row>
    <row r="83" spans="2:8">
      <c r="B83" s="27">
        <f t="shared" si="1"/>
        <v>79</v>
      </c>
      <c r="C83" s="27" t="str">
        <f ca="1"/>
        <v>ヘルベッサー注射用５０</v>
      </c>
      <c r="D83" s="27">
        <f ca="1"/>
        <v>2</v>
      </c>
      <c r="E83" s="54">
        <f ca="1"/>
        <v>9</v>
      </c>
      <c r="F83" s="54" t="str">
        <f ca="1"/>
        <v/>
      </c>
      <c r="G83" s="54" t="str">
        <f ca="1"/>
        <v>１０瓶</v>
      </c>
      <c r="H83" s="54" t="str">
        <f ca="1">IF(E83="","",OFFSET(分類!$B$29,E83,0))</f>
        <v>注射</v>
      </c>
    </row>
    <row r="84" spans="2:8">
      <c r="B84" s="27">
        <f t="shared" si="1"/>
        <v>80</v>
      </c>
      <c r="C84" s="27" t="str">
        <f ca="1"/>
        <v>ボスミン注１ｍｇ　０．１％</v>
      </c>
      <c r="D84" s="27">
        <f ca="1"/>
        <v>2</v>
      </c>
      <c r="E84" s="54">
        <f ca="1"/>
        <v>9</v>
      </c>
      <c r="F84" s="54" t="str">
        <f ca="1"/>
        <v/>
      </c>
      <c r="G84" s="54" t="str">
        <f ca="1"/>
        <v>１ｍｌｘ１０管</v>
      </c>
      <c r="H84" s="54" t="str">
        <f ca="1">IF(E84="","",OFFSET(分類!$B$29,E84,0))</f>
        <v>注射</v>
      </c>
    </row>
    <row r="85" spans="2:8">
      <c r="B85" s="27">
        <f t="shared" si="1"/>
        <v>81</v>
      </c>
      <c r="C85" s="27" t="str">
        <f ca="1"/>
        <v>ラスビック点滴静注キット１５０ｍｇ</v>
      </c>
      <c r="D85" s="27">
        <f ca="1"/>
        <v>2</v>
      </c>
      <c r="E85" s="54">
        <f ca="1"/>
        <v>8</v>
      </c>
      <c r="F85" s="54" t="str">
        <f ca="1"/>
        <v/>
      </c>
      <c r="G85" s="54" t="str">
        <f ca="1"/>
        <v>１キット</v>
      </c>
      <c r="H85" s="54" t="str">
        <f ca="1">IF(E85="","",OFFSET(分類!$B$29,E85,0))</f>
        <v>抗生剤.小輸液</v>
      </c>
    </row>
    <row r="86" spans="2:8">
      <c r="B86" s="27">
        <f t="shared" si="1"/>
        <v>82</v>
      </c>
      <c r="C86" s="27" t="str">
        <f ca="1"/>
        <v>リスパダールコンスタ筋注用２５ｍｇ</v>
      </c>
      <c r="D86" s="27">
        <f ca="1"/>
        <v>2</v>
      </c>
      <c r="E86" s="54">
        <f ca="1"/>
        <v>11</v>
      </c>
      <c r="F86" s="54" t="str">
        <f ca="1"/>
        <v/>
      </c>
      <c r="G86" s="54" t="str">
        <f ca="1"/>
        <v>１キット</v>
      </c>
      <c r="H86" s="54" t="str">
        <f ca="1">IF(E86="","",OFFSET(分類!$B$29,E86,0))</f>
        <v>冷蔵庫</v>
      </c>
    </row>
    <row r="87" spans="2:8">
      <c r="B87" s="27">
        <f t="shared" si="1"/>
        <v>83</v>
      </c>
      <c r="C87" s="27" t="str">
        <f ca="1"/>
        <v>リスパダールコンスタ筋注用５０ｍｇ</v>
      </c>
      <c r="D87" s="27">
        <f ca="1"/>
        <v>2</v>
      </c>
      <c r="E87" s="54">
        <f ca="1"/>
        <v>11</v>
      </c>
      <c r="F87" s="54" t="str">
        <f ca="1"/>
        <v/>
      </c>
      <c r="G87" s="54" t="str">
        <f ca="1"/>
        <v>１　キット</v>
      </c>
      <c r="H87" s="54" t="str">
        <f ca="1">IF(E87="","",OFFSET(分類!$B$29,E87,0))</f>
        <v>冷蔵庫</v>
      </c>
    </row>
    <row r="88" spans="2:8">
      <c r="B88" s="27">
        <f t="shared" si="1"/>
        <v>84</v>
      </c>
      <c r="C88" s="27" t="str">
        <f ca="1"/>
        <v>ワゴスチグミン注　０．５ｍｇ</v>
      </c>
      <c r="D88" s="27">
        <f ca="1"/>
        <v>2</v>
      </c>
      <c r="E88" s="54">
        <f ca="1"/>
        <v>15</v>
      </c>
      <c r="F88" s="54" t="str">
        <f ca="1"/>
        <v/>
      </c>
      <c r="G88" s="54" t="str">
        <f ca="1"/>
        <v>０．５ｍｇｘ１０Ａ</v>
      </c>
      <c r="H88" s="54" t="str">
        <f ca="1">IF(E88="","",OFFSET(分類!$B$29,E88,0))</f>
        <v>不良在庫</v>
      </c>
    </row>
    <row r="89" spans="2:8">
      <c r="B89" s="27">
        <f t="shared" si="1"/>
        <v>85</v>
      </c>
      <c r="C89" s="27" t="str">
        <f ca="1"/>
        <v>ワソラン静注５ｍｇ</v>
      </c>
      <c r="D89" s="27">
        <f ca="1"/>
        <v>2</v>
      </c>
      <c r="E89" s="54">
        <f ca="1"/>
        <v>9</v>
      </c>
      <c r="F89" s="54" t="str">
        <f ca="1"/>
        <v/>
      </c>
      <c r="G89" s="54" t="str">
        <f ca="1"/>
        <v>２ｍｌｘ１０Ａ</v>
      </c>
      <c r="H89" s="54" t="str">
        <f ca="1">IF(E89="","",OFFSET(分類!$B$29,E89,0))</f>
        <v>注射</v>
      </c>
    </row>
    <row r="90" spans="2:8">
      <c r="B90" s="27">
        <f t="shared" si="1"/>
        <v>86</v>
      </c>
      <c r="C90" s="27"/>
      <c r="D90" s="27"/>
      <c r="E90" s="54"/>
      <c r="F90" s="54"/>
      <c r="G90" s="54"/>
      <c r="H90" s="54" t="str">
        <f ca="1">IF(E90="","",OFFSET(分類!$B$29,E90,0))</f>
        <v/>
      </c>
    </row>
    <row r="91" spans="2:8">
      <c r="B91" s="27">
        <f t="shared" si="1"/>
        <v>87</v>
      </c>
      <c r="C91" s="27"/>
      <c r="D91" s="27"/>
      <c r="E91" s="54"/>
      <c r="F91" s="54"/>
      <c r="G91" s="54"/>
      <c r="H91" s="54" t="str">
        <f ca="1">IF(E91="","",OFFSET(分類!$B$29,E91,0))</f>
        <v/>
      </c>
    </row>
    <row r="92" spans="2:8">
      <c r="B92" s="27">
        <f t="shared" si="1"/>
        <v>88</v>
      </c>
      <c r="C92" s="27"/>
      <c r="D92" s="27"/>
      <c r="E92" s="54"/>
      <c r="F92" s="54"/>
      <c r="G92" s="54"/>
      <c r="H92" s="54" t="str">
        <f ca="1">IF(E92="","",OFFSET(分類!$B$29,E92,0))</f>
        <v/>
      </c>
    </row>
    <row r="93" spans="2:8">
      <c r="B93" s="27">
        <f t="shared" si="1"/>
        <v>89</v>
      </c>
      <c r="C93" s="27"/>
      <c r="D93" s="27"/>
      <c r="E93" s="54"/>
      <c r="F93" s="54"/>
      <c r="G93" s="54"/>
      <c r="H93" s="54" t="str">
        <f ca="1">IF(E93="","",OFFSET(分類!$B$29,E93,0))</f>
        <v/>
      </c>
    </row>
    <row r="94" spans="2:8">
      <c r="B94" s="27">
        <f t="shared" si="1"/>
        <v>90</v>
      </c>
      <c r="C94" s="27"/>
      <c r="D94" s="27"/>
      <c r="E94" s="54"/>
      <c r="F94" s="54"/>
      <c r="G94" s="54"/>
      <c r="H94" s="54" t="str">
        <f ca="1">IF(E94="","",OFFSET(分類!$B$29,E94,0))</f>
        <v/>
      </c>
    </row>
    <row r="95" spans="2:8">
      <c r="B95" s="27">
        <f t="shared" si="1"/>
        <v>91</v>
      </c>
      <c r="C95" s="27"/>
      <c r="D95" s="27"/>
      <c r="E95" s="54"/>
      <c r="F95" s="54"/>
      <c r="G95" s="54"/>
      <c r="H95" s="54" t="str">
        <f ca="1">IF(E95="","",OFFSET(分類!$B$29,E95,0))</f>
        <v/>
      </c>
    </row>
    <row r="96" spans="2:8">
      <c r="B96" s="27">
        <f t="shared" si="1"/>
        <v>92</v>
      </c>
      <c r="C96" s="27"/>
      <c r="D96" s="27"/>
      <c r="E96" s="54"/>
      <c r="F96" s="54"/>
      <c r="G96" s="54"/>
      <c r="H96" s="54" t="str">
        <f ca="1">IF(E96="","",OFFSET(分類!$B$29,E96,0))</f>
        <v/>
      </c>
    </row>
    <row r="97" spans="2:8">
      <c r="B97" s="27">
        <f t="shared" si="1"/>
        <v>93</v>
      </c>
      <c r="C97" s="27"/>
      <c r="D97" s="27"/>
      <c r="E97" s="54"/>
      <c r="F97" s="54"/>
      <c r="G97" s="54"/>
      <c r="H97" s="54" t="str">
        <f ca="1">IF(E97="","",OFFSET(分類!$B$29,E97,0))</f>
        <v/>
      </c>
    </row>
    <row r="98" spans="2:8">
      <c r="B98" s="27">
        <f t="shared" si="1"/>
        <v>94</v>
      </c>
      <c r="C98" s="27"/>
      <c r="D98" s="27"/>
      <c r="E98" s="54"/>
      <c r="F98" s="54"/>
      <c r="G98" s="54"/>
      <c r="H98" s="54" t="str">
        <f ca="1">IF(E98="","",OFFSET(分類!$B$29,E98,0))</f>
        <v/>
      </c>
    </row>
    <row r="99" spans="2:8">
      <c r="B99" s="27">
        <f t="shared" si="1"/>
        <v>95</v>
      </c>
      <c r="C99" s="27"/>
      <c r="D99" s="27"/>
      <c r="E99" s="54"/>
      <c r="F99" s="54"/>
      <c r="G99" s="54"/>
      <c r="H99" s="54" t="str">
        <f ca="1">IF(E99="","",OFFSET(分類!$B$29,E99,0))</f>
        <v/>
      </c>
    </row>
    <row r="100" spans="2:8">
      <c r="B100" s="27">
        <f t="shared" si="1"/>
        <v>96</v>
      </c>
      <c r="C100" s="27"/>
      <c r="D100" s="27"/>
      <c r="E100" s="54"/>
      <c r="F100" s="54"/>
      <c r="G100" s="54"/>
      <c r="H100" s="54" t="str">
        <f ca="1">IF(E100="","",OFFSET(分類!$B$29,E100,0))</f>
        <v/>
      </c>
    </row>
    <row r="101" spans="2:8">
      <c r="B101" s="27">
        <f t="shared" si="1"/>
        <v>97</v>
      </c>
      <c r="C101" s="27"/>
      <c r="D101" s="27"/>
      <c r="E101" s="54"/>
      <c r="F101" s="54"/>
      <c r="G101" s="54"/>
      <c r="H101" s="54" t="str">
        <f ca="1">IF(E101="","",OFFSET(分類!$B$29,E101,0))</f>
        <v/>
      </c>
    </row>
    <row r="102" spans="2:8">
      <c r="B102" s="27">
        <f t="shared" si="1"/>
        <v>98</v>
      </c>
      <c r="C102" s="27"/>
      <c r="D102" s="27"/>
      <c r="E102" s="54"/>
      <c r="F102" s="54"/>
      <c r="G102" s="54"/>
      <c r="H102" s="54" t="str">
        <f ca="1">IF(E102="","",OFFSET(分類!$B$29,E102,0))</f>
        <v/>
      </c>
    </row>
    <row r="103" spans="2:8">
      <c r="B103" s="27">
        <f t="shared" si="1"/>
        <v>99</v>
      </c>
      <c r="C103" s="27"/>
      <c r="D103" s="27"/>
      <c r="E103" s="54"/>
      <c r="F103" s="54"/>
      <c r="G103" s="54"/>
      <c r="H103" s="54" t="str">
        <f ca="1">IF(E103="","",OFFSET(分類!$B$29,E103,0))</f>
        <v/>
      </c>
    </row>
    <row r="104" spans="2:8">
      <c r="B104" s="27">
        <f t="shared" si="1"/>
        <v>100</v>
      </c>
      <c r="C104" s="27"/>
      <c r="D104" s="27"/>
      <c r="E104" s="54"/>
      <c r="F104" s="54"/>
      <c r="G104" s="54"/>
      <c r="H104" s="54" t="str">
        <f ca="1">IF(E104="","",OFFSET(分類!$B$29,E104,0))</f>
        <v/>
      </c>
    </row>
    <row r="105" spans="2:8">
      <c r="B105" s="27">
        <f t="shared" si="1"/>
        <v>101</v>
      </c>
      <c r="C105" s="27"/>
      <c r="D105" s="27"/>
      <c r="E105" s="54"/>
      <c r="F105" s="54"/>
      <c r="G105" s="54"/>
      <c r="H105" s="54" t="str">
        <f ca="1">IF(E105="","",OFFSET(分類!$B$29,E105,0))</f>
        <v/>
      </c>
    </row>
    <row r="106" spans="2:8">
      <c r="B106" s="27">
        <f t="shared" si="1"/>
        <v>102</v>
      </c>
      <c r="C106" s="27"/>
      <c r="D106" s="27"/>
      <c r="E106" s="54"/>
      <c r="F106" s="54"/>
      <c r="G106" s="54"/>
      <c r="H106" s="54" t="str">
        <f ca="1">IF(E106="","",OFFSET(分類!$B$29,E106,0))</f>
        <v/>
      </c>
    </row>
    <row r="107" spans="2:8">
      <c r="B107" s="27">
        <f t="shared" si="1"/>
        <v>103</v>
      </c>
      <c r="C107" s="27"/>
      <c r="D107" s="27"/>
      <c r="E107" s="54"/>
      <c r="F107" s="54"/>
      <c r="G107" s="54"/>
      <c r="H107" s="54" t="str">
        <f ca="1">IF(E107="","",OFFSET(分類!$B$29,E107,0))</f>
        <v/>
      </c>
    </row>
    <row r="108" spans="2:8">
      <c r="B108" s="27">
        <f t="shared" si="1"/>
        <v>104</v>
      </c>
      <c r="C108" s="27"/>
      <c r="D108" s="27"/>
      <c r="E108" s="54"/>
      <c r="F108" s="54"/>
      <c r="G108" s="54"/>
      <c r="H108" s="54" t="str">
        <f ca="1">IF(E108="","",OFFSET(分類!$B$29,E108,0))</f>
        <v/>
      </c>
    </row>
    <row r="109" spans="2:8">
      <c r="B109" s="27">
        <f t="shared" si="1"/>
        <v>105</v>
      </c>
      <c r="C109" s="27"/>
      <c r="D109" s="27"/>
      <c r="E109" s="54"/>
      <c r="F109" s="54"/>
      <c r="G109" s="54"/>
      <c r="H109" s="54" t="str">
        <f ca="1">IF(E109="","",OFFSET(分類!$B$29,E109,0))</f>
        <v/>
      </c>
    </row>
    <row r="110" spans="2:8">
      <c r="B110" s="27">
        <f t="shared" si="1"/>
        <v>106</v>
      </c>
      <c r="C110" s="27"/>
      <c r="D110" s="27"/>
      <c r="E110" s="54"/>
      <c r="F110" s="54"/>
      <c r="G110" s="54"/>
      <c r="H110" s="54" t="str">
        <f ca="1">IF(E110="","",OFFSET(分類!$B$29,E110,0))</f>
        <v/>
      </c>
    </row>
    <row r="111" spans="2:8">
      <c r="B111" s="27">
        <f t="shared" si="1"/>
        <v>107</v>
      </c>
      <c r="C111" s="27"/>
      <c r="D111" s="27"/>
      <c r="E111" s="54"/>
      <c r="F111" s="54"/>
      <c r="G111" s="54"/>
      <c r="H111" s="54" t="str">
        <f ca="1">IF(E111="","",OFFSET(分類!$B$29,E111,0))</f>
        <v/>
      </c>
    </row>
    <row r="112" spans="2:8">
      <c r="B112" s="27">
        <f t="shared" si="1"/>
        <v>108</v>
      </c>
      <c r="C112" s="27"/>
      <c r="D112" s="27"/>
      <c r="E112" s="54"/>
      <c r="F112" s="54"/>
      <c r="G112" s="54"/>
      <c r="H112" s="54" t="str">
        <f ca="1">IF(E112="","",OFFSET(分類!$B$29,E112,0))</f>
        <v/>
      </c>
    </row>
    <row r="113" spans="2:8">
      <c r="B113" s="27">
        <f t="shared" si="1"/>
        <v>109</v>
      </c>
      <c r="C113" s="27"/>
      <c r="D113" s="27"/>
      <c r="E113" s="54"/>
      <c r="F113" s="54"/>
      <c r="G113" s="54"/>
      <c r="H113" s="54" t="str">
        <f ca="1">IF(E113="","",OFFSET(分類!$B$29,E113,0))</f>
        <v/>
      </c>
    </row>
    <row r="114" spans="2:8">
      <c r="B114" s="27">
        <f t="shared" si="1"/>
        <v>110</v>
      </c>
      <c r="C114" s="27"/>
      <c r="D114" s="27"/>
      <c r="E114" s="54"/>
      <c r="F114" s="54"/>
      <c r="G114" s="54"/>
      <c r="H114" s="54" t="str">
        <f ca="1">IF(E114="","",OFFSET(分類!$B$29,E114,0))</f>
        <v/>
      </c>
    </row>
    <row r="115" spans="2:8">
      <c r="B115" s="27">
        <f t="shared" si="1"/>
        <v>111</v>
      </c>
      <c r="C115" s="27"/>
      <c r="D115" s="27"/>
      <c r="E115" s="54"/>
      <c r="F115" s="54"/>
      <c r="G115" s="54"/>
      <c r="H115" s="54" t="str">
        <f ca="1">IF(E115="","",OFFSET(分類!$B$29,E115,0))</f>
        <v/>
      </c>
    </row>
    <row r="116" spans="2:8">
      <c r="B116" s="27">
        <f t="shared" si="1"/>
        <v>112</v>
      </c>
      <c r="C116" s="27"/>
      <c r="D116" s="27"/>
      <c r="E116" s="54"/>
      <c r="F116" s="54"/>
      <c r="G116" s="54"/>
      <c r="H116" s="54" t="str">
        <f ca="1">IF(E116="","",OFFSET(分類!$B$29,E116,0))</f>
        <v/>
      </c>
    </row>
    <row r="117" spans="2:8">
      <c r="B117" s="27">
        <f t="shared" si="1"/>
        <v>113</v>
      </c>
      <c r="C117" s="27"/>
      <c r="D117" s="27"/>
      <c r="E117" s="54"/>
      <c r="F117" s="54"/>
      <c r="G117" s="54"/>
      <c r="H117" s="54" t="str">
        <f ca="1">IF(E117="","",OFFSET(分類!$B$29,E117,0))</f>
        <v/>
      </c>
    </row>
    <row r="118" spans="2:8">
      <c r="B118" s="27">
        <f t="shared" si="1"/>
        <v>114</v>
      </c>
      <c r="C118" s="27"/>
      <c r="D118" s="27"/>
      <c r="E118" s="54"/>
      <c r="F118" s="54"/>
      <c r="G118" s="54"/>
      <c r="H118" s="54" t="str">
        <f ca="1">IF(E118="","",OFFSET(分類!$B$29,E118,0))</f>
        <v/>
      </c>
    </row>
    <row r="119" spans="2:8">
      <c r="B119" s="27">
        <f t="shared" si="1"/>
        <v>115</v>
      </c>
      <c r="C119" s="27"/>
      <c r="D119" s="27"/>
      <c r="E119" s="54"/>
      <c r="F119" s="54"/>
      <c r="G119" s="54"/>
      <c r="H119" s="54" t="str">
        <f ca="1">IF(E119="","",OFFSET(分類!$B$29,E119,0))</f>
        <v/>
      </c>
    </row>
    <row r="120" spans="2:8">
      <c r="B120" s="27">
        <f t="shared" si="1"/>
        <v>116</v>
      </c>
      <c r="C120" s="27"/>
      <c r="D120" s="27"/>
      <c r="E120" s="54"/>
      <c r="F120" s="54"/>
      <c r="G120" s="54"/>
      <c r="H120" s="54" t="str">
        <f ca="1">IF(E120="","",OFFSET(分類!$B$29,E120,0))</f>
        <v/>
      </c>
    </row>
    <row r="121" spans="2:8">
      <c r="B121" s="27">
        <f t="shared" si="1"/>
        <v>117</v>
      </c>
      <c r="C121" s="27"/>
      <c r="D121" s="27"/>
      <c r="E121" s="54"/>
      <c r="F121" s="54"/>
      <c r="G121" s="54"/>
      <c r="H121" s="54" t="str">
        <f ca="1">IF(E121="","",OFFSET(分類!$B$29,E121,0))</f>
        <v/>
      </c>
    </row>
    <row r="122" spans="2:8">
      <c r="B122" s="27">
        <f t="shared" si="1"/>
        <v>118</v>
      </c>
      <c r="C122" s="27"/>
      <c r="D122" s="27"/>
      <c r="E122" s="54"/>
      <c r="F122" s="54"/>
      <c r="G122" s="54"/>
      <c r="H122" s="54" t="str">
        <f ca="1">IF(E122="","",OFFSET(分類!$B$29,E122,0))</f>
        <v/>
      </c>
    </row>
    <row r="123" spans="2:8">
      <c r="B123" s="27">
        <f t="shared" si="1"/>
        <v>119</v>
      </c>
      <c r="C123" s="27"/>
      <c r="D123" s="27"/>
      <c r="E123" s="54"/>
      <c r="F123" s="54"/>
      <c r="G123" s="54"/>
      <c r="H123" s="54" t="str">
        <f ca="1">IF(E123="","",OFFSET(分類!$B$29,E123,0))</f>
        <v/>
      </c>
    </row>
    <row r="124" spans="2:8">
      <c r="B124" s="27">
        <f t="shared" si="1"/>
        <v>120</v>
      </c>
      <c r="C124" s="27"/>
      <c r="D124" s="27"/>
      <c r="E124" s="54"/>
      <c r="F124" s="54"/>
      <c r="G124" s="54"/>
      <c r="H124" s="54" t="str">
        <f ca="1">IF(E124="","",OFFSET(分類!$B$29,E124,0))</f>
        <v/>
      </c>
    </row>
    <row r="125" spans="2:8">
      <c r="B125" s="27">
        <f t="shared" si="1"/>
        <v>121</v>
      </c>
      <c r="C125" s="27"/>
      <c r="D125" s="27"/>
      <c r="E125" s="54"/>
      <c r="F125" s="54"/>
      <c r="G125" s="54"/>
      <c r="H125" s="54" t="str">
        <f ca="1">IF(E125="","",OFFSET(分類!$B$29,E125,0))</f>
        <v/>
      </c>
    </row>
    <row r="126" spans="2:8">
      <c r="B126" s="27">
        <f t="shared" si="1"/>
        <v>122</v>
      </c>
      <c r="C126" s="27"/>
      <c r="D126" s="27"/>
      <c r="E126" s="54"/>
      <c r="F126" s="54"/>
      <c r="G126" s="54"/>
      <c r="H126" s="54" t="str">
        <f ca="1">IF(E126="","",OFFSET(分類!$B$29,E126,0))</f>
        <v/>
      </c>
    </row>
    <row r="127" spans="2:8">
      <c r="B127" s="27">
        <f t="shared" si="1"/>
        <v>123</v>
      </c>
      <c r="C127" s="27"/>
      <c r="D127" s="27"/>
      <c r="E127" s="54"/>
      <c r="F127" s="54"/>
      <c r="G127" s="54"/>
      <c r="H127" s="54" t="str">
        <f ca="1">IF(E127="","",OFFSET(分類!$B$29,E127,0))</f>
        <v/>
      </c>
    </row>
    <row r="128" spans="2:8">
      <c r="B128" s="27">
        <f t="shared" si="1"/>
        <v>124</v>
      </c>
      <c r="C128" s="27"/>
      <c r="D128" s="27"/>
      <c r="E128" s="54"/>
      <c r="F128" s="54"/>
      <c r="G128" s="54"/>
      <c r="H128" s="54" t="str">
        <f ca="1">IF(E128="","",OFFSET(分類!$B$29,E128,0))</f>
        <v/>
      </c>
    </row>
    <row r="129" spans="2:8">
      <c r="B129" s="27">
        <f t="shared" si="1"/>
        <v>125</v>
      </c>
      <c r="C129" s="27"/>
      <c r="D129" s="27"/>
      <c r="E129" s="54"/>
      <c r="F129" s="54"/>
      <c r="G129" s="54"/>
      <c r="H129" s="54" t="str">
        <f ca="1">IF(E129="","",OFFSET(分類!$B$29,E129,0))</f>
        <v/>
      </c>
    </row>
    <row r="130" spans="2:8">
      <c r="B130" s="27">
        <f t="shared" si="1"/>
        <v>126</v>
      </c>
      <c r="C130" s="27"/>
      <c r="D130" s="27"/>
      <c r="E130" s="54"/>
      <c r="F130" s="54"/>
      <c r="G130" s="54"/>
      <c r="H130" s="54" t="str">
        <f ca="1">IF(E130="","",OFFSET(分類!$B$29,E130,0))</f>
        <v/>
      </c>
    </row>
    <row r="131" spans="2:8">
      <c r="B131" s="27">
        <f t="shared" si="1"/>
        <v>127</v>
      </c>
      <c r="C131" s="27"/>
      <c r="D131" s="27"/>
      <c r="E131" s="54"/>
      <c r="F131" s="54"/>
      <c r="G131" s="54"/>
      <c r="H131" s="54" t="str">
        <f ca="1">IF(E131="","",OFFSET(分類!$B$29,E131,0))</f>
        <v/>
      </c>
    </row>
    <row r="132" spans="2:8">
      <c r="B132" s="27">
        <f t="shared" si="1"/>
        <v>128</v>
      </c>
      <c r="C132" s="27"/>
      <c r="D132" s="27"/>
      <c r="E132" s="54"/>
      <c r="F132" s="54"/>
      <c r="G132" s="54"/>
      <c r="H132" s="54" t="str">
        <f ca="1">IF(E132="","",OFFSET(分類!$B$29,E132,0))</f>
        <v/>
      </c>
    </row>
    <row r="133" spans="2:8">
      <c r="B133" s="27">
        <f t="shared" si="1"/>
        <v>129</v>
      </c>
      <c r="C133" s="27"/>
      <c r="D133" s="27"/>
      <c r="E133" s="54"/>
      <c r="F133" s="54"/>
      <c r="G133" s="54"/>
      <c r="H133" s="54" t="str">
        <f ca="1">IF(E133="","",OFFSET(分類!$B$29,E133,0))</f>
        <v/>
      </c>
    </row>
    <row r="134" spans="2:8">
      <c r="B134" s="27">
        <f t="shared" si="1"/>
        <v>130</v>
      </c>
      <c r="C134" s="27"/>
      <c r="D134" s="27"/>
      <c r="E134" s="54"/>
      <c r="F134" s="54"/>
      <c r="G134" s="54"/>
      <c r="H134" s="54" t="str">
        <f ca="1">IF(E134="","",OFFSET(分類!$B$29,E134,0))</f>
        <v/>
      </c>
    </row>
    <row r="135" spans="2:8">
      <c r="B135" s="27">
        <f t="shared" ref="B135:B198" si="2">B134+1</f>
        <v>131</v>
      </c>
      <c r="C135" s="27"/>
      <c r="D135" s="27"/>
      <c r="E135" s="54"/>
      <c r="F135" s="54"/>
      <c r="G135" s="54"/>
      <c r="H135" s="54" t="str">
        <f ca="1">IF(E135="","",OFFSET(分類!$B$29,E135,0))</f>
        <v/>
      </c>
    </row>
    <row r="136" spans="2:8">
      <c r="B136" s="27">
        <f t="shared" si="2"/>
        <v>132</v>
      </c>
      <c r="C136" s="27"/>
      <c r="D136" s="27"/>
      <c r="E136" s="54"/>
      <c r="F136" s="54"/>
      <c r="G136" s="54"/>
      <c r="H136" s="54" t="str">
        <f ca="1">IF(E136="","",OFFSET(分類!$B$29,E136,0))</f>
        <v/>
      </c>
    </row>
    <row r="137" spans="2:8">
      <c r="B137" s="27">
        <f t="shared" si="2"/>
        <v>133</v>
      </c>
      <c r="C137" s="27"/>
      <c r="D137" s="27"/>
      <c r="E137" s="54"/>
      <c r="F137" s="54"/>
      <c r="G137" s="54"/>
      <c r="H137" s="54" t="str">
        <f ca="1">IF(E137="","",OFFSET(分類!$B$29,E137,0))</f>
        <v/>
      </c>
    </row>
    <row r="138" spans="2:8">
      <c r="B138" s="27">
        <f t="shared" si="2"/>
        <v>134</v>
      </c>
      <c r="C138" s="27"/>
      <c r="D138" s="27"/>
      <c r="E138" s="54"/>
      <c r="F138" s="54"/>
      <c r="G138" s="54"/>
      <c r="H138" s="54" t="str">
        <f ca="1">IF(E138="","",OFFSET(分類!$B$29,E138,0))</f>
        <v/>
      </c>
    </row>
    <row r="139" spans="2:8">
      <c r="B139" s="27">
        <f t="shared" si="2"/>
        <v>135</v>
      </c>
      <c r="C139" s="27"/>
      <c r="D139" s="27"/>
      <c r="E139" s="54"/>
      <c r="F139" s="54"/>
      <c r="G139" s="54"/>
      <c r="H139" s="54" t="str">
        <f ca="1">IF(E139="","",OFFSET(分類!$B$29,E139,0))</f>
        <v/>
      </c>
    </row>
    <row r="140" spans="2:8">
      <c r="B140" s="27">
        <f t="shared" si="2"/>
        <v>136</v>
      </c>
      <c r="C140" s="27"/>
      <c r="D140" s="27"/>
      <c r="E140" s="54"/>
      <c r="F140" s="54"/>
      <c r="G140" s="54"/>
      <c r="H140" s="54" t="str">
        <f ca="1">IF(E140="","",OFFSET(分類!$B$29,E140,0))</f>
        <v/>
      </c>
    </row>
    <row r="141" spans="2:8">
      <c r="B141" s="27">
        <f t="shared" si="2"/>
        <v>137</v>
      </c>
      <c r="C141" s="27"/>
      <c r="D141" s="27"/>
      <c r="E141" s="54"/>
      <c r="F141" s="54"/>
      <c r="G141" s="54"/>
      <c r="H141" s="54" t="str">
        <f ca="1">IF(E141="","",OFFSET(分類!$B$29,E141,0))</f>
        <v/>
      </c>
    </row>
    <row r="142" spans="2:8">
      <c r="B142" s="27">
        <f t="shared" si="2"/>
        <v>138</v>
      </c>
      <c r="C142" s="27"/>
      <c r="D142" s="27"/>
      <c r="E142" s="54"/>
      <c r="F142" s="54"/>
      <c r="G142" s="54"/>
      <c r="H142" s="54" t="str">
        <f ca="1">IF(E142="","",OFFSET(分類!$B$29,E142,0))</f>
        <v/>
      </c>
    </row>
    <row r="143" spans="2:8">
      <c r="B143" s="27">
        <f t="shared" si="2"/>
        <v>139</v>
      </c>
      <c r="C143" s="27"/>
      <c r="D143" s="27"/>
      <c r="E143" s="54"/>
      <c r="F143" s="54"/>
      <c r="G143" s="54"/>
      <c r="H143" s="54" t="str">
        <f ca="1">IF(E143="","",OFFSET(分類!$B$29,E143,0))</f>
        <v/>
      </c>
    </row>
    <row r="144" spans="2:8">
      <c r="B144" s="27">
        <f t="shared" si="2"/>
        <v>140</v>
      </c>
      <c r="C144" s="27"/>
      <c r="D144" s="27"/>
      <c r="E144" s="54"/>
      <c r="F144" s="54"/>
      <c r="G144" s="54"/>
      <c r="H144" s="54" t="str">
        <f ca="1">IF(E144="","",OFFSET(分類!$B$29,E144,0))</f>
        <v/>
      </c>
    </row>
    <row r="145" spans="2:8">
      <c r="B145" s="27">
        <f t="shared" si="2"/>
        <v>141</v>
      </c>
      <c r="C145" s="27"/>
      <c r="D145" s="27"/>
      <c r="E145" s="54"/>
      <c r="F145" s="54"/>
      <c r="G145" s="54"/>
      <c r="H145" s="54" t="str">
        <f ca="1">IF(E145="","",OFFSET(分類!$B$29,E145,0))</f>
        <v/>
      </c>
    </row>
    <row r="146" spans="2:8">
      <c r="B146" s="27">
        <f t="shared" si="2"/>
        <v>142</v>
      </c>
      <c r="C146" s="27"/>
      <c r="D146" s="27"/>
      <c r="E146" s="54"/>
      <c r="F146" s="54"/>
      <c r="G146" s="54"/>
      <c r="H146" s="54" t="str">
        <f ca="1">IF(E146="","",OFFSET(分類!$B$29,E146,0))</f>
        <v/>
      </c>
    </row>
    <row r="147" spans="2:8">
      <c r="B147" s="27">
        <f t="shared" si="2"/>
        <v>143</v>
      </c>
      <c r="C147" s="27"/>
      <c r="D147" s="27"/>
      <c r="E147" s="54"/>
      <c r="F147" s="54"/>
      <c r="G147" s="54"/>
      <c r="H147" s="54" t="str">
        <f ca="1">IF(E147="","",OFFSET(分類!$B$29,E147,0))</f>
        <v/>
      </c>
    </row>
    <row r="148" spans="2:8">
      <c r="B148" s="27">
        <f t="shared" si="2"/>
        <v>144</v>
      </c>
      <c r="C148" s="27"/>
      <c r="D148" s="27"/>
      <c r="E148" s="54"/>
      <c r="F148" s="54"/>
      <c r="G148" s="54"/>
      <c r="H148" s="54" t="str">
        <f ca="1">IF(E148="","",OFFSET(分類!$B$29,E148,0))</f>
        <v/>
      </c>
    </row>
    <row r="149" spans="2:8">
      <c r="B149" s="27">
        <f t="shared" si="2"/>
        <v>145</v>
      </c>
      <c r="C149" s="27"/>
      <c r="D149" s="27"/>
      <c r="E149" s="54"/>
      <c r="F149" s="54"/>
      <c r="G149" s="54"/>
      <c r="H149" s="54" t="str">
        <f ca="1">IF(E149="","",OFFSET(分類!$B$29,E149,0))</f>
        <v/>
      </c>
    </row>
    <row r="150" spans="2:8">
      <c r="B150" s="27">
        <f t="shared" si="2"/>
        <v>146</v>
      </c>
      <c r="C150" s="27"/>
      <c r="D150" s="27"/>
      <c r="E150" s="54"/>
      <c r="F150" s="54"/>
      <c r="G150" s="54"/>
      <c r="H150" s="54" t="str">
        <f ca="1">IF(E150="","",OFFSET(分類!$B$29,E150,0))</f>
        <v/>
      </c>
    </row>
    <row r="151" spans="2:8">
      <c r="B151" s="27">
        <f t="shared" si="2"/>
        <v>147</v>
      </c>
      <c r="C151" s="27"/>
      <c r="D151" s="27"/>
      <c r="E151" s="54"/>
      <c r="F151" s="54"/>
      <c r="G151" s="54"/>
      <c r="H151" s="54" t="str">
        <f ca="1">IF(E151="","",OFFSET(分類!$B$29,E151,0))</f>
        <v/>
      </c>
    </row>
    <row r="152" spans="2:8">
      <c r="B152" s="27">
        <f t="shared" si="2"/>
        <v>148</v>
      </c>
      <c r="C152" s="27"/>
      <c r="D152" s="27"/>
      <c r="E152" s="54"/>
      <c r="F152" s="54"/>
      <c r="G152" s="54"/>
      <c r="H152" s="54" t="str">
        <f ca="1">IF(E152="","",OFFSET(分類!$B$29,E152,0))</f>
        <v/>
      </c>
    </row>
    <row r="153" spans="2:8">
      <c r="B153" s="27">
        <f t="shared" si="2"/>
        <v>149</v>
      </c>
      <c r="C153" s="27"/>
      <c r="D153" s="27"/>
      <c r="E153" s="54"/>
      <c r="F153" s="54"/>
      <c r="G153" s="54"/>
      <c r="H153" s="54" t="str">
        <f ca="1">IF(E153="","",OFFSET(分類!$B$29,E153,0))</f>
        <v/>
      </c>
    </row>
    <row r="154" spans="2:8">
      <c r="B154" s="27">
        <f t="shared" si="2"/>
        <v>150</v>
      </c>
      <c r="C154" s="27"/>
      <c r="D154" s="27"/>
      <c r="E154" s="54"/>
      <c r="F154" s="54"/>
      <c r="G154" s="54"/>
      <c r="H154" s="54" t="str">
        <f ca="1">IF(E154="","",OFFSET(分類!$B$29,E154,0))</f>
        <v/>
      </c>
    </row>
    <row r="155" spans="2:8">
      <c r="B155" s="27">
        <f t="shared" si="2"/>
        <v>151</v>
      </c>
      <c r="C155" s="27"/>
      <c r="D155" s="27"/>
      <c r="E155" s="54"/>
      <c r="F155" s="54"/>
      <c r="G155" s="54"/>
      <c r="H155" s="54" t="str">
        <f ca="1">IF(E155="","",OFFSET(分類!$B$29,E155,0))</f>
        <v/>
      </c>
    </row>
    <row r="156" spans="2:8">
      <c r="B156" s="27">
        <f t="shared" si="2"/>
        <v>152</v>
      </c>
      <c r="C156" s="27"/>
      <c r="D156" s="27"/>
      <c r="E156" s="54"/>
      <c r="F156" s="54"/>
      <c r="G156" s="54"/>
      <c r="H156" s="54" t="str">
        <f ca="1">IF(E156="","",OFFSET(分類!$B$29,E156,0))</f>
        <v/>
      </c>
    </row>
    <row r="157" spans="2:8">
      <c r="B157" s="27">
        <f t="shared" si="2"/>
        <v>153</v>
      </c>
      <c r="C157" s="27"/>
      <c r="D157" s="27"/>
      <c r="E157" s="54"/>
      <c r="F157" s="54"/>
      <c r="G157" s="54"/>
      <c r="H157" s="54" t="str">
        <f ca="1">IF(E157="","",OFFSET(分類!$B$29,E157,0))</f>
        <v/>
      </c>
    </row>
    <row r="158" spans="2:8">
      <c r="B158" s="27">
        <f t="shared" si="2"/>
        <v>154</v>
      </c>
      <c r="C158" s="27"/>
      <c r="D158" s="27"/>
      <c r="E158" s="54"/>
      <c r="F158" s="54"/>
      <c r="G158" s="54"/>
      <c r="H158" s="54" t="str">
        <f ca="1">IF(E158="","",OFFSET(分類!$B$29,E158,0))</f>
        <v/>
      </c>
    </row>
    <row r="159" spans="2:8">
      <c r="B159" s="27">
        <f t="shared" si="2"/>
        <v>155</v>
      </c>
      <c r="C159" s="27"/>
      <c r="D159" s="27"/>
      <c r="E159" s="54"/>
      <c r="F159" s="54"/>
      <c r="G159" s="54"/>
      <c r="H159" s="54" t="str">
        <f ca="1">IF(E159="","",OFFSET(分類!$B$29,E159,0))</f>
        <v/>
      </c>
    </row>
    <row r="160" spans="2:8">
      <c r="B160" s="27">
        <f t="shared" si="2"/>
        <v>156</v>
      </c>
      <c r="C160" s="27"/>
      <c r="D160" s="27"/>
      <c r="E160" s="54"/>
      <c r="F160" s="54"/>
      <c r="G160" s="54"/>
      <c r="H160" s="54" t="str">
        <f ca="1">IF(E160="","",OFFSET(分類!$B$29,E160,0))</f>
        <v/>
      </c>
    </row>
    <row r="161" spans="2:8">
      <c r="B161" s="27">
        <f t="shared" si="2"/>
        <v>157</v>
      </c>
      <c r="C161" s="27"/>
      <c r="D161" s="27"/>
      <c r="E161" s="54"/>
      <c r="F161" s="54"/>
      <c r="G161" s="54"/>
      <c r="H161" s="54" t="str">
        <f ca="1">IF(E161="","",OFFSET(分類!$B$29,E161,0))</f>
        <v/>
      </c>
    </row>
    <row r="162" spans="2:8">
      <c r="B162" s="27">
        <f t="shared" si="2"/>
        <v>158</v>
      </c>
      <c r="C162" s="27"/>
      <c r="D162" s="27"/>
      <c r="E162" s="54"/>
      <c r="F162" s="54"/>
      <c r="G162" s="54"/>
      <c r="H162" s="54" t="str">
        <f ca="1">IF(E162="","",OFFSET(分類!$B$29,E162,0))</f>
        <v/>
      </c>
    </row>
    <row r="163" spans="2:8">
      <c r="B163" s="27">
        <f t="shared" si="2"/>
        <v>159</v>
      </c>
      <c r="C163" s="27"/>
      <c r="D163" s="27"/>
      <c r="E163" s="54"/>
      <c r="F163" s="54"/>
      <c r="G163" s="54"/>
      <c r="H163" s="54" t="str">
        <f ca="1">IF(E163="","",OFFSET(分類!$B$29,E163,0))</f>
        <v/>
      </c>
    </row>
    <row r="164" spans="2:8">
      <c r="B164" s="27">
        <f t="shared" si="2"/>
        <v>160</v>
      </c>
      <c r="C164" s="27"/>
      <c r="D164" s="27"/>
      <c r="E164" s="54"/>
      <c r="F164" s="54"/>
      <c r="G164" s="54"/>
      <c r="H164" s="54" t="str">
        <f ca="1">IF(E164="","",OFFSET(分類!$B$29,E164,0))</f>
        <v/>
      </c>
    </row>
    <row r="165" spans="2:8">
      <c r="B165" s="27">
        <f t="shared" si="2"/>
        <v>161</v>
      </c>
      <c r="C165" s="27"/>
      <c r="D165" s="27"/>
      <c r="E165" s="54"/>
      <c r="F165" s="54"/>
      <c r="G165" s="54"/>
      <c r="H165" s="54" t="str">
        <f ca="1">IF(E165="","",OFFSET(分類!$B$29,E165,0))</f>
        <v/>
      </c>
    </row>
    <row r="166" spans="2:8">
      <c r="B166" s="27">
        <f t="shared" si="2"/>
        <v>162</v>
      </c>
      <c r="C166" s="27"/>
      <c r="D166" s="27"/>
      <c r="E166" s="54"/>
      <c r="F166" s="54"/>
      <c r="G166" s="54"/>
      <c r="H166" s="54" t="str">
        <f ca="1">IF(E166="","",OFFSET(分類!$B$29,E166,0))</f>
        <v/>
      </c>
    </row>
    <row r="167" spans="2:8">
      <c r="B167" s="27">
        <f t="shared" si="2"/>
        <v>163</v>
      </c>
      <c r="C167" s="27"/>
      <c r="D167" s="27"/>
      <c r="E167" s="54"/>
      <c r="F167" s="54"/>
      <c r="G167" s="54"/>
      <c r="H167" s="54" t="str">
        <f ca="1">IF(E167="","",OFFSET(分類!$B$29,E167,0))</f>
        <v/>
      </c>
    </row>
    <row r="168" spans="2:8">
      <c r="B168" s="27">
        <f t="shared" si="2"/>
        <v>164</v>
      </c>
      <c r="C168" s="27"/>
      <c r="D168" s="27"/>
      <c r="E168" s="54"/>
      <c r="F168" s="54"/>
      <c r="G168" s="54"/>
      <c r="H168" s="54" t="str">
        <f ca="1">IF(E168="","",OFFSET(分類!$B$29,E168,0))</f>
        <v/>
      </c>
    </row>
    <row r="169" spans="2:8">
      <c r="B169" s="27">
        <f t="shared" si="2"/>
        <v>165</v>
      </c>
      <c r="C169" s="27"/>
      <c r="D169" s="27"/>
      <c r="E169" s="54"/>
      <c r="F169" s="54"/>
      <c r="G169" s="54"/>
      <c r="H169" s="54" t="str">
        <f ca="1">IF(E169="","",OFFSET(分類!$B$29,E169,0))</f>
        <v/>
      </c>
    </row>
    <row r="170" spans="2:8">
      <c r="B170" s="27">
        <f t="shared" si="2"/>
        <v>166</v>
      </c>
      <c r="C170" s="27"/>
      <c r="D170" s="27"/>
      <c r="E170" s="54"/>
      <c r="F170" s="54"/>
      <c r="G170" s="54"/>
      <c r="H170" s="54" t="str">
        <f ca="1">IF(E170="","",OFFSET(分類!$B$29,E170,0))</f>
        <v/>
      </c>
    </row>
    <row r="171" spans="2:8">
      <c r="B171" s="27">
        <f t="shared" si="2"/>
        <v>167</v>
      </c>
      <c r="C171" s="27"/>
      <c r="D171" s="27"/>
      <c r="E171" s="54"/>
      <c r="F171" s="54"/>
      <c r="G171" s="54"/>
      <c r="H171" s="54" t="str">
        <f ca="1">IF(E171="","",OFFSET(分類!$B$29,E171,0))</f>
        <v/>
      </c>
    </row>
    <row r="172" spans="2:8">
      <c r="B172" s="27">
        <f t="shared" si="2"/>
        <v>168</v>
      </c>
      <c r="C172" s="27"/>
      <c r="D172" s="27"/>
      <c r="E172" s="54"/>
      <c r="F172" s="54"/>
      <c r="G172" s="54"/>
      <c r="H172" s="54" t="str">
        <f ca="1">IF(E172="","",OFFSET(分類!$B$29,E172,0))</f>
        <v/>
      </c>
    </row>
    <row r="173" spans="2:8">
      <c r="B173" s="27">
        <f t="shared" si="2"/>
        <v>169</v>
      </c>
      <c r="C173" s="27"/>
      <c r="D173" s="27"/>
      <c r="E173" s="54"/>
      <c r="F173" s="54"/>
      <c r="G173" s="54"/>
      <c r="H173" s="54" t="str">
        <f ca="1">IF(E173="","",OFFSET(分類!$B$29,E173,0))</f>
        <v/>
      </c>
    </row>
    <row r="174" spans="2:8">
      <c r="B174" s="27">
        <f t="shared" si="2"/>
        <v>170</v>
      </c>
      <c r="C174" s="27"/>
      <c r="D174" s="27"/>
      <c r="E174" s="54"/>
      <c r="F174" s="54"/>
      <c r="G174" s="54"/>
      <c r="H174" s="54" t="str">
        <f ca="1">IF(E174="","",OFFSET(分類!$B$29,E174,0))</f>
        <v/>
      </c>
    </row>
    <row r="175" spans="2:8">
      <c r="B175" s="27">
        <f t="shared" si="2"/>
        <v>171</v>
      </c>
      <c r="C175" s="27"/>
      <c r="D175" s="27"/>
      <c r="E175" s="54"/>
      <c r="F175" s="54"/>
      <c r="G175" s="54"/>
      <c r="H175" s="54" t="str">
        <f ca="1">IF(E175="","",OFFSET(分類!$B$29,E175,0))</f>
        <v/>
      </c>
    </row>
    <row r="176" spans="2:8">
      <c r="B176" s="27">
        <f t="shared" si="2"/>
        <v>172</v>
      </c>
      <c r="C176" s="27"/>
      <c r="D176" s="27"/>
      <c r="E176" s="54"/>
      <c r="F176" s="54"/>
      <c r="G176" s="54"/>
      <c r="H176" s="54" t="str">
        <f ca="1">IF(E176="","",OFFSET(分類!$B$29,E176,0))</f>
        <v/>
      </c>
    </row>
    <row r="177" spans="2:8">
      <c r="B177" s="27">
        <f t="shared" si="2"/>
        <v>173</v>
      </c>
      <c r="C177" s="27"/>
      <c r="D177" s="27"/>
      <c r="E177" s="54"/>
      <c r="F177" s="54"/>
      <c r="G177" s="54"/>
      <c r="H177" s="54" t="str">
        <f ca="1">IF(E177="","",OFFSET(分類!$B$29,E177,0))</f>
        <v/>
      </c>
    </row>
    <row r="178" spans="2:8">
      <c r="B178" s="27">
        <f t="shared" si="2"/>
        <v>174</v>
      </c>
      <c r="C178" s="27"/>
      <c r="D178" s="27"/>
      <c r="E178" s="54"/>
      <c r="F178" s="54"/>
      <c r="G178" s="54"/>
      <c r="H178" s="54" t="str">
        <f ca="1">IF(E178="","",OFFSET(分類!$B$29,E178,0))</f>
        <v/>
      </c>
    </row>
    <row r="179" spans="2:8">
      <c r="B179" s="27">
        <f t="shared" si="2"/>
        <v>175</v>
      </c>
      <c r="C179" s="27"/>
      <c r="D179" s="27"/>
      <c r="E179" s="54"/>
      <c r="F179" s="54"/>
      <c r="G179" s="54"/>
      <c r="H179" s="54" t="str">
        <f ca="1">IF(E179="","",OFFSET(分類!$B$29,E179,0))</f>
        <v/>
      </c>
    </row>
    <row r="180" spans="2:8">
      <c r="B180" s="27">
        <f t="shared" si="2"/>
        <v>176</v>
      </c>
      <c r="C180" s="27"/>
      <c r="D180" s="27"/>
      <c r="E180" s="54"/>
      <c r="F180" s="54"/>
      <c r="G180" s="54"/>
      <c r="H180" s="54" t="str">
        <f ca="1">IF(E180="","",OFFSET(分類!$B$29,E180,0))</f>
        <v/>
      </c>
    </row>
    <row r="181" spans="2:8">
      <c r="B181" s="27">
        <f t="shared" si="2"/>
        <v>177</v>
      </c>
      <c r="C181" s="27"/>
      <c r="D181" s="27"/>
      <c r="E181" s="54"/>
      <c r="F181" s="54"/>
      <c r="G181" s="54"/>
      <c r="H181" s="54" t="str">
        <f ca="1">IF(E181="","",OFFSET(分類!$B$29,E181,0))</f>
        <v/>
      </c>
    </row>
    <row r="182" spans="2:8">
      <c r="B182" s="27">
        <f t="shared" si="2"/>
        <v>178</v>
      </c>
      <c r="C182" s="27"/>
      <c r="D182" s="27"/>
      <c r="E182" s="54"/>
      <c r="F182" s="54"/>
      <c r="G182" s="54"/>
      <c r="H182" s="54" t="str">
        <f ca="1">IF(E182="","",OFFSET(分類!$B$29,E182,0))</f>
        <v/>
      </c>
    </row>
    <row r="183" spans="2:8">
      <c r="B183" s="27">
        <f t="shared" si="2"/>
        <v>179</v>
      </c>
      <c r="C183" s="27"/>
      <c r="D183" s="27"/>
      <c r="E183" s="54"/>
      <c r="F183" s="54"/>
      <c r="G183" s="54"/>
      <c r="H183" s="54" t="str">
        <f ca="1">IF(E183="","",OFFSET(分類!$B$29,E183,0))</f>
        <v/>
      </c>
    </row>
    <row r="184" spans="2:8">
      <c r="B184" s="27">
        <f t="shared" si="2"/>
        <v>180</v>
      </c>
      <c r="C184" s="27"/>
      <c r="D184" s="27"/>
      <c r="E184" s="54"/>
      <c r="F184" s="54"/>
      <c r="G184" s="54"/>
      <c r="H184" s="54" t="str">
        <f ca="1">IF(E184="","",OFFSET(分類!$B$29,E184,0))</f>
        <v/>
      </c>
    </row>
    <row r="185" spans="2:8">
      <c r="B185" s="27">
        <f t="shared" si="2"/>
        <v>181</v>
      </c>
      <c r="C185" s="27"/>
      <c r="D185" s="27"/>
      <c r="E185" s="54"/>
      <c r="F185" s="54"/>
      <c r="G185" s="54"/>
      <c r="H185" s="54" t="str">
        <f ca="1">IF(E185="","",OFFSET(分類!$B$29,E185,0))</f>
        <v/>
      </c>
    </row>
    <row r="186" spans="2:8">
      <c r="B186" s="27">
        <f t="shared" si="2"/>
        <v>182</v>
      </c>
      <c r="C186" s="27"/>
      <c r="D186" s="27"/>
      <c r="E186" s="54"/>
      <c r="F186" s="54"/>
      <c r="G186" s="54"/>
      <c r="H186" s="54" t="str">
        <f ca="1">IF(E186="","",OFFSET(分類!$B$29,E186,0))</f>
        <v/>
      </c>
    </row>
    <row r="187" spans="2:8">
      <c r="B187" s="27">
        <f t="shared" si="2"/>
        <v>183</v>
      </c>
      <c r="C187" s="27"/>
      <c r="D187" s="27"/>
      <c r="E187" s="54"/>
      <c r="F187" s="54"/>
      <c r="G187" s="54"/>
      <c r="H187" s="54" t="str">
        <f ca="1">IF(E187="","",OFFSET(分類!$B$29,E187,0))</f>
        <v/>
      </c>
    </row>
    <row r="188" spans="2:8">
      <c r="B188" s="27">
        <f t="shared" si="2"/>
        <v>184</v>
      </c>
      <c r="C188" s="27"/>
      <c r="D188" s="27"/>
      <c r="E188" s="54"/>
      <c r="F188" s="54"/>
      <c r="G188" s="54"/>
      <c r="H188" s="54" t="str">
        <f ca="1">IF(E188="","",OFFSET(分類!$B$29,E188,0))</f>
        <v/>
      </c>
    </row>
    <row r="189" spans="2:8">
      <c r="B189" s="27">
        <f t="shared" si="2"/>
        <v>185</v>
      </c>
      <c r="C189" s="27"/>
      <c r="D189" s="27"/>
      <c r="E189" s="54"/>
      <c r="F189" s="54"/>
      <c r="G189" s="54"/>
      <c r="H189" s="54" t="str">
        <f ca="1">IF(E189="","",OFFSET(分類!$B$29,E189,0))</f>
        <v/>
      </c>
    </row>
    <row r="190" spans="2:8">
      <c r="B190" s="27">
        <f t="shared" si="2"/>
        <v>186</v>
      </c>
      <c r="C190" s="27"/>
      <c r="D190" s="27"/>
      <c r="E190" s="54"/>
      <c r="F190" s="54"/>
      <c r="G190" s="54"/>
      <c r="H190" s="54" t="str">
        <f ca="1">IF(E190="","",OFFSET(分類!$B$29,E190,0))</f>
        <v/>
      </c>
    </row>
    <row r="191" spans="2:8">
      <c r="B191" s="27">
        <f t="shared" si="2"/>
        <v>187</v>
      </c>
      <c r="C191" s="27"/>
      <c r="D191" s="27"/>
      <c r="E191" s="54"/>
      <c r="F191" s="54"/>
      <c r="G191" s="54"/>
      <c r="H191" s="54" t="str">
        <f ca="1">IF(E191="","",OFFSET(分類!$B$29,E191,0))</f>
        <v/>
      </c>
    </row>
    <row r="192" spans="2:8">
      <c r="B192" s="27">
        <f t="shared" si="2"/>
        <v>188</v>
      </c>
      <c r="C192" s="27"/>
      <c r="D192" s="27"/>
      <c r="E192" s="54"/>
      <c r="F192" s="54"/>
      <c r="G192" s="54"/>
      <c r="H192" s="54" t="str">
        <f ca="1">IF(E192="","",OFFSET(分類!$B$29,E192,0))</f>
        <v/>
      </c>
    </row>
    <row r="193" spans="2:8">
      <c r="B193" s="27">
        <f t="shared" si="2"/>
        <v>189</v>
      </c>
      <c r="C193" s="27"/>
      <c r="D193" s="27"/>
      <c r="E193" s="54"/>
      <c r="F193" s="54"/>
      <c r="G193" s="54"/>
      <c r="H193" s="54" t="str">
        <f ca="1">IF(E193="","",OFFSET(分類!$B$29,E193,0))</f>
        <v/>
      </c>
    </row>
    <row r="194" spans="2:8">
      <c r="B194" s="27">
        <f t="shared" si="2"/>
        <v>190</v>
      </c>
      <c r="C194" s="27"/>
      <c r="D194" s="27"/>
      <c r="E194" s="54"/>
      <c r="F194" s="54"/>
      <c r="G194" s="54"/>
      <c r="H194" s="54" t="str">
        <f ca="1">IF(E194="","",OFFSET(分類!$B$29,E194,0))</f>
        <v/>
      </c>
    </row>
    <row r="195" spans="2:8">
      <c r="B195" s="27">
        <f t="shared" si="2"/>
        <v>191</v>
      </c>
      <c r="C195" s="27"/>
      <c r="D195" s="27"/>
      <c r="E195" s="54"/>
      <c r="F195" s="54"/>
      <c r="G195" s="54"/>
      <c r="H195" s="54" t="str">
        <f ca="1">IF(E195="","",OFFSET(分類!$B$29,E195,0))</f>
        <v/>
      </c>
    </row>
    <row r="196" spans="2:8">
      <c r="B196" s="27">
        <f t="shared" si="2"/>
        <v>192</v>
      </c>
      <c r="C196" s="27"/>
      <c r="D196" s="27"/>
      <c r="E196" s="54"/>
      <c r="F196" s="54"/>
      <c r="G196" s="54"/>
      <c r="H196" s="54" t="str">
        <f ca="1">IF(E196="","",OFFSET(分類!$B$29,E196,0))</f>
        <v/>
      </c>
    </row>
    <row r="197" spans="2:8">
      <c r="B197" s="27">
        <f t="shared" si="2"/>
        <v>193</v>
      </c>
      <c r="C197" s="27"/>
      <c r="D197" s="27"/>
      <c r="E197" s="54"/>
      <c r="F197" s="54"/>
      <c r="G197" s="54"/>
      <c r="H197" s="54" t="str">
        <f ca="1">IF(E197="","",OFFSET(分類!$B$29,E197,0))</f>
        <v/>
      </c>
    </row>
    <row r="198" spans="2:8">
      <c r="B198" s="27">
        <f t="shared" si="2"/>
        <v>194</v>
      </c>
      <c r="C198" s="27"/>
      <c r="D198" s="27"/>
      <c r="E198" s="54"/>
      <c r="F198" s="54"/>
      <c r="G198" s="54"/>
      <c r="H198" s="54" t="str">
        <f ca="1">IF(E198="","",OFFSET(分類!$B$29,E198,0))</f>
        <v/>
      </c>
    </row>
    <row r="199" spans="2:8">
      <c r="B199" s="27">
        <f t="shared" ref="B199:B262" si="3">B198+1</f>
        <v>195</v>
      </c>
      <c r="C199" s="27"/>
      <c r="D199" s="27"/>
      <c r="E199" s="54"/>
      <c r="F199" s="54"/>
      <c r="G199" s="54"/>
      <c r="H199" s="54" t="str">
        <f ca="1">IF(E199="","",OFFSET(分類!$B$29,E199,0))</f>
        <v/>
      </c>
    </row>
    <row r="200" spans="2:8">
      <c r="B200" s="27">
        <f t="shared" si="3"/>
        <v>196</v>
      </c>
      <c r="C200" s="27"/>
      <c r="D200" s="27"/>
      <c r="E200" s="54"/>
      <c r="F200" s="54"/>
      <c r="G200" s="54"/>
      <c r="H200" s="54" t="str">
        <f ca="1">IF(E200="","",OFFSET(分類!$B$29,E200,0))</f>
        <v/>
      </c>
    </row>
    <row r="201" spans="2:8">
      <c r="B201" s="27">
        <f t="shared" si="3"/>
        <v>197</v>
      </c>
      <c r="C201" s="27"/>
      <c r="D201" s="27"/>
      <c r="E201" s="54"/>
      <c r="F201" s="54"/>
      <c r="G201" s="54"/>
      <c r="H201" s="54" t="str">
        <f ca="1">IF(E201="","",OFFSET(分類!$B$29,E201,0))</f>
        <v/>
      </c>
    </row>
    <row r="202" spans="2:8">
      <c r="B202" s="27">
        <f t="shared" si="3"/>
        <v>198</v>
      </c>
      <c r="C202" s="27"/>
      <c r="D202" s="27"/>
      <c r="E202" s="54"/>
      <c r="F202" s="54"/>
      <c r="G202" s="54"/>
      <c r="H202" s="54" t="str">
        <f ca="1">IF(E202="","",OFFSET(分類!$B$29,E202,0))</f>
        <v/>
      </c>
    </row>
    <row r="203" spans="2:8">
      <c r="B203" s="27">
        <f t="shared" si="3"/>
        <v>199</v>
      </c>
      <c r="C203" s="27"/>
      <c r="D203" s="27"/>
      <c r="E203" s="54"/>
      <c r="F203" s="54"/>
      <c r="G203" s="54"/>
      <c r="H203" s="54" t="str">
        <f ca="1">IF(E203="","",OFFSET(分類!$B$29,E203,0))</f>
        <v/>
      </c>
    </row>
    <row r="204" spans="2:8">
      <c r="B204" s="27">
        <f t="shared" si="3"/>
        <v>200</v>
      </c>
      <c r="C204" s="27"/>
      <c r="D204" s="27"/>
      <c r="E204" s="54"/>
      <c r="F204" s="54"/>
      <c r="G204" s="54"/>
      <c r="H204" s="54" t="str">
        <f ca="1">IF(E204="","",OFFSET(分類!$B$29,E204,0))</f>
        <v/>
      </c>
    </row>
    <row r="205" spans="2:8">
      <c r="B205" s="27">
        <f t="shared" si="3"/>
        <v>201</v>
      </c>
      <c r="C205" s="27"/>
      <c r="D205" s="27"/>
      <c r="E205" s="54"/>
      <c r="F205" s="54"/>
      <c r="G205" s="54"/>
      <c r="H205" s="54" t="str">
        <f ca="1">IF(E205="","",OFFSET(分類!$B$29,E205,0))</f>
        <v/>
      </c>
    </row>
    <row r="206" spans="2:8">
      <c r="B206" s="27">
        <f t="shared" si="3"/>
        <v>202</v>
      </c>
      <c r="C206" s="27"/>
      <c r="D206" s="27"/>
      <c r="E206" s="54"/>
      <c r="F206" s="54"/>
      <c r="G206" s="54"/>
      <c r="H206" s="54" t="str">
        <f ca="1">IF(E206="","",OFFSET(分類!$B$29,E206,0))</f>
        <v/>
      </c>
    </row>
    <row r="207" spans="2:8">
      <c r="B207" s="27">
        <f t="shared" si="3"/>
        <v>203</v>
      </c>
      <c r="C207" s="27"/>
      <c r="D207" s="27"/>
      <c r="E207" s="54"/>
      <c r="F207" s="54"/>
      <c r="G207" s="54"/>
      <c r="H207" s="54" t="str">
        <f ca="1">IF(E207="","",OFFSET(分類!$B$29,E207,0))</f>
        <v/>
      </c>
    </row>
    <row r="208" spans="2:8">
      <c r="B208" s="27">
        <f t="shared" si="3"/>
        <v>204</v>
      </c>
      <c r="C208" s="27"/>
      <c r="D208" s="27"/>
      <c r="E208" s="54"/>
      <c r="F208" s="54"/>
      <c r="G208" s="54"/>
      <c r="H208" s="54" t="str">
        <f ca="1">IF(E208="","",OFFSET(分類!$B$29,E208,0))</f>
        <v/>
      </c>
    </row>
    <row r="209" spans="2:8">
      <c r="B209" s="27">
        <f t="shared" si="3"/>
        <v>205</v>
      </c>
      <c r="C209" s="27"/>
      <c r="D209" s="27"/>
      <c r="E209" s="54"/>
      <c r="F209" s="54"/>
      <c r="G209" s="54"/>
      <c r="H209" s="54" t="str">
        <f ca="1">IF(E209="","",OFFSET(分類!$B$29,E209,0))</f>
        <v/>
      </c>
    </row>
    <row r="210" spans="2:8">
      <c r="B210" s="27">
        <f t="shared" si="3"/>
        <v>206</v>
      </c>
      <c r="C210" s="27"/>
      <c r="D210" s="27"/>
      <c r="E210" s="54"/>
      <c r="F210" s="54"/>
      <c r="G210" s="54"/>
      <c r="H210" s="54" t="str">
        <f ca="1">IF(E210="","",OFFSET(分類!$B$29,E210,0))</f>
        <v/>
      </c>
    </row>
    <row r="211" spans="2:8">
      <c r="B211" s="27">
        <f t="shared" si="3"/>
        <v>207</v>
      </c>
      <c r="C211" s="27"/>
      <c r="D211" s="27"/>
      <c r="E211" s="54"/>
      <c r="F211" s="54"/>
      <c r="G211" s="54"/>
      <c r="H211" s="54" t="str">
        <f ca="1">IF(E211="","",OFFSET(分類!$B$29,E211,0))</f>
        <v/>
      </c>
    </row>
    <row r="212" spans="2:8">
      <c r="B212" s="27">
        <f t="shared" si="3"/>
        <v>208</v>
      </c>
      <c r="C212" s="27"/>
      <c r="D212" s="27"/>
      <c r="E212" s="54"/>
      <c r="F212" s="54"/>
      <c r="G212" s="54"/>
      <c r="H212" s="54" t="str">
        <f ca="1">IF(E212="","",OFFSET(分類!$B$29,E212,0))</f>
        <v/>
      </c>
    </row>
    <row r="213" spans="2:8">
      <c r="B213" s="27">
        <f t="shared" si="3"/>
        <v>209</v>
      </c>
      <c r="C213" s="27"/>
      <c r="D213" s="27"/>
      <c r="E213" s="54"/>
      <c r="F213" s="54"/>
      <c r="G213" s="54"/>
      <c r="H213" s="54" t="str">
        <f ca="1">IF(E213="","",OFFSET(分類!$B$29,E213,0))</f>
        <v/>
      </c>
    </row>
    <row r="214" spans="2:8">
      <c r="B214" s="27">
        <f t="shared" si="3"/>
        <v>210</v>
      </c>
      <c r="C214" s="27"/>
      <c r="D214" s="27"/>
      <c r="E214" s="54"/>
      <c r="F214" s="54"/>
      <c r="G214" s="54"/>
      <c r="H214" s="54" t="str">
        <f ca="1">IF(E214="","",OFFSET(分類!$B$29,E214,0))</f>
        <v/>
      </c>
    </row>
    <row r="215" spans="2:8">
      <c r="B215" s="27">
        <f t="shared" si="3"/>
        <v>211</v>
      </c>
      <c r="C215" s="27"/>
      <c r="D215" s="27"/>
      <c r="E215" s="54"/>
      <c r="F215" s="54"/>
      <c r="G215" s="54"/>
      <c r="H215" s="54" t="str">
        <f ca="1">IF(E215="","",OFFSET(分類!$B$29,E215,0))</f>
        <v/>
      </c>
    </row>
    <row r="216" spans="2:8">
      <c r="B216" s="27">
        <f t="shared" si="3"/>
        <v>212</v>
      </c>
      <c r="C216" s="27"/>
      <c r="D216" s="27"/>
      <c r="E216" s="54"/>
      <c r="F216" s="54"/>
      <c r="G216" s="54"/>
      <c r="H216" s="54" t="str">
        <f ca="1">IF(E216="","",OFFSET(分類!$B$29,E216,0))</f>
        <v/>
      </c>
    </row>
    <row r="217" spans="2:8">
      <c r="B217" s="27">
        <f t="shared" si="3"/>
        <v>213</v>
      </c>
      <c r="C217" s="27"/>
      <c r="D217" s="27"/>
      <c r="E217" s="54"/>
      <c r="F217" s="54"/>
      <c r="G217" s="54"/>
      <c r="H217" s="54" t="str">
        <f ca="1">IF(E217="","",OFFSET(分類!$B$29,E217,0))</f>
        <v/>
      </c>
    </row>
    <row r="218" spans="2:8">
      <c r="B218" s="27">
        <f t="shared" si="3"/>
        <v>214</v>
      </c>
      <c r="C218" s="27"/>
      <c r="D218" s="27"/>
      <c r="E218" s="54"/>
      <c r="F218" s="54"/>
      <c r="G218" s="54"/>
      <c r="H218" s="54" t="str">
        <f ca="1">IF(E218="","",OFFSET(分類!$B$29,E218,0))</f>
        <v/>
      </c>
    </row>
    <row r="219" spans="2:8">
      <c r="B219" s="27">
        <f t="shared" si="3"/>
        <v>215</v>
      </c>
      <c r="C219" s="27"/>
      <c r="D219" s="27"/>
      <c r="E219" s="54"/>
      <c r="F219" s="54"/>
      <c r="G219" s="54"/>
      <c r="H219" s="54" t="str">
        <f ca="1">IF(E219="","",OFFSET(分類!$B$29,E219,0))</f>
        <v/>
      </c>
    </row>
    <row r="220" spans="2:8">
      <c r="B220" s="27">
        <f t="shared" si="3"/>
        <v>216</v>
      </c>
      <c r="C220" s="27"/>
      <c r="D220" s="27"/>
      <c r="E220" s="54"/>
      <c r="F220" s="54"/>
      <c r="G220" s="54"/>
      <c r="H220" s="54" t="str">
        <f ca="1">IF(E220="","",OFFSET(分類!$B$29,E220,0))</f>
        <v/>
      </c>
    </row>
    <row r="221" spans="2:8">
      <c r="B221" s="27">
        <f t="shared" si="3"/>
        <v>217</v>
      </c>
      <c r="C221" s="27"/>
      <c r="D221" s="27"/>
      <c r="E221" s="54"/>
      <c r="F221" s="54"/>
      <c r="G221" s="54"/>
      <c r="H221" s="54" t="str">
        <f ca="1">IF(E221="","",OFFSET(分類!$B$29,E221,0))</f>
        <v/>
      </c>
    </row>
    <row r="222" spans="2:8">
      <c r="B222" s="27">
        <f t="shared" si="3"/>
        <v>218</v>
      </c>
      <c r="C222" s="27"/>
      <c r="D222" s="27"/>
      <c r="E222" s="54"/>
      <c r="F222" s="54"/>
      <c r="G222" s="54"/>
      <c r="H222" s="54" t="str">
        <f ca="1">IF(E222="","",OFFSET(分類!$B$29,E222,0))</f>
        <v/>
      </c>
    </row>
    <row r="223" spans="2:8">
      <c r="B223" s="27">
        <f t="shared" si="3"/>
        <v>219</v>
      </c>
      <c r="C223" s="27"/>
      <c r="D223" s="27"/>
      <c r="E223" s="54"/>
      <c r="F223" s="54"/>
      <c r="G223" s="54"/>
      <c r="H223" s="54" t="str">
        <f ca="1">IF(E223="","",OFFSET(分類!$B$29,E223,0))</f>
        <v/>
      </c>
    </row>
    <row r="224" spans="2:8">
      <c r="B224" s="27">
        <f t="shared" si="3"/>
        <v>220</v>
      </c>
      <c r="C224" s="27"/>
      <c r="D224" s="27"/>
      <c r="E224" s="54"/>
      <c r="F224" s="54"/>
      <c r="G224" s="54"/>
      <c r="H224" s="54" t="str">
        <f ca="1">IF(E224="","",OFFSET(分類!$B$29,E224,0))</f>
        <v/>
      </c>
    </row>
    <row r="225" spans="2:8">
      <c r="B225" s="27">
        <f t="shared" si="3"/>
        <v>221</v>
      </c>
      <c r="C225" s="27"/>
      <c r="D225" s="27"/>
      <c r="E225" s="54"/>
      <c r="F225" s="54"/>
      <c r="G225" s="54"/>
      <c r="H225" s="54" t="str">
        <f ca="1">IF(E225="","",OFFSET(分類!$B$29,E225,0))</f>
        <v/>
      </c>
    </row>
    <row r="226" spans="2:8">
      <c r="B226" s="27">
        <f t="shared" si="3"/>
        <v>222</v>
      </c>
      <c r="C226" s="27"/>
      <c r="D226" s="27"/>
      <c r="E226" s="54"/>
      <c r="F226" s="54"/>
      <c r="G226" s="54"/>
      <c r="H226" s="54" t="str">
        <f ca="1">IF(E226="","",OFFSET(分類!$B$29,E226,0))</f>
        <v/>
      </c>
    </row>
    <row r="227" spans="2:8">
      <c r="B227" s="27">
        <f t="shared" si="3"/>
        <v>223</v>
      </c>
      <c r="C227" s="27"/>
      <c r="D227" s="27"/>
      <c r="E227" s="54"/>
      <c r="F227" s="54"/>
      <c r="G227" s="54"/>
      <c r="H227" s="54" t="str">
        <f ca="1">IF(E227="","",OFFSET(分類!$B$29,E227,0))</f>
        <v/>
      </c>
    </row>
    <row r="228" spans="2:8">
      <c r="B228" s="27">
        <f t="shared" si="3"/>
        <v>224</v>
      </c>
      <c r="C228" s="27"/>
      <c r="D228" s="27"/>
      <c r="E228" s="54"/>
      <c r="F228" s="54"/>
      <c r="G228" s="54"/>
      <c r="H228" s="54" t="str">
        <f ca="1">IF(E228="","",OFFSET(分類!$B$29,E228,0))</f>
        <v/>
      </c>
    </row>
    <row r="229" spans="2:8">
      <c r="B229" s="27">
        <f t="shared" si="3"/>
        <v>225</v>
      </c>
      <c r="C229" s="27"/>
      <c r="D229" s="27"/>
      <c r="E229" s="54"/>
      <c r="F229" s="54"/>
      <c r="G229" s="54"/>
      <c r="H229" s="54" t="str">
        <f ca="1">IF(E229="","",OFFSET(分類!$B$29,E229,0))</f>
        <v/>
      </c>
    </row>
    <row r="230" spans="2:8">
      <c r="B230" s="27">
        <f t="shared" si="3"/>
        <v>226</v>
      </c>
      <c r="C230" s="27"/>
      <c r="D230" s="27"/>
      <c r="E230" s="54"/>
      <c r="F230" s="54"/>
      <c r="G230" s="54"/>
      <c r="H230" s="54" t="str">
        <f ca="1">IF(E230="","",OFFSET(分類!$B$29,E230,0))</f>
        <v/>
      </c>
    </row>
    <row r="231" spans="2:8">
      <c r="B231" s="27">
        <f t="shared" si="3"/>
        <v>227</v>
      </c>
      <c r="C231" s="27"/>
      <c r="D231" s="27"/>
      <c r="E231" s="54"/>
      <c r="F231" s="54"/>
      <c r="G231" s="54"/>
      <c r="H231" s="54" t="str">
        <f ca="1">IF(E231="","",OFFSET(分類!$B$29,E231,0))</f>
        <v/>
      </c>
    </row>
    <row r="232" spans="2:8">
      <c r="B232" s="27">
        <f t="shared" si="3"/>
        <v>228</v>
      </c>
      <c r="C232" s="27"/>
      <c r="D232" s="27"/>
      <c r="E232" s="54"/>
      <c r="F232" s="54"/>
      <c r="G232" s="54"/>
      <c r="H232" s="54" t="str">
        <f ca="1">IF(E232="","",OFFSET(分類!$B$29,E232,0))</f>
        <v/>
      </c>
    </row>
    <row r="233" spans="2:8">
      <c r="B233" s="27">
        <f t="shared" si="3"/>
        <v>229</v>
      </c>
      <c r="C233" s="27"/>
      <c r="D233" s="27"/>
      <c r="E233" s="54"/>
      <c r="F233" s="54"/>
      <c r="G233" s="54"/>
      <c r="H233" s="54" t="str">
        <f ca="1">IF(E233="","",OFFSET(分類!$B$29,E233,0))</f>
        <v/>
      </c>
    </row>
    <row r="234" spans="2:8">
      <c r="B234" s="27">
        <f t="shared" si="3"/>
        <v>230</v>
      </c>
      <c r="C234" s="27"/>
      <c r="D234" s="27"/>
      <c r="E234" s="54"/>
      <c r="F234" s="54"/>
      <c r="G234" s="54"/>
      <c r="H234" s="54" t="str">
        <f ca="1">IF(E234="","",OFFSET(分類!$B$29,E234,0))</f>
        <v/>
      </c>
    </row>
    <row r="235" spans="2:8">
      <c r="B235" s="27">
        <f t="shared" si="3"/>
        <v>231</v>
      </c>
      <c r="C235" s="27"/>
      <c r="D235" s="27"/>
      <c r="E235" s="54"/>
      <c r="F235" s="54"/>
      <c r="G235" s="54"/>
      <c r="H235" s="54" t="str">
        <f ca="1">IF(E235="","",OFFSET(分類!$B$29,E235,0))</f>
        <v/>
      </c>
    </row>
    <row r="236" spans="2:8">
      <c r="B236" s="27">
        <f t="shared" si="3"/>
        <v>232</v>
      </c>
      <c r="C236" s="27"/>
      <c r="D236" s="27"/>
      <c r="E236" s="54"/>
      <c r="F236" s="54"/>
      <c r="G236" s="54"/>
      <c r="H236" s="54" t="str">
        <f ca="1">IF(E236="","",OFFSET(分類!$B$29,E236,0))</f>
        <v/>
      </c>
    </row>
    <row r="237" spans="2:8">
      <c r="B237" s="27">
        <f t="shared" si="3"/>
        <v>233</v>
      </c>
      <c r="C237" s="27"/>
      <c r="D237" s="27"/>
      <c r="E237" s="54"/>
      <c r="F237" s="54"/>
      <c r="G237" s="54"/>
      <c r="H237" s="54" t="str">
        <f ca="1">IF(E237="","",OFFSET(分類!$B$29,E237,0))</f>
        <v/>
      </c>
    </row>
    <row r="238" spans="2:8">
      <c r="B238" s="27">
        <f t="shared" si="3"/>
        <v>234</v>
      </c>
      <c r="C238" s="27"/>
      <c r="D238" s="27"/>
      <c r="E238" s="54"/>
      <c r="F238" s="54"/>
      <c r="G238" s="54"/>
      <c r="H238" s="54" t="str">
        <f ca="1">IF(E238="","",OFFSET(分類!$B$29,E238,0))</f>
        <v/>
      </c>
    </row>
    <row r="239" spans="2:8">
      <c r="B239" s="27">
        <f t="shared" si="3"/>
        <v>235</v>
      </c>
      <c r="C239" s="27"/>
      <c r="D239" s="27"/>
      <c r="E239" s="54"/>
      <c r="F239" s="54"/>
      <c r="G239" s="54"/>
      <c r="H239" s="54" t="str">
        <f ca="1">IF(E239="","",OFFSET(分類!$B$29,E239,0))</f>
        <v/>
      </c>
    </row>
    <row r="240" spans="2:8">
      <c r="B240" s="27">
        <f t="shared" si="3"/>
        <v>236</v>
      </c>
      <c r="C240" s="27"/>
      <c r="D240" s="27"/>
      <c r="E240" s="54"/>
      <c r="F240" s="54"/>
      <c r="G240" s="54"/>
      <c r="H240" s="54" t="str">
        <f ca="1">IF(E240="","",OFFSET(分類!$B$29,E240,0))</f>
        <v/>
      </c>
    </row>
    <row r="241" spans="2:8">
      <c r="B241" s="27">
        <f t="shared" si="3"/>
        <v>237</v>
      </c>
      <c r="C241" s="27"/>
      <c r="D241" s="27"/>
      <c r="E241" s="54"/>
      <c r="F241" s="54"/>
      <c r="G241" s="54"/>
      <c r="H241" s="54" t="str">
        <f ca="1">IF(E241="","",OFFSET(分類!$B$29,E241,0))</f>
        <v/>
      </c>
    </row>
    <row r="242" spans="2:8">
      <c r="B242" s="27">
        <f t="shared" si="3"/>
        <v>238</v>
      </c>
      <c r="C242" s="27"/>
      <c r="D242" s="27"/>
      <c r="E242" s="54"/>
      <c r="F242" s="54"/>
      <c r="G242" s="54"/>
      <c r="H242" s="54" t="str">
        <f ca="1">IF(E242="","",OFFSET(分類!$B$29,E242,0))</f>
        <v/>
      </c>
    </row>
    <row r="243" spans="2:8">
      <c r="B243" s="27">
        <f t="shared" si="3"/>
        <v>239</v>
      </c>
      <c r="C243" s="27"/>
      <c r="D243" s="27"/>
      <c r="E243" s="54"/>
      <c r="F243" s="54"/>
      <c r="G243" s="54"/>
      <c r="H243" s="54" t="str">
        <f ca="1">IF(E243="","",OFFSET(分類!$B$29,E243,0))</f>
        <v/>
      </c>
    </row>
    <row r="244" spans="2:8">
      <c r="B244" s="27">
        <f t="shared" si="3"/>
        <v>240</v>
      </c>
      <c r="C244" s="27"/>
      <c r="D244" s="27"/>
      <c r="E244" s="54"/>
      <c r="F244" s="54"/>
      <c r="G244" s="54"/>
      <c r="H244" s="54" t="str">
        <f ca="1">IF(E244="","",OFFSET(分類!$B$29,E244,0))</f>
        <v/>
      </c>
    </row>
    <row r="245" spans="2:8">
      <c r="B245" s="27">
        <f t="shared" si="3"/>
        <v>241</v>
      </c>
      <c r="C245" s="27"/>
      <c r="D245" s="27"/>
      <c r="E245" s="54"/>
      <c r="F245" s="54"/>
      <c r="G245" s="54"/>
      <c r="H245" s="54" t="str">
        <f ca="1">IF(E245="","",OFFSET(分類!$B$29,E245,0))</f>
        <v/>
      </c>
    </row>
    <row r="246" spans="2:8">
      <c r="B246" s="27">
        <f t="shared" si="3"/>
        <v>242</v>
      </c>
      <c r="C246" s="27"/>
      <c r="D246" s="27"/>
      <c r="E246" s="54"/>
      <c r="F246" s="54"/>
      <c r="G246" s="54"/>
      <c r="H246" s="54" t="str">
        <f ca="1">IF(E246="","",OFFSET(分類!$B$29,E246,0))</f>
        <v/>
      </c>
    </row>
    <row r="247" spans="2:8">
      <c r="B247" s="27">
        <f t="shared" si="3"/>
        <v>243</v>
      </c>
      <c r="C247" s="27"/>
      <c r="D247" s="27"/>
      <c r="E247" s="54"/>
      <c r="F247" s="54"/>
      <c r="G247" s="54"/>
      <c r="H247" s="54" t="str">
        <f ca="1">IF(E247="","",OFFSET(分類!$B$29,E247,0))</f>
        <v/>
      </c>
    </row>
    <row r="248" spans="2:8">
      <c r="B248" s="27">
        <f t="shared" si="3"/>
        <v>244</v>
      </c>
      <c r="C248" s="27"/>
      <c r="D248" s="27"/>
      <c r="E248" s="54"/>
      <c r="F248" s="54"/>
      <c r="G248" s="54"/>
      <c r="H248" s="54" t="str">
        <f ca="1">IF(E248="","",OFFSET(分類!$B$29,E248,0))</f>
        <v/>
      </c>
    </row>
    <row r="249" spans="2:8">
      <c r="B249" s="27">
        <f t="shared" si="3"/>
        <v>245</v>
      </c>
      <c r="C249" s="27"/>
      <c r="D249" s="27"/>
      <c r="E249" s="54"/>
      <c r="F249" s="54"/>
      <c r="G249" s="54"/>
      <c r="H249" s="54" t="str">
        <f ca="1">IF(E249="","",OFFSET(分類!$B$29,E249,0))</f>
        <v/>
      </c>
    </row>
    <row r="250" spans="2:8">
      <c r="B250" s="27">
        <f t="shared" si="3"/>
        <v>246</v>
      </c>
      <c r="C250" s="27"/>
      <c r="D250" s="27"/>
      <c r="E250" s="54"/>
      <c r="F250" s="54"/>
      <c r="G250" s="54"/>
      <c r="H250" s="54" t="str">
        <f ca="1">IF(E250="","",OFFSET(分類!$B$29,E250,0))</f>
        <v/>
      </c>
    </row>
    <row r="251" spans="2:8">
      <c r="B251" s="27">
        <f t="shared" si="3"/>
        <v>247</v>
      </c>
      <c r="C251" s="27"/>
      <c r="D251" s="27"/>
      <c r="E251" s="54"/>
      <c r="F251" s="54"/>
      <c r="G251" s="54"/>
      <c r="H251" s="54" t="str">
        <f ca="1">IF(E251="","",OFFSET(分類!$B$29,E251,0))</f>
        <v/>
      </c>
    </row>
    <row r="252" spans="2:8">
      <c r="B252" s="27">
        <f t="shared" si="3"/>
        <v>248</v>
      </c>
      <c r="C252" s="27"/>
      <c r="D252" s="27"/>
      <c r="E252" s="54"/>
      <c r="F252" s="54"/>
      <c r="G252" s="54"/>
      <c r="H252" s="54" t="str">
        <f ca="1">IF(E252="","",OFFSET(分類!$B$29,E252,0))</f>
        <v/>
      </c>
    </row>
    <row r="253" spans="2:8">
      <c r="B253" s="27">
        <f t="shared" si="3"/>
        <v>249</v>
      </c>
      <c r="C253" s="27"/>
      <c r="D253" s="27"/>
      <c r="E253" s="54"/>
      <c r="F253" s="54"/>
      <c r="G253" s="54"/>
      <c r="H253" s="54" t="str">
        <f ca="1">IF(E253="","",OFFSET(分類!$B$29,E253,0))</f>
        <v/>
      </c>
    </row>
    <row r="254" spans="2:8">
      <c r="B254" s="27">
        <f t="shared" si="3"/>
        <v>250</v>
      </c>
      <c r="C254" s="27"/>
      <c r="D254" s="27"/>
      <c r="E254" s="54"/>
      <c r="F254" s="54"/>
      <c r="G254" s="54"/>
      <c r="H254" s="54" t="str">
        <f ca="1">IF(E254="","",OFFSET(分類!$B$29,E254,0))</f>
        <v/>
      </c>
    </row>
    <row r="255" spans="2:8">
      <c r="B255" s="27">
        <f t="shared" si="3"/>
        <v>251</v>
      </c>
      <c r="C255" s="27"/>
      <c r="D255" s="27"/>
      <c r="E255" s="54"/>
      <c r="F255" s="54"/>
      <c r="G255" s="54"/>
      <c r="H255" s="54" t="str">
        <f ca="1">IF(E255="","",OFFSET(分類!$B$29,E255,0))</f>
        <v/>
      </c>
    </row>
    <row r="256" spans="2:8">
      <c r="B256" s="27">
        <f t="shared" si="3"/>
        <v>252</v>
      </c>
      <c r="C256" s="27"/>
      <c r="D256" s="27"/>
      <c r="E256" s="54"/>
      <c r="F256" s="54"/>
      <c r="G256" s="54"/>
      <c r="H256" s="54" t="str">
        <f ca="1">IF(E256="","",OFFSET(分類!$B$29,E256,0))</f>
        <v/>
      </c>
    </row>
    <row r="257" spans="2:8">
      <c r="B257" s="27">
        <f t="shared" si="3"/>
        <v>253</v>
      </c>
      <c r="C257" s="27"/>
      <c r="D257" s="27"/>
      <c r="E257" s="54"/>
      <c r="F257" s="54"/>
      <c r="G257" s="54"/>
      <c r="H257" s="54" t="str">
        <f ca="1">IF(E257="","",OFFSET(分類!$B$29,E257,0))</f>
        <v/>
      </c>
    </row>
    <row r="258" spans="2:8">
      <c r="B258" s="27">
        <f t="shared" si="3"/>
        <v>254</v>
      </c>
      <c r="C258" s="27"/>
      <c r="D258" s="27"/>
      <c r="E258" s="54"/>
      <c r="F258" s="54"/>
      <c r="G258" s="54"/>
      <c r="H258" s="54" t="str">
        <f ca="1">IF(E258="","",OFFSET(分類!$B$29,E258,0))</f>
        <v/>
      </c>
    </row>
    <row r="259" spans="2:8">
      <c r="B259" s="27">
        <f t="shared" si="3"/>
        <v>255</v>
      </c>
      <c r="C259" s="27"/>
      <c r="D259" s="27"/>
      <c r="E259" s="54"/>
      <c r="F259" s="54"/>
      <c r="G259" s="54"/>
      <c r="H259" s="54" t="str">
        <f ca="1">IF(E259="","",OFFSET(分類!$B$29,E259,0))</f>
        <v/>
      </c>
    </row>
    <row r="260" spans="2:8">
      <c r="B260" s="27">
        <f t="shared" si="3"/>
        <v>256</v>
      </c>
      <c r="C260" s="27"/>
      <c r="D260" s="27"/>
      <c r="E260" s="54"/>
      <c r="F260" s="54"/>
      <c r="G260" s="54"/>
      <c r="H260" s="54" t="str">
        <f ca="1">IF(E260="","",OFFSET(分類!$B$29,E260,0))</f>
        <v/>
      </c>
    </row>
    <row r="261" spans="2:8">
      <c r="B261" s="27">
        <f t="shared" si="3"/>
        <v>257</v>
      </c>
      <c r="C261" s="27"/>
      <c r="D261" s="27"/>
      <c r="E261" s="54"/>
      <c r="F261" s="54"/>
      <c r="G261" s="54"/>
      <c r="H261" s="54" t="str">
        <f ca="1">IF(E261="","",OFFSET(分類!$B$29,E261,0))</f>
        <v/>
      </c>
    </row>
    <row r="262" spans="2:8">
      <c r="B262" s="27">
        <f t="shared" si="3"/>
        <v>258</v>
      </c>
      <c r="C262" s="27"/>
      <c r="D262" s="27"/>
      <c r="E262" s="54"/>
      <c r="F262" s="54"/>
      <c r="G262" s="54"/>
      <c r="H262" s="54" t="str">
        <f ca="1">IF(E262="","",OFFSET(分類!$B$29,E262,0))</f>
        <v/>
      </c>
    </row>
    <row r="263" spans="2:8">
      <c r="B263" s="27">
        <f t="shared" ref="B263:B304" si="4">B262+1</f>
        <v>259</v>
      </c>
      <c r="C263" s="27"/>
      <c r="D263" s="27"/>
      <c r="E263" s="54"/>
      <c r="F263" s="54"/>
      <c r="G263" s="54"/>
      <c r="H263" s="54" t="str">
        <f ca="1">IF(E263="","",OFFSET(分類!$B$29,E263,0))</f>
        <v/>
      </c>
    </row>
    <row r="264" spans="2:8">
      <c r="B264" s="27">
        <f t="shared" si="4"/>
        <v>260</v>
      </c>
      <c r="C264" s="27"/>
      <c r="D264" s="27"/>
      <c r="E264" s="54"/>
      <c r="F264" s="54"/>
      <c r="G264" s="54"/>
      <c r="H264" s="54" t="str">
        <f ca="1">IF(E264="","",OFFSET(分類!$B$29,E264,0))</f>
        <v/>
      </c>
    </row>
    <row r="265" spans="2:8">
      <c r="B265" s="27">
        <f t="shared" si="4"/>
        <v>261</v>
      </c>
      <c r="C265" s="27"/>
      <c r="D265" s="27"/>
      <c r="E265" s="54"/>
      <c r="F265" s="54"/>
      <c r="G265" s="54"/>
      <c r="H265" s="54" t="str">
        <f ca="1">IF(E265="","",OFFSET(分類!$B$29,E265,0))</f>
        <v/>
      </c>
    </row>
    <row r="266" spans="2:8">
      <c r="B266" s="27">
        <f t="shared" si="4"/>
        <v>262</v>
      </c>
      <c r="C266" s="27"/>
      <c r="D266" s="27"/>
      <c r="E266" s="54"/>
      <c r="F266" s="54"/>
      <c r="G266" s="54"/>
      <c r="H266" s="54" t="str">
        <f ca="1">IF(E266="","",OFFSET(分類!$B$29,E266,0))</f>
        <v/>
      </c>
    </row>
    <row r="267" spans="2:8">
      <c r="B267" s="27">
        <f t="shared" si="4"/>
        <v>263</v>
      </c>
      <c r="C267" s="27"/>
      <c r="D267" s="27"/>
      <c r="E267" s="54"/>
      <c r="F267" s="54"/>
      <c r="G267" s="54"/>
      <c r="H267" s="54" t="str">
        <f ca="1">IF(E267="","",OFFSET(分類!$B$29,E267,0))</f>
        <v/>
      </c>
    </row>
    <row r="268" spans="2:8">
      <c r="B268" s="27">
        <f t="shared" si="4"/>
        <v>264</v>
      </c>
      <c r="C268" s="27"/>
      <c r="D268" s="27"/>
      <c r="E268" s="54"/>
      <c r="F268" s="54"/>
      <c r="G268" s="54"/>
      <c r="H268" s="54" t="str">
        <f ca="1">IF(E268="","",OFFSET(分類!$B$29,E268,0))</f>
        <v/>
      </c>
    </row>
    <row r="269" spans="2:8">
      <c r="B269" s="27">
        <f t="shared" si="4"/>
        <v>265</v>
      </c>
      <c r="C269" s="27"/>
      <c r="D269" s="27"/>
      <c r="E269" s="54"/>
      <c r="F269" s="54"/>
      <c r="G269" s="54"/>
      <c r="H269" s="54" t="str">
        <f ca="1">IF(E269="","",OFFSET(分類!$B$29,E269,0))</f>
        <v/>
      </c>
    </row>
    <row r="270" spans="2:8">
      <c r="B270" s="27">
        <f t="shared" si="4"/>
        <v>266</v>
      </c>
      <c r="C270" s="27"/>
      <c r="D270" s="27"/>
      <c r="E270" s="54"/>
      <c r="F270" s="54"/>
      <c r="G270" s="54"/>
      <c r="H270" s="54" t="str">
        <f ca="1">IF(E270="","",OFFSET(分類!$B$29,E270,0))</f>
        <v/>
      </c>
    </row>
    <row r="271" spans="2:8">
      <c r="B271" s="27">
        <f t="shared" si="4"/>
        <v>267</v>
      </c>
      <c r="C271" s="27"/>
      <c r="D271" s="27"/>
      <c r="E271" s="54"/>
      <c r="F271" s="54"/>
      <c r="G271" s="54"/>
      <c r="H271" s="54" t="str">
        <f ca="1">IF(E271="","",OFFSET(分類!$B$29,E271,0))</f>
        <v/>
      </c>
    </row>
    <row r="272" spans="2:8">
      <c r="B272" s="27">
        <f t="shared" si="4"/>
        <v>268</v>
      </c>
      <c r="C272" s="27"/>
      <c r="D272" s="27"/>
      <c r="E272" s="54"/>
      <c r="F272" s="54"/>
      <c r="G272" s="54"/>
      <c r="H272" s="54" t="str">
        <f ca="1">IF(E272="","",OFFSET(分類!$B$29,E272,0))</f>
        <v/>
      </c>
    </row>
    <row r="273" spans="2:8">
      <c r="B273" s="27">
        <f t="shared" si="4"/>
        <v>269</v>
      </c>
      <c r="C273" s="27"/>
      <c r="D273" s="27"/>
      <c r="E273" s="54"/>
      <c r="F273" s="54"/>
      <c r="G273" s="54"/>
      <c r="H273" s="54" t="str">
        <f ca="1">IF(E273="","",OFFSET(分類!$B$29,E273,0))</f>
        <v/>
      </c>
    </row>
    <row r="274" spans="2:8">
      <c r="B274" s="27">
        <f t="shared" si="4"/>
        <v>270</v>
      </c>
      <c r="C274" s="27"/>
      <c r="D274" s="27"/>
      <c r="E274" s="54"/>
      <c r="F274" s="54"/>
      <c r="G274" s="54"/>
      <c r="H274" s="54" t="str">
        <f ca="1">IF(E274="","",OFFSET(分類!$B$29,E274,0))</f>
        <v/>
      </c>
    </row>
    <row r="275" spans="2:8">
      <c r="B275" s="27">
        <f t="shared" si="4"/>
        <v>271</v>
      </c>
      <c r="C275" s="27"/>
      <c r="D275" s="27"/>
      <c r="E275" s="54"/>
      <c r="F275" s="54"/>
      <c r="G275" s="54"/>
      <c r="H275" s="54" t="str">
        <f ca="1">IF(E275="","",OFFSET(分類!$B$29,E275,0))</f>
        <v/>
      </c>
    </row>
    <row r="276" spans="2:8">
      <c r="B276" s="27">
        <f t="shared" si="4"/>
        <v>272</v>
      </c>
      <c r="C276" s="27"/>
      <c r="D276" s="27"/>
      <c r="E276" s="54"/>
      <c r="F276" s="54"/>
      <c r="G276" s="54"/>
      <c r="H276" s="54" t="str">
        <f ca="1">IF(E276="","",OFFSET(分類!$B$29,E276,0))</f>
        <v/>
      </c>
    </row>
    <row r="277" spans="2:8">
      <c r="B277" s="27">
        <f t="shared" si="4"/>
        <v>273</v>
      </c>
      <c r="C277" s="27"/>
      <c r="D277" s="27"/>
      <c r="E277" s="54"/>
      <c r="F277" s="54"/>
      <c r="G277" s="54"/>
      <c r="H277" s="54" t="str">
        <f ca="1">IF(E277="","",OFFSET(分類!$B$29,E277,0))</f>
        <v/>
      </c>
    </row>
    <row r="278" spans="2:8">
      <c r="B278" s="27">
        <f t="shared" si="4"/>
        <v>274</v>
      </c>
      <c r="C278" s="27"/>
      <c r="D278" s="27"/>
      <c r="E278" s="54"/>
      <c r="F278" s="54"/>
      <c r="G278" s="54"/>
      <c r="H278" s="54" t="str">
        <f ca="1">IF(E278="","",OFFSET(分類!$B$29,E278,0))</f>
        <v/>
      </c>
    </row>
    <row r="279" spans="2:8">
      <c r="B279" s="27">
        <f t="shared" si="4"/>
        <v>275</v>
      </c>
      <c r="C279" s="27"/>
      <c r="D279" s="27"/>
      <c r="E279" s="54"/>
      <c r="F279" s="54"/>
      <c r="G279" s="54"/>
      <c r="H279" s="54" t="str">
        <f ca="1">IF(E279="","",OFFSET(分類!$B$29,E279,0))</f>
        <v/>
      </c>
    </row>
    <row r="280" spans="2:8">
      <c r="B280" s="27">
        <f t="shared" si="4"/>
        <v>276</v>
      </c>
      <c r="C280" s="27"/>
      <c r="D280" s="27"/>
      <c r="E280" s="54"/>
      <c r="F280" s="54"/>
      <c r="G280" s="54"/>
      <c r="H280" s="54" t="str">
        <f ca="1">IF(E280="","",OFFSET(分類!$B$29,E280,0))</f>
        <v/>
      </c>
    </row>
    <row r="281" spans="2:8">
      <c r="B281" s="27">
        <f t="shared" si="4"/>
        <v>277</v>
      </c>
      <c r="C281" s="27"/>
      <c r="D281" s="27"/>
      <c r="E281" s="54"/>
      <c r="F281" s="54"/>
      <c r="G281" s="54"/>
      <c r="H281" s="54" t="str">
        <f ca="1">IF(E281="","",OFFSET(分類!$B$29,E281,0))</f>
        <v/>
      </c>
    </row>
    <row r="282" spans="2:8">
      <c r="B282" s="27">
        <f t="shared" si="4"/>
        <v>278</v>
      </c>
      <c r="C282" s="27"/>
      <c r="D282" s="27"/>
      <c r="E282" s="54"/>
      <c r="F282" s="54"/>
      <c r="G282" s="54"/>
      <c r="H282" s="54" t="str">
        <f ca="1">IF(E282="","",OFFSET(分類!$B$29,E282,0))</f>
        <v/>
      </c>
    </row>
    <row r="283" spans="2:8">
      <c r="B283" s="27">
        <f t="shared" si="4"/>
        <v>279</v>
      </c>
      <c r="C283" s="27"/>
      <c r="D283" s="27"/>
      <c r="E283" s="54"/>
      <c r="F283" s="54"/>
      <c r="G283" s="54"/>
      <c r="H283" s="54" t="str">
        <f ca="1">IF(E283="","",OFFSET(分類!$B$29,E283,0))</f>
        <v/>
      </c>
    </row>
    <row r="284" spans="2:8">
      <c r="B284" s="27">
        <f t="shared" si="4"/>
        <v>280</v>
      </c>
      <c r="C284" s="27"/>
      <c r="D284" s="27"/>
      <c r="E284" s="54"/>
      <c r="F284" s="54"/>
      <c r="G284" s="54"/>
      <c r="H284" s="54" t="str">
        <f ca="1">IF(E284="","",OFFSET(分類!$B$29,E284,0))</f>
        <v/>
      </c>
    </row>
    <row r="285" spans="2:8">
      <c r="B285" s="27">
        <f t="shared" si="4"/>
        <v>281</v>
      </c>
      <c r="C285" s="27"/>
      <c r="D285" s="27"/>
      <c r="E285" s="54"/>
      <c r="F285" s="54"/>
      <c r="G285" s="54"/>
      <c r="H285" s="54" t="str">
        <f ca="1">IF(E285="","",OFFSET(分類!$B$29,E285,0))</f>
        <v/>
      </c>
    </row>
    <row r="286" spans="2:8">
      <c r="B286" s="27">
        <f t="shared" si="4"/>
        <v>282</v>
      </c>
      <c r="C286" s="27"/>
      <c r="D286" s="27"/>
      <c r="E286" s="54"/>
      <c r="F286" s="54"/>
      <c r="G286" s="54"/>
      <c r="H286" s="54" t="str">
        <f ca="1">IF(E286="","",OFFSET(分類!$B$29,E286,0))</f>
        <v/>
      </c>
    </row>
    <row r="287" spans="2:8">
      <c r="B287" s="27">
        <f t="shared" si="4"/>
        <v>283</v>
      </c>
      <c r="C287" s="27"/>
      <c r="D287" s="27"/>
      <c r="E287" s="54"/>
      <c r="F287" s="54"/>
      <c r="G287" s="54"/>
      <c r="H287" s="54" t="str">
        <f ca="1">IF(E287="","",OFFSET(分類!$B$29,E287,0))</f>
        <v/>
      </c>
    </row>
    <row r="288" spans="2:8">
      <c r="B288" s="27">
        <f t="shared" si="4"/>
        <v>284</v>
      </c>
      <c r="C288" s="27"/>
      <c r="D288" s="27"/>
      <c r="E288" s="54"/>
      <c r="F288" s="54"/>
      <c r="G288" s="54"/>
      <c r="H288" s="54" t="str">
        <f ca="1">IF(E288="","",OFFSET(分類!$B$29,E288,0))</f>
        <v/>
      </c>
    </row>
    <row r="289" spans="2:8">
      <c r="B289" s="27">
        <f t="shared" si="4"/>
        <v>285</v>
      </c>
      <c r="C289" s="27"/>
      <c r="D289" s="27"/>
      <c r="E289" s="54"/>
      <c r="F289" s="54"/>
      <c r="G289" s="54"/>
      <c r="H289" s="54" t="str">
        <f ca="1">IF(E289="","",OFFSET(分類!$B$29,E289,0))</f>
        <v/>
      </c>
    </row>
    <row r="290" spans="2:8">
      <c r="B290" s="27">
        <f t="shared" si="4"/>
        <v>286</v>
      </c>
      <c r="C290" s="27"/>
      <c r="D290" s="27"/>
      <c r="E290" s="54"/>
      <c r="F290" s="54"/>
      <c r="G290" s="54"/>
      <c r="H290" s="54" t="str">
        <f ca="1">IF(E290="","",OFFSET(分類!$B$29,E290,0))</f>
        <v/>
      </c>
    </row>
    <row r="291" spans="2:8">
      <c r="B291" s="27">
        <f t="shared" si="4"/>
        <v>287</v>
      </c>
      <c r="C291" s="27"/>
      <c r="D291" s="27"/>
      <c r="E291" s="54"/>
      <c r="F291" s="54"/>
      <c r="G291" s="54"/>
      <c r="H291" s="54" t="str">
        <f ca="1">IF(E291="","",OFFSET(分類!$B$29,E291,0))</f>
        <v/>
      </c>
    </row>
    <row r="292" spans="2:8">
      <c r="B292" s="27">
        <f t="shared" si="4"/>
        <v>288</v>
      </c>
      <c r="C292" s="27"/>
      <c r="D292" s="27"/>
      <c r="E292" s="54"/>
      <c r="F292" s="54"/>
      <c r="G292" s="54"/>
      <c r="H292" s="54" t="str">
        <f ca="1">IF(E292="","",OFFSET(分類!$B$29,E292,0))</f>
        <v/>
      </c>
    </row>
    <row r="293" spans="2:8">
      <c r="B293" s="27">
        <f t="shared" si="4"/>
        <v>289</v>
      </c>
      <c r="C293" s="27"/>
      <c r="D293" s="27"/>
      <c r="E293" s="54"/>
      <c r="F293" s="54"/>
      <c r="G293" s="54"/>
      <c r="H293" s="54" t="str">
        <f ca="1">IF(E293="","",OFFSET(分類!$B$29,E293,0))</f>
        <v/>
      </c>
    </row>
    <row r="294" spans="2:8">
      <c r="B294" s="27">
        <f t="shared" si="4"/>
        <v>290</v>
      </c>
      <c r="C294" s="27"/>
      <c r="D294" s="27"/>
      <c r="E294" s="54"/>
      <c r="F294" s="54"/>
      <c r="G294" s="54"/>
      <c r="H294" s="54" t="str">
        <f ca="1">IF(E294="","",OFFSET(分類!$B$29,E294,0))</f>
        <v/>
      </c>
    </row>
    <row r="295" spans="2:8">
      <c r="B295" s="27">
        <f t="shared" si="4"/>
        <v>291</v>
      </c>
      <c r="C295" s="27"/>
      <c r="D295" s="27"/>
      <c r="E295" s="54"/>
      <c r="F295" s="54"/>
      <c r="G295" s="54"/>
      <c r="H295" s="54" t="str">
        <f ca="1">IF(E295="","",OFFSET(分類!$B$29,E295,0))</f>
        <v/>
      </c>
    </row>
    <row r="296" spans="2:8">
      <c r="B296" s="27">
        <f t="shared" si="4"/>
        <v>292</v>
      </c>
      <c r="C296" s="27"/>
      <c r="D296" s="27"/>
      <c r="E296" s="54"/>
      <c r="F296" s="54"/>
      <c r="G296" s="54"/>
      <c r="H296" s="54" t="str">
        <f ca="1">IF(E296="","",OFFSET(分類!$B$29,E296,0))</f>
        <v/>
      </c>
    </row>
    <row r="297" spans="2:8">
      <c r="B297" s="27">
        <f t="shared" si="4"/>
        <v>293</v>
      </c>
      <c r="C297" s="27"/>
      <c r="D297" s="27"/>
      <c r="E297" s="54"/>
      <c r="F297" s="54"/>
      <c r="G297" s="54"/>
      <c r="H297" s="54" t="str">
        <f ca="1">IF(E297="","",OFFSET(分類!$B$29,E297,0))</f>
        <v/>
      </c>
    </row>
    <row r="298" spans="2:8">
      <c r="B298" s="27">
        <f t="shared" si="4"/>
        <v>294</v>
      </c>
      <c r="C298" s="27"/>
      <c r="D298" s="27"/>
      <c r="E298" s="54"/>
      <c r="F298" s="54"/>
      <c r="G298" s="54"/>
      <c r="H298" s="54" t="str">
        <f ca="1">IF(E298="","",OFFSET(分類!$B$29,E298,0))</f>
        <v/>
      </c>
    </row>
    <row r="299" spans="2:8">
      <c r="B299" s="27">
        <f t="shared" si="4"/>
        <v>295</v>
      </c>
      <c r="C299" s="27"/>
      <c r="D299" s="27"/>
      <c r="E299" s="54"/>
      <c r="F299" s="54"/>
      <c r="G299" s="54"/>
      <c r="H299" s="54" t="str">
        <f ca="1">IF(E299="","",OFFSET(分類!$B$29,E299,0))</f>
        <v/>
      </c>
    </row>
    <row r="300" spans="2:8">
      <c r="B300" s="27">
        <f t="shared" si="4"/>
        <v>296</v>
      </c>
      <c r="C300" s="27"/>
      <c r="D300" s="27"/>
      <c r="E300" s="54"/>
      <c r="F300" s="54"/>
      <c r="G300" s="54"/>
      <c r="H300" s="54" t="str">
        <f ca="1">IF(E300="","",OFFSET(分類!$B$29,E300,0))</f>
        <v/>
      </c>
    </row>
    <row r="301" spans="2:8">
      <c r="B301" s="27">
        <f t="shared" si="4"/>
        <v>297</v>
      </c>
      <c r="C301" s="27"/>
      <c r="D301" s="27"/>
      <c r="E301" s="54"/>
      <c r="F301" s="54"/>
      <c r="G301" s="54"/>
      <c r="H301" s="54" t="str">
        <f ca="1">IF(E301="","",OFFSET(分類!$B$29,E301,0))</f>
        <v/>
      </c>
    </row>
    <row r="302" spans="2:8">
      <c r="B302" s="27">
        <f t="shared" si="4"/>
        <v>298</v>
      </c>
      <c r="C302" s="27"/>
      <c r="D302" s="27"/>
      <c r="E302" s="54"/>
      <c r="F302" s="54"/>
      <c r="G302" s="54"/>
      <c r="H302" s="54" t="str">
        <f ca="1">IF(E302="","",OFFSET(分類!$B$29,E302,0))</f>
        <v/>
      </c>
    </row>
    <row r="303" spans="2:8">
      <c r="B303" s="27">
        <f t="shared" si="4"/>
        <v>299</v>
      </c>
      <c r="C303" s="27"/>
      <c r="D303" s="27"/>
      <c r="E303" s="54"/>
      <c r="F303" s="54"/>
      <c r="G303" s="54"/>
      <c r="H303" s="54" t="str">
        <f ca="1">IF(E303="","",OFFSET(分類!$B$29,E303,0))</f>
        <v/>
      </c>
    </row>
    <row r="304" spans="2:8">
      <c r="B304" s="27">
        <f t="shared" si="4"/>
        <v>300</v>
      </c>
      <c r="C304" s="27"/>
      <c r="D304" s="27"/>
      <c r="E304" s="54"/>
      <c r="F304" s="54"/>
      <c r="G304" s="54"/>
      <c r="H304" s="54" t="str">
        <f ca="1">IF(E304="","",OFFSET(分類!$B$29,E304,0))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CFF"/>
  </sheetPr>
  <dimension ref="A1:U834"/>
  <sheetViews>
    <sheetView topLeftCell="N1" zoomScale="120" zoomScaleNormal="120" workbookViewId="0">
      <pane ySplit="1" topLeftCell="A51" activePane="bottomLeft" state="frozen"/>
      <selection pane="bottomLeft" activeCell="S51" sqref="S51:S834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58" bestFit="1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4058</v>
      </c>
      <c r="U1" s="23" t="s">
        <v>4074</v>
      </c>
    </row>
    <row r="2" spans="1:21" hidden="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IF(match_results_2!C2="完全一致","〇","×")</f>
        <v>×</v>
      </c>
      <c r="O2" t="str">
        <f>IF(match_results_2!C2="薬価一致候補","〇","×")</f>
        <v>〇</v>
      </c>
      <c r="P2" s="56">
        <f>IF(match_results_2!E2="","",match_results_2!E2)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 hidden="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IF(match_results_2!C3="完全一致","〇","×")</f>
        <v>×</v>
      </c>
      <c r="O3" t="str">
        <f>IF(match_results_2!C3="薬価一致候補","〇","×")</f>
        <v>〇</v>
      </c>
      <c r="P3" s="56">
        <f>IF(match_results_2!E3="","",match_results_2!E3)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 hidden="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IF(match_results_2!C4="完全一致","〇","×")</f>
        <v>×</v>
      </c>
      <c r="O4" t="str">
        <f>IF(match_results_2!C4="薬価一致候補","〇","×")</f>
        <v>〇</v>
      </c>
      <c r="P4" s="56">
        <f>IF(match_results_2!E4="","",match_results_2!E4)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 hidden="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IF(match_results_2!C5="完全一致","〇","×")</f>
        <v>×</v>
      </c>
      <c r="O5" t="str">
        <f>IF(match_results_2!C5="薬価一致候補","〇","×")</f>
        <v>〇</v>
      </c>
      <c r="P5" s="56">
        <f>IF(match_results_2!E5="","",match_results_2!E5)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 hidden="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IF(match_results_2!C6="完全一致","〇","×")</f>
        <v>×</v>
      </c>
      <c r="O6" t="str">
        <f>IF(match_results_2!C6="薬価一致候補","〇","×")</f>
        <v>〇</v>
      </c>
      <c r="P6" s="56">
        <f>IF(match_results_2!E6="","",match_results_2!E6)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 hidden="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IF(match_results_2!C7="完全一致","〇","×")</f>
        <v>×</v>
      </c>
      <c r="O7" t="str">
        <f>IF(match_results_2!C7="薬価一致候補","〇","×")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 hidden="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IF(match_results_2!C8="完全一致","〇","×")</f>
        <v>×</v>
      </c>
      <c r="O8" t="str">
        <f>IF(match_results_2!C8="薬価一致候補","〇","×")</f>
        <v>〇</v>
      </c>
      <c r="P8" s="56">
        <f>IF(match_results_2!E8="","",match_results_2!E8)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 hidden="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IF(match_results_2!C9="完全一致","〇","×")</f>
        <v>×</v>
      </c>
      <c r="O9" t="str">
        <f>IF(match_results_2!C9="薬価一致候補","〇","×")</f>
        <v>〇</v>
      </c>
      <c r="P9" s="72" t="s">
        <v>4063</v>
      </c>
      <c r="Q9" s="71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 hidden="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IF(match_results_2!C10="完全一致","〇","×")</f>
        <v>×</v>
      </c>
      <c r="O10" t="str">
        <f>IF(match_results_2!C10="薬価一致候補","〇","×")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 hidden="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IF(match_results_2!C11="完全一致","〇","×")</f>
        <v>×</v>
      </c>
      <c r="O11" t="str">
        <f>IF(match_results_2!C11="薬価一致候補","〇","×")</f>
        <v>〇</v>
      </c>
      <c r="P11" s="56">
        <f>IF(match_results_2!E11="","",match_results_2!E11)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 hidden="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IF(match_results_2!C12="完全一致","〇","×")</f>
        <v>×</v>
      </c>
      <c r="O12" t="str">
        <f>IF(match_results_2!C12="薬価一致候補","〇","×")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 hidden="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IF(match_results_2!C13="完全一致","〇","×")</f>
        <v>×</v>
      </c>
      <c r="O13" t="str">
        <f>IF(match_results_2!C13="薬価一致候補","〇","×")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 hidden="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IF(match_results_2!C14="完全一致","〇","×")</f>
        <v>×</v>
      </c>
      <c r="O14" t="str">
        <f>IF(match_results_2!C14="薬価一致候補","〇","×")</f>
        <v>〇</v>
      </c>
      <c r="P14" s="56">
        <f>IF(match_results_2!E14="","",match_results_2!E14)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 hidden="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IF(match_results_2!C15="完全一致","〇","×")</f>
        <v>×</v>
      </c>
      <c r="O15" t="str">
        <f>IF(match_results_2!C15="薬価一致候補","〇","×")</f>
        <v>〇</v>
      </c>
      <c r="P15" s="56">
        <f>IF(match_results_2!E15="","",match_results_2!E15)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 hidden="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IF(match_results_2!C16="完全一致","〇","×")</f>
        <v>×</v>
      </c>
      <c r="O16" t="str">
        <f>IF(match_results_2!C16="薬価一致候補","〇","×")</f>
        <v>〇</v>
      </c>
      <c r="P16" s="56">
        <f>IF(match_results_2!E16="","",match_results_2!E16)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 hidden="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IF(match_results_2!C17="完全一致","〇","×")</f>
        <v>×</v>
      </c>
      <c r="O17" t="str">
        <f>IF(match_results_2!C17="薬価一致候補","〇","×")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 hidden="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IF(match_results_2!C18="完全一致","〇","×")</f>
        <v>×</v>
      </c>
      <c r="O18" t="str">
        <f>IF(match_results_2!C18="薬価一致候補","〇","×")</f>
        <v>〇</v>
      </c>
      <c r="P18" s="56">
        <f>IF(match_results_2!E18="","",match_results_2!E18)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 hidden="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IF(match_results_2!C19="完全一致","〇","×")</f>
        <v>×</v>
      </c>
      <c r="O19" t="str">
        <f>IF(match_results_2!C19="薬価一致候補","〇","×")</f>
        <v>〇</v>
      </c>
      <c r="P19" s="56">
        <f>IF(match_results_2!E19="","",match_results_2!E19)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 hidden="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IF(match_results_2!C20="完全一致","〇","×")</f>
        <v>×</v>
      </c>
      <c r="O20" t="str">
        <f>IF(match_results_2!C20="薬価一致候補","〇","×")</f>
        <v>〇</v>
      </c>
      <c r="P20" s="56">
        <f>IF(match_results_2!E20="","",match_results_2!E20)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 hidden="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IF(match_results_2!C21="完全一致","〇","×")</f>
        <v>×</v>
      </c>
      <c r="O21" t="str">
        <f>IF(match_results_2!C21="薬価一致候補","〇","×")</f>
        <v>×</v>
      </c>
      <c r="P21" s="72" t="s">
        <v>4074</v>
      </c>
      <c r="Q21" s="71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 hidden="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IF(match_results_2!C22="完全一致","〇","×")</f>
        <v>×</v>
      </c>
      <c r="O22" t="str">
        <f>IF(match_results_2!C22="薬価一致候補","〇","×")</f>
        <v>〇</v>
      </c>
      <c r="P22" s="56">
        <f>IF(match_results_2!E22="","",match_results_2!E22)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 hidden="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IF(match_results_2!C23="完全一致","〇","×")</f>
        <v>×</v>
      </c>
      <c r="O23" t="str">
        <f>IF(match_results_2!C23="薬価一致候補","〇","×")</f>
        <v>〇</v>
      </c>
      <c r="P23" s="56">
        <f>IF(match_results_2!E23="","",match_results_2!E23)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 hidden="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IF(match_results_2!C24="完全一致","〇","×")</f>
        <v>×</v>
      </c>
      <c r="O24" t="str">
        <f>IF(match_results_2!C24="薬価一致候補","〇","×")</f>
        <v>〇</v>
      </c>
      <c r="P24" s="56">
        <f>IF(match_results_2!E24="","",match_results_2!E24)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 hidden="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IF(match_results_2!C25="完全一致","〇","×")</f>
        <v>×</v>
      </c>
      <c r="O25" t="str">
        <f>IF(match_results_2!C25="薬価一致候補","〇","×")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 hidden="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IF(match_results_2!C26="完全一致","〇","×")</f>
        <v>〇</v>
      </c>
      <c r="O26" t="str">
        <f>IF(match_results_2!C26="薬価一致候補","〇","×")</f>
        <v>×</v>
      </c>
      <c r="P26" s="56">
        <f>IF(match_results_2!E26="","",match_results_2!E26)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 hidden="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IF(match_results_2!C27="完全一致","〇","×")</f>
        <v>×</v>
      </c>
      <c r="O27" t="str">
        <f>IF(match_results_2!C27="薬価一致候補","〇","×")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 hidden="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IF(match_results_2!C28="完全一致","〇","×")</f>
        <v>〇</v>
      </c>
      <c r="O28" t="str">
        <f>IF(match_results_2!C28="薬価一致候補","〇","×")</f>
        <v>×</v>
      </c>
      <c r="P28" s="56">
        <f>IF(match_results_2!E28="","",match_results_2!E28)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 hidden="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IF(match_results_2!C29="完全一致","〇","×")</f>
        <v>×</v>
      </c>
      <c r="O29" t="str">
        <f>IF(match_results_2!C29="薬価一致候補","〇","×")</f>
        <v>×</v>
      </c>
      <c r="P29" s="72" t="s">
        <v>4074</v>
      </c>
      <c r="Q29" s="71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 hidden="1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IF(match_results_2!C30="完全一致","〇","×")</f>
        <v>×</v>
      </c>
      <c r="O30" t="str">
        <f>IF(match_results_2!C30="薬価一致候補","〇","×")</f>
        <v>×</v>
      </c>
      <c r="P30" s="72" t="s">
        <v>4074</v>
      </c>
      <c r="Q30" s="71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 hidden="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IF(match_results_2!C31="完全一致","〇","×")</f>
        <v>×</v>
      </c>
      <c r="O31" t="str">
        <f>IF(match_results_2!C31="薬価一致候補","〇","×")</f>
        <v>×</v>
      </c>
      <c r="P31" s="72" t="s">
        <v>4074</v>
      </c>
      <c r="Q31" s="71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 hidden="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IF(match_results_2!C32="完全一致","〇","×")</f>
        <v>×</v>
      </c>
      <c r="O32" t="str">
        <f>IF(match_results_2!C32="薬価一致候補","〇","×")</f>
        <v>〇</v>
      </c>
      <c r="P32" s="56">
        <f>IF(match_results_2!E32="","",match_results_2!E32)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 hidden="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IF(match_results_2!C33="完全一致","〇","×")</f>
        <v>〇</v>
      </c>
      <c r="O33" t="str">
        <f>IF(match_results_2!C33="薬価一致候補","〇","×")</f>
        <v>×</v>
      </c>
      <c r="P33" s="56">
        <f>IF(match_results_2!E33="","",match_results_2!E33)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 hidden="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IF(match_results_2!C34="完全一致","〇","×")</f>
        <v>×</v>
      </c>
      <c r="O34" t="str">
        <f>IF(match_results_2!C34="薬価一致候補","〇","×")</f>
        <v>〇</v>
      </c>
      <c r="P34" s="56">
        <f>IF(match_results_2!E34="","",match_results_2!E34)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 hidden="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IF(match_results_2!C35="完全一致","〇","×")</f>
        <v>〇</v>
      </c>
      <c r="O35" t="str">
        <f>IF(match_results_2!C35="薬価一致候補","〇","×")</f>
        <v>×</v>
      </c>
      <c r="P35" s="56">
        <f>IF(match_results_2!E35="","",match_results_2!E35)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 hidden="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IF(match_results_2!C36="完全一致","〇","×")</f>
        <v>〇</v>
      </c>
      <c r="O36" t="str">
        <f>IF(match_results_2!C36="薬価一致候補","〇","×")</f>
        <v>×</v>
      </c>
      <c r="P36" s="56">
        <f>IF(match_results_2!E36="","",match_results_2!E36)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 hidden="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IF(match_results_2!C37="完全一致","〇","×")</f>
        <v>〇</v>
      </c>
      <c r="O37" t="str">
        <f>IF(match_results_2!C37="薬価一致候補","〇","×")</f>
        <v>×</v>
      </c>
      <c r="P37" s="56">
        <f>IF(match_results_2!E37="","",match_results_2!E37)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 hidden="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IF(match_results_2!C38="完全一致","〇","×")</f>
        <v>〇</v>
      </c>
      <c r="O38" t="str">
        <f>IF(match_results_2!C38="薬価一致候補","〇","×")</f>
        <v>×</v>
      </c>
      <c r="P38" s="56">
        <f>IF(match_results_2!E38="","",match_results_2!E38)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 hidden="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IF(match_results_2!C39="完全一致","〇","×")</f>
        <v>〇</v>
      </c>
      <c r="O39" t="str">
        <f>IF(match_results_2!C39="薬価一致候補","〇","×")</f>
        <v>×</v>
      </c>
      <c r="P39" s="56">
        <f>IF(match_results_2!E39="","",match_results_2!E39)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 hidden="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IF(match_results_2!C40="完全一致","〇","×")</f>
        <v>〇</v>
      </c>
      <c r="O40" t="str">
        <f>IF(match_results_2!C40="薬価一致候補","〇","×")</f>
        <v>×</v>
      </c>
      <c r="P40" s="56">
        <f>IF(match_results_2!E40="","",match_results_2!E40)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 hidden="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IF(match_results_2!C41="完全一致","〇","×")</f>
        <v>×</v>
      </c>
      <c r="O41" t="str">
        <f>IF(match_results_2!C41="薬価一致候補","〇","×")</f>
        <v>〇</v>
      </c>
      <c r="P41" s="56">
        <f>IF(match_results_2!E41="","",match_results_2!E41)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 hidden="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IF(match_results_2!C42="完全一致","〇","×")</f>
        <v>×</v>
      </c>
      <c r="O42" t="str">
        <f>IF(match_results_2!C42="薬価一致候補","〇","×")</f>
        <v>〇</v>
      </c>
      <c r="P42" s="72" t="s">
        <v>5426</v>
      </c>
      <c r="Q42" s="71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 hidden="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IF(match_results_2!C43="完全一致","〇","×")</f>
        <v>×</v>
      </c>
      <c r="O43" t="str">
        <f>IF(match_results_2!C43="薬価一致候補","〇","×")</f>
        <v>×</v>
      </c>
      <c r="P43" s="72" t="s">
        <v>4074</v>
      </c>
      <c r="Q43" s="71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 hidden="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IF(match_results_2!C44="完全一致","〇","×")</f>
        <v>〇</v>
      </c>
      <c r="O44" t="str">
        <f>IF(match_results_2!C44="薬価一致候補","〇","×")</f>
        <v>×</v>
      </c>
      <c r="P44" s="56">
        <f>IF(match_results_2!E44="","",match_results_2!E44)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 hidden="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IF(match_results_2!C45="完全一致","〇","×")</f>
        <v>〇</v>
      </c>
      <c r="O45" t="str">
        <f>IF(match_results_2!C45="薬価一致候補","〇","×")</f>
        <v>×</v>
      </c>
      <c r="P45" s="56">
        <f>IF(match_results_2!E45="","",match_results_2!E45)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 hidden="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IF(match_results_2!C46="完全一致","〇","×")</f>
        <v>〇</v>
      </c>
      <c r="O46" t="str">
        <f>IF(match_results_2!C46="薬価一致候補","〇","×")</f>
        <v>×</v>
      </c>
      <c r="P46" s="56">
        <f>IF(match_results_2!E46="","",match_results_2!E46)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 hidden="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IF(match_results_2!C47="完全一致","〇","×")</f>
        <v>〇</v>
      </c>
      <c r="O47" t="str">
        <f>IF(match_results_2!C47="薬価一致候補","〇","×")</f>
        <v>×</v>
      </c>
      <c r="P47" s="56">
        <f>IF(match_results_2!E47="","",match_results_2!E47)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 hidden="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IF(match_results_2!C48="完全一致","〇","×")</f>
        <v>〇</v>
      </c>
      <c r="O48" t="str">
        <f>IF(match_results_2!C48="薬価一致候補","〇","×")</f>
        <v>×</v>
      </c>
      <c r="P48" s="56">
        <f>IF(match_results_2!E48="","",match_results_2!E48)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 hidden="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IF(match_results_2!C49="完全一致","〇","×")</f>
        <v>×</v>
      </c>
      <c r="O49" t="str">
        <f>IF(match_results_2!C49="薬価一致候補","〇","×")</f>
        <v>〇</v>
      </c>
      <c r="P49" s="56">
        <f>IF(match_results_2!E49="","",match_results_2!E49)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 hidden="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IF(match_results_2!C50="完全一致","〇","×")</f>
        <v>〇</v>
      </c>
      <c r="O50" t="str">
        <f>IF(match_results_2!C50="薬価一致候補","〇","×")</f>
        <v>×</v>
      </c>
      <c r="P50" s="56">
        <f>IF(match_results_2!E50="","",match_results_2!E50)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IF(match_results_2!C51="完全一致","〇","×")</f>
        <v>×</v>
      </c>
      <c r="O51" t="str">
        <f>IF(match_results_2!C51="薬価一致候補","〇","×")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 hidden="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IF(match_results_2!C52="完全一致","〇","×")</f>
        <v>〇</v>
      </c>
      <c r="O52" t="str">
        <f>IF(match_results_2!C52="薬価一致候補","〇","×")</f>
        <v>×</v>
      </c>
      <c r="P52" s="56">
        <f>IF(match_results_2!E52="","",match_results_2!E52)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 hidden="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IF(match_results_2!C53="完全一致","〇","×")</f>
        <v>〇</v>
      </c>
      <c r="O53" t="str">
        <f>IF(match_results_2!C53="薬価一致候補","〇","×")</f>
        <v>×</v>
      </c>
      <c r="P53" s="56">
        <f>IF(match_results_2!E53="","",match_results_2!E53)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 hidden="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IF(match_results_2!C54="完全一致","〇","×")</f>
        <v>〇</v>
      </c>
      <c r="O54" t="str">
        <f>IF(match_results_2!C54="薬価一致候補","〇","×")</f>
        <v>×</v>
      </c>
      <c r="P54" s="56">
        <f>IF(match_results_2!E54="","",match_results_2!E54)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 hidden="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IF(match_results_2!C55="完全一致","〇","×")</f>
        <v>×</v>
      </c>
      <c r="O55" t="str">
        <f>IF(match_results_2!C55="薬価一致候補","〇","×")</f>
        <v>〇</v>
      </c>
      <c r="P55" s="72" t="s">
        <v>5426</v>
      </c>
      <c r="Q55" s="71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 hidden="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IF(match_results_2!C56="完全一致","〇","×")</f>
        <v>〇</v>
      </c>
      <c r="O56" t="str">
        <f>IF(match_results_2!C56="薬価一致候補","〇","×")</f>
        <v>×</v>
      </c>
      <c r="P56" s="56">
        <f>IF(match_results_2!E56="","",match_results_2!E56)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 hidden="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IF(match_results_2!C57="完全一致","〇","×")</f>
        <v>〇</v>
      </c>
      <c r="O57" t="str">
        <f>IF(match_results_2!C57="薬価一致候補","〇","×")</f>
        <v>×</v>
      </c>
      <c r="P57" s="56">
        <f>IF(match_results_2!E57="","",match_results_2!E57)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 hidden="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IF(match_results_2!C58="完全一致","〇","×")</f>
        <v>×</v>
      </c>
      <c r="O58" t="str">
        <f>IF(match_results_2!C58="薬価一致候補","〇","×")</f>
        <v>〇</v>
      </c>
      <c r="P58" s="56">
        <f>IF(match_results_2!E58="","",match_results_2!E58)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 hidden="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IF(match_results_2!C59="完全一致","〇","×")</f>
        <v>〇</v>
      </c>
      <c r="O59" t="str">
        <f>IF(match_results_2!C59="薬価一致候補","〇","×")</f>
        <v>×</v>
      </c>
      <c r="P59" s="56">
        <f>IF(match_results_2!E59="","",match_results_2!E59)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 hidden="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IF(match_results_2!C60="完全一致","〇","×")</f>
        <v>〇</v>
      </c>
      <c r="O60" t="str">
        <f>IF(match_results_2!C60="薬価一致候補","〇","×")</f>
        <v>×</v>
      </c>
      <c r="P60" s="56">
        <f>IF(match_results_2!E60="","",match_results_2!E60)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 hidden="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IF(match_results_2!C61="完全一致","〇","×")</f>
        <v>×</v>
      </c>
      <c r="O61" t="str">
        <f>IF(match_results_2!C61="薬価一致候補","〇","×")</f>
        <v>〇</v>
      </c>
      <c r="P61" s="56">
        <f>IF(match_results_2!E61="","",match_results_2!E61)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 hidden="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IF(match_results_2!C62="完全一致","〇","×")</f>
        <v>×</v>
      </c>
      <c r="O62" t="str">
        <f>IF(match_results_2!C62="薬価一致候補","〇","×")</f>
        <v>〇</v>
      </c>
      <c r="P62" s="56">
        <f>IF(match_results_2!E62="","",match_results_2!E62)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 hidden="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IF(match_results_2!C63="完全一致","〇","×")</f>
        <v>〇</v>
      </c>
      <c r="O63" t="str">
        <f>IF(match_results_2!C63="薬価一致候補","〇","×")</f>
        <v>×</v>
      </c>
      <c r="P63" s="56">
        <f>IF(match_results_2!E63="","",match_results_2!E63)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IF(match_results_2!C64="完全一致","〇","×")</f>
        <v>×</v>
      </c>
      <c r="O64" t="str">
        <f>IF(match_results_2!C64="薬価一致候補","〇","×")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 hidden="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IF(match_results_2!C65="完全一致","〇","×")</f>
        <v>×</v>
      </c>
      <c r="O65" t="str">
        <f>IF(match_results_2!C65="薬価一致候補","〇","×")</f>
        <v>〇</v>
      </c>
      <c r="P65" s="56">
        <f>IF(match_results_2!E65="","",match_results_2!E65)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 hidden="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IF(match_results_2!C66="完全一致","〇","×")</f>
        <v>×</v>
      </c>
      <c r="O66" t="str">
        <f>IF(match_results_2!C66="薬価一致候補","〇","×")</f>
        <v>〇</v>
      </c>
      <c r="P66" s="56">
        <f>IF(match_results_2!E66="","",match_results_2!E66)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 hidden="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IF(match_results_2!C67="完全一致","〇","×")</f>
        <v>×</v>
      </c>
      <c r="O67" t="str">
        <f>IF(match_results_2!C67="薬価一致候補","〇","×")</f>
        <v>〇</v>
      </c>
      <c r="P67" s="72" t="s">
        <v>5426</v>
      </c>
      <c r="Q67" s="71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 hidden="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IF(match_results_2!C68="完全一致","〇","×")</f>
        <v>〇</v>
      </c>
      <c r="O68" t="str">
        <f>IF(match_results_2!C68="薬価一致候補","〇","×")</f>
        <v>×</v>
      </c>
      <c r="P68" s="58">
        <f>IF(match_results_2!E68="","",match_results_2!E68)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 hidden="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IF(match_results_2!C69="完全一致","〇","×")</f>
        <v>〇</v>
      </c>
      <c r="O69" t="str">
        <f>IF(match_results_2!C69="薬価一致候補","〇","×")</f>
        <v>×</v>
      </c>
      <c r="P69" s="58">
        <f>IF(match_results_2!E69="","",match_results_2!E69)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 hidden="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IF(match_results_2!C70="完全一致","〇","×")</f>
        <v>〇</v>
      </c>
      <c r="O70" t="str">
        <f>IF(match_results_2!C70="薬価一致候補","〇","×")</f>
        <v>×</v>
      </c>
      <c r="P70" s="58">
        <f>IF(match_results_2!E70="","",match_results_2!E70)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 hidden="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IF(match_results_2!C71="完全一致","〇","×")</f>
        <v>〇</v>
      </c>
      <c r="O71" t="str">
        <f>IF(match_results_2!C71="薬価一致候補","〇","×")</f>
        <v>×</v>
      </c>
      <c r="P71" s="58">
        <f>IF(match_results_2!E71="","",match_results_2!E71)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IF(match_results_2!C72="完全一致","〇","×")</f>
        <v>×</v>
      </c>
      <c r="O72" t="str">
        <f>IF(match_results_2!C72="薬価一致候補","〇","×")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 hidden="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IF(match_results_2!C73="完全一致","〇","×")</f>
        <v>×</v>
      </c>
      <c r="O73" t="str">
        <f>IF(match_results_2!C73="薬価一致候補","〇","×")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 hidden="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IF(match_results_2!C74="完全一致","〇","×")</f>
        <v>×</v>
      </c>
      <c r="O74" t="str">
        <f>IF(match_results_2!C74="薬価一致候補","〇","×")</f>
        <v>×</v>
      </c>
      <c r="P74" s="72" t="s">
        <v>4074</v>
      </c>
      <c r="Q74" s="71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 hidden="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IF(match_results_2!C75="完全一致","〇","×")</f>
        <v>〇</v>
      </c>
      <c r="O75" t="str">
        <f>IF(match_results_2!C75="薬価一致候補","〇","×")</f>
        <v>×</v>
      </c>
      <c r="P75" s="58">
        <f>IF(match_results_2!E75="","",match_results_2!E75)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 hidden="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IF(match_results_2!C76="完全一致","〇","×")</f>
        <v>〇</v>
      </c>
      <c r="O76" t="str">
        <f>IF(match_results_2!C76="薬価一致候補","〇","×")</f>
        <v>×</v>
      </c>
      <c r="P76" s="58">
        <f>IF(match_results_2!E76="","",match_results_2!E76)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.6" hidden="1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IF(match_results_2!C77="完全一致","〇","×")</f>
        <v>×</v>
      </c>
      <c r="O77" t="str">
        <f>IF(match_results_2!C77="薬価一致候補","〇","×")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 hidden="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IF(match_results_2!C78="完全一致","〇","×")</f>
        <v>×</v>
      </c>
      <c r="O78" t="str">
        <f>IF(match_results_2!C78="薬価一致候補","〇","×")</f>
        <v>〇</v>
      </c>
      <c r="P78" s="56">
        <f>IF(match_results_2!E78="","",match_results_2!E78)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 hidden="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IF(match_results_2!C79="完全一致","〇","×")</f>
        <v>〇</v>
      </c>
      <c r="O79" t="str">
        <f>IF(match_results_2!C79="薬価一致候補","〇","×")</f>
        <v>×</v>
      </c>
      <c r="P79" s="58">
        <f>IF(match_results_2!E79="","",match_results_2!E79)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 hidden="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IF(match_results_2!C80="完全一致","〇","×")</f>
        <v>〇</v>
      </c>
      <c r="O80" t="str">
        <f>IF(match_results_2!C80="薬価一致候補","〇","×")</f>
        <v>×</v>
      </c>
      <c r="P80" s="58">
        <f>IF(match_results_2!E80="","",match_results_2!E80)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 hidden="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IF(match_results_2!C81="完全一致","〇","×")</f>
        <v>〇</v>
      </c>
      <c r="O81" t="str">
        <f>IF(match_results_2!C81="薬価一致候補","〇","×")</f>
        <v>×</v>
      </c>
      <c r="P81" s="58">
        <f>IF(match_results_2!E81="","",match_results_2!E81)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 hidden="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IF(match_results_2!C82="完全一致","〇","×")</f>
        <v>〇</v>
      </c>
      <c r="O82" t="str">
        <f>IF(match_results_2!C82="薬価一致候補","〇","×")</f>
        <v>×</v>
      </c>
      <c r="P82" s="58">
        <f>IF(match_results_2!E82="","",match_results_2!E82)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 hidden="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IF(match_results_2!C83="完全一致","〇","×")</f>
        <v>〇</v>
      </c>
      <c r="O83" t="str">
        <f>IF(match_results_2!C83="薬価一致候補","〇","×")</f>
        <v>×</v>
      </c>
      <c r="P83" s="58">
        <f>IF(match_results_2!E83="","",match_results_2!E83)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 hidden="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IF(match_results_2!C84="完全一致","〇","×")</f>
        <v>〇</v>
      </c>
      <c r="O84" t="str">
        <f>IF(match_results_2!C84="薬価一致候補","〇","×")</f>
        <v>×</v>
      </c>
      <c r="P84" s="58">
        <f>IF(match_results_2!E84="","",match_results_2!E84)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 hidden="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IF(match_results_2!C85="完全一致","〇","×")</f>
        <v>〇</v>
      </c>
      <c r="O85" t="str">
        <f>IF(match_results_2!C85="薬価一致候補","〇","×")</f>
        <v>×</v>
      </c>
      <c r="P85" s="58">
        <f>IF(match_results_2!E85="","",match_results_2!E85)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 hidden="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IF(match_results_2!C86="完全一致","〇","×")</f>
        <v>〇</v>
      </c>
      <c r="O86" t="str">
        <f>IF(match_results_2!C86="薬価一致候補","〇","×")</f>
        <v>×</v>
      </c>
      <c r="P86" s="58">
        <f>IF(match_results_2!E86="","",match_results_2!E86)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 hidden="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IF(match_results_2!C87="完全一致","〇","×")</f>
        <v>〇</v>
      </c>
      <c r="O87" t="str">
        <f>IF(match_results_2!C87="薬価一致候補","〇","×")</f>
        <v>×</v>
      </c>
      <c r="P87" s="58">
        <f>IF(match_results_2!E87="","",match_results_2!E87)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 hidden="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IF(match_results_2!C88="完全一致","〇","×")</f>
        <v>〇</v>
      </c>
      <c r="O88" t="str">
        <f>IF(match_results_2!C88="薬価一致候補","〇","×")</f>
        <v>×</v>
      </c>
      <c r="P88" s="58">
        <f>IF(match_results_2!E88="","",match_results_2!E88)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 hidden="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IF(match_results_2!C89="完全一致","〇","×")</f>
        <v>〇</v>
      </c>
      <c r="O89" t="str">
        <f>IF(match_results_2!C89="薬価一致候補","〇","×")</f>
        <v>×</v>
      </c>
      <c r="P89" s="58">
        <f>IF(match_results_2!E89="","",match_results_2!E89)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 hidden="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IF(match_results_2!C90="完全一致","〇","×")</f>
        <v>〇</v>
      </c>
      <c r="O90" t="str">
        <f>IF(match_results_2!C90="薬価一致候補","〇","×")</f>
        <v>×</v>
      </c>
      <c r="P90" s="58">
        <f>IF(match_results_2!E90="","",match_results_2!E90)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 hidden="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IF(match_results_2!C91="完全一致","〇","×")</f>
        <v>〇</v>
      </c>
      <c r="O91" t="str">
        <f>IF(match_results_2!C91="薬価一致候補","〇","×")</f>
        <v>×</v>
      </c>
      <c r="P91" s="58">
        <f>IF(match_results_2!E91="","",match_results_2!E91)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 hidden="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IF(match_results_2!C92="完全一致","〇","×")</f>
        <v>〇</v>
      </c>
      <c r="O92" t="str">
        <f>IF(match_results_2!C92="薬価一致候補","〇","×")</f>
        <v>×</v>
      </c>
      <c r="P92" s="58">
        <f>IF(match_results_2!E92="","",match_results_2!E92)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 hidden="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IF(match_results_2!C93="完全一致","〇","×")</f>
        <v>×</v>
      </c>
      <c r="O93" t="str">
        <f>IF(match_results_2!C93="薬価一致候補","〇","×")</f>
        <v>〇</v>
      </c>
      <c r="P93" s="56">
        <f>IF(match_results_2!E93="","",match_results_2!E93)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 hidden="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IF(match_results_2!C94="完全一致","〇","×")</f>
        <v>×</v>
      </c>
      <c r="O94" t="str">
        <f>IF(match_results_2!C94="薬価一致候補","〇","×")</f>
        <v>×</v>
      </c>
      <c r="P94" s="72" t="s">
        <v>4074</v>
      </c>
      <c r="Q94" s="71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 hidden="1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IF(match_results_2!C95="完全一致","〇","×")</f>
        <v>×</v>
      </c>
      <c r="O95" t="str">
        <f>IF(match_results_2!C95="薬価一致候補","〇","×")</f>
        <v>×</v>
      </c>
      <c r="P95" s="72" t="s">
        <v>4074</v>
      </c>
      <c r="Q95" s="71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 hidden="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IF(match_results_2!C96="完全一致","〇","×")</f>
        <v>〇</v>
      </c>
      <c r="O96" t="str">
        <f>IF(match_results_2!C96="薬価一致候補","〇","×")</f>
        <v>×</v>
      </c>
      <c r="P96" s="58">
        <f>IF(match_results_2!E96="","",match_results_2!E96)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IF(match_results_2!C97="完全一致","〇","×")</f>
        <v>×</v>
      </c>
      <c r="O97" t="str">
        <f>IF(match_results_2!C97="薬価一致候補","〇","×")</f>
        <v>×</v>
      </c>
      <c r="P97" s="58" t="str">
        <f>IF(match_results_2!E97="","",match_results_2!E97)</f>
        <v/>
      </c>
      <c r="Q97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 hidden="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IF(match_results_2!C98="完全一致","〇","×")</f>
        <v>〇</v>
      </c>
      <c r="O98" t="str">
        <f>IF(match_results_2!C98="薬価一致候補","〇","×")</f>
        <v>×</v>
      </c>
      <c r="P98" s="58">
        <f>IF(match_results_2!E98="","",match_results_2!E98)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 hidden="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IF(match_results_2!C99="完全一致","〇","×")</f>
        <v>〇</v>
      </c>
      <c r="O99" t="str">
        <f>IF(match_results_2!C99="薬価一致候補","〇","×")</f>
        <v>×</v>
      </c>
      <c r="P99" s="58">
        <f>IF(match_results_2!E99="","",match_results_2!E99)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 hidden="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IF(match_results_2!C100="完全一致","〇","×")</f>
        <v>〇</v>
      </c>
      <c r="O100" t="str">
        <f>IF(match_results_2!C100="薬価一致候補","〇","×")</f>
        <v>×</v>
      </c>
      <c r="P100" s="58">
        <f>IF(match_results_2!E100="","",match_results_2!E100)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 hidden="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IF(match_results_2!C101="完全一致","〇","×")</f>
        <v>×</v>
      </c>
      <c r="O101" t="str">
        <f>IF(match_results_2!C101="薬価一致候補","〇","×")</f>
        <v>〇</v>
      </c>
      <c r="P101" s="72" t="s">
        <v>5426</v>
      </c>
      <c r="Q101" s="71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 hidden="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IF(match_results_2!C102="完全一致","〇","×")</f>
        <v>×</v>
      </c>
      <c r="O102" t="str">
        <f>IF(match_results_2!C102="薬価一致候補","〇","×")</f>
        <v>〇</v>
      </c>
      <c r="P102" s="56">
        <f>IF(match_results_2!E102="","",match_results_2!E102)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IF(match_results_2!C103="完全一致","〇","×")</f>
        <v>×</v>
      </c>
      <c r="O103" t="str">
        <f>IF(match_results_2!C103="薬価一致候補","〇","×")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 hidden="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IF(match_results_2!C104="完全一致","〇","×")</f>
        <v>×</v>
      </c>
      <c r="O104" t="str">
        <f>IF(match_results_2!C104="薬価一致候補","〇","×")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 hidden="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IF(match_results_2!C105="完全一致","〇","×")</f>
        <v>×</v>
      </c>
      <c r="O105" t="str">
        <f>IF(match_results_2!C105="薬価一致候補","〇","×")</f>
        <v>×</v>
      </c>
      <c r="P105" s="72" t="s">
        <v>4074</v>
      </c>
      <c r="Q105" s="71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 hidden="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IF(match_results_2!C106="完全一致","〇","×")</f>
        <v>〇</v>
      </c>
      <c r="O106" t="str">
        <f>IF(match_results_2!C106="薬価一致候補","〇","×")</f>
        <v>×</v>
      </c>
      <c r="P106" s="58">
        <f>IF(match_results_2!E106="","",match_results_2!E106)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 hidden="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IF(match_results_2!C107="完全一致","〇","×")</f>
        <v>〇</v>
      </c>
      <c r="O107" t="str">
        <f>IF(match_results_2!C107="薬価一致候補","〇","×")</f>
        <v>×</v>
      </c>
      <c r="P107" s="58">
        <f>IF(match_results_2!E107="","",match_results_2!E107)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 hidden="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IF(match_results_2!C108="完全一致","〇","×")</f>
        <v>〇</v>
      </c>
      <c r="O108" t="str">
        <f>IF(match_results_2!C108="薬価一致候補","〇","×")</f>
        <v>×</v>
      </c>
      <c r="P108" s="58">
        <f>IF(match_results_2!E108="","",match_results_2!E108)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 hidden="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IF(match_results_2!C109="完全一致","〇","×")</f>
        <v>〇</v>
      </c>
      <c r="O109" t="str">
        <f>IF(match_results_2!C109="薬価一致候補","〇","×")</f>
        <v>×</v>
      </c>
      <c r="P109" s="58">
        <f>IF(match_results_2!E109="","",match_results_2!E109)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 hidden="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IF(match_results_2!C110="完全一致","〇","×")</f>
        <v>〇</v>
      </c>
      <c r="O110" t="str">
        <f>IF(match_results_2!C110="薬価一致候補","〇","×")</f>
        <v>×</v>
      </c>
      <c r="P110" s="58">
        <f>IF(match_results_2!E110="","",match_results_2!E110)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 hidden="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IF(match_results_2!C111="完全一致","〇","×")</f>
        <v>〇</v>
      </c>
      <c r="O111" t="str">
        <f>IF(match_results_2!C111="薬価一致候補","〇","×")</f>
        <v>×</v>
      </c>
      <c r="P111" s="58">
        <f>IF(match_results_2!E111="","",match_results_2!E111)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 hidden="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IF(match_results_2!C112="完全一致","〇","×")</f>
        <v>〇</v>
      </c>
      <c r="O112" t="str">
        <f>IF(match_results_2!C112="薬価一致候補","〇","×")</f>
        <v>×</v>
      </c>
      <c r="P112" s="58">
        <f>IF(match_results_2!E112="","",match_results_2!E112)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 hidden="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IF(match_results_2!C113="完全一致","〇","×")</f>
        <v>〇</v>
      </c>
      <c r="O113" t="str">
        <f>IF(match_results_2!C113="薬価一致候補","〇","×")</f>
        <v>×</v>
      </c>
      <c r="P113" s="58">
        <f>IF(match_results_2!E113="","",match_results_2!E113)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 hidden="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IF(match_results_2!C114="完全一致","〇","×")</f>
        <v>〇</v>
      </c>
      <c r="O114" t="str">
        <f>IF(match_results_2!C114="薬価一致候補","〇","×")</f>
        <v>×</v>
      </c>
      <c r="P114" s="58">
        <f>IF(match_results_2!E114="","",match_results_2!E114)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 hidden="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IF(match_results_2!C115="完全一致","〇","×")</f>
        <v>〇</v>
      </c>
      <c r="O115" t="str">
        <f>IF(match_results_2!C115="薬価一致候補","〇","×")</f>
        <v>×</v>
      </c>
      <c r="P115" s="58">
        <f>IF(match_results_2!E115="","",match_results_2!E115)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 hidden="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IF(match_results_2!C116="完全一致","〇","×")</f>
        <v>〇</v>
      </c>
      <c r="O116" t="str">
        <f>IF(match_results_2!C116="薬価一致候補","〇","×")</f>
        <v>×</v>
      </c>
      <c r="P116" s="58">
        <f>IF(match_results_2!E116="","",match_results_2!E116)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 hidden="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IF(match_results_2!C117="完全一致","〇","×")</f>
        <v>×</v>
      </c>
      <c r="O117" t="str">
        <f>IF(match_results_2!C117="薬価一致候補","〇","×")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 hidden="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IF(match_results_2!C118="完全一致","〇","×")</f>
        <v>×</v>
      </c>
      <c r="O118" t="str">
        <f>IF(match_results_2!C118="薬価一致候補","〇","×")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 hidden="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IF(match_results_2!C119="完全一致","〇","×")</f>
        <v>〇</v>
      </c>
      <c r="O119" t="str">
        <f>IF(match_results_2!C119="薬価一致候補","〇","×")</f>
        <v>×</v>
      </c>
      <c r="P119" s="58">
        <f>IF(match_results_2!E119="","",match_results_2!E119)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 hidden="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IF(match_results_2!C120="完全一致","〇","×")</f>
        <v>×</v>
      </c>
      <c r="O120" t="str">
        <f>IF(match_results_2!C120="薬価一致候補","〇","×")</f>
        <v>〇</v>
      </c>
      <c r="P120" s="56">
        <f>IF(match_results_2!E120="","",match_results_2!E120)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 hidden="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IF(match_results_2!C121="完全一致","〇","×")</f>
        <v>×</v>
      </c>
      <c r="O121" t="str">
        <f>IF(match_results_2!C121="薬価一致候補","〇","×")</f>
        <v>〇</v>
      </c>
      <c r="P121" s="72" t="s">
        <v>4063</v>
      </c>
      <c r="Q121" s="71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 hidden="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IF(match_results_2!C122="完全一致","〇","×")</f>
        <v>〇</v>
      </c>
      <c r="O122" t="str">
        <f>IF(match_results_2!C122="薬価一致候補","〇","×")</f>
        <v>×</v>
      </c>
      <c r="P122" s="58">
        <f>IF(match_results_2!E122="","",match_results_2!E122)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 hidden="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IF(match_results_2!C123="完全一致","〇","×")</f>
        <v>〇</v>
      </c>
      <c r="O123" t="str">
        <f>IF(match_results_2!C123="薬価一致候補","〇","×")</f>
        <v>×</v>
      </c>
      <c r="P123" s="58">
        <f>IF(match_results_2!E123="","",match_results_2!E123)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 hidden="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IF(match_results_2!C124="完全一致","〇","×")</f>
        <v>〇</v>
      </c>
      <c r="O124" t="str">
        <f>IF(match_results_2!C124="薬価一致候補","〇","×")</f>
        <v>×</v>
      </c>
      <c r="P124" s="58">
        <f>IF(match_results_2!E124="","",match_results_2!E124)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 hidden="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IF(match_results_2!C125="完全一致","〇","×")</f>
        <v>〇</v>
      </c>
      <c r="O125" t="str">
        <f>IF(match_results_2!C125="薬価一致候補","〇","×")</f>
        <v>×</v>
      </c>
      <c r="P125" s="58">
        <f>IF(match_results_2!E125="","",match_results_2!E125)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 hidden="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IF(match_results_2!C126="完全一致","〇","×")</f>
        <v>〇</v>
      </c>
      <c r="O126" t="str">
        <f>IF(match_results_2!C126="薬価一致候補","〇","×")</f>
        <v>×</v>
      </c>
      <c r="P126" s="58">
        <f>IF(match_results_2!E126="","",match_results_2!E126)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 hidden="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IF(match_results_2!C127="完全一致","〇","×")</f>
        <v>〇</v>
      </c>
      <c r="O127" t="str">
        <f>IF(match_results_2!C127="薬価一致候補","〇","×")</f>
        <v>×</v>
      </c>
      <c r="P127" s="58">
        <f>IF(match_results_2!E127="","",match_results_2!E127)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 hidden="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IF(match_results_2!C128="完全一致","〇","×")</f>
        <v>〇</v>
      </c>
      <c r="O128" t="str">
        <f>IF(match_results_2!C128="薬価一致候補","〇","×")</f>
        <v>×</v>
      </c>
      <c r="P128" s="58">
        <f>IF(match_results_2!E128="","",match_results_2!E128)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 hidden="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IF(match_results_2!C129="完全一致","〇","×")</f>
        <v>〇</v>
      </c>
      <c r="O129" t="str">
        <f>IF(match_results_2!C129="薬価一致候補","〇","×")</f>
        <v>×</v>
      </c>
      <c r="P129" s="58">
        <f>IF(match_results_2!E129="","",match_results_2!E129)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 hidden="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IF(match_results_2!C130="完全一致","〇","×")</f>
        <v>〇</v>
      </c>
      <c r="O130" t="str">
        <f>IF(match_results_2!C130="薬価一致候補","〇","×")</f>
        <v>×</v>
      </c>
      <c r="P130" s="58">
        <f>IF(match_results_2!E130="","",match_results_2!E130)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 hidden="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IF(match_results_2!C131="完全一致","〇","×")</f>
        <v>〇</v>
      </c>
      <c r="O131" t="str">
        <f>IF(match_results_2!C131="薬価一致候補","〇","×")</f>
        <v>×</v>
      </c>
      <c r="P131" s="58">
        <f>IF(match_results_2!E131="","",match_results_2!E131)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 hidden="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IF(match_results_2!C132="完全一致","〇","×")</f>
        <v>〇</v>
      </c>
      <c r="O132" t="str">
        <f>IF(match_results_2!C132="薬価一致候補","〇","×")</f>
        <v>×</v>
      </c>
      <c r="P132" s="58">
        <f>IF(match_results_2!E132="","",match_results_2!E132)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 hidden="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IF(match_results_2!C133="完全一致","〇","×")</f>
        <v>〇</v>
      </c>
      <c r="O133" t="str">
        <f>IF(match_results_2!C133="薬価一致候補","〇","×")</f>
        <v>×</v>
      </c>
      <c r="P133" s="58">
        <f>IF(match_results_2!E133="","",match_results_2!E133)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 hidden="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IF(match_results_2!C134="完全一致","〇","×")</f>
        <v>〇</v>
      </c>
      <c r="O134" t="str">
        <f>IF(match_results_2!C134="薬価一致候補","〇","×")</f>
        <v>×</v>
      </c>
      <c r="P134" s="58">
        <f>IF(match_results_2!E134="","",match_results_2!E134)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 hidden="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IF(match_results_2!C135="完全一致","〇","×")</f>
        <v>×</v>
      </c>
      <c r="O135" t="str">
        <f>IF(match_results_2!C135="薬価一致候補","〇","×")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 hidden="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IF(match_results_2!C136="完全一致","〇","×")</f>
        <v>〇</v>
      </c>
      <c r="O136" t="str">
        <f>IF(match_results_2!C136="薬価一致候補","〇","×")</f>
        <v>×</v>
      </c>
      <c r="P136" s="58">
        <f>IF(match_results_2!E136="","",match_results_2!E136)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 hidden="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IF(match_results_2!C137="完全一致","〇","×")</f>
        <v>〇</v>
      </c>
      <c r="O137" t="str">
        <f>IF(match_results_2!C137="薬価一致候補","〇","×")</f>
        <v>×</v>
      </c>
      <c r="P137" s="58">
        <f>IF(match_results_2!E137="","",match_results_2!E137)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 hidden="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IF(match_results_2!C138="完全一致","〇","×")</f>
        <v>〇</v>
      </c>
      <c r="O138" t="str">
        <f>IF(match_results_2!C138="薬価一致候補","〇","×")</f>
        <v>×</v>
      </c>
      <c r="P138" s="58">
        <f>IF(match_results_2!E138="","",match_results_2!E138)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IF(match_results_2!C139="完全一致","〇","×")</f>
        <v>×</v>
      </c>
      <c r="O139" t="str">
        <f>IF(match_results_2!C139="薬価一致候補","〇","×")</f>
        <v>×</v>
      </c>
      <c r="P139" s="58" t="str">
        <f>IF(match_results_2!E139="","",match_results_2!E139)</f>
        <v/>
      </c>
      <c r="Q139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 hidden="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IF(match_results_2!C140="完全一致","〇","×")</f>
        <v>×</v>
      </c>
      <c r="O140" t="str">
        <f>IF(match_results_2!C140="薬価一致候補","〇","×")</f>
        <v>〇</v>
      </c>
      <c r="P140" s="56">
        <f>IF(match_results_2!E140="","",match_results_2!E140)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 hidden="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IF(match_results_2!C141="完全一致","〇","×")</f>
        <v>×</v>
      </c>
      <c r="O141" t="str">
        <f>IF(match_results_2!C141="薬価一致候補","〇","×")</f>
        <v>〇</v>
      </c>
      <c r="P141" s="56">
        <f>IF(match_results_2!E141="","",match_results_2!E141)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 hidden="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IF(match_results_2!C142="完全一致","〇","×")</f>
        <v>×</v>
      </c>
      <c r="O142" t="str">
        <f>IF(match_results_2!C142="薬価一致候補","〇","×")</f>
        <v>〇</v>
      </c>
      <c r="P142" s="56">
        <f>IF(match_results_2!E142="","",match_results_2!E142)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 hidden="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IF(match_results_2!C143="完全一致","〇","×")</f>
        <v>×</v>
      </c>
      <c r="O143" t="str">
        <f>IF(match_results_2!C143="薬価一致候補","〇","×")</f>
        <v>〇</v>
      </c>
      <c r="P143" s="56">
        <f>IF(match_results_2!E143="","",match_results_2!E143)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 hidden="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IF(match_results_2!C144="完全一致","〇","×")</f>
        <v>〇</v>
      </c>
      <c r="O144" t="str">
        <f>IF(match_results_2!C144="薬価一致候補","〇","×")</f>
        <v>×</v>
      </c>
      <c r="P144" s="58">
        <f>IF(match_results_2!E144="","",match_results_2!E144)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 hidden="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IF(match_results_2!C145="完全一致","〇","×")</f>
        <v>×</v>
      </c>
      <c r="O145" t="str">
        <f>IF(match_results_2!C145="薬価一致候補","〇","×")</f>
        <v>〇</v>
      </c>
      <c r="P145" s="56">
        <f>IF(match_results_2!E145="","",match_results_2!E145)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 hidden="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IF(match_results_2!C146="完全一致","〇","×")</f>
        <v>×</v>
      </c>
      <c r="O146" t="str">
        <f>IF(match_results_2!C146="薬価一致候補","〇","×")</f>
        <v>〇</v>
      </c>
      <c r="P146" s="56">
        <f>IF(match_results_2!E146="","",match_results_2!E146)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 hidden="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IF(match_results_2!C147="完全一致","〇","×")</f>
        <v>×</v>
      </c>
      <c r="O147" t="str">
        <f>IF(match_results_2!C147="薬価一致候補","〇","×")</f>
        <v>〇</v>
      </c>
      <c r="P147" s="56">
        <f>IF(match_results_2!E147="","",match_results_2!E147)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 hidden="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IF(match_results_2!C148="完全一致","〇","×")</f>
        <v>〇</v>
      </c>
      <c r="O148" t="str">
        <f>IF(match_results_2!C148="薬価一致候補","〇","×")</f>
        <v>×</v>
      </c>
      <c r="P148" s="58">
        <f>IF(match_results_2!E148="","",match_results_2!E148)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 hidden="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IF(match_results_2!C149="完全一致","〇","×")</f>
        <v>〇</v>
      </c>
      <c r="O149" t="str">
        <f>IF(match_results_2!C149="薬価一致候補","〇","×")</f>
        <v>×</v>
      </c>
      <c r="P149" s="58">
        <f>IF(match_results_2!E149="","",match_results_2!E149)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 hidden="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IF(match_results_2!C150="完全一致","〇","×")</f>
        <v>〇</v>
      </c>
      <c r="O150" t="str">
        <f>IF(match_results_2!C150="薬価一致候補","〇","×")</f>
        <v>×</v>
      </c>
      <c r="P150" s="58">
        <f>IF(match_results_2!E150="","",match_results_2!E150)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 ht="24.6" hidden="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IF(match_results_2!C151="完全一致","〇","×")</f>
        <v>×</v>
      </c>
      <c r="O151" t="str">
        <f>IF(match_results_2!C151="薬価一致候補","〇","×")</f>
        <v>×</v>
      </c>
      <c r="P151" s="72" t="s">
        <v>4074</v>
      </c>
      <c r="Q151" s="71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 hidden="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IF(match_results_2!C152="完全一致","〇","×")</f>
        <v>〇</v>
      </c>
      <c r="O152" t="str">
        <f>IF(match_results_2!C152="薬価一致候補","〇","×")</f>
        <v>×</v>
      </c>
      <c r="P152" s="58">
        <f>IF(match_results_2!E152="","",match_results_2!E152)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 hidden="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IF(match_results_2!C153="完全一致","〇","×")</f>
        <v>×</v>
      </c>
      <c r="O153" t="str">
        <f>IF(match_results_2!C153="薬価一致候補","〇","×")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 hidden="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IF(match_results_2!C154="完全一致","〇","×")</f>
        <v>×</v>
      </c>
      <c r="O154" t="str">
        <f>IF(match_results_2!C154="薬価一致候補","〇","×")</f>
        <v>〇</v>
      </c>
      <c r="P154" s="56">
        <f>IF(match_results_2!E154="","",match_results_2!E154)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 hidden="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IF(match_results_2!C155="完全一致","〇","×")</f>
        <v>×</v>
      </c>
      <c r="O155" t="str">
        <f>IF(match_results_2!C155="薬価一致候補","〇","×")</f>
        <v>〇</v>
      </c>
      <c r="P155" s="56">
        <f>IF(match_results_2!E155="","",match_results_2!E155)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 hidden="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IF(match_results_2!C156="完全一致","〇","×")</f>
        <v>〇</v>
      </c>
      <c r="O156" t="str">
        <f>IF(match_results_2!C156="薬価一致候補","〇","×")</f>
        <v>×</v>
      </c>
      <c r="P156" s="58">
        <f>IF(match_results_2!E156="","",match_results_2!E156)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 hidden="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IF(match_results_2!C157="完全一致","〇","×")</f>
        <v>〇</v>
      </c>
      <c r="O157" t="str">
        <f>IF(match_results_2!C157="薬価一致候補","〇","×")</f>
        <v>×</v>
      </c>
      <c r="P157" s="58">
        <f>IF(match_results_2!E157="","",match_results_2!E157)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 hidden="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IF(match_results_2!C158="完全一致","〇","×")</f>
        <v>〇</v>
      </c>
      <c r="O158" t="str">
        <f>IF(match_results_2!C158="薬価一致候補","〇","×")</f>
        <v>×</v>
      </c>
      <c r="P158" s="58">
        <f>IF(match_results_2!E158="","",match_results_2!E158)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 hidden="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IF(match_results_2!C159="完全一致","〇","×")</f>
        <v>〇</v>
      </c>
      <c r="O159" t="str">
        <f>IF(match_results_2!C159="薬価一致候補","〇","×")</f>
        <v>×</v>
      </c>
      <c r="P159" s="58">
        <f>IF(match_results_2!E159="","",match_results_2!E159)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 hidden="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IF(match_results_2!C160="完全一致","〇","×")</f>
        <v>〇</v>
      </c>
      <c r="O160" t="str">
        <f>IF(match_results_2!C160="薬価一致候補","〇","×")</f>
        <v>×</v>
      </c>
      <c r="P160" s="58">
        <f>IF(match_results_2!E160="","",match_results_2!E160)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 hidden="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IF(match_results_2!C161="完全一致","〇","×")</f>
        <v>〇</v>
      </c>
      <c r="O161" t="str">
        <f>IF(match_results_2!C161="薬価一致候補","〇","×")</f>
        <v>×</v>
      </c>
      <c r="P161" s="58">
        <f>IF(match_results_2!E161="","",match_results_2!E161)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 hidden="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IF(match_results_2!C162="完全一致","〇","×")</f>
        <v>〇</v>
      </c>
      <c r="O162" t="str">
        <f>IF(match_results_2!C162="薬価一致候補","〇","×")</f>
        <v>×</v>
      </c>
      <c r="P162" s="58">
        <f>IF(match_results_2!E162="","",match_results_2!E162)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 hidden="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IF(match_results_2!C163="完全一致","〇","×")</f>
        <v>×</v>
      </c>
      <c r="O163" t="str">
        <f>IF(match_results_2!C163="薬価一致候補","〇","×")</f>
        <v>〇</v>
      </c>
      <c r="P163" s="56">
        <f>IF(match_results_2!E163="","",match_results_2!E163)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 hidden="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IF(match_results_2!C164="完全一致","〇","×")</f>
        <v>×</v>
      </c>
      <c r="O164" t="str">
        <f>IF(match_results_2!C164="薬価一致候補","〇","×")</f>
        <v>〇</v>
      </c>
      <c r="P164" s="56">
        <f>IF(match_results_2!E164="","",match_results_2!E164)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IF(match_results_2!C165="完全一致","〇","×")</f>
        <v>×</v>
      </c>
      <c r="O165" t="str">
        <f>IF(match_results_2!C165="薬価一致候補","〇","×")</f>
        <v>×</v>
      </c>
      <c r="P165" s="58" t="str">
        <f>IF(match_results_2!E165="","",match_results_2!E165)</f>
        <v/>
      </c>
      <c r="Q165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 hidden="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IF(match_results_2!C166="完全一致","〇","×")</f>
        <v>〇</v>
      </c>
      <c r="O166" t="str">
        <f>IF(match_results_2!C166="薬価一致候補","〇","×")</f>
        <v>×</v>
      </c>
      <c r="P166" s="58">
        <f>IF(match_results_2!E166="","",match_results_2!E166)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 hidden="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IF(match_results_2!C167="完全一致","〇","×")</f>
        <v>〇</v>
      </c>
      <c r="O167" t="str">
        <f>IF(match_results_2!C167="薬価一致候補","〇","×")</f>
        <v>×</v>
      </c>
      <c r="P167" s="58">
        <f>IF(match_results_2!E167="","",match_results_2!E167)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 hidden="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IF(match_results_2!C168="完全一致","〇","×")</f>
        <v>〇</v>
      </c>
      <c r="O168" t="str">
        <f>IF(match_results_2!C168="薬価一致候補","〇","×")</f>
        <v>×</v>
      </c>
      <c r="P168" s="58">
        <f>IF(match_results_2!E168="","",match_results_2!E168)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 hidden="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IF(match_results_2!C169="完全一致","〇","×")</f>
        <v>〇</v>
      </c>
      <c r="O169" t="str">
        <f>IF(match_results_2!C169="薬価一致候補","〇","×")</f>
        <v>×</v>
      </c>
      <c r="P169" s="58">
        <f>IF(match_results_2!E169="","",match_results_2!E169)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 hidden="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IF(match_results_2!C170="完全一致","〇","×")</f>
        <v>〇</v>
      </c>
      <c r="O170" t="str">
        <f>IF(match_results_2!C170="薬価一致候補","〇","×")</f>
        <v>×</v>
      </c>
      <c r="P170" s="58">
        <f>IF(match_results_2!E170="","",match_results_2!E170)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 hidden="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IF(match_results_2!C171="完全一致","〇","×")</f>
        <v>〇</v>
      </c>
      <c r="O171" t="str">
        <f>IF(match_results_2!C171="薬価一致候補","〇","×")</f>
        <v>×</v>
      </c>
      <c r="P171" s="58">
        <f>IF(match_results_2!E171="","",match_results_2!E171)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 hidden="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IF(match_results_2!C172="完全一致","〇","×")</f>
        <v>〇</v>
      </c>
      <c r="O172" t="str">
        <f>IF(match_results_2!C172="薬価一致候補","〇","×")</f>
        <v>×</v>
      </c>
      <c r="P172" s="58">
        <f>IF(match_results_2!E172="","",match_results_2!E172)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 hidden="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IF(match_results_2!C173="完全一致","〇","×")</f>
        <v>×</v>
      </c>
      <c r="O173" t="str">
        <f>IF(match_results_2!C173="薬価一致候補","〇","×")</f>
        <v>〇</v>
      </c>
      <c r="P173" s="56">
        <f>IF(match_results_2!E173="","",match_results_2!E173)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 hidden="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IF(match_results_2!C174="完全一致","〇","×")</f>
        <v>〇</v>
      </c>
      <c r="O174" t="str">
        <f>IF(match_results_2!C174="薬価一致候補","〇","×")</f>
        <v>×</v>
      </c>
      <c r="P174" s="58">
        <f>IF(match_results_2!E174="","",match_results_2!E174)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 hidden="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IF(match_results_2!C175="完全一致","〇","×")</f>
        <v>〇</v>
      </c>
      <c r="O175" t="str">
        <f>IF(match_results_2!C175="薬価一致候補","〇","×")</f>
        <v>×</v>
      </c>
      <c r="P175" s="58">
        <f>IF(match_results_2!E175="","",match_results_2!E175)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 hidden="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IF(match_results_2!C176="完全一致","〇","×")</f>
        <v>〇</v>
      </c>
      <c r="O176" t="str">
        <f>IF(match_results_2!C176="薬価一致候補","〇","×")</f>
        <v>×</v>
      </c>
      <c r="P176" s="58">
        <f>IF(match_results_2!E176="","",match_results_2!E176)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 hidden="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IF(match_results_2!C177="完全一致","〇","×")</f>
        <v>〇</v>
      </c>
      <c r="O177" t="str">
        <f>IF(match_results_2!C177="薬価一致候補","〇","×")</f>
        <v>×</v>
      </c>
      <c r="P177" s="58">
        <f>IF(match_results_2!E177="","",match_results_2!E177)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 hidden="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IF(match_results_2!C178="完全一致","〇","×")</f>
        <v>〇</v>
      </c>
      <c r="O178" t="str">
        <f>IF(match_results_2!C178="薬価一致候補","〇","×")</f>
        <v>×</v>
      </c>
      <c r="P178" s="58">
        <f>IF(match_results_2!E178="","",match_results_2!E178)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 hidden="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IF(match_results_2!C179="完全一致","〇","×")</f>
        <v>〇</v>
      </c>
      <c r="O179" t="str">
        <f>IF(match_results_2!C179="薬価一致候補","〇","×")</f>
        <v>×</v>
      </c>
      <c r="P179" s="58">
        <f>IF(match_results_2!E179="","",match_results_2!E179)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 hidden="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IF(match_results_2!C180="完全一致","〇","×")</f>
        <v>〇</v>
      </c>
      <c r="O180" t="str">
        <f>IF(match_results_2!C180="薬価一致候補","〇","×")</f>
        <v>×</v>
      </c>
      <c r="P180" s="58">
        <f>IF(match_results_2!E180="","",match_results_2!E180)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 hidden="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IF(match_results_2!C181="完全一致","〇","×")</f>
        <v>〇</v>
      </c>
      <c r="O181" t="str">
        <f>IF(match_results_2!C181="薬価一致候補","〇","×")</f>
        <v>×</v>
      </c>
      <c r="P181" s="58">
        <f>IF(match_results_2!E181="","",match_results_2!E181)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 hidden="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IF(match_results_2!C182="完全一致","〇","×")</f>
        <v>×</v>
      </c>
      <c r="O182" t="str">
        <f>IF(match_results_2!C182="薬価一致候補","〇","×")</f>
        <v>〇</v>
      </c>
      <c r="P182" s="56">
        <f>IF(match_results_2!E182="","",match_results_2!E182)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IF(match_results_2!C183="完全一致","〇","×")</f>
        <v>×</v>
      </c>
      <c r="O183" t="str">
        <f>IF(match_results_2!C183="薬価一致候補","〇","×")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 hidden="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IF(match_results_2!C184="完全一致","〇","×")</f>
        <v>×</v>
      </c>
      <c r="O184" t="str">
        <f>IF(match_results_2!C184="薬価一致候補","〇","×")</f>
        <v>〇</v>
      </c>
      <c r="P184" s="56">
        <f>IF(match_results_2!E184="","",match_results_2!E184)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 hidden="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IF(match_results_2!C185="完全一致","〇","×")</f>
        <v>〇</v>
      </c>
      <c r="O185" t="str">
        <f>IF(match_results_2!C185="薬価一致候補","〇","×")</f>
        <v>×</v>
      </c>
      <c r="P185" s="58">
        <f>IF(match_results_2!E185="","",match_results_2!E185)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 hidden="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IF(match_results_2!C186="完全一致","〇","×")</f>
        <v>〇</v>
      </c>
      <c r="O186" t="str">
        <f>IF(match_results_2!C186="薬価一致候補","〇","×")</f>
        <v>×</v>
      </c>
      <c r="P186" s="58">
        <f>IF(match_results_2!E186="","",match_results_2!E186)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 hidden="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IF(match_results_2!C187="完全一致","〇","×")</f>
        <v>〇</v>
      </c>
      <c r="O187" t="str">
        <f>IF(match_results_2!C187="薬価一致候補","〇","×")</f>
        <v>×</v>
      </c>
      <c r="P187" s="58">
        <f>IF(match_results_2!E187="","",match_results_2!E187)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 hidden="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IF(match_results_2!C188="完全一致","〇","×")</f>
        <v>×</v>
      </c>
      <c r="O188" t="str">
        <f>IF(match_results_2!C188="薬価一致候補","〇","×")</f>
        <v>〇</v>
      </c>
      <c r="P188" s="72" t="s">
        <v>4063</v>
      </c>
      <c r="Q188" s="71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 hidden="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IF(match_results_2!C189="完全一致","〇","×")</f>
        <v>〇</v>
      </c>
      <c r="O189" t="str">
        <f>IF(match_results_2!C189="薬価一致候補","〇","×")</f>
        <v>×</v>
      </c>
      <c r="P189" s="58">
        <f>IF(match_results_2!E189="","",match_results_2!E189)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 hidden="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IF(match_results_2!C190="完全一致","〇","×")</f>
        <v>〇</v>
      </c>
      <c r="O190" t="str">
        <f>IF(match_results_2!C190="薬価一致候補","〇","×")</f>
        <v>×</v>
      </c>
      <c r="P190" s="58">
        <f>IF(match_results_2!E190="","",match_results_2!E190)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 hidden="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IF(match_results_2!C191="完全一致","〇","×")</f>
        <v>〇</v>
      </c>
      <c r="O191" t="str">
        <f>IF(match_results_2!C191="薬価一致候補","〇","×")</f>
        <v>×</v>
      </c>
      <c r="P191" s="58">
        <f>IF(match_results_2!E191="","",match_results_2!E191)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 hidden="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IF(match_results_2!C192="完全一致","〇","×")</f>
        <v>〇</v>
      </c>
      <c r="O192" t="str">
        <f>IF(match_results_2!C192="薬価一致候補","〇","×")</f>
        <v>×</v>
      </c>
      <c r="P192" s="58">
        <f>IF(match_results_2!E192="","",match_results_2!E192)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 hidden="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IF(match_results_2!C193="完全一致","〇","×")</f>
        <v>〇</v>
      </c>
      <c r="O193" t="str">
        <f>IF(match_results_2!C193="薬価一致候補","〇","×")</f>
        <v>×</v>
      </c>
      <c r="P193" s="58">
        <f>IF(match_results_2!E193="","",match_results_2!E193)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 hidden="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IF(match_results_2!C194="完全一致","〇","×")</f>
        <v>〇</v>
      </c>
      <c r="O194" t="str">
        <f>IF(match_results_2!C194="薬価一致候補","〇","×")</f>
        <v>×</v>
      </c>
      <c r="P194" s="58">
        <f>IF(match_results_2!E194="","",match_results_2!E194)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 hidden="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IF(match_results_2!C195="完全一致","〇","×")</f>
        <v>〇</v>
      </c>
      <c r="O195" t="str">
        <f>IF(match_results_2!C195="薬価一致候補","〇","×")</f>
        <v>×</v>
      </c>
      <c r="P195" s="58">
        <f>IF(match_results_2!E195="","",match_results_2!E195)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 hidden="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IF(match_results_2!C196="完全一致","〇","×")</f>
        <v>〇</v>
      </c>
      <c r="O196" t="str">
        <f>IF(match_results_2!C196="薬価一致候補","〇","×")</f>
        <v>×</v>
      </c>
      <c r="P196" s="58">
        <f>IF(match_results_2!E196="","",match_results_2!E196)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 hidden="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IF(match_results_2!C197="完全一致","〇","×")</f>
        <v>〇</v>
      </c>
      <c r="O197" t="str">
        <f>IF(match_results_2!C197="薬価一致候補","〇","×")</f>
        <v>×</v>
      </c>
      <c r="P197" s="58">
        <f>IF(match_results_2!E197="","",match_results_2!E197)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 hidden="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IF(match_results_2!C198="完全一致","〇","×")</f>
        <v>〇</v>
      </c>
      <c r="O198" t="str">
        <f>IF(match_results_2!C198="薬価一致候補","〇","×")</f>
        <v>×</v>
      </c>
      <c r="P198" s="58">
        <f>IF(match_results_2!E198="","",match_results_2!E198)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 hidden="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IF(match_results_2!C199="完全一致","〇","×")</f>
        <v>〇</v>
      </c>
      <c r="O199" t="str">
        <f>IF(match_results_2!C199="薬価一致候補","〇","×")</f>
        <v>×</v>
      </c>
      <c r="P199" s="58">
        <f>IF(match_results_2!E199="","",match_results_2!E199)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 hidden="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IF(match_results_2!C200="完全一致","〇","×")</f>
        <v>〇</v>
      </c>
      <c r="O200" t="str">
        <f>IF(match_results_2!C200="薬価一致候補","〇","×")</f>
        <v>×</v>
      </c>
      <c r="P200" s="58">
        <f>IF(match_results_2!E200="","",match_results_2!E200)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 hidden="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IF(match_results_2!C201="完全一致","〇","×")</f>
        <v>×</v>
      </c>
      <c r="O201" t="str">
        <f>IF(match_results_2!C201="薬価一致候補","〇","×")</f>
        <v>×</v>
      </c>
      <c r="P201" s="72" t="s">
        <v>4074</v>
      </c>
      <c r="Q201" s="71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 hidden="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IF(match_results_2!C202="完全一致","〇","×")</f>
        <v>〇</v>
      </c>
      <c r="O202" t="str">
        <f>IF(match_results_2!C202="薬価一致候補","〇","×")</f>
        <v>×</v>
      </c>
      <c r="P202" s="58">
        <f>IF(match_results_2!E202="","",match_results_2!E202)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 hidden="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IF(match_results_2!C203="完全一致","〇","×")</f>
        <v>〇</v>
      </c>
      <c r="O203" t="str">
        <f>IF(match_results_2!C203="薬価一致候補","〇","×")</f>
        <v>×</v>
      </c>
      <c r="P203" s="58">
        <f>IF(match_results_2!E203="","",match_results_2!E203)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 hidden="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IF(match_results_2!C204="完全一致","〇","×")</f>
        <v>〇</v>
      </c>
      <c r="O204" t="str">
        <f>IF(match_results_2!C204="薬価一致候補","〇","×")</f>
        <v>×</v>
      </c>
      <c r="P204" s="58">
        <f>IF(match_results_2!E204="","",match_results_2!E204)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 hidden="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IF(match_results_2!C205="完全一致","〇","×")</f>
        <v>〇</v>
      </c>
      <c r="O205" t="str">
        <f>IF(match_results_2!C205="薬価一致候補","〇","×")</f>
        <v>×</v>
      </c>
      <c r="P205" s="58">
        <f>IF(match_results_2!E205="","",match_results_2!E205)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 hidden="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IF(match_results_2!C206="完全一致","〇","×")</f>
        <v>〇</v>
      </c>
      <c r="O206" t="str">
        <f>IF(match_results_2!C206="薬価一致候補","〇","×")</f>
        <v>×</v>
      </c>
      <c r="P206" s="58">
        <f>IF(match_results_2!E206="","",match_results_2!E206)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 hidden="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IF(match_results_2!C207="完全一致","〇","×")</f>
        <v>〇</v>
      </c>
      <c r="O207" t="str">
        <f>IF(match_results_2!C207="薬価一致候補","〇","×")</f>
        <v>×</v>
      </c>
      <c r="P207" s="58">
        <f>IF(match_results_2!E207="","",match_results_2!E207)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 hidden="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IF(match_results_2!C208="完全一致","〇","×")</f>
        <v>〇</v>
      </c>
      <c r="O208" t="str">
        <f>IF(match_results_2!C208="薬価一致候補","〇","×")</f>
        <v>×</v>
      </c>
      <c r="P208" s="58">
        <f>IF(match_results_2!E208="","",match_results_2!E208)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 hidden="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IF(match_results_2!C209="完全一致","〇","×")</f>
        <v>×</v>
      </c>
      <c r="O209" t="str">
        <f>IF(match_results_2!C209="薬価一致候補","〇","×")</f>
        <v>〇</v>
      </c>
      <c r="P209" s="56">
        <f>IF(match_results_2!E209="","",match_results_2!E209)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 hidden="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IF(match_results_2!C210="完全一致","〇","×")</f>
        <v>〇</v>
      </c>
      <c r="O210" t="str">
        <f>IF(match_results_2!C210="薬価一致候補","〇","×")</f>
        <v>×</v>
      </c>
      <c r="P210" s="58">
        <f>IF(match_results_2!E210="","",match_results_2!E210)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 hidden="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IF(match_results_2!C211="完全一致","〇","×")</f>
        <v>〇</v>
      </c>
      <c r="O211" t="str">
        <f>IF(match_results_2!C211="薬価一致候補","〇","×")</f>
        <v>×</v>
      </c>
      <c r="P211" s="58">
        <f>IF(match_results_2!E211="","",match_results_2!E211)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 hidden="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IF(match_results_2!C212="完全一致","〇","×")</f>
        <v>×</v>
      </c>
      <c r="O212" t="str">
        <f>IF(match_results_2!C212="薬価一致候補","〇","×")</f>
        <v>×</v>
      </c>
      <c r="P212" s="72" t="s">
        <v>4074</v>
      </c>
      <c r="Q212" s="71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 hidden="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IF(match_results_2!C213="完全一致","〇","×")</f>
        <v>〇</v>
      </c>
      <c r="O213" t="str">
        <f>IF(match_results_2!C213="薬価一致候補","〇","×")</f>
        <v>×</v>
      </c>
      <c r="P213" s="58">
        <f>IF(match_results_2!E213="","",match_results_2!E213)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 hidden="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IF(match_results_2!C214="完全一致","〇","×")</f>
        <v>〇</v>
      </c>
      <c r="O214" t="str">
        <f>IF(match_results_2!C214="薬価一致候補","〇","×")</f>
        <v>×</v>
      </c>
      <c r="P214" s="58">
        <f>IF(match_results_2!E214="","",match_results_2!E214)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 hidden="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IF(match_results_2!C215="完全一致","〇","×")</f>
        <v>〇</v>
      </c>
      <c r="O215" t="str">
        <f>IF(match_results_2!C215="薬価一致候補","〇","×")</f>
        <v>×</v>
      </c>
      <c r="P215" s="58">
        <f>IF(match_results_2!E215="","",match_results_2!E215)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 hidden="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IF(match_results_2!C216="完全一致","〇","×")</f>
        <v>〇</v>
      </c>
      <c r="O216" t="str">
        <f>IF(match_results_2!C216="薬価一致候補","〇","×")</f>
        <v>×</v>
      </c>
      <c r="P216" s="58">
        <f>IF(match_results_2!E216="","",match_results_2!E216)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 hidden="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IF(match_results_2!C217="完全一致","〇","×")</f>
        <v>〇</v>
      </c>
      <c r="O217" t="str">
        <f>IF(match_results_2!C217="薬価一致候補","〇","×")</f>
        <v>×</v>
      </c>
      <c r="P217" s="58">
        <f>IF(match_results_2!E217="","",match_results_2!E217)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 hidden="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IF(match_results_2!C218="完全一致","〇","×")</f>
        <v>〇</v>
      </c>
      <c r="O218" t="str">
        <f>IF(match_results_2!C218="薬価一致候補","〇","×")</f>
        <v>×</v>
      </c>
      <c r="P218" s="58">
        <f>IF(match_results_2!E218="","",match_results_2!E218)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 hidden="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IF(match_results_2!C219="完全一致","〇","×")</f>
        <v>〇</v>
      </c>
      <c r="O219" t="str">
        <f>IF(match_results_2!C219="薬価一致候補","〇","×")</f>
        <v>×</v>
      </c>
      <c r="P219" s="58">
        <f>IF(match_results_2!E219="","",match_results_2!E219)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 hidden="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IF(match_results_2!C220="完全一致","〇","×")</f>
        <v>×</v>
      </c>
      <c r="O220" t="str">
        <f>IF(match_results_2!C220="薬価一致候補","〇","×")</f>
        <v>〇</v>
      </c>
      <c r="P220" s="56">
        <f>IF(match_results_2!E220="","",match_results_2!E220)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 hidden="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IF(match_results_2!C221="完全一致","〇","×")</f>
        <v>×</v>
      </c>
      <c r="O221" t="str">
        <f>IF(match_results_2!C221="薬価一致候補","〇","×")</f>
        <v>〇</v>
      </c>
      <c r="P221" s="56">
        <f>IF(match_results_2!E221="","",match_results_2!E221)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 hidden="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IF(match_results_2!C222="完全一致","〇","×")</f>
        <v>〇</v>
      </c>
      <c r="O222" t="str">
        <f>IF(match_results_2!C222="薬価一致候補","〇","×")</f>
        <v>×</v>
      </c>
      <c r="P222" s="58">
        <f>IF(match_results_2!E222="","",match_results_2!E222)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 hidden="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IF(match_results_2!C223="完全一致","〇","×")</f>
        <v>×</v>
      </c>
      <c r="O223" t="str">
        <f>IF(match_results_2!C223="薬価一致候補","〇","×")</f>
        <v>〇</v>
      </c>
      <c r="P223" s="56">
        <f>IF(match_results_2!E223="","",match_results_2!E223)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 hidden="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IF(match_results_2!C224="完全一致","〇","×")</f>
        <v>〇</v>
      </c>
      <c r="O224" t="str">
        <f>IF(match_results_2!C224="薬価一致候補","〇","×")</f>
        <v>×</v>
      </c>
      <c r="P224" s="58">
        <f>IF(match_results_2!E224="","",match_results_2!E224)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 hidden="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IF(match_results_2!C225="完全一致","〇","×")</f>
        <v>×</v>
      </c>
      <c r="O225" t="str">
        <f>IF(match_results_2!C225="薬価一致候補","〇","×")</f>
        <v>〇</v>
      </c>
      <c r="P225" s="56">
        <f>IF(match_results_2!E225="","",match_results_2!E225)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 hidden="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IF(match_results_2!C226="完全一致","〇","×")</f>
        <v>〇</v>
      </c>
      <c r="O226" t="str">
        <f>IF(match_results_2!C226="薬価一致候補","〇","×")</f>
        <v>×</v>
      </c>
      <c r="P226" s="58">
        <f>IF(match_results_2!E226="","",match_results_2!E226)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 hidden="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IF(match_results_2!C227="完全一致","〇","×")</f>
        <v>×</v>
      </c>
      <c r="O227" t="str">
        <f>IF(match_results_2!C227="薬価一致候補","〇","×")</f>
        <v>〇</v>
      </c>
      <c r="P227" s="72" t="s">
        <v>4063</v>
      </c>
      <c r="Q227" s="71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>非採用</v>
      </c>
    </row>
    <row r="228" spans="1:21" hidden="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IF(match_results_2!C228="完全一致","〇","×")</f>
        <v>〇</v>
      </c>
      <c r="O228" t="str">
        <f>IF(match_results_2!C228="薬価一致候補","〇","×")</f>
        <v>×</v>
      </c>
      <c r="P228" s="58">
        <f>IF(match_results_2!E228="","",match_results_2!E228)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 hidden="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IF(match_results_2!C229="完全一致","〇","×")</f>
        <v>〇</v>
      </c>
      <c r="O229" t="str">
        <f>IF(match_results_2!C229="薬価一致候補","〇","×")</f>
        <v>×</v>
      </c>
      <c r="P229" s="58">
        <f>IF(match_results_2!E229="","",match_results_2!E229)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 hidden="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IF(match_results_2!C230="完全一致","〇","×")</f>
        <v>×</v>
      </c>
      <c r="O230" t="str">
        <f>IF(match_results_2!C230="薬価一致候補","〇","×")</f>
        <v>〇</v>
      </c>
      <c r="P230" s="72" t="s">
        <v>4063</v>
      </c>
      <c r="Q230" s="71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 hidden="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IF(match_results_2!C231="完全一致","〇","×")</f>
        <v>〇</v>
      </c>
      <c r="O231" t="str">
        <f>IF(match_results_2!C231="薬価一致候補","〇","×")</f>
        <v>×</v>
      </c>
      <c r="P231" s="58">
        <f>IF(match_results_2!E231="","",match_results_2!E231)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 hidden="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IF(match_results_2!C232="完全一致","〇","×")</f>
        <v>〇</v>
      </c>
      <c r="O232" t="str">
        <f>IF(match_results_2!C232="薬価一致候補","〇","×")</f>
        <v>×</v>
      </c>
      <c r="P232" s="58">
        <f>IF(match_results_2!E232="","",match_results_2!E232)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IF(match_results_2!C233="完全一致","〇","×")</f>
        <v>×</v>
      </c>
      <c r="O233" t="str">
        <f>IF(match_results_2!C233="薬価一致候補","〇","×")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IF(match_results_2!C234="完全一致","〇","×")</f>
        <v>×</v>
      </c>
      <c r="O234" t="str">
        <f>IF(match_results_2!C234="薬価一致候補","〇","×")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 hidden="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IF(match_results_2!C235="完全一致","〇","×")</f>
        <v>〇</v>
      </c>
      <c r="O235" t="str">
        <f>IF(match_results_2!C235="薬価一致候補","〇","×")</f>
        <v>×</v>
      </c>
      <c r="P235" s="58">
        <f>IF(match_results_2!E235="","",match_results_2!E235)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 hidden="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IF(match_results_2!C236="完全一致","〇","×")</f>
        <v>〇</v>
      </c>
      <c r="O236" t="str">
        <f>IF(match_results_2!C236="薬価一致候補","〇","×")</f>
        <v>×</v>
      </c>
      <c r="P236" s="58">
        <f>IF(match_results_2!E236="","",match_results_2!E236)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 hidden="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IF(match_results_2!C237="完全一致","〇","×")</f>
        <v>〇</v>
      </c>
      <c r="O237" t="str">
        <f>IF(match_results_2!C237="薬価一致候補","〇","×")</f>
        <v>×</v>
      </c>
      <c r="P237" s="58">
        <f>IF(match_results_2!E237="","",match_results_2!E237)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 hidden="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IF(match_results_2!C238="完全一致","〇","×")</f>
        <v>〇</v>
      </c>
      <c r="O238" t="str">
        <f>IF(match_results_2!C238="薬価一致候補","〇","×")</f>
        <v>×</v>
      </c>
      <c r="P238" s="58">
        <f>IF(match_results_2!E238="","",match_results_2!E238)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 hidden="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IF(match_results_2!C239="完全一致","〇","×")</f>
        <v>〇</v>
      </c>
      <c r="O239" t="str">
        <f>IF(match_results_2!C239="薬価一致候補","〇","×")</f>
        <v>×</v>
      </c>
      <c r="P239" s="58">
        <f>IF(match_results_2!E239="","",match_results_2!E239)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 hidden="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IF(match_results_2!C240="完全一致","〇","×")</f>
        <v>〇</v>
      </c>
      <c r="O240" t="str">
        <f>IF(match_results_2!C240="薬価一致候補","〇","×")</f>
        <v>×</v>
      </c>
      <c r="P240" s="58">
        <f>IF(match_results_2!E240="","",match_results_2!E240)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 hidden="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IF(match_results_2!C241="完全一致","〇","×")</f>
        <v>〇</v>
      </c>
      <c r="O241" t="str">
        <f>IF(match_results_2!C241="薬価一致候補","〇","×")</f>
        <v>×</v>
      </c>
      <c r="P241" s="58">
        <f>IF(match_results_2!E241="","",match_results_2!E241)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 hidden="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IF(match_results_2!C242="完全一致","〇","×")</f>
        <v>×</v>
      </c>
      <c r="O242" t="str">
        <f>IF(match_results_2!C242="薬価一致候補","〇","×")</f>
        <v>×</v>
      </c>
      <c r="P242" s="72" t="s">
        <v>4074</v>
      </c>
      <c r="Q242" s="71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 hidden="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IF(match_results_2!C243="完全一致","〇","×")</f>
        <v>〇</v>
      </c>
      <c r="O243" t="str">
        <f>IF(match_results_2!C243="薬価一致候補","〇","×")</f>
        <v>×</v>
      </c>
      <c r="P243" s="58">
        <f>IF(match_results_2!E243="","",match_results_2!E243)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 hidden="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IF(match_results_2!C244="完全一致","〇","×")</f>
        <v>〇</v>
      </c>
      <c r="O244" t="str">
        <f>IF(match_results_2!C244="薬価一致候補","〇","×")</f>
        <v>×</v>
      </c>
      <c r="P244" s="58">
        <f>IF(match_results_2!E244="","",match_results_2!E244)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 hidden="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IF(match_results_2!C245="完全一致","〇","×")</f>
        <v>〇</v>
      </c>
      <c r="O245" t="str">
        <f>IF(match_results_2!C245="薬価一致候補","〇","×")</f>
        <v>×</v>
      </c>
      <c r="P245" s="58">
        <f>IF(match_results_2!E245="","",match_results_2!E245)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 hidden="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IF(match_results_2!C246="完全一致","〇","×")</f>
        <v>〇</v>
      </c>
      <c r="O246" t="str">
        <f>IF(match_results_2!C246="薬価一致候補","〇","×")</f>
        <v>×</v>
      </c>
      <c r="P246" s="58">
        <f>IF(match_results_2!E246="","",match_results_2!E246)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 hidden="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IF(match_results_2!C247="完全一致","〇","×")</f>
        <v>〇</v>
      </c>
      <c r="O247" t="str">
        <f>IF(match_results_2!C247="薬価一致候補","〇","×")</f>
        <v>×</v>
      </c>
      <c r="P247" s="58">
        <f>IF(match_results_2!E247="","",match_results_2!E247)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 hidden="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IF(match_results_2!C248="完全一致","〇","×")</f>
        <v>〇</v>
      </c>
      <c r="O248" t="str">
        <f>IF(match_results_2!C248="薬価一致候補","〇","×")</f>
        <v>×</v>
      </c>
      <c r="P248" s="58">
        <f>IF(match_results_2!E248="","",match_results_2!E248)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 hidden="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IF(match_results_2!C249="完全一致","〇","×")</f>
        <v>〇</v>
      </c>
      <c r="O249" t="str">
        <f>IF(match_results_2!C249="薬価一致候補","〇","×")</f>
        <v>×</v>
      </c>
      <c r="P249" s="58">
        <f>IF(match_results_2!E249="","",match_results_2!E249)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 hidden="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IF(match_results_2!C250="完全一致","〇","×")</f>
        <v>〇</v>
      </c>
      <c r="O250" t="str">
        <f>IF(match_results_2!C250="薬価一致候補","〇","×")</f>
        <v>×</v>
      </c>
      <c r="P250" s="58">
        <f>IF(match_results_2!E250="","",match_results_2!E250)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 hidden="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IF(match_results_2!C251="完全一致","〇","×")</f>
        <v>×</v>
      </c>
      <c r="O251" t="str">
        <f>IF(match_results_2!C251="薬価一致候補","〇","×")</f>
        <v>〇</v>
      </c>
      <c r="P251" s="56">
        <f>IF(match_results_2!E251="","",match_results_2!E251)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 hidden="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IF(match_results_2!C252="完全一致","〇","×")</f>
        <v>×</v>
      </c>
      <c r="O252" t="str">
        <f>IF(match_results_2!C252="薬価一致候補","〇","×")</f>
        <v>〇</v>
      </c>
      <c r="P252" s="56">
        <f>IF(match_results_2!E252="","",match_results_2!E252)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 hidden="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IF(match_results_2!C253="完全一致","〇","×")</f>
        <v>×</v>
      </c>
      <c r="O253" t="str">
        <f>IF(match_results_2!C253="薬価一致候補","〇","×")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 hidden="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IF(match_results_2!C254="完全一致","〇","×")</f>
        <v>〇</v>
      </c>
      <c r="O254" t="str">
        <f>IF(match_results_2!C254="薬価一致候補","〇","×")</f>
        <v>×</v>
      </c>
      <c r="P254" s="58">
        <f>IF(match_results_2!E254="","",match_results_2!E254)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 hidden="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IF(match_results_2!C255="完全一致","〇","×")</f>
        <v>〇</v>
      </c>
      <c r="O255" t="str">
        <f>IF(match_results_2!C255="薬価一致候補","〇","×")</f>
        <v>×</v>
      </c>
      <c r="P255" s="58">
        <f>IF(match_results_2!E255="","",match_results_2!E255)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 hidden="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IF(match_results_2!C256="完全一致","〇","×")</f>
        <v>〇</v>
      </c>
      <c r="O256" t="str">
        <f>IF(match_results_2!C256="薬価一致候補","〇","×")</f>
        <v>×</v>
      </c>
      <c r="P256" s="58">
        <f>IF(match_results_2!E256="","",match_results_2!E256)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 hidden="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IF(match_results_2!C257="完全一致","〇","×")</f>
        <v>〇</v>
      </c>
      <c r="O257" t="str">
        <f>IF(match_results_2!C257="薬価一致候補","〇","×")</f>
        <v>×</v>
      </c>
      <c r="P257" s="58">
        <f>IF(match_results_2!E257="","",match_results_2!E257)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 hidden="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IF(match_results_2!C258="完全一致","〇","×")</f>
        <v>〇</v>
      </c>
      <c r="O258" t="str">
        <f>IF(match_results_2!C258="薬価一致候補","〇","×")</f>
        <v>×</v>
      </c>
      <c r="P258" s="58">
        <f>IF(match_results_2!E258="","",match_results_2!E258)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 hidden="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IF(match_results_2!C259="完全一致","〇","×")</f>
        <v>×</v>
      </c>
      <c r="O259" t="str">
        <f>IF(match_results_2!C259="薬価一致候補","〇","×")</f>
        <v>×</v>
      </c>
      <c r="P259" s="72" t="s">
        <v>4074</v>
      </c>
      <c r="Q259" s="71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 hidden="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IF(match_results_2!C260="完全一致","〇","×")</f>
        <v>〇</v>
      </c>
      <c r="O260" t="str">
        <f>IF(match_results_2!C260="薬価一致候補","〇","×")</f>
        <v>×</v>
      </c>
      <c r="P260" s="58">
        <f>IF(match_results_2!E260="","",match_results_2!E260)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 hidden="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IF(match_results_2!C261="完全一致","〇","×")</f>
        <v>×</v>
      </c>
      <c r="O261" t="str">
        <f>IF(match_results_2!C261="薬価一致候補","〇","×")</f>
        <v>〇</v>
      </c>
      <c r="P261" s="56">
        <f>IF(match_results_2!E261="","",match_results_2!E261)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 hidden="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IF(match_results_2!C262="完全一致","〇","×")</f>
        <v>×</v>
      </c>
      <c r="O262" t="str">
        <f>IF(match_results_2!C262="薬価一致候補","〇","×")</f>
        <v>〇</v>
      </c>
      <c r="P262" s="56">
        <f>IF(match_results_2!E262="","",match_results_2!E262)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 hidden="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IF(match_results_2!C263="完全一致","〇","×")</f>
        <v>×</v>
      </c>
      <c r="O263" t="str">
        <f>IF(match_results_2!C263="薬価一致候補","〇","×")</f>
        <v>〇</v>
      </c>
      <c r="P263" s="56">
        <f>IF(match_results_2!E263="","",match_results_2!E263)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 hidden="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IF(match_results_2!C264="完全一致","〇","×")</f>
        <v>〇</v>
      </c>
      <c r="O264" t="str">
        <f>IF(match_results_2!C264="薬価一致候補","〇","×")</f>
        <v>×</v>
      </c>
      <c r="P264" s="58">
        <f>IF(match_results_2!E264="","",match_results_2!E264)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 hidden="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IF(match_results_2!C265="完全一致","〇","×")</f>
        <v>〇</v>
      </c>
      <c r="O265" t="str">
        <f>IF(match_results_2!C265="薬価一致候補","〇","×")</f>
        <v>×</v>
      </c>
      <c r="P265" s="58">
        <f>IF(match_results_2!E265="","",match_results_2!E265)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 hidden="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IF(match_results_2!C266="完全一致","〇","×")</f>
        <v>〇</v>
      </c>
      <c r="O266" t="str">
        <f>IF(match_results_2!C266="薬価一致候補","〇","×")</f>
        <v>×</v>
      </c>
      <c r="P266" s="58">
        <f>IF(match_results_2!E266="","",match_results_2!E266)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 hidden="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IF(match_results_2!C267="完全一致","〇","×")</f>
        <v>〇</v>
      </c>
      <c r="O267" t="str">
        <f>IF(match_results_2!C267="薬価一致候補","〇","×")</f>
        <v>×</v>
      </c>
      <c r="P267" s="58">
        <f>IF(match_results_2!E267="","",match_results_2!E267)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 hidden="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IF(match_results_2!C268="完全一致","〇","×")</f>
        <v>×</v>
      </c>
      <c r="O268" t="str">
        <f>IF(match_results_2!C268="薬価一致候補","〇","×")</f>
        <v>〇</v>
      </c>
      <c r="P268" s="56">
        <f>IF(match_results_2!E268="","",match_results_2!E268)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 hidden="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IF(match_results_2!C269="完全一致","〇","×")</f>
        <v>〇</v>
      </c>
      <c r="O269" t="str">
        <f>IF(match_results_2!C269="薬価一致候補","〇","×")</f>
        <v>×</v>
      </c>
      <c r="P269" s="58">
        <f>IF(match_results_2!E269="","",match_results_2!E269)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 hidden="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IF(match_results_2!C270="完全一致","〇","×")</f>
        <v>〇</v>
      </c>
      <c r="O270" t="str">
        <f>IF(match_results_2!C270="薬価一致候補","〇","×")</f>
        <v>×</v>
      </c>
      <c r="P270" s="58">
        <f>IF(match_results_2!E270="","",match_results_2!E270)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 hidden="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IF(match_results_2!C271="完全一致","〇","×")</f>
        <v>〇</v>
      </c>
      <c r="O271" t="str">
        <f>IF(match_results_2!C271="薬価一致候補","〇","×")</f>
        <v>×</v>
      </c>
      <c r="P271" s="58">
        <f>IF(match_results_2!E271="","",match_results_2!E271)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 hidden="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IF(match_results_2!C272="完全一致","〇","×")</f>
        <v>〇</v>
      </c>
      <c r="O272" t="str">
        <f>IF(match_results_2!C272="薬価一致候補","〇","×")</f>
        <v>×</v>
      </c>
      <c r="P272" s="58">
        <f>IF(match_results_2!E272="","",match_results_2!E272)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 hidden="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IF(match_results_2!C273="完全一致","〇","×")</f>
        <v>〇</v>
      </c>
      <c r="O273" t="str">
        <f>IF(match_results_2!C273="薬価一致候補","〇","×")</f>
        <v>×</v>
      </c>
      <c r="P273" s="58">
        <f>IF(match_results_2!E273="","",match_results_2!E273)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 hidden="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IF(match_results_2!C274="完全一致","〇","×")</f>
        <v>×</v>
      </c>
      <c r="O274" t="str">
        <f>IF(match_results_2!C274="薬価一致候補","〇","×")</f>
        <v>〇</v>
      </c>
      <c r="P274" s="56">
        <f>IF(match_results_2!E274="","",match_results_2!E274)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 ht="24.6" hidden="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IF(match_results_2!C275="完全一致","〇","×")</f>
        <v>×</v>
      </c>
      <c r="O275" t="str">
        <f>IF(match_results_2!C275="薬価一致候補","〇","×")</f>
        <v>×</v>
      </c>
      <c r="P275" s="72" t="s">
        <v>4074</v>
      </c>
      <c r="Q275" s="71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 hidden="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IF(match_results_2!C276="完全一致","〇","×")</f>
        <v>〇</v>
      </c>
      <c r="O276" t="str">
        <f>IF(match_results_2!C276="薬価一致候補","〇","×")</f>
        <v>×</v>
      </c>
      <c r="P276" s="58">
        <f>IF(match_results_2!E276="","",match_results_2!E276)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 hidden="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IF(match_results_2!C277="完全一致","〇","×")</f>
        <v>×</v>
      </c>
      <c r="O277" t="str">
        <f>IF(match_results_2!C277="薬価一致候補","〇","×")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 hidden="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IF(match_results_2!C278="完全一致","〇","×")</f>
        <v>〇</v>
      </c>
      <c r="O278" t="str">
        <f>IF(match_results_2!C278="薬価一致候補","〇","×")</f>
        <v>×</v>
      </c>
      <c r="P278" s="58">
        <f>IF(match_results_2!E278="","",match_results_2!E278)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 hidden="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IF(match_results_2!C279="完全一致","〇","×")</f>
        <v>〇</v>
      </c>
      <c r="O279" t="str">
        <f>IF(match_results_2!C279="薬価一致候補","〇","×")</f>
        <v>×</v>
      </c>
      <c r="P279" s="58">
        <f>IF(match_results_2!E279="","",match_results_2!E279)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 hidden="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IF(match_results_2!C280="完全一致","〇","×")</f>
        <v>〇</v>
      </c>
      <c r="O280" t="str">
        <f>IF(match_results_2!C280="薬価一致候補","〇","×")</f>
        <v>×</v>
      </c>
      <c r="P280" s="58">
        <f>IF(match_results_2!E280="","",match_results_2!E280)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 hidden="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IF(match_results_2!C281="完全一致","〇","×")</f>
        <v>〇</v>
      </c>
      <c r="O281" t="str">
        <f>IF(match_results_2!C281="薬価一致候補","〇","×")</f>
        <v>×</v>
      </c>
      <c r="P281" s="58">
        <f>IF(match_results_2!E281="","",match_results_2!E281)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 hidden="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IF(match_results_2!C282="完全一致","〇","×")</f>
        <v>〇</v>
      </c>
      <c r="O282" t="str">
        <f>IF(match_results_2!C282="薬価一致候補","〇","×")</f>
        <v>×</v>
      </c>
      <c r="P282" s="58">
        <f>IF(match_results_2!E282="","",match_results_2!E282)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IF(match_results_2!C283="完全一致","〇","×")</f>
        <v>×</v>
      </c>
      <c r="O283" t="str">
        <f>IF(match_results_2!C283="薬価一致候補","〇","×")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IF(match_results_2!C284="完全一致","〇","×")</f>
        <v>×</v>
      </c>
      <c r="O284" t="str">
        <f>IF(match_results_2!C284="薬価一致候補","〇","×")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 hidden="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IF(match_results_2!C285="完全一致","〇","×")</f>
        <v>×</v>
      </c>
      <c r="O285" t="str">
        <f>IF(match_results_2!C285="薬価一致候補","〇","×")</f>
        <v>〇</v>
      </c>
      <c r="P285" s="56">
        <f>IF(match_results_2!E285="","",match_results_2!E285)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 hidden="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IF(match_results_2!C286="完全一致","〇","×")</f>
        <v>×</v>
      </c>
      <c r="O286" t="str">
        <f>IF(match_results_2!C286="薬価一致候補","〇","×")</f>
        <v>〇</v>
      </c>
      <c r="P286" s="56">
        <f>IF(match_results_2!E286="","",match_results_2!E286)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 hidden="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IF(match_results_2!C287="完全一致","〇","×")</f>
        <v>〇</v>
      </c>
      <c r="O287" t="str">
        <f>IF(match_results_2!C287="薬価一致候補","〇","×")</f>
        <v>×</v>
      </c>
      <c r="P287" s="58">
        <f>IF(match_results_2!E287="","",match_results_2!E287)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 hidden="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IF(match_results_2!C288="完全一致","〇","×")</f>
        <v>〇</v>
      </c>
      <c r="O288" t="str">
        <f>IF(match_results_2!C288="薬価一致候補","〇","×")</f>
        <v>×</v>
      </c>
      <c r="P288" s="58">
        <f>IF(match_results_2!E288="","",match_results_2!E288)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 hidden="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IF(match_results_2!C289="完全一致","〇","×")</f>
        <v>〇</v>
      </c>
      <c r="O289" t="str">
        <f>IF(match_results_2!C289="薬価一致候補","〇","×")</f>
        <v>×</v>
      </c>
      <c r="P289" s="58">
        <f>IF(match_results_2!E289="","",match_results_2!E289)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 hidden="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IF(match_results_2!C290="完全一致","〇","×")</f>
        <v>〇</v>
      </c>
      <c r="O290" t="str">
        <f>IF(match_results_2!C290="薬価一致候補","〇","×")</f>
        <v>×</v>
      </c>
      <c r="P290" s="58">
        <f>IF(match_results_2!E290="","",match_results_2!E290)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 hidden="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IF(match_results_2!C291="完全一致","〇","×")</f>
        <v>〇</v>
      </c>
      <c r="O291" t="str">
        <f>IF(match_results_2!C291="薬価一致候補","〇","×")</f>
        <v>×</v>
      </c>
      <c r="P291" s="58">
        <f>IF(match_results_2!E291="","",match_results_2!E291)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 hidden="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IF(match_results_2!C292="完全一致","〇","×")</f>
        <v>〇</v>
      </c>
      <c r="O292" t="str">
        <f>IF(match_results_2!C292="薬価一致候補","〇","×")</f>
        <v>×</v>
      </c>
      <c r="P292" s="58">
        <f>IF(match_results_2!E292="","",match_results_2!E292)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 hidden="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IF(match_results_2!C293="完全一致","〇","×")</f>
        <v>×</v>
      </c>
      <c r="O293" t="str">
        <f>IF(match_results_2!C293="薬価一致候補","〇","×")</f>
        <v>〇</v>
      </c>
      <c r="P293" s="56">
        <f>IF(match_results_2!E293="","",match_results_2!E293)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 hidden="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IF(match_results_2!C294="完全一致","〇","×")</f>
        <v>×</v>
      </c>
      <c r="O294" t="str">
        <f>IF(match_results_2!C294="薬価一致候補","〇","×")</f>
        <v>〇</v>
      </c>
      <c r="P294" s="56">
        <f>IF(match_results_2!E294="","",match_results_2!E294)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 hidden="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IF(match_results_2!C295="完全一致","〇","×")</f>
        <v>×</v>
      </c>
      <c r="O295" t="str">
        <f>IF(match_results_2!C295="薬価一致候補","〇","×")</f>
        <v>〇</v>
      </c>
      <c r="P295" s="56">
        <f>IF(match_results_2!E295="","",match_results_2!E295)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 hidden="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IF(match_results_2!C296="完全一致","〇","×")</f>
        <v>〇</v>
      </c>
      <c r="O296" t="str">
        <f>IF(match_results_2!C296="薬価一致候補","〇","×")</f>
        <v>×</v>
      </c>
      <c r="P296" s="58">
        <f>IF(match_results_2!E296="","",match_results_2!E296)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 hidden="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IF(match_results_2!C297="完全一致","〇","×")</f>
        <v>〇</v>
      </c>
      <c r="O297" t="str">
        <f>IF(match_results_2!C297="薬価一致候補","〇","×")</f>
        <v>×</v>
      </c>
      <c r="P297" s="58">
        <f>IF(match_results_2!E297="","",match_results_2!E297)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 hidden="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IF(match_results_2!C298="完全一致","〇","×")</f>
        <v>〇</v>
      </c>
      <c r="O298" t="str">
        <f>IF(match_results_2!C298="薬価一致候補","〇","×")</f>
        <v>×</v>
      </c>
      <c r="P298" s="58">
        <f>IF(match_results_2!E298="","",match_results_2!E298)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 hidden="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IF(match_results_2!C299="完全一致","〇","×")</f>
        <v>〇</v>
      </c>
      <c r="O299" t="str">
        <f>IF(match_results_2!C299="薬価一致候補","〇","×")</f>
        <v>×</v>
      </c>
      <c r="P299" s="58">
        <f>IF(match_results_2!E299="","",match_results_2!E299)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 hidden="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IF(match_results_2!C300="完全一致","〇","×")</f>
        <v>〇</v>
      </c>
      <c r="O300" t="str">
        <f>IF(match_results_2!C300="薬価一致候補","〇","×")</f>
        <v>×</v>
      </c>
      <c r="P300" s="58">
        <f>IF(match_results_2!E300="","",match_results_2!E300)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 hidden="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IF(match_results_2!C301="完全一致","〇","×")</f>
        <v>〇</v>
      </c>
      <c r="O301" t="str">
        <f>IF(match_results_2!C301="薬価一致候補","〇","×")</f>
        <v>×</v>
      </c>
      <c r="P301" s="58">
        <f>IF(match_results_2!E301="","",match_results_2!E301)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 hidden="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IF(match_results_2!C302="完全一致","〇","×")</f>
        <v>〇</v>
      </c>
      <c r="O302" t="str">
        <f>IF(match_results_2!C302="薬価一致候補","〇","×")</f>
        <v>×</v>
      </c>
      <c r="P302" s="58">
        <f>IF(match_results_2!E302="","",match_results_2!E302)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 hidden="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IF(match_results_2!C303="完全一致","〇","×")</f>
        <v>〇</v>
      </c>
      <c r="O303" t="str">
        <f>IF(match_results_2!C303="薬価一致候補","〇","×")</f>
        <v>×</v>
      </c>
      <c r="P303" s="58">
        <f>IF(match_results_2!E303="","",match_results_2!E303)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 hidden="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IF(match_results_2!C304="完全一致","〇","×")</f>
        <v>〇</v>
      </c>
      <c r="O304" t="str">
        <f>IF(match_results_2!C304="薬価一致候補","〇","×")</f>
        <v>×</v>
      </c>
      <c r="P304" s="58">
        <f>IF(match_results_2!E304="","",match_results_2!E304)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 hidden="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IF(match_results_2!C305="完全一致","〇","×")</f>
        <v>〇</v>
      </c>
      <c r="O305" t="str">
        <f>IF(match_results_2!C305="薬価一致候補","〇","×")</f>
        <v>×</v>
      </c>
      <c r="P305" s="58">
        <f>IF(match_results_2!E305="","",match_results_2!E305)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 hidden="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IF(match_results_2!C306="完全一致","〇","×")</f>
        <v>〇</v>
      </c>
      <c r="O306" t="str">
        <f>IF(match_results_2!C306="薬価一致候補","〇","×")</f>
        <v>×</v>
      </c>
      <c r="P306" s="58">
        <f>IF(match_results_2!E306="","",match_results_2!E306)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 hidden="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IF(match_results_2!C307="完全一致","〇","×")</f>
        <v>〇</v>
      </c>
      <c r="O307" t="str">
        <f>IF(match_results_2!C307="薬価一致候補","〇","×")</f>
        <v>×</v>
      </c>
      <c r="P307" s="58">
        <f>IF(match_results_2!E307="","",match_results_2!E307)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 hidden="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IF(match_results_2!C308="完全一致","〇","×")</f>
        <v>〇</v>
      </c>
      <c r="O308" t="str">
        <f>IF(match_results_2!C308="薬価一致候補","〇","×")</f>
        <v>×</v>
      </c>
      <c r="P308" s="58">
        <f>IF(match_results_2!E308="","",match_results_2!E308)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 hidden="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IF(match_results_2!C309="完全一致","〇","×")</f>
        <v>×</v>
      </c>
      <c r="O309" t="str">
        <f>IF(match_results_2!C309="薬価一致候補","〇","×")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 hidden="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IF(match_results_2!C310="完全一致","〇","×")</f>
        <v>〇</v>
      </c>
      <c r="O310" t="str">
        <f>IF(match_results_2!C310="薬価一致候補","〇","×")</f>
        <v>×</v>
      </c>
      <c r="P310" s="58">
        <f>IF(match_results_2!E310="","",match_results_2!E310)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 hidden="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IF(match_results_2!C311="完全一致","〇","×")</f>
        <v>〇</v>
      </c>
      <c r="O311" t="str">
        <f>IF(match_results_2!C311="薬価一致候補","〇","×")</f>
        <v>×</v>
      </c>
      <c r="P311" s="58">
        <f>IF(match_results_2!E311="","",match_results_2!E311)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 hidden="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IF(match_results_2!C312="完全一致","〇","×")</f>
        <v>〇</v>
      </c>
      <c r="O312" t="str">
        <f>IF(match_results_2!C312="薬価一致候補","〇","×")</f>
        <v>×</v>
      </c>
      <c r="P312" s="58">
        <f>IF(match_results_2!E312="","",match_results_2!E312)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 hidden="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IF(match_results_2!C313="完全一致","〇","×")</f>
        <v>×</v>
      </c>
      <c r="O313" t="str">
        <f>IF(match_results_2!C313="薬価一致候補","〇","×")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 hidden="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IF(match_results_2!C314="完全一致","〇","×")</f>
        <v>〇</v>
      </c>
      <c r="O314" t="str">
        <f>IF(match_results_2!C314="薬価一致候補","〇","×")</f>
        <v>×</v>
      </c>
      <c r="P314" s="58">
        <f>IF(match_results_2!E314="","",match_results_2!E314)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 hidden="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IF(match_results_2!C315="完全一致","〇","×")</f>
        <v>〇</v>
      </c>
      <c r="O315" t="str">
        <f>IF(match_results_2!C315="薬価一致候補","〇","×")</f>
        <v>×</v>
      </c>
      <c r="P315" s="58">
        <f>IF(match_results_2!E315="","",match_results_2!E315)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 hidden="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IF(match_results_2!C316="完全一致","〇","×")</f>
        <v>〇</v>
      </c>
      <c r="O316" t="str">
        <f>IF(match_results_2!C316="薬価一致候補","〇","×")</f>
        <v>×</v>
      </c>
      <c r="P316" s="58">
        <f>IF(match_results_2!E316="","",match_results_2!E316)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 hidden="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IF(match_results_2!C317="完全一致","〇","×")</f>
        <v>〇</v>
      </c>
      <c r="O317" t="str">
        <f>IF(match_results_2!C317="薬価一致候補","〇","×")</f>
        <v>×</v>
      </c>
      <c r="P317" s="58">
        <f>IF(match_results_2!E317="","",match_results_2!E317)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 hidden="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IF(match_results_2!C318="完全一致","〇","×")</f>
        <v>〇</v>
      </c>
      <c r="O318" t="str">
        <f>IF(match_results_2!C318="薬価一致候補","〇","×")</f>
        <v>×</v>
      </c>
      <c r="P318" s="58">
        <f>IF(match_results_2!E318="","",match_results_2!E318)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 hidden="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IF(match_results_2!C319="完全一致","〇","×")</f>
        <v>〇</v>
      </c>
      <c r="O319" t="str">
        <f>IF(match_results_2!C319="薬価一致候補","〇","×")</f>
        <v>×</v>
      </c>
      <c r="P319" s="58">
        <f>IF(match_results_2!E319="","",match_results_2!E319)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 hidden="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IF(match_results_2!C320="完全一致","〇","×")</f>
        <v>〇</v>
      </c>
      <c r="O320" t="str">
        <f>IF(match_results_2!C320="薬価一致候補","〇","×")</f>
        <v>×</v>
      </c>
      <c r="P320" s="58">
        <f>IF(match_results_2!E320="","",match_results_2!E320)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 hidden="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IF(match_results_2!C321="完全一致","〇","×")</f>
        <v>〇</v>
      </c>
      <c r="O321" t="str">
        <f>IF(match_results_2!C321="薬価一致候補","〇","×")</f>
        <v>×</v>
      </c>
      <c r="P321" s="58">
        <f>IF(match_results_2!E321="","",match_results_2!E321)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 hidden="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IF(match_results_2!C322="完全一致","〇","×")</f>
        <v>〇</v>
      </c>
      <c r="O322" t="str">
        <f>IF(match_results_2!C322="薬価一致候補","〇","×")</f>
        <v>×</v>
      </c>
      <c r="P322" s="58">
        <f>IF(match_results_2!E322="","",match_results_2!E322)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 hidden="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IF(match_results_2!C323="完全一致","〇","×")</f>
        <v>〇</v>
      </c>
      <c r="O323" t="str">
        <f>IF(match_results_2!C323="薬価一致候補","〇","×")</f>
        <v>×</v>
      </c>
      <c r="P323" s="58">
        <f>IF(match_results_2!E323="","",match_results_2!E323)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 hidden="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IF(match_results_2!C324="完全一致","〇","×")</f>
        <v>×</v>
      </c>
      <c r="O324" t="str">
        <f>IF(match_results_2!C324="薬価一致候補","〇","×")</f>
        <v>〇</v>
      </c>
      <c r="P324" s="56">
        <f>IF(match_results_2!E324="","",match_results_2!E324)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 hidden="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IF(match_results_2!C325="完全一致","〇","×")</f>
        <v>×</v>
      </c>
      <c r="O325" t="str">
        <f>IF(match_results_2!C325="薬価一致候補","〇","×")</f>
        <v>〇</v>
      </c>
      <c r="P325" s="56">
        <f>IF(match_results_2!E325="","",match_results_2!E325)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 hidden="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IF(match_results_2!C326="完全一致","〇","×")</f>
        <v>〇</v>
      </c>
      <c r="O326" t="str">
        <f>IF(match_results_2!C326="薬価一致候補","〇","×")</f>
        <v>×</v>
      </c>
      <c r="P326" s="58">
        <f>IF(match_results_2!E326="","",match_results_2!E326)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 hidden="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IF(match_results_2!C327="完全一致","〇","×")</f>
        <v>〇</v>
      </c>
      <c r="O327" t="str">
        <f>IF(match_results_2!C327="薬価一致候補","〇","×")</f>
        <v>×</v>
      </c>
      <c r="P327" s="58">
        <f>IF(match_results_2!E327="","",match_results_2!E327)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 hidden="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IF(match_results_2!C328="完全一致","〇","×")</f>
        <v>〇</v>
      </c>
      <c r="O328" t="str">
        <f>IF(match_results_2!C328="薬価一致候補","〇","×")</f>
        <v>×</v>
      </c>
      <c r="P328" s="58">
        <f>IF(match_results_2!E328="","",match_results_2!E328)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 hidden="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IF(match_results_2!C329="完全一致","〇","×")</f>
        <v>〇</v>
      </c>
      <c r="O329" t="str">
        <f>IF(match_results_2!C329="薬価一致候補","〇","×")</f>
        <v>×</v>
      </c>
      <c r="P329" s="58">
        <f>IF(match_results_2!E329="","",match_results_2!E329)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 hidden="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IF(match_results_2!C330="完全一致","〇","×")</f>
        <v>〇</v>
      </c>
      <c r="O330" t="str">
        <f>IF(match_results_2!C330="薬価一致候補","〇","×")</f>
        <v>×</v>
      </c>
      <c r="P330" s="58">
        <f>IF(match_results_2!E330="","",match_results_2!E330)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 hidden="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IF(match_results_2!C331="完全一致","〇","×")</f>
        <v>〇</v>
      </c>
      <c r="O331" t="str">
        <f>IF(match_results_2!C331="薬価一致候補","〇","×")</f>
        <v>×</v>
      </c>
      <c r="P331" s="58">
        <f>IF(match_results_2!E331="","",match_results_2!E331)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 hidden="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IF(match_results_2!C332="完全一致","〇","×")</f>
        <v>〇</v>
      </c>
      <c r="O332" t="str">
        <f>IF(match_results_2!C332="薬価一致候補","〇","×")</f>
        <v>×</v>
      </c>
      <c r="P332" s="58">
        <f>IF(match_results_2!E332="","",match_results_2!E332)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 hidden="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IF(match_results_2!C333="完全一致","〇","×")</f>
        <v>〇</v>
      </c>
      <c r="O333" t="str">
        <f>IF(match_results_2!C333="薬価一致候補","〇","×")</f>
        <v>×</v>
      </c>
      <c r="P333" s="58">
        <f>IF(match_results_2!E333="","",match_results_2!E333)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 hidden="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IF(match_results_2!C334="完全一致","〇","×")</f>
        <v>〇</v>
      </c>
      <c r="O334" t="str">
        <f>IF(match_results_2!C334="薬価一致候補","〇","×")</f>
        <v>×</v>
      </c>
      <c r="P334" s="58">
        <f>IF(match_results_2!E334="","",match_results_2!E334)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 hidden="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IF(match_results_2!C335="完全一致","〇","×")</f>
        <v>〇</v>
      </c>
      <c r="O335" t="str">
        <f>IF(match_results_2!C335="薬価一致候補","〇","×")</f>
        <v>×</v>
      </c>
      <c r="P335" s="58">
        <f>IF(match_results_2!E335="","",match_results_2!E335)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 hidden="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IF(match_results_2!C336="完全一致","〇","×")</f>
        <v>〇</v>
      </c>
      <c r="O336" t="str">
        <f>IF(match_results_2!C336="薬価一致候補","〇","×")</f>
        <v>×</v>
      </c>
      <c r="P336" s="58">
        <f>IF(match_results_2!E336="","",match_results_2!E336)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 hidden="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IF(match_results_2!C337="完全一致","〇","×")</f>
        <v>〇</v>
      </c>
      <c r="O337" t="str">
        <f>IF(match_results_2!C337="薬価一致候補","〇","×")</f>
        <v>×</v>
      </c>
      <c r="P337" s="58">
        <f>IF(match_results_2!E337="","",match_results_2!E337)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 hidden="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IF(match_results_2!C338="完全一致","〇","×")</f>
        <v>〇</v>
      </c>
      <c r="O338" t="str">
        <f>IF(match_results_2!C338="薬価一致候補","〇","×")</f>
        <v>×</v>
      </c>
      <c r="P338" s="58">
        <f>IF(match_results_2!E338="","",match_results_2!E338)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 hidden="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IF(match_results_2!C339="完全一致","〇","×")</f>
        <v>〇</v>
      </c>
      <c r="O339" t="str">
        <f>IF(match_results_2!C339="薬価一致候補","〇","×")</f>
        <v>×</v>
      </c>
      <c r="P339" s="58">
        <f>IF(match_results_2!E339="","",match_results_2!E339)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 hidden="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IF(match_results_2!C340="完全一致","〇","×")</f>
        <v>〇</v>
      </c>
      <c r="O340" t="str">
        <f>IF(match_results_2!C340="薬価一致候補","〇","×")</f>
        <v>×</v>
      </c>
      <c r="P340" s="58">
        <f>IF(match_results_2!E340="","",match_results_2!E340)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 hidden="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IF(match_results_2!C341="完全一致","〇","×")</f>
        <v>〇</v>
      </c>
      <c r="O341" t="str">
        <f>IF(match_results_2!C341="薬価一致候補","〇","×")</f>
        <v>×</v>
      </c>
      <c r="P341" s="58">
        <f>IF(match_results_2!E341="","",match_results_2!E341)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 hidden="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IF(match_results_2!C342="完全一致","〇","×")</f>
        <v>×</v>
      </c>
      <c r="O342" t="str">
        <f>IF(match_results_2!C342="薬価一致候補","〇","×")</f>
        <v>〇</v>
      </c>
      <c r="P342" s="56">
        <f>IF(match_results_2!E342="","",match_results_2!E342)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 hidden="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IF(match_results_2!C343="完全一致","〇","×")</f>
        <v>×</v>
      </c>
      <c r="O343" t="str">
        <f>IF(match_results_2!C343="薬価一致候補","〇","×")</f>
        <v>〇</v>
      </c>
      <c r="P343" s="56">
        <f>IF(match_results_2!E343="","",match_results_2!E343)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 hidden="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IF(match_results_2!C344="完全一致","〇","×")</f>
        <v>×</v>
      </c>
      <c r="O344" t="str">
        <f>IF(match_results_2!C344="薬価一致候補","〇","×")</f>
        <v>〇</v>
      </c>
      <c r="P344" s="56">
        <f>IF(match_results_2!E344="","",match_results_2!E344)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 hidden="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IF(match_results_2!C345="完全一致","〇","×")</f>
        <v>×</v>
      </c>
      <c r="O345" t="str">
        <f>IF(match_results_2!C345="薬価一致候補","〇","×")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 hidden="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IF(match_results_2!C346="完全一致","〇","×")</f>
        <v>×</v>
      </c>
      <c r="O346" t="str">
        <f>IF(match_results_2!C346="薬価一致候補","〇","×")</f>
        <v>〇</v>
      </c>
      <c r="P346" s="56">
        <f>IF(match_results_2!E346="","",match_results_2!E346)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 hidden="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IF(match_results_2!C347="完全一致","〇","×")</f>
        <v>×</v>
      </c>
      <c r="O347" t="str">
        <f>IF(match_results_2!C347="薬価一致候補","〇","×")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 hidden="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IF(match_results_2!C348="完全一致","〇","×")</f>
        <v>〇</v>
      </c>
      <c r="O348" t="str">
        <f>IF(match_results_2!C348="薬価一致候補","〇","×")</f>
        <v>×</v>
      </c>
      <c r="P348" s="58">
        <f>IF(match_results_2!E348="","",match_results_2!E348)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 hidden="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IF(match_results_2!C349="完全一致","〇","×")</f>
        <v>〇</v>
      </c>
      <c r="O349" t="str">
        <f>IF(match_results_2!C349="薬価一致候補","〇","×")</f>
        <v>×</v>
      </c>
      <c r="P349" s="58">
        <f>IF(match_results_2!E349="","",match_results_2!E349)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 hidden="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IF(match_results_2!C350="完全一致","〇","×")</f>
        <v>×</v>
      </c>
      <c r="O350" t="str">
        <f>IF(match_results_2!C350="薬価一致候補","〇","×")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 hidden="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IF(match_results_2!C351="完全一致","〇","×")</f>
        <v>×</v>
      </c>
      <c r="O351" t="str">
        <f>IF(match_results_2!C351="薬価一致候補","〇","×")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 hidden="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IF(match_results_2!C352="完全一致","〇","×")</f>
        <v>〇</v>
      </c>
      <c r="O352" t="str">
        <f>IF(match_results_2!C352="薬価一致候補","〇","×")</f>
        <v>×</v>
      </c>
      <c r="P352" s="58">
        <f>IF(match_results_2!E352="","",match_results_2!E352)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 hidden="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IF(match_results_2!C353="完全一致","〇","×")</f>
        <v>〇</v>
      </c>
      <c r="O353" t="str">
        <f>IF(match_results_2!C353="薬価一致候補","〇","×")</f>
        <v>×</v>
      </c>
      <c r="P353" s="58">
        <f>IF(match_results_2!E353="","",match_results_2!E353)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 hidden="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IF(match_results_2!C354="完全一致","〇","×")</f>
        <v>〇</v>
      </c>
      <c r="O354" t="str">
        <f>IF(match_results_2!C354="薬価一致候補","〇","×")</f>
        <v>×</v>
      </c>
      <c r="P354" s="58">
        <f>IF(match_results_2!E354="","",match_results_2!E354)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 hidden="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IF(match_results_2!C355="完全一致","〇","×")</f>
        <v>〇</v>
      </c>
      <c r="O355" t="str">
        <f>IF(match_results_2!C355="薬価一致候補","〇","×")</f>
        <v>×</v>
      </c>
      <c r="P355" s="58">
        <f>IF(match_results_2!E355="","",match_results_2!E355)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 hidden="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IF(match_results_2!C356="完全一致","〇","×")</f>
        <v>〇</v>
      </c>
      <c r="O356" t="str">
        <f>IF(match_results_2!C356="薬価一致候補","〇","×")</f>
        <v>×</v>
      </c>
      <c r="P356" s="58">
        <f>IF(match_results_2!E356="","",match_results_2!E356)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 hidden="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IF(match_results_2!C357="完全一致","〇","×")</f>
        <v>〇</v>
      </c>
      <c r="O357" t="str">
        <f>IF(match_results_2!C357="薬価一致候補","〇","×")</f>
        <v>×</v>
      </c>
      <c r="P357" s="58">
        <f>IF(match_results_2!E357="","",match_results_2!E357)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 hidden="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IF(match_results_2!C358="完全一致","〇","×")</f>
        <v>〇</v>
      </c>
      <c r="O358" t="str">
        <f>IF(match_results_2!C358="薬価一致候補","〇","×")</f>
        <v>×</v>
      </c>
      <c r="P358" s="58">
        <f>IF(match_results_2!E358="","",match_results_2!E358)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 hidden="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IF(match_results_2!C359="完全一致","〇","×")</f>
        <v>〇</v>
      </c>
      <c r="O359" t="str">
        <f>IF(match_results_2!C359="薬価一致候補","〇","×")</f>
        <v>×</v>
      </c>
      <c r="P359" s="58">
        <f>IF(match_results_2!E359="","",match_results_2!E359)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 hidden="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IF(match_results_2!C360="完全一致","〇","×")</f>
        <v>〇</v>
      </c>
      <c r="O360" t="str">
        <f>IF(match_results_2!C360="薬価一致候補","〇","×")</f>
        <v>×</v>
      </c>
      <c r="P360" s="58">
        <f>IF(match_results_2!E360="","",match_results_2!E360)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 hidden="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IF(match_results_2!C361="完全一致","〇","×")</f>
        <v>〇</v>
      </c>
      <c r="O361" t="str">
        <f>IF(match_results_2!C361="薬価一致候補","〇","×")</f>
        <v>×</v>
      </c>
      <c r="P361" s="58">
        <f>IF(match_results_2!E361="","",match_results_2!E361)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 hidden="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IF(match_results_2!C362="完全一致","〇","×")</f>
        <v>〇</v>
      </c>
      <c r="O362" t="str">
        <f>IF(match_results_2!C362="薬価一致候補","〇","×")</f>
        <v>×</v>
      </c>
      <c r="P362" s="58">
        <f>IF(match_results_2!E362="","",match_results_2!E362)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IF(match_results_2!C363="完全一致","〇","×")</f>
        <v>×</v>
      </c>
      <c r="O363" t="str">
        <f>IF(match_results_2!C363="薬価一致候補","〇","×")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 hidden="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IF(match_results_2!C364="完全一致","〇","×")</f>
        <v>〇</v>
      </c>
      <c r="O364" t="str">
        <f>IF(match_results_2!C364="薬価一致候補","〇","×")</f>
        <v>×</v>
      </c>
      <c r="P364" s="58">
        <f>IF(match_results_2!E364="","",match_results_2!E364)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IF(match_results_2!C365="完全一致","〇","×")</f>
        <v>×</v>
      </c>
      <c r="O365" t="str">
        <f>IF(match_results_2!C365="薬価一致候補","〇","×")</f>
        <v>×</v>
      </c>
      <c r="P365" s="58" t="str">
        <f>IF(match_results_2!E365="","",match_results_2!E365)</f>
        <v/>
      </c>
      <c r="Q365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 hidden="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IF(match_results_2!C366="完全一致","〇","×")</f>
        <v>〇</v>
      </c>
      <c r="O366" t="str">
        <f>IF(match_results_2!C366="薬価一致候補","〇","×")</f>
        <v>×</v>
      </c>
      <c r="P366" s="58">
        <f>IF(match_results_2!E366="","",match_results_2!E366)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 hidden="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IF(match_results_2!C367="完全一致","〇","×")</f>
        <v>〇</v>
      </c>
      <c r="O367" t="str">
        <f>IF(match_results_2!C367="薬価一致候補","〇","×")</f>
        <v>×</v>
      </c>
      <c r="P367" s="58">
        <f>IF(match_results_2!E367="","",match_results_2!E367)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 hidden="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IF(match_results_2!C368="完全一致","〇","×")</f>
        <v>×</v>
      </c>
      <c r="O368" t="str">
        <f>IF(match_results_2!C368="薬価一致候補","〇","×")</f>
        <v>〇</v>
      </c>
      <c r="P368" s="56">
        <f>IF(match_results_2!E368="","",match_results_2!E368)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 hidden="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IF(match_results_2!C369="完全一致","〇","×")</f>
        <v>〇</v>
      </c>
      <c r="O369" t="str">
        <f>IF(match_results_2!C369="薬価一致候補","〇","×")</f>
        <v>×</v>
      </c>
      <c r="P369" s="58">
        <f>IF(match_results_2!E369="","",match_results_2!E369)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 hidden="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IF(match_results_2!C370="完全一致","〇","×")</f>
        <v>〇</v>
      </c>
      <c r="O370" t="str">
        <f>IF(match_results_2!C370="薬価一致候補","〇","×")</f>
        <v>×</v>
      </c>
      <c r="P370" s="58">
        <f>IF(match_results_2!E370="","",match_results_2!E370)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IF(match_results_2!C371="完全一致","〇","×")</f>
        <v>×</v>
      </c>
      <c r="O371" t="str">
        <f>IF(match_results_2!C371="薬価一致候補","〇","×")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 hidden="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IF(match_results_2!C372="完全一致","〇","×")</f>
        <v>〇</v>
      </c>
      <c r="O372" t="str">
        <f>IF(match_results_2!C372="薬価一致候補","〇","×")</f>
        <v>×</v>
      </c>
      <c r="P372" s="58">
        <f>IF(match_results_2!E372="","",match_results_2!E372)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 hidden="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IF(match_results_2!C373="完全一致","〇","×")</f>
        <v>〇</v>
      </c>
      <c r="O373" t="str">
        <f>IF(match_results_2!C373="薬価一致候補","〇","×")</f>
        <v>×</v>
      </c>
      <c r="P373" s="58">
        <f>IF(match_results_2!E373="","",match_results_2!E373)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 hidden="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IF(match_results_2!C374="完全一致","〇","×")</f>
        <v>〇</v>
      </c>
      <c r="O374" t="str">
        <f>IF(match_results_2!C374="薬価一致候補","〇","×")</f>
        <v>×</v>
      </c>
      <c r="P374" s="58">
        <f>IF(match_results_2!E374="","",match_results_2!E374)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 hidden="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IF(match_results_2!C375="完全一致","〇","×")</f>
        <v>〇</v>
      </c>
      <c r="O375" t="str">
        <f>IF(match_results_2!C375="薬価一致候補","〇","×")</f>
        <v>×</v>
      </c>
      <c r="P375" s="58">
        <f>IF(match_results_2!E375="","",match_results_2!E375)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 hidden="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IF(match_results_2!C376="完全一致","〇","×")</f>
        <v>〇</v>
      </c>
      <c r="O376" t="str">
        <f>IF(match_results_2!C376="薬価一致候補","〇","×")</f>
        <v>×</v>
      </c>
      <c r="P376" s="58">
        <f>IF(match_results_2!E376="","",match_results_2!E376)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 hidden="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IF(match_results_2!C377="完全一致","〇","×")</f>
        <v>〇</v>
      </c>
      <c r="O377" t="str">
        <f>IF(match_results_2!C377="薬価一致候補","〇","×")</f>
        <v>×</v>
      </c>
      <c r="P377" s="58">
        <f>IF(match_results_2!E377="","",match_results_2!E377)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 hidden="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IF(match_results_2!C378="完全一致","〇","×")</f>
        <v>〇</v>
      </c>
      <c r="O378" t="str">
        <f>IF(match_results_2!C378="薬価一致候補","〇","×")</f>
        <v>×</v>
      </c>
      <c r="P378" s="58">
        <f>IF(match_results_2!E378="","",match_results_2!E378)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 hidden="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IF(match_results_2!C379="完全一致","〇","×")</f>
        <v>〇</v>
      </c>
      <c r="O379" t="str">
        <f>IF(match_results_2!C379="薬価一致候補","〇","×")</f>
        <v>×</v>
      </c>
      <c r="P379" s="58">
        <f>IF(match_results_2!E379="","",match_results_2!E379)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 hidden="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IF(match_results_2!C380="完全一致","〇","×")</f>
        <v>〇</v>
      </c>
      <c r="O380" t="str">
        <f>IF(match_results_2!C380="薬価一致候補","〇","×")</f>
        <v>×</v>
      </c>
      <c r="P380" s="58">
        <f>IF(match_results_2!E380="","",match_results_2!E380)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 hidden="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IF(match_results_2!C381="完全一致","〇","×")</f>
        <v>〇</v>
      </c>
      <c r="O381" t="str">
        <f>IF(match_results_2!C381="薬価一致候補","〇","×")</f>
        <v>×</v>
      </c>
      <c r="P381" s="58">
        <f>IF(match_results_2!E381="","",match_results_2!E381)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 hidden="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IF(match_results_2!C382="完全一致","〇","×")</f>
        <v>×</v>
      </c>
      <c r="O382" t="str">
        <f>IF(match_results_2!C382="薬価一致候補","〇","×")</f>
        <v>〇</v>
      </c>
      <c r="P382" s="56">
        <f>IF(match_results_2!E382="","",match_results_2!E382)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 hidden="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IF(match_results_2!C383="完全一致","〇","×")</f>
        <v>×</v>
      </c>
      <c r="O383" t="str">
        <f>IF(match_results_2!C383="薬価一致候補","〇","×")</f>
        <v>〇</v>
      </c>
      <c r="P383" s="56">
        <f>IF(match_results_2!E383="","",match_results_2!E383)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 hidden="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IF(match_results_2!C384="完全一致","〇","×")</f>
        <v>〇</v>
      </c>
      <c r="O384" t="str">
        <f>IF(match_results_2!C384="薬価一致候補","〇","×")</f>
        <v>×</v>
      </c>
      <c r="P384" s="58">
        <f>IF(match_results_2!E384="","",match_results_2!E384)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 hidden="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IF(match_results_2!C385="完全一致","〇","×")</f>
        <v>〇</v>
      </c>
      <c r="O385" t="str">
        <f>IF(match_results_2!C385="薬価一致候補","〇","×")</f>
        <v>×</v>
      </c>
      <c r="P385" s="58">
        <f>IF(match_results_2!E385="","",match_results_2!E385)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 hidden="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IF(match_results_2!C386="完全一致","〇","×")</f>
        <v>〇</v>
      </c>
      <c r="O386" t="str">
        <f>IF(match_results_2!C386="薬価一致候補","〇","×")</f>
        <v>×</v>
      </c>
      <c r="P386" s="58">
        <f>IF(match_results_2!E386="","",match_results_2!E386)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 hidden="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IF(match_results_2!C387="完全一致","〇","×")</f>
        <v>〇</v>
      </c>
      <c r="O387" t="str">
        <f>IF(match_results_2!C387="薬価一致候補","〇","×")</f>
        <v>×</v>
      </c>
      <c r="P387" s="58">
        <f>IF(match_results_2!E387="","",match_results_2!E387)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 hidden="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IF(match_results_2!C388="完全一致","〇","×")</f>
        <v>〇</v>
      </c>
      <c r="O388" t="str">
        <f>IF(match_results_2!C388="薬価一致候補","〇","×")</f>
        <v>×</v>
      </c>
      <c r="P388" s="58">
        <f>IF(match_results_2!E388="","",match_results_2!E388)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 hidden="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IF(match_results_2!C389="完全一致","〇","×")</f>
        <v>×</v>
      </c>
      <c r="O389" t="str">
        <f>IF(match_results_2!C389="薬価一致候補","〇","×")</f>
        <v>〇</v>
      </c>
      <c r="P389" s="72" t="s">
        <v>4063</v>
      </c>
      <c r="Q389" s="71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 hidden="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IF(match_results_2!C390="完全一致","〇","×")</f>
        <v>〇</v>
      </c>
      <c r="O390" t="str">
        <f>IF(match_results_2!C390="薬価一致候補","〇","×")</f>
        <v>×</v>
      </c>
      <c r="P390" s="58">
        <f>IF(match_results_2!E390="","",match_results_2!E390)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 hidden="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IF(match_results_2!C391="完全一致","〇","×")</f>
        <v>〇</v>
      </c>
      <c r="O391" t="str">
        <f>IF(match_results_2!C391="薬価一致候補","〇","×")</f>
        <v>×</v>
      </c>
      <c r="P391" s="58">
        <f>IF(match_results_2!E391="","",match_results_2!E391)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 hidden="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IF(match_results_2!C392="完全一致","〇","×")</f>
        <v>〇</v>
      </c>
      <c r="O392" t="str">
        <f>IF(match_results_2!C392="薬価一致候補","〇","×")</f>
        <v>×</v>
      </c>
      <c r="P392" s="58">
        <f>IF(match_results_2!E392="","",match_results_2!E392)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 hidden="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IF(match_results_2!C393="完全一致","〇","×")</f>
        <v>〇</v>
      </c>
      <c r="O393" t="str">
        <f>IF(match_results_2!C393="薬価一致候補","〇","×")</f>
        <v>×</v>
      </c>
      <c r="P393" s="58">
        <f>IF(match_results_2!E393="","",match_results_2!E393)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 hidden="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IF(match_results_2!C394="完全一致","〇","×")</f>
        <v>〇</v>
      </c>
      <c r="O394" t="str">
        <f>IF(match_results_2!C394="薬価一致候補","〇","×")</f>
        <v>×</v>
      </c>
      <c r="P394" s="58">
        <f>IF(match_results_2!E394="","",match_results_2!E394)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 hidden="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IF(match_results_2!C395="完全一致","〇","×")</f>
        <v>〇</v>
      </c>
      <c r="O395" t="str">
        <f>IF(match_results_2!C395="薬価一致候補","〇","×")</f>
        <v>×</v>
      </c>
      <c r="P395" s="58">
        <f>IF(match_results_2!E395="","",match_results_2!E395)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 hidden="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IF(match_results_2!C396="完全一致","〇","×")</f>
        <v>〇</v>
      </c>
      <c r="O396" t="str">
        <f>IF(match_results_2!C396="薬価一致候補","〇","×")</f>
        <v>×</v>
      </c>
      <c r="P396" s="58">
        <f>IF(match_results_2!E396="","",match_results_2!E396)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 hidden="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IF(match_results_2!C397="完全一致","〇","×")</f>
        <v>〇</v>
      </c>
      <c r="O397" t="str">
        <f>IF(match_results_2!C397="薬価一致候補","〇","×")</f>
        <v>×</v>
      </c>
      <c r="P397" s="58">
        <f>IF(match_results_2!E397="","",match_results_2!E397)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 hidden="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IF(match_results_2!C398="完全一致","〇","×")</f>
        <v>〇</v>
      </c>
      <c r="O398" t="str">
        <f>IF(match_results_2!C398="薬価一致候補","〇","×")</f>
        <v>×</v>
      </c>
      <c r="P398" s="58">
        <f>IF(match_results_2!E398="","",match_results_2!E398)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 hidden="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IF(match_results_2!C399="完全一致","〇","×")</f>
        <v>〇</v>
      </c>
      <c r="O399" t="str">
        <f>IF(match_results_2!C399="薬価一致候補","〇","×")</f>
        <v>×</v>
      </c>
      <c r="P399" s="58">
        <f>IF(match_results_2!E399="","",match_results_2!E399)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 hidden="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IF(match_results_2!C400="完全一致","〇","×")</f>
        <v>〇</v>
      </c>
      <c r="O400" t="str">
        <f>IF(match_results_2!C400="薬価一致候補","〇","×")</f>
        <v>×</v>
      </c>
      <c r="P400" s="58">
        <f>IF(match_results_2!E400="","",match_results_2!E400)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 hidden="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IF(match_results_2!C401="完全一致","〇","×")</f>
        <v>〇</v>
      </c>
      <c r="O401" t="str">
        <f>IF(match_results_2!C401="薬価一致候補","〇","×")</f>
        <v>×</v>
      </c>
      <c r="P401" s="58">
        <f>IF(match_results_2!E401="","",match_results_2!E401)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 hidden="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IF(match_results_2!C402="完全一致","〇","×")</f>
        <v>〇</v>
      </c>
      <c r="O402" t="str">
        <f>IF(match_results_2!C402="薬価一致候補","〇","×")</f>
        <v>×</v>
      </c>
      <c r="P402" s="58">
        <f>IF(match_results_2!E402="","",match_results_2!E402)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 hidden="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IF(match_results_2!C403="完全一致","〇","×")</f>
        <v>〇</v>
      </c>
      <c r="O403" t="str">
        <f>IF(match_results_2!C403="薬価一致候補","〇","×")</f>
        <v>×</v>
      </c>
      <c r="P403" s="58">
        <f>IF(match_results_2!E403="","",match_results_2!E403)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 hidden="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IF(match_results_2!C404="完全一致","〇","×")</f>
        <v>〇</v>
      </c>
      <c r="O404" t="str">
        <f>IF(match_results_2!C404="薬価一致候補","〇","×")</f>
        <v>×</v>
      </c>
      <c r="P404" s="58">
        <f>IF(match_results_2!E404="","",match_results_2!E404)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 hidden="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IF(match_results_2!C405="完全一致","〇","×")</f>
        <v>〇</v>
      </c>
      <c r="O405" t="str">
        <f>IF(match_results_2!C405="薬価一致候補","〇","×")</f>
        <v>×</v>
      </c>
      <c r="P405" s="58">
        <f>IF(match_results_2!E405="","",match_results_2!E405)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 hidden="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IF(match_results_2!C406="完全一致","〇","×")</f>
        <v>〇</v>
      </c>
      <c r="O406" t="str">
        <f>IF(match_results_2!C406="薬価一致候補","〇","×")</f>
        <v>×</v>
      </c>
      <c r="P406" s="58">
        <f>IF(match_results_2!E406="","",match_results_2!E406)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 hidden="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IF(match_results_2!C407="完全一致","〇","×")</f>
        <v>〇</v>
      </c>
      <c r="O407" t="str">
        <f>IF(match_results_2!C407="薬価一致候補","〇","×")</f>
        <v>×</v>
      </c>
      <c r="P407" s="58">
        <f>IF(match_results_2!E407="","",match_results_2!E407)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 hidden="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IF(match_results_2!C408="完全一致","〇","×")</f>
        <v>×</v>
      </c>
      <c r="O408" t="str">
        <f>IF(match_results_2!C408="薬価一致候補","〇","×")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 hidden="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IF(match_results_2!C409="完全一致","〇","×")</f>
        <v>×</v>
      </c>
      <c r="O409" t="str">
        <f>IF(match_results_2!C409="薬価一致候補","〇","×")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IF(match_results_2!C410="完全一致","〇","×")</f>
        <v>×</v>
      </c>
      <c r="O410" t="str">
        <f>IF(match_results_2!C410="薬価一致候補","〇","×")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 hidden="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IF(match_results_2!C411="完全一致","〇","×")</f>
        <v>×</v>
      </c>
      <c r="O411" t="str">
        <f>IF(match_results_2!C411="薬価一致候補","〇","×")</f>
        <v>〇</v>
      </c>
      <c r="P411" s="72" t="s">
        <v>4063</v>
      </c>
      <c r="Q411" s="71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 hidden="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IF(match_results_2!C412="完全一致","〇","×")</f>
        <v>×</v>
      </c>
      <c r="O412" t="str">
        <f>IF(match_results_2!C412="薬価一致候補","〇","×")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 hidden="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IF(match_results_2!C413="完全一致","〇","×")</f>
        <v>〇</v>
      </c>
      <c r="O413" t="str">
        <f>IF(match_results_2!C413="薬価一致候補","〇","×")</f>
        <v>×</v>
      </c>
      <c r="P413" s="58">
        <f>IF(match_results_2!E413="","",match_results_2!E413)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 hidden="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IF(match_results_2!C414="完全一致","〇","×")</f>
        <v>×</v>
      </c>
      <c r="O414" t="str">
        <f>IF(match_results_2!C414="薬価一致候補","〇","×")</f>
        <v>〇</v>
      </c>
      <c r="P414" s="56">
        <f>IF(match_results_2!E414="","",match_results_2!E414)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 hidden="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IF(match_results_2!C415="完全一致","〇","×")</f>
        <v>×</v>
      </c>
      <c r="O415" t="str">
        <f>IF(match_results_2!C415="薬価一致候補","〇","×")</f>
        <v>〇</v>
      </c>
      <c r="P415" s="56">
        <f>IF(match_results_2!E415="","",match_results_2!E415)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 hidden="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IF(match_results_2!C416="完全一致","〇","×")</f>
        <v>×</v>
      </c>
      <c r="O416" t="str">
        <f>IF(match_results_2!C416="薬価一致候補","〇","×")</f>
        <v>〇</v>
      </c>
      <c r="P416" s="56">
        <f>IF(match_results_2!E416="","",match_results_2!E416)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 hidden="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IF(match_results_2!C417="完全一致","〇","×")</f>
        <v>〇</v>
      </c>
      <c r="O417" t="str">
        <f>IF(match_results_2!C417="薬価一致候補","〇","×")</f>
        <v>×</v>
      </c>
      <c r="P417" s="58">
        <f>IF(match_results_2!E417="","",match_results_2!E417)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 hidden="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IF(match_results_2!C418="完全一致","〇","×")</f>
        <v>〇</v>
      </c>
      <c r="O418" t="str">
        <f>IF(match_results_2!C418="薬価一致候補","〇","×")</f>
        <v>×</v>
      </c>
      <c r="P418" s="58">
        <f>IF(match_results_2!E418="","",match_results_2!E418)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 hidden="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IF(match_results_2!C419="完全一致","〇","×")</f>
        <v>〇</v>
      </c>
      <c r="O419" t="str">
        <f>IF(match_results_2!C419="薬価一致候補","〇","×")</f>
        <v>×</v>
      </c>
      <c r="P419" s="58">
        <f>IF(match_results_2!E419="","",match_results_2!E419)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 hidden="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IF(match_results_2!C420="完全一致","〇","×")</f>
        <v>〇</v>
      </c>
      <c r="O420" t="str">
        <f>IF(match_results_2!C420="薬価一致候補","〇","×")</f>
        <v>×</v>
      </c>
      <c r="P420" s="58">
        <f>IF(match_results_2!E420="","",match_results_2!E420)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 hidden="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IF(match_results_2!C421="完全一致","〇","×")</f>
        <v>〇</v>
      </c>
      <c r="O421" t="str">
        <f>IF(match_results_2!C421="薬価一致候補","〇","×")</f>
        <v>×</v>
      </c>
      <c r="P421" s="58">
        <f>IF(match_results_2!E421="","",match_results_2!E421)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 hidden="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IF(match_results_2!C422="完全一致","〇","×")</f>
        <v>×</v>
      </c>
      <c r="O422" t="str">
        <f>IF(match_results_2!C422="薬価一致候補","〇","×")</f>
        <v>〇</v>
      </c>
      <c r="P422" s="56">
        <f>IF(match_results_2!E422="","",match_results_2!E422)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 hidden="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IF(match_results_2!C423="完全一致","〇","×")</f>
        <v>×</v>
      </c>
      <c r="O423" t="str">
        <f>IF(match_results_2!C423="薬価一致候補","〇","×")</f>
        <v>〇</v>
      </c>
      <c r="P423" s="56">
        <f>IF(match_results_2!E423="","",match_results_2!E423)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 hidden="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IF(match_results_2!C424="完全一致","〇","×")</f>
        <v>×</v>
      </c>
      <c r="O424" t="str">
        <f>IF(match_results_2!C424="薬価一致候補","〇","×")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 ht="24.6" hidden="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IF(match_results_2!C425="完全一致","〇","×")</f>
        <v>×</v>
      </c>
      <c r="O425" t="str">
        <f>IF(match_results_2!C425="薬価一致候補","〇","×")</f>
        <v>×</v>
      </c>
      <c r="P425" s="72" t="s">
        <v>4074</v>
      </c>
      <c r="Q425" s="71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 hidden="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IF(match_results_2!C426="完全一致","〇","×")</f>
        <v>〇</v>
      </c>
      <c r="O426" t="str">
        <f>IF(match_results_2!C426="薬価一致候補","〇","×")</f>
        <v>×</v>
      </c>
      <c r="P426" s="58">
        <f>IF(match_results_2!E426="","",match_results_2!E426)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 hidden="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IF(match_results_2!C427="完全一致","〇","×")</f>
        <v>〇</v>
      </c>
      <c r="O427" t="str">
        <f>IF(match_results_2!C427="薬価一致候補","〇","×")</f>
        <v>×</v>
      </c>
      <c r="P427" s="58">
        <f>IF(match_results_2!E427="","",match_results_2!E427)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 hidden="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IF(match_results_2!C428="完全一致","〇","×")</f>
        <v>〇</v>
      </c>
      <c r="O428" t="str">
        <f>IF(match_results_2!C428="薬価一致候補","〇","×")</f>
        <v>×</v>
      </c>
      <c r="P428" s="58">
        <f>IF(match_results_2!E428="","",match_results_2!E428)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 hidden="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IF(match_results_2!C429="完全一致","〇","×")</f>
        <v>×</v>
      </c>
      <c r="O429" t="str">
        <f>IF(match_results_2!C429="薬価一致候補","〇","×")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 hidden="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IF(match_results_2!C430="完全一致","〇","×")</f>
        <v>〇</v>
      </c>
      <c r="O430" t="str">
        <f>IF(match_results_2!C430="薬価一致候補","〇","×")</f>
        <v>×</v>
      </c>
      <c r="P430" s="58">
        <f>IF(match_results_2!E430="","",match_results_2!E430)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 hidden="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IF(match_results_2!C431="完全一致","〇","×")</f>
        <v>×</v>
      </c>
      <c r="O431" t="str">
        <f>IF(match_results_2!C431="薬価一致候補","〇","×")</f>
        <v>〇</v>
      </c>
      <c r="P431" s="56">
        <f>IF(match_results_2!E431="","",match_results_2!E431)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 hidden="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IF(match_results_2!C432="完全一致","〇","×")</f>
        <v>〇</v>
      </c>
      <c r="O432" t="str">
        <f>IF(match_results_2!C432="薬価一致候補","〇","×")</f>
        <v>×</v>
      </c>
      <c r="P432" s="58">
        <f>IF(match_results_2!E432="","",match_results_2!E432)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 hidden="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IF(match_results_2!C433="完全一致","〇","×")</f>
        <v>〇</v>
      </c>
      <c r="O433" t="str">
        <f>IF(match_results_2!C433="薬価一致候補","〇","×")</f>
        <v>×</v>
      </c>
      <c r="P433" s="58">
        <f>IF(match_results_2!E433="","",match_results_2!E433)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 hidden="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IF(match_results_2!C434="完全一致","〇","×")</f>
        <v>〇</v>
      </c>
      <c r="O434" t="str">
        <f>IF(match_results_2!C434="薬価一致候補","〇","×")</f>
        <v>×</v>
      </c>
      <c r="P434" s="58">
        <f>IF(match_results_2!E434="","",match_results_2!E434)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 hidden="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IF(match_results_2!C435="完全一致","〇","×")</f>
        <v>〇</v>
      </c>
      <c r="O435" t="str">
        <f>IF(match_results_2!C435="薬価一致候補","〇","×")</f>
        <v>×</v>
      </c>
      <c r="P435" s="58">
        <f>IF(match_results_2!E435="","",match_results_2!E435)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 hidden="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IF(match_results_2!C436="完全一致","〇","×")</f>
        <v>×</v>
      </c>
      <c r="O436" t="str">
        <f>IF(match_results_2!C436="薬価一致候補","〇","×")</f>
        <v>〇</v>
      </c>
      <c r="P436" s="56">
        <f>IF(match_results_2!E436="","",match_results_2!E436)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 hidden="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IF(match_results_2!C437="完全一致","〇","×")</f>
        <v>〇</v>
      </c>
      <c r="O437" t="str">
        <f>IF(match_results_2!C437="薬価一致候補","〇","×")</f>
        <v>×</v>
      </c>
      <c r="P437" s="58">
        <f>IF(match_results_2!E437="","",match_results_2!E437)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 hidden="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IF(match_results_2!C438="完全一致","〇","×")</f>
        <v>〇</v>
      </c>
      <c r="O438" t="str">
        <f>IF(match_results_2!C438="薬価一致候補","〇","×")</f>
        <v>×</v>
      </c>
      <c r="P438" s="58">
        <f>IF(match_results_2!E438="","",match_results_2!E438)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 hidden="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IF(match_results_2!C439="完全一致","〇","×")</f>
        <v>×</v>
      </c>
      <c r="O439" t="str">
        <f>IF(match_results_2!C439="薬価一致候補","〇","×")</f>
        <v>〇</v>
      </c>
      <c r="P439" s="72" t="s">
        <v>4063</v>
      </c>
      <c r="Q439" s="71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 hidden="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IF(match_results_2!C440="完全一致","〇","×")</f>
        <v>〇</v>
      </c>
      <c r="O440" t="str">
        <f>IF(match_results_2!C440="薬価一致候補","〇","×")</f>
        <v>×</v>
      </c>
      <c r="P440" s="58">
        <f>IF(match_results_2!E440="","",match_results_2!E440)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 hidden="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IF(match_results_2!C441="完全一致","〇","×")</f>
        <v>×</v>
      </c>
      <c r="O441" t="str">
        <f>IF(match_results_2!C441="薬価一致候補","〇","×")</f>
        <v>〇</v>
      </c>
      <c r="P441" s="56">
        <f>IF(match_results_2!E441="","",match_results_2!E441)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 hidden="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IF(match_results_2!C442="完全一致","〇","×")</f>
        <v>〇</v>
      </c>
      <c r="O442" t="str">
        <f>IF(match_results_2!C442="薬価一致候補","〇","×")</f>
        <v>×</v>
      </c>
      <c r="P442" s="58">
        <f>IF(match_results_2!E442="","",match_results_2!E442)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 hidden="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IF(match_results_2!C443="完全一致","〇","×")</f>
        <v>×</v>
      </c>
      <c r="O443" t="str">
        <f>IF(match_results_2!C443="薬価一致候補","〇","×")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 hidden="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IF(match_results_2!C444="完全一致","〇","×")</f>
        <v>〇</v>
      </c>
      <c r="O444" t="str">
        <f>IF(match_results_2!C444="薬価一致候補","〇","×")</f>
        <v>×</v>
      </c>
      <c r="P444" s="58">
        <f>IF(match_results_2!E444="","",match_results_2!E444)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 hidden="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IF(match_results_2!C445="完全一致","〇","×")</f>
        <v>×</v>
      </c>
      <c r="O445" t="str">
        <f>IF(match_results_2!C445="薬価一致候補","〇","×")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 hidden="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IF(match_results_2!C446="完全一致","〇","×")</f>
        <v>〇</v>
      </c>
      <c r="O446" t="str">
        <f>IF(match_results_2!C446="薬価一致候補","〇","×")</f>
        <v>×</v>
      </c>
      <c r="P446" s="58">
        <f>IF(match_results_2!E446="","",match_results_2!E446)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 hidden="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IF(match_results_2!C447="完全一致","〇","×")</f>
        <v>〇</v>
      </c>
      <c r="O447" t="str">
        <f>IF(match_results_2!C447="薬価一致候補","〇","×")</f>
        <v>×</v>
      </c>
      <c r="P447" s="58">
        <f>IF(match_results_2!E447="","",match_results_2!E447)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 hidden="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IF(match_results_2!C448="完全一致","〇","×")</f>
        <v>〇</v>
      </c>
      <c r="O448" t="str">
        <f>IF(match_results_2!C448="薬価一致候補","〇","×")</f>
        <v>×</v>
      </c>
      <c r="P448" s="58">
        <f>IF(match_results_2!E448="","",match_results_2!E448)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 hidden="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IF(match_results_2!C449="完全一致","〇","×")</f>
        <v>×</v>
      </c>
      <c r="O449" t="str">
        <f>IF(match_results_2!C449="薬価一致候補","〇","×")</f>
        <v>×</v>
      </c>
      <c r="P449" s="72" t="s">
        <v>4074</v>
      </c>
      <c r="Q449" s="71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 hidden="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IF(match_results_2!C450="完全一致","〇","×")</f>
        <v>〇</v>
      </c>
      <c r="O450" t="str">
        <f>IF(match_results_2!C450="薬価一致候補","〇","×")</f>
        <v>×</v>
      </c>
      <c r="P450" s="58">
        <f>IF(match_results_2!E450="","",match_results_2!E450)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 hidden="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IF(match_results_2!C451="完全一致","〇","×")</f>
        <v>×</v>
      </c>
      <c r="O451" t="str">
        <f>IF(match_results_2!C451="薬価一致候補","〇","×")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 hidden="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IF(match_results_2!C452="完全一致","〇","×")</f>
        <v>〇</v>
      </c>
      <c r="O452" t="str">
        <f>IF(match_results_2!C452="薬価一致候補","〇","×")</f>
        <v>×</v>
      </c>
      <c r="P452" s="58">
        <f>IF(match_results_2!E452="","",match_results_2!E452)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 hidden="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IF(match_results_2!C453="完全一致","〇","×")</f>
        <v>〇</v>
      </c>
      <c r="O453" t="str">
        <f>IF(match_results_2!C453="薬価一致候補","〇","×")</f>
        <v>×</v>
      </c>
      <c r="P453" s="58">
        <f>IF(match_results_2!E453="","",match_results_2!E453)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 hidden="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IF(match_results_2!C454="完全一致","〇","×")</f>
        <v>〇</v>
      </c>
      <c r="O454" t="str">
        <f>IF(match_results_2!C454="薬価一致候補","〇","×")</f>
        <v>×</v>
      </c>
      <c r="P454" s="58">
        <f>IF(match_results_2!E454="","",match_results_2!E454)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 hidden="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IF(match_results_2!C455="完全一致","〇","×")</f>
        <v>〇</v>
      </c>
      <c r="O455" t="str">
        <f>IF(match_results_2!C455="薬価一致候補","〇","×")</f>
        <v>×</v>
      </c>
      <c r="P455" s="58">
        <f>IF(match_results_2!E455="","",match_results_2!E455)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 hidden="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IF(match_results_2!C456="完全一致","〇","×")</f>
        <v>〇</v>
      </c>
      <c r="O456" t="str">
        <f>IF(match_results_2!C456="薬価一致候補","〇","×")</f>
        <v>×</v>
      </c>
      <c r="P456" s="58">
        <f>IF(match_results_2!E456="","",match_results_2!E456)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 hidden="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IF(match_results_2!C457="完全一致","〇","×")</f>
        <v>×</v>
      </c>
      <c r="O457" t="str">
        <f>IF(match_results_2!C457="薬価一致候補","〇","×")</f>
        <v>〇</v>
      </c>
      <c r="P457" s="56">
        <f>IF(match_results_2!E457="","",match_results_2!E457)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 hidden="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IF(match_results_2!C458="完全一致","〇","×")</f>
        <v>〇</v>
      </c>
      <c r="O458" t="str">
        <f>IF(match_results_2!C458="薬価一致候補","〇","×")</f>
        <v>×</v>
      </c>
      <c r="P458" s="58">
        <f>IF(match_results_2!E458="","",match_results_2!E458)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 hidden="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IF(match_results_2!C459="完全一致","〇","×")</f>
        <v>〇</v>
      </c>
      <c r="O459" t="str">
        <f>IF(match_results_2!C459="薬価一致候補","〇","×")</f>
        <v>×</v>
      </c>
      <c r="P459" s="58">
        <f>IF(match_results_2!E459="","",match_results_2!E459)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 hidden="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IF(match_results_2!C460="完全一致","〇","×")</f>
        <v>×</v>
      </c>
      <c r="O460" t="str">
        <f>IF(match_results_2!C460="薬価一致候補","〇","×")</f>
        <v>〇</v>
      </c>
      <c r="P460" s="56">
        <f>IF(match_results_2!E460="","",match_results_2!E460)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 hidden="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IF(match_results_2!C461="完全一致","〇","×")</f>
        <v>〇</v>
      </c>
      <c r="O461" t="str">
        <f>IF(match_results_2!C461="薬価一致候補","〇","×")</f>
        <v>×</v>
      </c>
      <c r="P461" s="58">
        <f>IF(match_results_2!E461="","",match_results_2!E461)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 hidden="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IF(match_results_2!C462="完全一致","〇","×")</f>
        <v>〇</v>
      </c>
      <c r="O462" t="str">
        <f>IF(match_results_2!C462="薬価一致候補","〇","×")</f>
        <v>×</v>
      </c>
      <c r="P462" s="58">
        <f>IF(match_results_2!E462="","",match_results_2!E462)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 hidden="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IF(match_results_2!C463="完全一致","〇","×")</f>
        <v>〇</v>
      </c>
      <c r="O463" t="str">
        <f>IF(match_results_2!C463="薬価一致候補","〇","×")</f>
        <v>×</v>
      </c>
      <c r="P463" s="58">
        <f>IF(match_results_2!E463="","",match_results_2!E463)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 hidden="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IF(match_results_2!C464="完全一致","〇","×")</f>
        <v>〇</v>
      </c>
      <c r="O464" t="str">
        <f>IF(match_results_2!C464="薬価一致候補","〇","×")</f>
        <v>×</v>
      </c>
      <c r="P464" s="58">
        <f>IF(match_results_2!E464="","",match_results_2!E464)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 hidden="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IF(match_results_2!C465="完全一致","〇","×")</f>
        <v>〇</v>
      </c>
      <c r="O465" t="str">
        <f>IF(match_results_2!C465="薬価一致候補","〇","×")</f>
        <v>×</v>
      </c>
      <c r="P465" s="58">
        <f>IF(match_results_2!E465="","",match_results_2!E465)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 hidden="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IF(match_results_2!C466="完全一致","〇","×")</f>
        <v>×</v>
      </c>
      <c r="O466" t="str">
        <f>IF(match_results_2!C466="薬価一致候補","〇","×")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 hidden="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IF(match_results_2!C467="完全一致","〇","×")</f>
        <v>×</v>
      </c>
      <c r="O467" t="str">
        <f>IF(match_results_2!C467="薬価一致候補","〇","×")</f>
        <v>〇</v>
      </c>
      <c r="P467" s="56">
        <f>IF(match_results_2!E467="","",match_results_2!E467)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 hidden="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IF(match_results_2!C468="完全一致","〇","×")</f>
        <v>×</v>
      </c>
      <c r="O468" t="str">
        <f>IF(match_results_2!C468="薬価一致候補","〇","×")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 hidden="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IF(match_results_2!C469="完全一致","〇","×")</f>
        <v>〇</v>
      </c>
      <c r="O469" t="str">
        <f>IF(match_results_2!C469="薬価一致候補","〇","×")</f>
        <v>×</v>
      </c>
      <c r="P469" s="58">
        <f>IF(match_results_2!E469="","",match_results_2!E469)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 hidden="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IF(match_results_2!C470="完全一致","〇","×")</f>
        <v>〇</v>
      </c>
      <c r="O470" t="str">
        <f>IF(match_results_2!C470="薬価一致候補","〇","×")</f>
        <v>×</v>
      </c>
      <c r="P470" s="58">
        <f>IF(match_results_2!E470="","",match_results_2!E470)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 hidden="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IF(match_results_2!C471="完全一致","〇","×")</f>
        <v>〇</v>
      </c>
      <c r="O471" t="str">
        <f>IF(match_results_2!C471="薬価一致候補","〇","×")</f>
        <v>×</v>
      </c>
      <c r="P471" s="58">
        <f>IF(match_results_2!E471="","",match_results_2!E471)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 hidden="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IF(match_results_2!C472="完全一致","〇","×")</f>
        <v>〇</v>
      </c>
      <c r="O472" t="str">
        <f>IF(match_results_2!C472="薬価一致候補","〇","×")</f>
        <v>×</v>
      </c>
      <c r="P472" s="58">
        <f>IF(match_results_2!E472="","",match_results_2!E472)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 hidden="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IF(match_results_2!C473="完全一致","〇","×")</f>
        <v>〇</v>
      </c>
      <c r="O473" t="str">
        <f>IF(match_results_2!C473="薬価一致候補","〇","×")</f>
        <v>×</v>
      </c>
      <c r="P473" s="58">
        <f>IF(match_results_2!E473="","",match_results_2!E473)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 hidden="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IF(match_results_2!C474="完全一致","〇","×")</f>
        <v>〇</v>
      </c>
      <c r="O474" t="str">
        <f>IF(match_results_2!C474="薬価一致候補","〇","×")</f>
        <v>×</v>
      </c>
      <c r="P474" s="58">
        <f>IF(match_results_2!E474="","",match_results_2!E474)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 hidden="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IF(match_results_2!C475="完全一致","〇","×")</f>
        <v>×</v>
      </c>
      <c r="O475" t="str">
        <f>IF(match_results_2!C475="薬価一致候補","〇","×")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 hidden="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IF(match_results_2!C476="完全一致","〇","×")</f>
        <v>〇</v>
      </c>
      <c r="O476" t="str">
        <f>IF(match_results_2!C476="薬価一致候補","〇","×")</f>
        <v>×</v>
      </c>
      <c r="P476" s="58">
        <f>IF(match_results_2!E476="","",match_results_2!E476)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 hidden="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IF(match_results_2!C477="完全一致","〇","×")</f>
        <v>〇</v>
      </c>
      <c r="O477" t="str">
        <f>IF(match_results_2!C477="薬価一致候補","〇","×")</f>
        <v>×</v>
      </c>
      <c r="P477" s="58">
        <f>IF(match_results_2!E477="","",match_results_2!E477)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 hidden="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IF(match_results_2!C478="完全一致","〇","×")</f>
        <v>〇</v>
      </c>
      <c r="O478" t="str">
        <f>IF(match_results_2!C478="薬価一致候補","〇","×")</f>
        <v>×</v>
      </c>
      <c r="P478" s="58">
        <f>IF(match_results_2!E478="","",match_results_2!E478)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 hidden="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IF(match_results_2!C479="完全一致","〇","×")</f>
        <v>〇</v>
      </c>
      <c r="O479" t="str">
        <f>IF(match_results_2!C479="薬価一致候補","〇","×")</f>
        <v>×</v>
      </c>
      <c r="P479" s="58">
        <f>IF(match_results_2!E479="","",match_results_2!E479)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 ht="24.6" hidden="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IF(match_results_2!C480="完全一致","〇","×")</f>
        <v>×</v>
      </c>
      <c r="O480" t="str">
        <f>IF(match_results_2!C480="薬価一致候補","〇","×")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 hidden="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IF(match_results_2!C481="完全一致","〇","×")</f>
        <v>〇</v>
      </c>
      <c r="O481" t="str">
        <f>IF(match_results_2!C481="薬価一致候補","〇","×")</f>
        <v>×</v>
      </c>
      <c r="P481" s="58">
        <f>IF(match_results_2!E481="","",match_results_2!E481)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 hidden="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IF(match_results_2!C482="完全一致","〇","×")</f>
        <v>×</v>
      </c>
      <c r="O482" t="str">
        <f>IF(match_results_2!C482="薬価一致候補","〇","×")</f>
        <v>〇</v>
      </c>
      <c r="P482" s="72" t="s">
        <v>4063</v>
      </c>
      <c r="Q482" s="71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 hidden="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IF(match_results_2!C483="完全一致","〇","×")</f>
        <v>〇</v>
      </c>
      <c r="O483" t="str">
        <f>IF(match_results_2!C483="薬価一致候補","〇","×")</f>
        <v>×</v>
      </c>
      <c r="P483" s="58">
        <f>IF(match_results_2!E483="","",match_results_2!E483)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 hidden="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IF(match_results_2!C484="完全一致","〇","×")</f>
        <v>〇</v>
      </c>
      <c r="O484" t="str">
        <f>IF(match_results_2!C484="薬価一致候補","〇","×")</f>
        <v>×</v>
      </c>
      <c r="P484" s="58">
        <f>IF(match_results_2!E484="","",match_results_2!E484)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 hidden="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IF(match_results_2!C485="完全一致","〇","×")</f>
        <v>〇</v>
      </c>
      <c r="O485" t="str">
        <f>IF(match_results_2!C485="薬価一致候補","〇","×")</f>
        <v>×</v>
      </c>
      <c r="P485" s="58">
        <f>IF(match_results_2!E485="","",match_results_2!E485)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 hidden="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IF(match_results_2!C486="完全一致","〇","×")</f>
        <v>〇</v>
      </c>
      <c r="O486" t="str">
        <f>IF(match_results_2!C486="薬価一致候補","〇","×")</f>
        <v>×</v>
      </c>
      <c r="P486" s="58">
        <f>IF(match_results_2!E486="","",match_results_2!E486)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 hidden="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IF(match_results_2!C487="完全一致","〇","×")</f>
        <v>〇</v>
      </c>
      <c r="O487" t="str">
        <f>IF(match_results_2!C487="薬価一致候補","〇","×")</f>
        <v>×</v>
      </c>
      <c r="P487" s="58">
        <f>IF(match_results_2!E487="","",match_results_2!E487)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 hidden="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IF(match_results_2!C488="完全一致","〇","×")</f>
        <v>〇</v>
      </c>
      <c r="O488" t="str">
        <f>IF(match_results_2!C488="薬価一致候補","〇","×")</f>
        <v>×</v>
      </c>
      <c r="P488" s="58">
        <f>IF(match_results_2!E488="","",match_results_2!E488)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 hidden="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IF(match_results_2!C489="完全一致","〇","×")</f>
        <v>〇</v>
      </c>
      <c r="O489" t="str">
        <f>IF(match_results_2!C489="薬価一致候補","〇","×")</f>
        <v>×</v>
      </c>
      <c r="P489" s="58">
        <f>IF(match_results_2!E489="","",match_results_2!E489)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 hidden="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IF(match_results_2!C490="完全一致","〇","×")</f>
        <v>〇</v>
      </c>
      <c r="O490" t="str">
        <f>IF(match_results_2!C490="薬価一致候補","〇","×")</f>
        <v>×</v>
      </c>
      <c r="P490" s="58">
        <f>IF(match_results_2!E490="","",match_results_2!E490)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 hidden="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IF(match_results_2!C491="完全一致","〇","×")</f>
        <v>〇</v>
      </c>
      <c r="O491" t="str">
        <f>IF(match_results_2!C491="薬価一致候補","〇","×")</f>
        <v>×</v>
      </c>
      <c r="P491" s="58">
        <f>IF(match_results_2!E491="","",match_results_2!E491)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 hidden="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IF(match_results_2!C492="完全一致","〇","×")</f>
        <v>〇</v>
      </c>
      <c r="O492" t="str">
        <f>IF(match_results_2!C492="薬価一致候補","〇","×")</f>
        <v>×</v>
      </c>
      <c r="P492" s="58">
        <f>IF(match_results_2!E492="","",match_results_2!E492)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 hidden="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IF(match_results_2!C493="完全一致","〇","×")</f>
        <v>〇</v>
      </c>
      <c r="O493" t="str">
        <f>IF(match_results_2!C493="薬価一致候補","〇","×")</f>
        <v>×</v>
      </c>
      <c r="P493" s="58">
        <f>IF(match_results_2!E493="","",match_results_2!E493)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 hidden="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IF(match_results_2!C494="完全一致","〇","×")</f>
        <v>〇</v>
      </c>
      <c r="O494" t="str">
        <f>IF(match_results_2!C494="薬価一致候補","〇","×")</f>
        <v>×</v>
      </c>
      <c r="P494" s="58">
        <f>IF(match_results_2!E494="","",match_results_2!E494)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 hidden="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IF(match_results_2!C495="完全一致","〇","×")</f>
        <v>〇</v>
      </c>
      <c r="O495" t="str">
        <f>IF(match_results_2!C495="薬価一致候補","〇","×")</f>
        <v>×</v>
      </c>
      <c r="P495" s="58">
        <f>IF(match_results_2!E495="","",match_results_2!E495)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 hidden="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IF(match_results_2!C496="完全一致","〇","×")</f>
        <v>〇</v>
      </c>
      <c r="O496" t="str">
        <f>IF(match_results_2!C496="薬価一致候補","〇","×")</f>
        <v>×</v>
      </c>
      <c r="P496" s="58">
        <f>IF(match_results_2!E496="","",match_results_2!E496)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 hidden="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IF(match_results_2!C497="完全一致","〇","×")</f>
        <v>〇</v>
      </c>
      <c r="O497" t="str">
        <f>IF(match_results_2!C497="薬価一致候補","〇","×")</f>
        <v>×</v>
      </c>
      <c r="P497" s="58">
        <f>IF(match_results_2!E497="","",match_results_2!E497)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 hidden="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IF(match_results_2!C498="完全一致","〇","×")</f>
        <v>〇</v>
      </c>
      <c r="O498" t="str">
        <f>IF(match_results_2!C498="薬価一致候補","〇","×")</f>
        <v>×</v>
      </c>
      <c r="P498" s="58">
        <f>IF(match_results_2!E498="","",match_results_2!E498)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 hidden="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IF(match_results_2!C499="完全一致","〇","×")</f>
        <v>〇</v>
      </c>
      <c r="O499" t="str">
        <f>IF(match_results_2!C499="薬価一致候補","〇","×")</f>
        <v>×</v>
      </c>
      <c r="P499" s="58">
        <f>IF(match_results_2!E499="","",match_results_2!E499)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 hidden="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IF(match_results_2!C500="完全一致","〇","×")</f>
        <v>〇</v>
      </c>
      <c r="O500" t="str">
        <f>IF(match_results_2!C500="薬価一致候補","〇","×")</f>
        <v>×</v>
      </c>
      <c r="P500" s="58">
        <f>IF(match_results_2!E500="","",match_results_2!E500)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 hidden="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IF(match_results_2!C501="完全一致","〇","×")</f>
        <v>〇</v>
      </c>
      <c r="O501" t="str">
        <f>IF(match_results_2!C501="薬価一致候補","〇","×")</f>
        <v>×</v>
      </c>
      <c r="P501" s="58">
        <f>IF(match_results_2!E501="","",match_results_2!E501)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 hidden="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IF(match_results_2!C502="完全一致","〇","×")</f>
        <v>〇</v>
      </c>
      <c r="O502" t="str">
        <f>IF(match_results_2!C502="薬価一致候補","〇","×")</f>
        <v>×</v>
      </c>
      <c r="P502" s="58">
        <f>IF(match_results_2!E502="","",match_results_2!E502)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 hidden="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IF(match_results_2!C503="完全一致","〇","×")</f>
        <v>〇</v>
      </c>
      <c r="O503" t="str">
        <f>IF(match_results_2!C503="薬価一致候補","〇","×")</f>
        <v>×</v>
      </c>
      <c r="P503" s="58">
        <f>IF(match_results_2!E503="","",match_results_2!E503)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 hidden="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IF(match_results_2!C504="完全一致","〇","×")</f>
        <v>×</v>
      </c>
      <c r="O504" t="str">
        <f>IF(match_results_2!C504="薬価一致候補","〇","×")</f>
        <v>〇</v>
      </c>
      <c r="P504" s="72" t="s">
        <v>4063</v>
      </c>
      <c r="Q504" s="71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 hidden="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IF(match_results_2!C505="完全一致","〇","×")</f>
        <v>〇</v>
      </c>
      <c r="O505" t="str">
        <f>IF(match_results_2!C505="薬価一致候補","〇","×")</f>
        <v>×</v>
      </c>
      <c r="P505" s="58">
        <f>IF(match_results_2!E505="","",match_results_2!E505)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 hidden="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IF(match_results_2!C506="完全一致","〇","×")</f>
        <v>〇</v>
      </c>
      <c r="O506" t="str">
        <f>IF(match_results_2!C506="薬価一致候補","〇","×")</f>
        <v>×</v>
      </c>
      <c r="P506" s="58">
        <f>IF(match_results_2!E506="","",match_results_2!E506)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 hidden="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IF(match_results_2!C507="完全一致","〇","×")</f>
        <v>×</v>
      </c>
      <c r="O507" t="str">
        <f>IF(match_results_2!C507="薬価一致候補","〇","×")</f>
        <v>×</v>
      </c>
      <c r="P507" s="72" t="s">
        <v>4074</v>
      </c>
      <c r="Q507" s="71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 hidden="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IF(match_results_2!C508="完全一致","〇","×")</f>
        <v>×</v>
      </c>
      <c r="O508" t="str">
        <f>IF(match_results_2!C508="薬価一致候補","〇","×")</f>
        <v>×</v>
      </c>
      <c r="P508" s="72" t="s">
        <v>4074</v>
      </c>
      <c r="Q508" s="71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 hidden="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IF(match_results_2!C509="完全一致","〇","×")</f>
        <v>〇</v>
      </c>
      <c r="O509" t="str">
        <f>IF(match_results_2!C509="薬価一致候補","〇","×")</f>
        <v>×</v>
      </c>
      <c r="P509" s="58">
        <f>IF(match_results_2!E509="","",match_results_2!E509)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 hidden="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IF(match_results_2!C510="完全一致","〇","×")</f>
        <v>〇</v>
      </c>
      <c r="O510" t="str">
        <f>IF(match_results_2!C510="薬価一致候補","〇","×")</f>
        <v>×</v>
      </c>
      <c r="P510" s="58">
        <f>IF(match_results_2!E510="","",match_results_2!E510)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 hidden="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IF(match_results_2!C511="完全一致","〇","×")</f>
        <v>×</v>
      </c>
      <c r="O511" t="str">
        <f>IF(match_results_2!C511="薬価一致候補","〇","×")</f>
        <v>〇</v>
      </c>
      <c r="P511" s="56">
        <f>IF(match_results_2!E511="","",match_results_2!E511)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 ht="24.6" hidden="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IF(match_results_2!C512="完全一致","〇","×")</f>
        <v>×</v>
      </c>
      <c r="O512" t="str">
        <f>IF(match_results_2!C512="薬価一致候補","〇","×")</f>
        <v>×</v>
      </c>
      <c r="P512" s="72" t="s">
        <v>4074</v>
      </c>
      <c r="Q512" s="71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 hidden="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IF(match_results_2!C513="完全一致","〇","×")</f>
        <v>×</v>
      </c>
      <c r="O513" t="str">
        <f>IF(match_results_2!C513="薬価一致候補","〇","×")</f>
        <v>〇</v>
      </c>
      <c r="P513" s="56">
        <f>IF(match_results_2!E513="","",match_results_2!E513)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IF(match_results_2!C514="完全一致","〇","×")</f>
        <v>×</v>
      </c>
      <c r="O514" t="str">
        <f>IF(match_results_2!C514="薬価一致候補","〇","×")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 hidden="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IF(match_results_2!C515="完全一致","〇","×")</f>
        <v>〇</v>
      </c>
      <c r="O515" t="str">
        <f>IF(match_results_2!C515="薬価一致候補","〇","×")</f>
        <v>×</v>
      </c>
      <c r="P515" s="58">
        <f>IF(match_results_2!E515="","",match_results_2!E515)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 hidden="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IF(match_results_2!C516="完全一致","〇","×")</f>
        <v>〇</v>
      </c>
      <c r="O516" t="str">
        <f>IF(match_results_2!C516="薬価一致候補","〇","×")</f>
        <v>×</v>
      </c>
      <c r="P516" s="58">
        <f>IF(match_results_2!E516="","",match_results_2!E516)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 hidden="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IF(match_results_2!C517="完全一致","〇","×")</f>
        <v>×</v>
      </c>
      <c r="O517" t="str">
        <f>IF(match_results_2!C517="薬価一致候補","〇","×")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 hidden="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IF(match_results_2!C518="完全一致","〇","×")</f>
        <v>〇</v>
      </c>
      <c r="O518" t="str">
        <f>IF(match_results_2!C518="薬価一致候補","〇","×")</f>
        <v>×</v>
      </c>
      <c r="P518" s="58">
        <f>IF(match_results_2!E518="","",match_results_2!E518)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 hidden="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IF(match_results_2!C519="完全一致","〇","×")</f>
        <v>〇</v>
      </c>
      <c r="O519" t="str">
        <f>IF(match_results_2!C519="薬価一致候補","〇","×")</f>
        <v>×</v>
      </c>
      <c r="P519" s="58">
        <f>IF(match_results_2!E519="","",match_results_2!E519)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 hidden="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IF(match_results_2!C520="完全一致","〇","×")</f>
        <v>〇</v>
      </c>
      <c r="O520" t="str">
        <f>IF(match_results_2!C520="薬価一致候補","〇","×")</f>
        <v>×</v>
      </c>
      <c r="P520" s="58">
        <f>IF(match_results_2!E520="","",match_results_2!E520)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 hidden="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IF(match_results_2!C521="完全一致","〇","×")</f>
        <v>〇</v>
      </c>
      <c r="O521" t="str">
        <f>IF(match_results_2!C521="薬価一致候補","〇","×")</f>
        <v>×</v>
      </c>
      <c r="P521" s="58">
        <f>IF(match_results_2!E521="","",match_results_2!E521)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 hidden="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IF(match_results_2!C522="完全一致","〇","×")</f>
        <v>〇</v>
      </c>
      <c r="O522" t="str">
        <f>IF(match_results_2!C522="薬価一致候補","〇","×")</f>
        <v>×</v>
      </c>
      <c r="P522" s="58">
        <f>IF(match_results_2!E522="","",match_results_2!E522)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 hidden="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IF(match_results_2!C523="完全一致","〇","×")</f>
        <v>〇</v>
      </c>
      <c r="O523" t="str">
        <f>IF(match_results_2!C523="薬価一致候補","〇","×")</f>
        <v>×</v>
      </c>
      <c r="P523" s="58">
        <f>IF(match_results_2!E523="","",match_results_2!E523)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 hidden="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IF(match_results_2!C524="完全一致","〇","×")</f>
        <v>〇</v>
      </c>
      <c r="O524" t="str">
        <f>IF(match_results_2!C524="薬価一致候補","〇","×")</f>
        <v>×</v>
      </c>
      <c r="P524" s="58">
        <f>IF(match_results_2!E524="","",match_results_2!E524)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 hidden="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IF(match_results_2!C525="完全一致","〇","×")</f>
        <v>〇</v>
      </c>
      <c r="O525" t="str">
        <f>IF(match_results_2!C525="薬価一致候補","〇","×")</f>
        <v>×</v>
      </c>
      <c r="P525" s="58">
        <f>IF(match_results_2!E525="","",match_results_2!E525)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 hidden="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IF(match_results_2!C526="完全一致","〇","×")</f>
        <v>〇</v>
      </c>
      <c r="O526" t="str">
        <f>IF(match_results_2!C526="薬価一致候補","〇","×")</f>
        <v>×</v>
      </c>
      <c r="P526" s="58">
        <f>IF(match_results_2!E526="","",match_results_2!E526)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 hidden="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IF(match_results_2!C527="完全一致","〇","×")</f>
        <v>〇</v>
      </c>
      <c r="O527" t="str">
        <f>IF(match_results_2!C527="薬価一致候補","〇","×")</f>
        <v>×</v>
      </c>
      <c r="P527" s="58">
        <f>IF(match_results_2!E527="","",match_results_2!E527)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 hidden="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IF(match_results_2!C528="完全一致","〇","×")</f>
        <v>〇</v>
      </c>
      <c r="O528" t="str">
        <f>IF(match_results_2!C528="薬価一致候補","〇","×")</f>
        <v>×</v>
      </c>
      <c r="P528" s="58">
        <f>IF(match_results_2!E528="","",match_results_2!E528)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 hidden="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IF(match_results_2!C529="完全一致","〇","×")</f>
        <v>〇</v>
      </c>
      <c r="O529" t="str">
        <f>IF(match_results_2!C529="薬価一致候補","〇","×")</f>
        <v>×</v>
      </c>
      <c r="P529" s="58">
        <f>IF(match_results_2!E529="","",match_results_2!E529)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 hidden="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IF(match_results_2!C530="完全一致","〇","×")</f>
        <v>〇</v>
      </c>
      <c r="O530" t="str">
        <f>IF(match_results_2!C530="薬価一致候補","〇","×")</f>
        <v>×</v>
      </c>
      <c r="P530" s="58">
        <f>IF(match_results_2!E530="","",match_results_2!E530)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 hidden="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IF(match_results_2!C531="完全一致","〇","×")</f>
        <v>〇</v>
      </c>
      <c r="O531" t="str">
        <f>IF(match_results_2!C531="薬価一致候補","〇","×")</f>
        <v>×</v>
      </c>
      <c r="P531" s="58">
        <f>IF(match_results_2!E531="","",match_results_2!E531)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 hidden="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IF(match_results_2!C532="完全一致","〇","×")</f>
        <v>〇</v>
      </c>
      <c r="O532" t="str">
        <f>IF(match_results_2!C532="薬価一致候補","〇","×")</f>
        <v>×</v>
      </c>
      <c r="P532" s="58">
        <f>IF(match_results_2!E532="","",match_results_2!E532)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 hidden="1">
      <c r="A533" s="6" t="s">
        <v>4119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IF(match_results_2!C533="完全一致","〇","×")</f>
        <v>×</v>
      </c>
      <c r="O533" t="str">
        <f>IF(match_results_2!C533="薬価一致候補","〇","×")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>
        <f>統合マスタ!AA536</f>
        <v>0</v>
      </c>
    </row>
    <row r="534" spans="1:21" hidden="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IF(match_results_2!C534="完全一致","〇","×")</f>
        <v>×</v>
      </c>
      <c r="O534" t="str">
        <f>IF(match_results_2!C534="薬価一致候補","〇","×")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 hidden="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IF(match_results_2!C535="完全一致","〇","×")</f>
        <v>〇</v>
      </c>
      <c r="O535" t="str">
        <f>IF(match_results_2!C535="薬価一致候補","〇","×")</f>
        <v>×</v>
      </c>
      <c r="P535" s="58">
        <f>IF(match_results_2!E535="","",match_results_2!E535)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 hidden="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IF(match_results_2!C536="完全一致","〇","×")</f>
        <v>〇</v>
      </c>
      <c r="O536" t="str">
        <f>IF(match_results_2!C536="薬価一致候補","〇","×")</f>
        <v>×</v>
      </c>
      <c r="P536" s="58">
        <f>IF(match_results_2!E536="","",match_results_2!E536)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 hidden="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IF(match_results_2!C537="完全一致","〇","×")</f>
        <v>〇</v>
      </c>
      <c r="O537" t="str">
        <f>IF(match_results_2!C537="薬価一致候補","〇","×")</f>
        <v>×</v>
      </c>
      <c r="P537" s="58">
        <f>IF(match_results_2!E537="","",match_results_2!E537)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 hidden="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IF(match_results_2!C538="完全一致","〇","×")</f>
        <v>×</v>
      </c>
      <c r="O538" t="str">
        <f>IF(match_results_2!C538="薬価一致候補","〇","×")</f>
        <v>〇</v>
      </c>
      <c r="P538" s="72" t="s">
        <v>4063</v>
      </c>
      <c r="Q538" s="71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 hidden="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IF(match_results_2!C539="完全一致","〇","×")</f>
        <v>〇</v>
      </c>
      <c r="O539" t="str">
        <f>IF(match_results_2!C539="薬価一致候補","〇","×")</f>
        <v>×</v>
      </c>
      <c r="P539" s="58">
        <f>IF(match_results_2!E539="","",match_results_2!E539)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IF(match_results_2!C540="完全一致","〇","×")</f>
        <v>×</v>
      </c>
      <c r="O540" t="str">
        <f>IF(match_results_2!C540="薬価一致候補","〇","×")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IF(match_results_2!C541="完全一致","〇","×")</f>
        <v>×</v>
      </c>
      <c r="O541" t="str">
        <f>IF(match_results_2!C541="薬価一致候補","〇","×")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IF(match_results_2!C542="完全一致","〇","×")</f>
        <v>×</v>
      </c>
      <c r="O542" t="str">
        <f>IF(match_results_2!C542="薬価一致候補","〇","×")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 hidden="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IF(match_results_2!C543="完全一致","〇","×")</f>
        <v>×</v>
      </c>
      <c r="O543" t="str">
        <f>IF(match_results_2!C543="薬価一致候補","〇","×")</f>
        <v>〇</v>
      </c>
      <c r="P543" s="72" t="s">
        <v>4063</v>
      </c>
      <c r="Q543" s="71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 hidden="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IF(match_results_2!C544="完全一致","〇","×")</f>
        <v>×</v>
      </c>
      <c r="O544" t="str">
        <f>IF(match_results_2!C544="薬価一致候補","〇","×")</f>
        <v>〇</v>
      </c>
      <c r="P544" s="56">
        <f>IF(match_results_2!E544="","",match_results_2!E544)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 hidden="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IF(match_results_2!C545="完全一致","〇","×")</f>
        <v>×</v>
      </c>
      <c r="O545" t="str">
        <f>IF(match_results_2!C545="薬価一致候補","〇","×")</f>
        <v>〇</v>
      </c>
      <c r="P545" s="58">
        <v>464</v>
      </c>
      <c r="Q545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>
        <f>統合マスタ!AA548</f>
        <v>0</v>
      </c>
    </row>
    <row r="546" spans="1:21" hidden="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IF(match_results_2!C546="完全一致","〇","×")</f>
        <v>〇</v>
      </c>
      <c r="O546" t="str">
        <f>IF(match_results_2!C546="薬価一致候補","〇","×")</f>
        <v>×</v>
      </c>
      <c r="P546" s="58">
        <f>IF(match_results_2!E546="","",match_results_2!E546)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 hidden="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IF(match_results_2!C547="完全一致","〇","×")</f>
        <v>〇</v>
      </c>
      <c r="O547" t="str">
        <f>IF(match_results_2!C547="薬価一致候補","〇","×")</f>
        <v>×</v>
      </c>
      <c r="P547" s="58">
        <f>IF(match_results_2!E547="","",match_results_2!E547)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 hidden="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IF(match_results_2!C548="完全一致","〇","×")</f>
        <v>〇</v>
      </c>
      <c r="O548" t="str">
        <f>IF(match_results_2!C548="薬価一致候補","〇","×")</f>
        <v>×</v>
      </c>
      <c r="P548" s="58">
        <f>IF(match_results_2!E548="","",match_results_2!E548)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 hidden="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IF(match_results_2!C549="完全一致","〇","×")</f>
        <v>〇</v>
      </c>
      <c r="O549" t="str">
        <f>IF(match_results_2!C549="薬価一致候補","〇","×")</f>
        <v>×</v>
      </c>
      <c r="P549" s="58">
        <f>IF(match_results_2!E549="","",match_results_2!E549)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 hidden="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IF(match_results_2!C550="完全一致","〇","×")</f>
        <v>×</v>
      </c>
      <c r="O550" t="str">
        <f>IF(match_results_2!C550="薬価一致候補","〇","×")</f>
        <v>〇</v>
      </c>
      <c r="P550" s="56">
        <f>IF(match_results_2!E550="","",match_results_2!E550)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 hidden="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IF(match_results_2!C551="完全一致","〇","×")</f>
        <v>〇</v>
      </c>
      <c r="O551" t="str">
        <f>IF(match_results_2!C551="薬価一致候補","〇","×")</f>
        <v>×</v>
      </c>
      <c r="P551" s="58">
        <f>IF(match_results_2!E551="","",match_results_2!E551)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 hidden="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IF(match_results_2!C552="完全一致","〇","×")</f>
        <v>〇</v>
      </c>
      <c r="O552" t="str">
        <f>IF(match_results_2!C552="薬価一致候補","〇","×")</f>
        <v>×</v>
      </c>
      <c r="P552" s="58">
        <f>IF(match_results_2!E552="","",match_results_2!E552)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 hidden="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IF(match_results_2!C553="完全一致","〇","×")</f>
        <v>〇</v>
      </c>
      <c r="O553" t="str">
        <f>IF(match_results_2!C553="薬価一致候補","〇","×")</f>
        <v>×</v>
      </c>
      <c r="P553" s="58">
        <f>IF(match_results_2!E553="","",match_results_2!E553)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 hidden="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IF(match_results_2!C554="完全一致","〇","×")</f>
        <v>×</v>
      </c>
      <c r="O554" t="str">
        <f>IF(match_results_2!C554="薬価一致候補","〇","×")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 hidden="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IF(match_results_2!C555="完全一致","〇","×")</f>
        <v>〇</v>
      </c>
      <c r="O555" t="str">
        <f>IF(match_results_2!C555="薬価一致候補","〇","×")</f>
        <v>×</v>
      </c>
      <c r="P555" s="58">
        <f>IF(match_results_2!E555="","",match_results_2!E555)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 hidden="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IF(match_results_2!C556="完全一致","〇","×")</f>
        <v>〇</v>
      </c>
      <c r="O556" t="str">
        <f>IF(match_results_2!C556="薬価一致候補","〇","×")</f>
        <v>×</v>
      </c>
      <c r="P556" s="58">
        <f>IF(match_results_2!E556="","",match_results_2!E556)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 hidden="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IF(match_results_2!C557="完全一致","〇","×")</f>
        <v>〇</v>
      </c>
      <c r="O557" t="str">
        <f>IF(match_results_2!C557="薬価一致候補","〇","×")</f>
        <v>×</v>
      </c>
      <c r="P557" s="58">
        <f>IF(match_results_2!E557="","",match_results_2!E557)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 hidden="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IF(match_results_2!C558="完全一致","〇","×")</f>
        <v>〇</v>
      </c>
      <c r="O558" t="str">
        <f>IF(match_results_2!C558="薬価一致候補","〇","×")</f>
        <v>×</v>
      </c>
      <c r="P558" s="58">
        <f>IF(match_results_2!E558="","",match_results_2!E558)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 hidden="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IF(match_results_2!C559="完全一致","〇","×")</f>
        <v>〇</v>
      </c>
      <c r="O559" t="str">
        <f>IF(match_results_2!C559="薬価一致候補","〇","×")</f>
        <v>×</v>
      </c>
      <c r="P559" s="58">
        <f>IF(match_results_2!E559="","",match_results_2!E559)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 hidden="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IF(match_results_2!C560="完全一致","〇","×")</f>
        <v>〇</v>
      </c>
      <c r="O560" t="str">
        <f>IF(match_results_2!C560="薬価一致候補","〇","×")</f>
        <v>×</v>
      </c>
      <c r="P560" s="58">
        <f>IF(match_results_2!E560="","",match_results_2!E560)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 hidden="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IF(match_results_2!C561="完全一致","〇","×")</f>
        <v>〇</v>
      </c>
      <c r="O561" t="str">
        <f>IF(match_results_2!C561="薬価一致候補","〇","×")</f>
        <v>×</v>
      </c>
      <c r="P561" s="58">
        <f>IF(match_results_2!E561="","",match_results_2!E561)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 hidden="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IF(match_results_2!C562="完全一致","〇","×")</f>
        <v>〇</v>
      </c>
      <c r="O562" t="str">
        <f>IF(match_results_2!C562="薬価一致候補","〇","×")</f>
        <v>×</v>
      </c>
      <c r="P562" s="58">
        <f>IF(match_results_2!E562="","",match_results_2!E562)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 hidden="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IF(match_results_2!C563="完全一致","〇","×")</f>
        <v>×</v>
      </c>
      <c r="O563" t="str">
        <f>IF(match_results_2!C563="薬価一致候補","〇","×")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 hidden="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IF(match_results_2!C564="完全一致","〇","×")</f>
        <v>〇</v>
      </c>
      <c r="O564" t="str">
        <f>IF(match_results_2!C564="薬価一致候補","〇","×")</f>
        <v>×</v>
      </c>
      <c r="P564" s="58">
        <f>IF(match_results_2!E564="","",match_results_2!E564)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 hidden="1">
      <c r="A565" s="6" t="s">
        <v>4114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IF(match_results_2!C565="完全一致","〇","×")</f>
        <v>〇</v>
      </c>
      <c r="O565" t="str">
        <f>IF(match_results_2!C565="薬価一致候補","〇","×")</f>
        <v>×</v>
      </c>
      <c r="P565" s="58">
        <f>IF(match_results_2!E565="","",match_results_2!E565)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 hidden="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IF(match_results_2!C566="完全一致","〇","×")</f>
        <v>〇</v>
      </c>
      <c r="O566" t="str">
        <f>IF(match_results_2!C566="薬価一致候補","〇","×")</f>
        <v>×</v>
      </c>
      <c r="P566" s="58">
        <f>IF(match_results_2!E566="","",match_results_2!E566)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IF(match_results_2!C567="完全一致","〇","×")</f>
        <v>×</v>
      </c>
      <c r="O567" t="str">
        <f>IF(match_results_2!C567="薬価一致候補","〇","×")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 hidden="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IF(match_results_2!C568="完全一致","〇","×")</f>
        <v>〇</v>
      </c>
      <c r="O568" t="str">
        <f>IF(match_results_2!C568="薬価一致候補","〇","×")</f>
        <v>×</v>
      </c>
      <c r="P568" s="58">
        <f>IF(match_results_2!E568="","",match_results_2!E568)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 hidden="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IF(match_results_2!C569="完全一致","〇","×")</f>
        <v>〇</v>
      </c>
      <c r="O569" t="str">
        <f>IF(match_results_2!C569="薬価一致候補","〇","×")</f>
        <v>×</v>
      </c>
      <c r="P569" s="58">
        <f>IF(match_results_2!E569="","",match_results_2!E569)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 hidden="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IF(match_results_2!C570="完全一致","〇","×")</f>
        <v>〇</v>
      </c>
      <c r="O570" t="str">
        <f>IF(match_results_2!C570="薬価一致候補","〇","×")</f>
        <v>×</v>
      </c>
      <c r="P570" s="58">
        <f>IF(match_results_2!E570="","",match_results_2!E570)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 hidden="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IF(match_results_2!C571="完全一致","〇","×")</f>
        <v>〇</v>
      </c>
      <c r="O571" t="str">
        <f>IF(match_results_2!C571="薬価一致候補","〇","×")</f>
        <v>×</v>
      </c>
      <c r="P571" s="58">
        <f>IF(match_results_2!E571="","",match_results_2!E571)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 hidden="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IF(match_results_2!C572="完全一致","〇","×")</f>
        <v>〇</v>
      </c>
      <c r="O572" t="str">
        <f>IF(match_results_2!C572="薬価一致候補","〇","×")</f>
        <v>×</v>
      </c>
      <c r="P572" s="58">
        <f>IF(match_results_2!E572="","",match_results_2!E572)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 hidden="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IF(match_results_2!C573="完全一致","〇","×")</f>
        <v>〇</v>
      </c>
      <c r="O573" t="str">
        <f>IF(match_results_2!C573="薬価一致候補","〇","×")</f>
        <v>×</v>
      </c>
      <c r="P573" s="58">
        <f>IF(match_results_2!E573="","",match_results_2!E573)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 hidden="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IF(match_results_2!C574="完全一致","〇","×")</f>
        <v>〇</v>
      </c>
      <c r="O574" t="str">
        <f>IF(match_results_2!C574="薬価一致候補","〇","×")</f>
        <v>×</v>
      </c>
      <c r="P574" s="58">
        <f>IF(match_results_2!E574="","",match_results_2!E574)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 hidden="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IF(match_results_2!C575="完全一致","〇","×")</f>
        <v>〇</v>
      </c>
      <c r="O575" t="str">
        <f>IF(match_results_2!C575="薬価一致候補","〇","×")</f>
        <v>×</v>
      </c>
      <c r="P575" s="58">
        <f>IF(match_results_2!E575="","",match_results_2!E575)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 hidden="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IF(match_results_2!C576="完全一致","〇","×")</f>
        <v>〇</v>
      </c>
      <c r="O576" t="str">
        <f>IF(match_results_2!C576="薬価一致候補","〇","×")</f>
        <v>×</v>
      </c>
      <c r="P576" s="58">
        <f>IF(match_results_2!E576="","",match_results_2!E576)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 hidden="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IF(match_results_2!C577="完全一致","〇","×")</f>
        <v>〇</v>
      </c>
      <c r="O577" t="str">
        <f>IF(match_results_2!C577="薬価一致候補","〇","×")</f>
        <v>×</v>
      </c>
      <c r="P577" s="58">
        <f>IF(match_results_2!E577="","",match_results_2!E577)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 hidden="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IF(match_results_2!C578="完全一致","〇","×")</f>
        <v>×</v>
      </c>
      <c r="O578" t="str">
        <f>IF(match_results_2!C578="薬価一致候補","〇","×")</f>
        <v>〇</v>
      </c>
      <c r="P578" s="56">
        <f>IF(match_results_2!E578="","",match_results_2!E578)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 hidden="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IF(match_results_2!C579="完全一致","〇","×")</f>
        <v>×</v>
      </c>
      <c r="O579" t="str">
        <f>IF(match_results_2!C579="薬価一致候補","〇","×")</f>
        <v>〇</v>
      </c>
      <c r="P579" s="56">
        <f>IF(match_results_2!E579="","",match_results_2!E579)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 hidden="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IF(match_results_2!C580="完全一致","〇","×")</f>
        <v>〇</v>
      </c>
      <c r="O580" t="str">
        <f>IF(match_results_2!C580="薬価一致候補","〇","×")</f>
        <v>×</v>
      </c>
      <c r="P580" s="58">
        <f>IF(match_results_2!E580="","",match_results_2!E580)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 hidden="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IF(match_results_2!C581="完全一致","〇","×")</f>
        <v>×</v>
      </c>
      <c r="O581" t="str">
        <f>IF(match_results_2!C581="薬価一致候補","〇","×")</f>
        <v>〇</v>
      </c>
      <c r="P581" s="56">
        <f>IF(match_results_2!E581="","",match_results_2!E581)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 hidden="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IF(match_results_2!C582="完全一致","〇","×")</f>
        <v>〇</v>
      </c>
      <c r="O582" t="str">
        <f>IF(match_results_2!C582="薬価一致候補","〇","×")</f>
        <v>×</v>
      </c>
      <c r="P582" s="58">
        <f>IF(match_results_2!E582="","",match_results_2!E582)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 hidden="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IF(match_results_2!C583="完全一致","〇","×")</f>
        <v>〇</v>
      </c>
      <c r="O583" t="str">
        <f>IF(match_results_2!C583="薬価一致候補","〇","×")</f>
        <v>×</v>
      </c>
      <c r="P583" s="58">
        <f>IF(match_results_2!E583="","",match_results_2!E583)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 hidden="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IF(match_results_2!C584="完全一致","〇","×")</f>
        <v>〇</v>
      </c>
      <c r="O584" t="str">
        <f>IF(match_results_2!C584="薬価一致候補","〇","×")</f>
        <v>×</v>
      </c>
      <c r="P584" s="58">
        <f>IF(match_results_2!E584="","",match_results_2!E584)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 hidden="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IF(match_results_2!C585="完全一致","〇","×")</f>
        <v>×</v>
      </c>
      <c r="O585" t="str">
        <f>IF(match_results_2!C585="薬価一致候補","〇","×")</f>
        <v>〇</v>
      </c>
      <c r="P585" s="56">
        <f>IF(match_results_2!E585="","",match_results_2!E585)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 hidden="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IF(match_results_2!C586="完全一致","〇","×")</f>
        <v>〇</v>
      </c>
      <c r="O586" t="str">
        <f>IF(match_results_2!C586="薬価一致候補","〇","×")</f>
        <v>×</v>
      </c>
      <c r="P586" s="58">
        <f>IF(match_results_2!E586="","",match_results_2!E586)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 hidden="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IF(match_results_2!C587="完全一致","〇","×")</f>
        <v>〇</v>
      </c>
      <c r="O587" t="str">
        <f>IF(match_results_2!C587="薬価一致候補","〇","×")</f>
        <v>×</v>
      </c>
      <c r="P587" s="58">
        <f>IF(match_results_2!E587="","",match_results_2!E587)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 hidden="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IF(match_results_2!C588="完全一致","〇","×")</f>
        <v>×</v>
      </c>
      <c r="O588" t="str">
        <f>IF(match_results_2!C588="薬価一致候補","〇","×")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 hidden="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IF(match_results_2!C589="完全一致","〇","×")</f>
        <v>〇</v>
      </c>
      <c r="O589" t="str">
        <f>IF(match_results_2!C589="薬価一致候補","〇","×")</f>
        <v>×</v>
      </c>
      <c r="P589" s="58">
        <f>IF(match_results_2!E589="","",match_results_2!E589)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 hidden="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IF(match_results_2!C590="完全一致","〇","×")</f>
        <v>×</v>
      </c>
      <c r="O590" t="str">
        <f>IF(match_results_2!C590="薬価一致候補","〇","×")</f>
        <v>×</v>
      </c>
      <c r="P590" s="72" t="s">
        <v>4074</v>
      </c>
      <c r="Q590" s="71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 hidden="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IF(match_results_2!C591="完全一致","〇","×")</f>
        <v>×</v>
      </c>
      <c r="O591" t="str">
        <f>IF(match_results_2!C591="薬価一致候補","〇","×")</f>
        <v>〇</v>
      </c>
      <c r="P591" s="56">
        <f>IF(match_results_2!E591="","",match_results_2!E591)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 hidden="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IF(match_results_2!C592="完全一致","〇","×")</f>
        <v>×</v>
      </c>
      <c r="O592" t="str">
        <f>IF(match_results_2!C592="薬価一致候補","〇","×")</f>
        <v>〇</v>
      </c>
      <c r="P592" s="56">
        <f>IF(match_results_2!E592="","",match_results_2!E592)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 hidden="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IF(match_results_2!C593="完全一致","〇","×")</f>
        <v>×</v>
      </c>
      <c r="O593" t="str">
        <f>IF(match_results_2!C593="薬価一致候補","〇","×")</f>
        <v>〇</v>
      </c>
      <c r="P593" s="56">
        <f>IF(match_results_2!E593="","",match_results_2!E593)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 hidden="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IF(match_results_2!C594="完全一致","〇","×")</f>
        <v>〇</v>
      </c>
      <c r="O594" t="str">
        <f>IF(match_results_2!C594="薬価一致候補","〇","×")</f>
        <v>×</v>
      </c>
      <c r="P594" s="58">
        <f>IF(match_results_2!E594="","",match_results_2!E594)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 hidden="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IF(match_results_2!C595="完全一致","〇","×")</f>
        <v>×</v>
      </c>
      <c r="O595" t="str">
        <f>IF(match_results_2!C595="薬価一致候補","〇","×")</f>
        <v>〇</v>
      </c>
      <c r="P595" s="56">
        <f>IF(match_results_2!E595="","",match_results_2!E595)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 hidden="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IF(match_results_2!C596="完全一致","〇","×")</f>
        <v>×</v>
      </c>
      <c r="O596" t="str">
        <f>IF(match_results_2!C596="薬価一致候補","〇","×")</f>
        <v>〇</v>
      </c>
      <c r="P596" s="56">
        <f>IF(match_results_2!E596="","",match_results_2!E596)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 hidden="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IF(match_results_2!C597="完全一致","〇","×")</f>
        <v>〇</v>
      </c>
      <c r="O597" t="str">
        <f>IF(match_results_2!C597="薬価一致候補","〇","×")</f>
        <v>×</v>
      </c>
      <c r="P597" s="58">
        <f>IF(match_results_2!E597="","",match_results_2!E597)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 hidden="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IF(match_results_2!C598="完全一致","〇","×")</f>
        <v>〇</v>
      </c>
      <c r="O598" t="str">
        <f>IF(match_results_2!C598="薬価一致候補","〇","×")</f>
        <v>×</v>
      </c>
      <c r="P598" s="58">
        <f>IF(match_results_2!E598="","",match_results_2!E598)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 hidden="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IF(match_results_2!C599="完全一致","〇","×")</f>
        <v>〇</v>
      </c>
      <c r="O599" t="str">
        <f>IF(match_results_2!C599="薬価一致候補","〇","×")</f>
        <v>×</v>
      </c>
      <c r="P599" s="58">
        <f>IF(match_results_2!E599="","",match_results_2!E599)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 hidden="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IF(match_results_2!C600="完全一致","〇","×")</f>
        <v>〇</v>
      </c>
      <c r="O600" t="str">
        <f>IF(match_results_2!C600="薬価一致候補","〇","×")</f>
        <v>×</v>
      </c>
      <c r="P600" s="58">
        <f>IF(match_results_2!E600="","",match_results_2!E600)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 hidden="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IF(match_results_2!C601="完全一致","〇","×")</f>
        <v>〇</v>
      </c>
      <c r="O601" t="str">
        <f>IF(match_results_2!C601="薬価一致候補","〇","×")</f>
        <v>×</v>
      </c>
      <c r="P601" s="58">
        <f>IF(match_results_2!E601="","",match_results_2!E601)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 hidden="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IF(match_results_2!C602="完全一致","〇","×")</f>
        <v>〇</v>
      </c>
      <c r="O602" t="str">
        <f>IF(match_results_2!C602="薬価一致候補","〇","×")</f>
        <v>×</v>
      </c>
      <c r="P602" s="58">
        <f>IF(match_results_2!E602="","",match_results_2!E602)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 hidden="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IF(match_results_2!C603="完全一致","〇","×")</f>
        <v>×</v>
      </c>
      <c r="O603" t="str">
        <f>IF(match_results_2!C603="薬価一致候補","〇","×")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 hidden="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IF(match_results_2!C604="完全一致","〇","×")</f>
        <v>〇</v>
      </c>
      <c r="O604" t="str">
        <f>IF(match_results_2!C604="薬価一致候補","〇","×")</f>
        <v>×</v>
      </c>
      <c r="P604" s="58">
        <f>IF(match_results_2!E604="","",match_results_2!E604)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 hidden="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IF(match_results_2!C605="完全一致","〇","×")</f>
        <v>〇</v>
      </c>
      <c r="O605" t="str">
        <f>IF(match_results_2!C605="薬価一致候補","〇","×")</f>
        <v>×</v>
      </c>
      <c r="P605" s="58">
        <f>IF(match_results_2!E605="","",match_results_2!E605)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 hidden="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IF(match_results_2!C606="完全一致","〇","×")</f>
        <v>〇</v>
      </c>
      <c r="O606" t="str">
        <f>IF(match_results_2!C606="薬価一致候補","〇","×")</f>
        <v>×</v>
      </c>
      <c r="P606" s="58">
        <f>IF(match_results_2!E606="","",match_results_2!E606)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 hidden="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IF(match_results_2!C607="完全一致","〇","×")</f>
        <v>〇</v>
      </c>
      <c r="O607" t="str">
        <f>IF(match_results_2!C607="薬価一致候補","〇","×")</f>
        <v>×</v>
      </c>
      <c r="P607" s="58">
        <f>IF(match_results_2!E607="","",match_results_2!E607)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 hidden="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IF(match_results_2!C608="完全一致","〇","×")</f>
        <v>×</v>
      </c>
      <c r="O608" t="str">
        <f>IF(match_results_2!C608="薬価一致候補","〇","×")</f>
        <v>〇</v>
      </c>
      <c r="P608" s="56">
        <f>IF(match_results_2!E608="","",match_results_2!E608)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 hidden="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IF(match_results_2!C609="完全一致","〇","×")</f>
        <v>×</v>
      </c>
      <c r="O609" t="str">
        <f>IF(match_results_2!C609="薬価一致候補","〇","×")</f>
        <v>〇</v>
      </c>
      <c r="P609" s="56">
        <f>IF(match_results_2!E609="","",match_results_2!E609)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 hidden="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IF(match_results_2!C610="完全一致","〇","×")</f>
        <v>〇</v>
      </c>
      <c r="O610" t="str">
        <f>IF(match_results_2!C610="薬価一致候補","〇","×")</f>
        <v>×</v>
      </c>
      <c r="P610" s="58">
        <f>IF(match_results_2!E610="","",match_results_2!E610)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 hidden="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IF(match_results_2!C611="完全一致","〇","×")</f>
        <v>×</v>
      </c>
      <c r="O611" t="str">
        <f>IF(match_results_2!C611="薬価一致候補","〇","×")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 hidden="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IF(match_results_2!C612="完全一致","〇","×")</f>
        <v>×</v>
      </c>
      <c r="O612" t="str">
        <f>IF(match_results_2!C612="薬価一致候補","〇","×")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 hidden="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IF(match_results_2!C613="完全一致","〇","×")</f>
        <v>×</v>
      </c>
      <c r="O613" t="str">
        <f>IF(match_results_2!C613="薬価一致候補","〇","×")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 hidden="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IF(match_results_2!C614="完全一致","〇","×")</f>
        <v>〇</v>
      </c>
      <c r="O614" t="str">
        <f>IF(match_results_2!C614="薬価一致候補","〇","×")</f>
        <v>×</v>
      </c>
      <c r="P614" s="58">
        <f>IF(match_results_2!E614="","",match_results_2!E614)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 hidden="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IF(match_results_2!C615="完全一致","〇","×")</f>
        <v>×</v>
      </c>
      <c r="O615" t="str">
        <f>IF(match_results_2!C615="薬価一致候補","〇","×")</f>
        <v>〇</v>
      </c>
      <c r="P615" s="56">
        <f>IF(match_results_2!E615="","",match_results_2!E615)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 hidden="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IF(match_results_2!C616="完全一致","〇","×")</f>
        <v>〇</v>
      </c>
      <c r="O616" t="str">
        <f>IF(match_results_2!C616="薬価一致候補","〇","×")</f>
        <v>×</v>
      </c>
      <c r="P616" s="58">
        <f>IF(match_results_2!E616="","",match_results_2!E616)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 hidden="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IF(match_results_2!C617="完全一致","〇","×")</f>
        <v>×</v>
      </c>
      <c r="O617" t="str">
        <f>IF(match_results_2!C617="薬価一致候補","〇","×")</f>
        <v>〇</v>
      </c>
      <c r="P617" s="56">
        <f>IF(match_results_2!E617="","",match_results_2!E617)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 hidden="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IF(match_results_2!C618="完全一致","〇","×")</f>
        <v>×</v>
      </c>
      <c r="O618" t="str">
        <f>IF(match_results_2!C618="薬価一致候補","〇","×")</f>
        <v>〇</v>
      </c>
      <c r="P618" s="56">
        <f>IF(match_results_2!E618="","",match_results_2!E618)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 hidden="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IF(match_results_2!C619="完全一致","〇","×")</f>
        <v>×</v>
      </c>
      <c r="O619" t="str">
        <f>IF(match_results_2!C619="薬価一致候補","〇","×")</f>
        <v>〇</v>
      </c>
      <c r="P619" s="56">
        <f>IF(match_results_2!E619="","",match_results_2!E619)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IF(match_results_2!C620="完全一致","〇","×")</f>
        <v>×</v>
      </c>
      <c r="O620" t="str">
        <f>IF(match_results_2!C620="薬価一致候補","〇","×")</f>
        <v>〇</v>
      </c>
      <c r="P620" s="59"/>
      <c r="Q620" s="60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 hidden="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IF(match_results_2!C621="完全一致","〇","×")</f>
        <v>〇</v>
      </c>
      <c r="O621" t="str">
        <f>IF(match_results_2!C621="薬価一致候補","〇","×")</f>
        <v>×</v>
      </c>
      <c r="P621" s="58">
        <f>IF(match_results_2!E621="","",match_results_2!E621)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 hidden="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IF(match_results_2!C622="完全一致","〇","×")</f>
        <v>〇</v>
      </c>
      <c r="O622" t="str">
        <f>IF(match_results_2!C622="薬価一致候補","〇","×")</f>
        <v>×</v>
      </c>
      <c r="P622" s="58">
        <f>IF(match_results_2!E622="","",match_results_2!E622)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 hidden="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IF(match_results_2!C623="完全一致","〇","×")</f>
        <v>×</v>
      </c>
      <c r="O623" t="str">
        <f>IF(match_results_2!C623="薬価一致候補","〇","×")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 hidden="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IF(match_results_2!C624="完全一致","〇","×")</f>
        <v>〇</v>
      </c>
      <c r="O624" t="str">
        <f>IF(match_results_2!C624="薬価一致候補","〇","×")</f>
        <v>×</v>
      </c>
      <c r="P624" s="58">
        <f>IF(match_results_2!E624="","",match_results_2!E624)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 hidden="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IF(match_results_2!C625="完全一致","〇","×")</f>
        <v>〇</v>
      </c>
      <c r="O625" t="str">
        <f>IF(match_results_2!C625="薬価一致候補","〇","×")</f>
        <v>×</v>
      </c>
      <c r="P625" s="58">
        <f>IF(match_results_2!E625="","",match_results_2!E625)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 hidden="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IF(match_results_2!C626="完全一致","〇","×")</f>
        <v>〇</v>
      </c>
      <c r="O626" t="str">
        <f>IF(match_results_2!C626="薬価一致候補","〇","×")</f>
        <v>×</v>
      </c>
      <c r="P626" s="58">
        <f>IF(match_results_2!E626="","",match_results_2!E626)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 hidden="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IF(match_results_2!C627="完全一致","〇","×")</f>
        <v>×</v>
      </c>
      <c r="O627" t="str">
        <f>IF(match_results_2!C627="薬価一致候補","〇","×")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 hidden="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IF(match_results_2!C628="完全一致","〇","×")</f>
        <v>〇</v>
      </c>
      <c r="O628" t="str">
        <f>IF(match_results_2!C628="薬価一致候補","〇","×")</f>
        <v>×</v>
      </c>
      <c r="P628" s="58">
        <f>IF(match_results_2!E628="","",match_results_2!E628)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 hidden="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IF(match_results_2!C629="完全一致","〇","×")</f>
        <v>〇</v>
      </c>
      <c r="O629" t="str">
        <f>IF(match_results_2!C629="薬価一致候補","〇","×")</f>
        <v>×</v>
      </c>
      <c r="P629" s="58">
        <f>IF(match_results_2!E629="","",match_results_2!E629)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 hidden="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IF(match_results_2!C630="完全一致","〇","×")</f>
        <v>〇</v>
      </c>
      <c r="O630" t="str">
        <f>IF(match_results_2!C630="薬価一致候補","〇","×")</f>
        <v>×</v>
      </c>
      <c r="P630" s="58">
        <f>IF(match_results_2!E630="","",match_results_2!E630)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 hidden="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IF(match_results_2!C631="完全一致","〇","×")</f>
        <v>〇</v>
      </c>
      <c r="O631" t="str">
        <f>IF(match_results_2!C631="薬価一致候補","〇","×")</f>
        <v>×</v>
      </c>
      <c r="P631" s="58">
        <f>IF(match_results_2!E631="","",match_results_2!E631)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 hidden="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IF(match_results_2!C632="完全一致","〇","×")</f>
        <v>〇</v>
      </c>
      <c r="O632" t="str">
        <f>IF(match_results_2!C632="薬価一致候補","〇","×")</f>
        <v>×</v>
      </c>
      <c r="P632" s="58">
        <f>IF(match_results_2!E632="","",match_results_2!E632)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 hidden="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IF(match_results_2!C633="完全一致","〇","×")</f>
        <v>〇</v>
      </c>
      <c r="O633" t="str">
        <f>IF(match_results_2!C633="薬価一致候補","〇","×")</f>
        <v>×</v>
      </c>
      <c r="P633" s="58">
        <f>IF(match_results_2!E633="","",match_results_2!E633)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 hidden="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IF(match_results_2!C634="完全一致","〇","×")</f>
        <v>〇</v>
      </c>
      <c r="O634" t="str">
        <f>IF(match_results_2!C634="薬価一致候補","〇","×")</f>
        <v>×</v>
      </c>
      <c r="P634" s="58">
        <f>IF(match_results_2!E634="","",match_results_2!E634)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 hidden="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IF(match_results_2!C635="完全一致","〇","×")</f>
        <v>×</v>
      </c>
      <c r="O635" t="str">
        <f>IF(match_results_2!C635="薬価一致候補","〇","×")</f>
        <v>〇</v>
      </c>
      <c r="P635" s="72" t="s">
        <v>4063</v>
      </c>
      <c r="Q635" s="71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 hidden="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IF(match_results_2!C636="完全一致","〇","×")</f>
        <v>〇</v>
      </c>
      <c r="O636" t="str">
        <f>IF(match_results_2!C636="薬価一致候補","〇","×")</f>
        <v>×</v>
      </c>
      <c r="P636" s="58">
        <f>IF(match_results_2!E636="","",match_results_2!E636)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 hidden="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IF(match_results_2!C637="完全一致","〇","×")</f>
        <v>〇</v>
      </c>
      <c r="O637" t="str">
        <f>IF(match_results_2!C637="薬価一致候補","〇","×")</f>
        <v>×</v>
      </c>
      <c r="P637" s="58">
        <f>IF(match_results_2!E637="","",match_results_2!E637)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 hidden="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IF(match_results_2!C638="完全一致","〇","×")</f>
        <v>〇</v>
      </c>
      <c r="O638" t="str">
        <f>IF(match_results_2!C638="薬価一致候補","〇","×")</f>
        <v>×</v>
      </c>
      <c r="P638" s="58">
        <f>IF(match_results_2!E638="","",match_results_2!E638)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 hidden="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IF(match_results_2!C639="完全一致","〇","×")</f>
        <v>〇</v>
      </c>
      <c r="O639" t="str">
        <f>IF(match_results_2!C639="薬価一致候補","〇","×")</f>
        <v>×</v>
      </c>
      <c r="P639" s="58">
        <f>IF(match_results_2!E639="","",match_results_2!E639)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 hidden="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IF(match_results_2!C640="完全一致","〇","×")</f>
        <v>〇</v>
      </c>
      <c r="O640" t="str">
        <f>IF(match_results_2!C640="薬価一致候補","〇","×")</f>
        <v>×</v>
      </c>
      <c r="P640" s="58">
        <f>IF(match_results_2!E640="","",match_results_2!E640)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 hidden="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IF(match_results_2!C641="完全一致","〇","×")</f>
        <v>〇</v>
      </c>
      <c r="O641" t="str">
        <f>IF(match_results_2!C641="薬価一致候補","〇","×")</f>
        <v>×</v>
      </c>
      <c r="P641" s="58">
        <f>IF(match_results_2!E641="","",match_results_2!E641)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 hidden="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IF(match_results_2!C642="完全一致","〇","×")</f>
        <v>〇</v>
      </c>
      <c r="O642" t="str">
        <f>IF(match_results_2!C642="薬価一致候補","〇","×")</f>
        <v>×</v>
      </c>
      <c r="P642" s="58">
        <f>IF(match_results_2!E642="","",match_results_2!E642)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 hidden="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IF(match_results_2!C643="完全一致","〇","×")</f>
        <v>〇</v>
      </c>
      <c r="O643" t="str">
        <f>IF(match_results_2!C643="薬価一致候補","〇","×")</f>
        <v>×</v>
      </c>
      <c r="P643" s="58">
        <f>IF(match_results_2!E643="","",match_results_2!E643)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 hidden="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IF(match_results_2!C644="完全一致","〇","×")</f>
        <v>〇</v>
      </c>
      <c r="O644" t="str">
        <f>IF(match_results_2!C644="薬価一致候補","〇","×")</f>
        <v>×</v>
      </c>
      <c r="P644" s="58">
        <f>IF(match_results_2!E644="","",match_results_2!E644)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 hidden="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IF(match_results_2!C645="完全一致","〇","×")</f>
        <v>〇</v>
      </c>
      <c r="O645" t="str">
        <f>IF(match_results_2!C645="薬価一致候補","〇","×")</f>
        <v>×</v>
      </c>
      <c r="P645" s="58">
        <f>IF(match_results_2!E645="","",match_results_2!E645)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 hidden="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IF(match_results_2!C646="完全一致","〇","×")</f>
        <v>〇</v>
      </c>
      <c r="O646" t="str">
        <f>IF(match_results_2!C646="薬価一致候補","〇","×")</f>
        <v>×</v>
      </c>
      <c r="P646" s="58">
        <f>IF(match_results_2!E646="","",match_results_2!E646)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 hidden="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IF(match_results_2!C647="完全一致","〇","×")</f>
        <v>×</v>
      </c>
      <c r="O647" t="str">
        <f>IF(match_results_2!C647="薬価一致候補","〇","×")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 hidden="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IF(match_results_2!C648="完全一致","〇","×")</f>
        <v>〇</v>
      </c>
      <c r="O648" t="str">
        <f>IF(match_results_2!C648="薬価一致候補","〇","×")</f>
        <v>×</v>
      </c>
      <c r="P648" s="58">
        <f>IF(match_results_2!E648="","",match_results_2!E648)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 hidden="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IF(match_results_2!C649="完全一致","〇","×")</f>
        <v>〇</v>
      </c>
      <c r="O649" t="str">
        <f>IF(match_results_2!C649="薬価一致候補","〇","×")</f>
        <v>×</v>
      </c>
      <c r="P649" s="58">
        <f>IF(match_results_2!E649="","",match_results_2!E649)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 hidden="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IF(match_results_2!C650="完全一致","〇","×")</f>
        <v>〇</v>
      </c>
      <c r="O650" t="str">
        <f>IF(match_results_2!C650="薬価一致候補","〇","×")</f>
        <v>×</v>
      </c>
      <c r="P650" s="58">
        <f>IF(match_results_2!E650="","",match_results_2!E650)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 hidden="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IF(match_results_2!C651="完全一致","〇","×")</f>
        <v>〇</v>
      </c>
      <c r="O651" t="str">
        <f>IF(match_results_2!C651="薬価一致候補","〇","×")</f>
        <v>×</v>
      </c>
      <c r="P651" s="58">
        <f>IF(match_results_2!E651="","",match_results_2!E651)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 hidden="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IF(match_results_2!C652="完全一致","〇","×")</f>
        <v>〇</v>
      </c>
      <c r="O652" t="str">
        <f>IF(match_results_2!C652="薬価一致候補","〇","×")</f>
        <v>×</v>
      </c>
      <c r="P652" s="58">
        <f>IF(match_results_2!E652="","",match_results_2!E652)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 hidden="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IF(match_results_2!C653="完全一致","〇","×")</f>
        <v>×</v>
      </c>
      <c r="O653" t="str">
        <f>IF(match_results_2!C653="薬価一致候補","〇","×")</f>
        <v>〇</v>
      </c>
      <c r="P653" s="56">
        <f>IF(match_results_2!E653="","",match_results_2!E653)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 hidden="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IF(match_results_2!C654="完全一致","〇","×")</f>
        <v>〇</v>
      </c>
      <c r="O654" t="str">
        <f>IF(match_results_2!C654="薬価一致候補","〇","×")</f>
        <v>×</v>
      </c>
      <c r="P654" s="58">
        <f>IF(match_results_2!E654="","",match_results_2!E654)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 hidden="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IF(match_results_2!C655="完全一致","〇","×")</f>
        <v>〇</v>
      </c>
      <c r="O655" t="str">
        <f>IF(match_results_2!C655="薬価一致候補","〇","×")</f>
        <v>×</v>
      </c>
      <c r="P655" s="58">
        <f>IF(match_results_2!E655="","",match_results_2!E655)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 hidden="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IF(match_results_2!C656="完全一致","〇","×")</f>
        <v>〇</v>
      </c>
      <c r="O656" t="str">
        <f>IF(match_results_2!C656="薬価一致候補","〇","×")</f>
        <v>×</v>
      </c>
      <c r="P656" s="58">
        <f>IF(match_results_2!E656="","",match_results_2!E656)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 hidden="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IF(match_results_2!C657="完全一致","〇","×")</f>
        <v>〇</v>
      </c>
      <c r="O657" t="str">
        <f>IF(match_results_2!C657="薬価一致候補","〇","×")</f>
        <v>×</v>
      </c>
      <c r="P657" s="58">
        <f>IF(match_results_2!E657="","",match_results_2!E657)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 hidden="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IF(match_results_2!C658="完全一致","〇","×")</f>
        <v>〇</v>
      </c>
      <c r="O658" t="str">
        <f>IF(match_results_2!C658="薬価一致候補","〇","×")</f>
        <v>×</v>
      </c>
      <c r="P658" s="58">
        <f>IF(match_results_2!E658="","",match_results_2!E658)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 hidden="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IF(match_results_2!C659="完全一致","〇","×")</f>
        <v>〇</v>
      </c>
      <c r="O659" t="str">
        <f>IF(match_results_2!C659="薬価一致候補","〇","×")</f>
        <v>×</v>
      </c>
      <c r="P659" s="58">
        <f>IF(match_results_2!E659="","",match_results_2!E659)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 hidden="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IF(match_results_2!C660="完全一致","〇","×")</f>
        <v>〇</v>
      </c>
      <c r="O660" t="str">
        <f>IF(match_results_2!C660="薬価一致候補","〇","×")</f>
        <v>×</v>
      </c>
      <c r="P660" s="58">
        <f>IF(match_results_2!E660="","",match_results_2!E660)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 hidden="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IF(match_results_2!C661="完全一致","〇","×")</f>
        <v>〇</v>
      </c>
      <c r="O661" t="str">
        <f>IF(match_results_2!C661="薬価一致候補","〇","×")</f>
        <v>×</v>
      </c>
      <c r="P661" s="58">
        <f>IF(match_results_2!E661="","",match_results_2!E661)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 hidden="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IF(match_results_2!C662="完全一致","〇","×")</f>
        <v>〇</v>
      </c>
      <c r="O662" t="str">
        <f>IF(match_results_2!C662="薬価一致候補","〇","×")</f>
        <v>×</v>
      </c>
      <c r="P662" s="58">
        <f>IF(match_results_2!E662="","",match_results_2!E662)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 hidden="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IF(match_results_2!C663="完全一致","〇","×")</f>
        <v>〇</v>
      </c>
      <c r="O663" t="str">
        <f>IF(match_results_2!C663="薬価一致候補","〇","×")</f>
        <v>×</v>
      </c>
      <c r="P663" s="58">
        <f>IF(match_results_2!E663="","",match_results_2!E663)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 hidden="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IF(match_results_2!C664="完全一致","〇","×")</f>
        <v>〇</v>
      </c>
      <c r="O664" t="str">
        <f>IF(match_results_2!C664="薬価一致候補","〇","×")</f>
        <v>×</v>
      </c>
      <c r="P664" s="58">
        <f>IF(match_results_2!E664="","",match_results_2!E664)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 hidden="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IF(match_results_2!C665="完全一致","〇","×")</f>
        <v>×</v>
      </c>
      <c r="O665" t="str">
        <f>IF(match_results_2!C665="薬価一致候補","〇","×")</f>
        <v>〇</v>
      </c>
      <c r="P665" s="56">
        <f>IF(match_results_2!E665="","",match_results_2!E665)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 hidden="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IF(match_results_2!C666="完全一致","〇","×")</f>
        <v>〇</v>
      </c>
      <c r="O666" t="str">
        <f>IF(match_results_2!C666="薬価一致候補","〇","×")</f>
        <v>×</v>
      </c>
      <c r="P666" s="58">
        <f>IF(match_results_2!E666="","",match_results_2!E666)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 hidden="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IF(match_results_2!C667="完全一致","〇","×")</f>
        <v>〇</v>
      </c>
      <c r="O667" t="str">
        <f>IF(match_results_2!C667="薬価一致候補","〇","×")</f>
        <v>×</v>
      </c>
      <c r="P667" s="58">
        <f>IF(match_results_2!E667="","",match_results_2!E667)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 hidden="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IF(match_results_2!C668="完全一致","〇","×")</f>
        <v>×</v>
      </c>
      <c r="O668" t="str">
        <f>IF(match_results_2!C668="薬価一致候補","〇","×")</f>
        <v>×</v>
      </c>
      <c r="P668" s="72" t="s">
        <v>4074</v>
      </c>
      <c r="Q668" s="71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 hidden="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IF(match_results_2!C669="完全一致","〇","×")</f>
        <v>〇</v>
      </c>
      <c r="O669" t="str">
        <f>IF(match_results_2!C669="薬価一致候補","〇","×")</f>
        <v>×</v>
      </c>
      <c r="P669" s="58">
        <f>IF(match_results_2!E669="","",match_results_2!E669)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 hidden="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IF(match_results_2!C670="完全一致","〇","×")</f>
        <v>〇</v>
      </c>
      <c r="O670" t="str">
        <f>IF(match_results_2!C670="薬価一致候補","〇","×")</f>
        <v>×</v>
      </c>
      <c r="P670" s="58">
        <f>IF(match_results_2!E670="","",match_results_2!E670)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 hidden="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IF(match_results_2!C671="完全一致","〇","×")</f>
        <v>〇</v>
      </c>
      <c r="O671" t="str">
        <f>IF(match_results_2!C671="薬価一致候補","〇","×")</f>
        <v>×</v>
      </c>
      <c r="P671" s="58">
        <f>IF(match_results_2!E671="","",match_results_2!E671)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 hidden="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IF(match_results_2!C672="完全一致","〇","×")</f>
        <v>〇</v>
      </c>
      <c r="O672" t="str">
        <f>IF(match_results_2!C672="薬価一致候補","〇","×")</f>
        <v>×</v>
      </c>
      <c r="P672" s="58">
        <f>IF(match_results_2!E672="","",match_results_2!E672)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 hidden="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IF(match_results_2!C673="完全一致","〇","×")</f>
        <v>×</v>
      </c>
      <c r="O673" t="str">
        <f>IF(match_results_2!C673="薬価一致候補","〇","×")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 hidden="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IF(match_results_2!C674="完全一致","〇","×")</f>
        <v>×</v>
      </c>
      <c r="O674" t="str">
        <f>IF(match_results_2!C674="薬価一致候補","〇","×")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 hidden="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IF(match_results_2!C675="完全一致","〇","×")</f>
        <v>〇</v>
      </c>
      <c r="O675" t="str">
        <f>IF(match_results_2!C675="薬価一致候補","〇","×")</f>
        <v>×</v>
      </c>
      <c r="P675" s="58">
        <f>IF(match_results_2!E675="","",match_results_2!E675)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 hidden="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IF(match_results_2!C676="完全一致","〇","×")</f>
        <v>×</v>
      </c>
      <c r="O676" t="str">
        <f>IF(match_results_2!C676="薬価一致候補","〇","×")</f>
        <v>〇</v>
      </c>
      <c r="P676" s="59">
        <f>IF(match_results_2!E676="","",match_results_2!E676)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 hidden="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IF(match_results_2!C677="完全一致","〇","×")</f>
        <v>×</v>
      </c>
      <c r="O677" t="str">
        <f>IF(match_results_2!C677="薬価一致候補","〇","×")</f>
        <v>〇</v>
      </c>
      <c r="P677" s="59">
        <f>IF(match_results_2!E677="","",match_results_2!E677)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 hidden="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IF(match_results_2!C678="完全一致","〇","×")</f>
        <v>〇</v>
      </c>
      <c r="O678" t="str">
        <f>IF(match_results_2!C678="薬価一致候補","〇","×")</f>
        <v>×</v>
      </c>
      <c r="P678" s="58">
        <f>IF(match_results_2!E678="","",match_results_2!E678)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 hidden="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IF(match_results_2!C679="完全一致","〇","×")</f>
        <v>〇</v>
      </c>
      <c r="O679" t="str">
        <f>IF(match_results_2!C679="薬価一致候補","〇","×")</f>
        <v>×</v>
      </c>
      <c r="P679" s="58">
        <f>IF(match_results_2!E679="","",match_results_2!E679)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 hidden="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IF(match_results_2!C680="完全一致","〇","×")</f>
        <v>〇</v>
      </c>
      <c r="O680" t="str">
        <f>IF(match_results_2!C680="薬価一致候補","〇","×")</f>
        <v>×</v>
      </c>
      <c r="P680" s="58">
        <f>IF(match_results_2!E680="","",match_results_2!E680)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 hidden="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IF(match_results_2!C681="完全一致","〇","×")</f>
        <v>〇</v>
      </c>
      <c r="O681" t="str">
        <f>IF(match_results_2!C681="薬価一致候補","〇","×")</f>
        <v>×</v>
      </c>
      <c r="P681" s="58">
        <f>IF(match_results_2!E681="","",match_results_2!E681)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 hidden="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IF(match_results_2!C682="完全一致","〇","×")</f>
        <v>〇</v>
      </c>
      <c r="O682" t="str">
        <f>IF(match_results_2!C682="薬価一致候補","〇","×")</f>
        <v>×</v>
      </c>
      <c r="P682" s="58">
        <f>IF(match_results_2!E682="","",match_results_2!E682)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 hidden="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IF(match_results_2!C683="完全一致","〇","×")</f>
        <v>〇</v>
      </c>
      <c r="O683" t="str">
        <f>IF(match_results_2!C683="薬価一致候補","〇","×")</f>
        <v>×</v>
      </c>
      <c r="P683" s="58">
        <f>IF(match_results_2!E683="","",match_results_2!E683)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 hidden="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IF(match_results_2!C684="完全一致","〇","×")</f>
        <v>×</v>
      </c>
      <c r="O684" t="str">
        <f>IF(match_results_2!C684="薬価一致候補","〇","×")</f>
        <v>〇</v>
      </c>
      <c r="P684" s="56">
        <f>IF(match_results_2!E684="","",match_results_2!E684)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 hidden="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IF(match_results_2!C685="完全一致","〇","×")</f>
        <v>〇</v>
      </c>
      <c r="O685" t="str">
        <f>IF(match_results_2!C685="薬価一致候補","〇","×")</f>
        <v>×</v>
      </c>
      <c r="P685" s="58">
        <f>IF(match_results_2!E685="","",match_results_2!E685)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 hidden="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IF(match_results_2!C686="完全一致","〇","×")</f>
        <v>〇</v>
      </c>
      <c r="O686" t="str">
        <f>IF(match_results_2!C686="薬価一致候補","〇","×")</f>
        <v>×</v>
      </c>
      <c r="P686" s="58">
        <f>IF(match_results_2!E686="","",match_results_2!E686)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 hidden="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IF(match_results_2!C687="完全一致","〇","×")</f>
        <v>〇</v>
      </c>
      <c r="O687" t="str">
        <f>IF(match_results_2!C687="薬価一致候補","〇","×")</f>
        <v>×</v>
      </c>
      <c r="P687" s="58">
        <f>IF(match_results_2!E687="","",match_results_2!E687)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 hidden="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IF(match_results_2!C688="完全一致","〇","×")</f>
        <v>〇</v>
      </c>
      <c r="O688" t="str">
        <f>IF(match_results_2!C688="薬価一致候補","〇","×")</f>
        <v>×</v>
      </c>
      <c r="P688" s="58">
        <f>IF(match_results_2!E688="","",match_results_2!E688)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 hidden="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IF(match_results_2!C689="完全一致","〇","×")</f>
        <v>〇</v>
      </c>
      <c r="O689" t="str">
        <f>IF(match_results_2!C689="薬価一致候補","〇","×")</f>
        <v>×</v>
      </c>
      <c r="P689" s="58">
        <f>IF(match_results_2!E689="","",match_results_2!E689)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 hidden="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IF(match_results_2!C690="完全一致","〇","×")</f>
        <v>〇</v>
      </c>
      <c r="O690" t="str">
        <f>IF(match_results_2!C690="薬価一致候補","〇","×")</f>
        <v>×</v>
      </c>
      <c r="P690" s="58">
        <f>IF(match_results_2!E690="","",match_results_2!E690)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 hidden="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IF(match_results_2!C691="完全一致","〇","×")</f>
        <v>〇</v>
      </c>
      <c r="O691" t="str">
        <f>IF(match_results_2!C691="薬価一致候補","〇","×")</f>
        <v>×</v>
      </c>
      <c r="P691" s="58">
        <f>IF(match_results_2!E691="","",match_results_2!E691)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 hidden="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IF(match_results_2!C692="完全一致","〇","×")</f>
        <v>〇</v>
      </c>
      <c r="O692" t="str">
        <f>IF(match_results_2!C692="薬価一致候補","〇","×")</f>
        <v>×</v>
      </c>
      <c r="P692" s="58">
        <f>IF(match_results_2!E692="","",match_results_2!E692)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 hidden="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IF(match_results_2!C693="完全一致","〇","×")</f>
        <v>×</v>
      </c>
      <c r="O693" t="str">
        <f>IF(match_results_2!C693="薬価一致候補","〇","×")</f>
        <v>×</v>
      </c>
      <c r="P693" s="72" t="s">
        <v>4074</v>
      </c>
      <c r="Q693" s="71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 hidden="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IF(match_results_2!C694="完全一致","〇","×")</f>
        <v>×</v>
      </c>
      <c r="O694" t="str">
        <f>IF(match_results_2!C694="薬価一致候補","〇","×")</f>
        <v>〇</v>
      </c>
      <c r="P694" s="56">
        <f>IF(match_results_2!E694="","",match_results_2!E694)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 hidden="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IF(match_results_2!C695="完全一致","〇","×")</f>
        <v>〇</v>
      </c>
      <c r="O695" t="str">
        <f>IF(match_results_2!C695="薬価一致候補","〇","×")</f>
        <v>×</v>
      </c>
      <c r="P695" s="58">
        <f>IF(match_results_2!E695="","",match_results_2!E695)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 hidden="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IF(match_results_2!C696="完全一致","〇","×")</f>
        <v>〇</v>
      </c>
      <c r="O696" t="str">
        <f>IF(match_results_2!C696="薬価一致候補","〇","×")</f>
        <v>×</v>
      </c>
      <c r="P696" s="58">
        <f>IF(match_results_2!E696="","",match_results_2!E696)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 hidden="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IF(match_results_2!C697="完全一致","〇","×")</f>
        <v>〇</v>
      </c>
      <c r="O697" t="str">
        <f>IF(match_results_2!C697="薬価一致候補","〇","×")</f>
        <v>×</v>
      </c>
      <c r="P697" s="58">
        <f>IF(match_results_2!E697="","",match_results_2!E697)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 hidden="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IF(match_results_2!C698="完全一致","〇","×")</f>
        <v>×</v>
      </c>
      <c r="O698" t="str">
        <f>IF(match_results_2!C698="薬価一致候補","〇","×")</f>
        <v>〇</v>
      </c>
      <c r="P698" s="56">
        <f>IF(match_results_2!E698="","",match_results_2!E698)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 hidden="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IF(match_results_2!C699="完全一致","〇","×")</f>
        <v>×</v>
      </c>
      <c r="O699" t="str">
        <f>IF(match_results_2!C699="薬価一致候補","〇","×")</f>
        <v>〇</v>
      </c>
      <c r="P699" s="56">
        <f>IF(match_results_2!E699="","",match_results_2!E699)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 hidden="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IF(match_results_2!C700="完全一致","〇","×")</f>
        <v>×</v>
      </c>
      <c r="O700" t="str">
        <f>IF(match_results_2!C700="薬価一致候補","〇","×")</f>
        <v>〇</v>
      </c>
      <c r="P700" s="56">
        <f>IF(match_results_2!E700="","",match_results_2!E700)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 hidden="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IF(match_results_2!C701="完全一致","〇","×")</f>
        <v>〇</v>
      </c>
      <c r="O701" t="str">
        <f>IF(match_results_2!C701="薬価一致候補","〇","×")</f>
        <v>×</v>
      </c>
      <c r="P701" s="58">
        <f>IF(match_results_2!E701="","",match_results_2!E701)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 hidden="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IF(match_results_2!C702="完全一致","〇","×")</f>
        <v>×</v>
      </c>
      <c r="O702" t="str">
        <f>IF(match_results_2!C702="薬価一致候補","〇","×")</f>
        <v>〇</v>
      </c>
      <c r="P702" s="56">
        <f>IF(match_results_2!E702="","",match_results_2!E702)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 hidden="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IF(match_results_2!C703="完全一致","〇","×")</f>
        <v>×</v>
      </c>
      <c r="O703" t="str">
        <f>IF(match_results_2!C703="薬価一致候補","〇","×")</f>
        <v>〇</v>
      </c>
      <c r="P703" s="56">
        <f>IF(match_results_2!E703="","",match_results_2!E703)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 hidden="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IF(match_results_2!C704="完全一致","〇","×")</f>
        <v>×</v>
      </c>
      <c r="O704" t="str">
        <f>IF(match_results_2!C704="薬価一致候補","〇","×")</f>
        <v>〇</v>
      </c>
      <c r="P704" s="56">
        <f>IF(match_results_2!E704="","",match_results_2!E704)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 hidden="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IF(match_results_2!C705="完全一致","〇","×")</f>
        <v>×</v>
      </c>
      <c r="O705" t="str">
        <f>IF(match_results_2!C705="薬価一致候補","〇","×")</f>
        <v>〇</v>
      </c>
      <c r="P705" s="56">
        <f>IF(match_results_2!E705="","",match_results_2!E705)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 hidden="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IF(match_results_2!C706="完全一致","〇","×")</f>
        <v>〇</v>
      </c>
      <c r="O706" t="str">
        <f>IF(match_results_2!C706="薬価一致候補","〇","×")</f>
        <v>×</v>
      </c>
      <c r="P706" s="58">
        <f>IF(match_results_2!E706="","",match_results_2!E706)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 hidden="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IF(match_results_2!C707="完全一致","〇","×")</f>
        <v>〇</v>
      </c>
      <c r="O707" t="str">
        <f>IF(match_results_2!C707="薬価一致候補","〇","×")</f>
        <v>×</v>
      </c>
      <c r="P707" s="58">
        <f>IF(match_results_2!E707="","",match_results_2!E707)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hidden="1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IF(match_results_2!C708="完全一致","〇","×")</f>
        <v>×</v>
      </c>
      <c r="O708" t="str">
        <f>IF(match_results_2!C708="薬価一致候補","〇","×")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 hidden="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IF(match_results_2!C709="完全一致","〇","×")</f>
        <v>×</v>
      </c>
      <c r="O709" t="str">
        <f>IF(match_results_2!C709="薬価一致候補","〇","×")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 hidden="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IF(match_results_2!C710="完全一致","〇","×")</f>
        <v>×</v>
      </c>
      <c r="O710" t="str">
        <f>IF(match_results_2!C710="薬価一致候補","〇","×")</f>
        <v>〇</v>
      </c>
      <c r="P710" s="56">
        <f>IF(match_results_2!E710="","",match_results_2!E710)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 hidden="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IF(match_results_2!C711="完全一致","〇","×")</f>
        <v>〇</v>
      </c>
      <c r="O711" t="str">
        <f>IF(match_results_2!C711="薬価一致候補","〇","×")</f>
        <v>×</v>
      </c>
      <c r="P711" s="58">
        <f>IF(match_results_2!E711="","",match_results_2!E711)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 hidden="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IF(match_results_2!C712="完全一致","〇","×")</f>
        <v>〇</v>
      </c>
      <c r="O712" t="str">
        <f>IF(match_results_2!C712="薬価一致候補","〇","×")</f>
        <v>×</v>
      </c>
      <c r="P712" s="58">
        <f>IF(match_results_2!E712="","",match_results_2!E712)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 hidden="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IF(match_results_2!C713="完全一致","〇","×")</f>
        <v>〇</v>
      </c>
      <c r="O713" t="str">
        <f>IF(match_results_2!C713="薬価一致候補","〇","×")</f>
        <v>×</v>
      </c>
      <c r="P713" s="58">
        <f>IF(match_results_2!E713="","",match_results_2!E713)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 hidden="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IF(match_results_2!C714="完全一致","〇","×")</f>
        <v>〇</v>
      </c>
      <c r="O714" t="str">
        <f>IF(match_results_2!C714="薬価一致候補","〇","×")</f>
        <v>×</v>
      </c>
      <c r="P714" s="58">
        <f>IF(match_results_2!E714="","",match_results_2!E714)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 hidden="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IF(match_results_2!C715="完全一致","〇","×")</f>
        <v>〇</v>
      </c>
      <c r="O715" t="str">
        <f>IF(match_results_2!C715="薬価一致候補","〇","×")</f>
        <v>×</v>
      </c>
      <c r="P715" s="58">
        <f>IF(match_results_2!E715="","",match_results_2!E715)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 hidden="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IF(match_results_2!C716="完全一致","〇","×")</f>
        <v>〇</v>
      </c>
      <c r="O716" t="str">
        <f>IF(match_results_2!C716="薬価一致候補","〇","×")</f>
        <v>×</v>
      </c>
      <c r="P716" s="58">
        <f>IF(match_results_2!E716="","",match_results_2!E716)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 hidden="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IF(match_results_2!C717="完全一致","〇","×")</f>
        <v>〇</v>
      </c>
      <c r="O717" t="str">
        <f>IF(match_results_2!C717="薬価一致候補","〇","×")</f>
        <v>×</v>
      </c>
      <c r="P717" s="58">
        <f>IF(match_results_2!E717="","",match_results_2!E717)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 hidden="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IF(match_results_2!C718="完全一致","〇","×")</f>
        <v>〇</v>
      </c>
      <c r="O718" t="str">
        <f>IF(match_results_2!C718="薬価一致候補","〇","×")</f>
        <v>×</v>
      </c>
      <c r="P718" s="58">
        <f>IF(match_results_2!E718="","",match_results_2!E718)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 hidden="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IF(match_results_2!C719="完全一致","〇","×")</f>
        <v>×</v>
      </c>
      <c r="O719" t="str">
        <f>IF(match_results_2!C719="薬価一致候補","〇","×")</f>
        <v>×</v>
      </c>
      <c r="P719" s="72" t="s">
        <v>4074</v>
      </c>
      <c r="Q719" s="71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 hidden="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IF(match_results_2!C720="完全一致","〇","×")</f>
        <v>×</v>
      </c>
      <c r="O720" t="str">
        <f>IF(match_results_2!C720="薬価一致候補","〇","×")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 hidden="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IF(match_results_2!C721="完全一致","〇","×")</f>
        <v>×</v>
      </c>
      <c r="O721" t="str">
        <f>IF(match_results_2!C721="薬価一致候補","〇","×")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 hidden="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IF(match_results_2!C722="完全一致","〇","×")</f>
        <v>×</v>
      </c>
      <c r="O722" t="str">
        <f>IF(match_results_2!C722="薬価一致候補","〇","×")</f>
        <v>〇</v>
      </c>
      <c r="P722" s="56">
        <f>IF(match_results_2!E722="","",match_results_2!E722)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 hidden="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IF(match_results_2!C723="完全一致","〇","×")</f>
        <v>×</v>
      </c>
      <c r="O723" t="str">
        <f>IF(match_results_2!C723="薬価一致候補","〇","×")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 hidden="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IF(match_results_2!C724="完全一致","〇","×")</f>
        <v>〇</v>
      </c>
      <c r="O724" t="str">
        <f>IF(match_results_2!C724="薬価一致候補","〇","×")</f>
        <v>×</v>
      </c>
      <c r="P724" s="58">
        <f>IF(match_results_2!E724="","",match_results_2!E724)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 hidden="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IF(match_results_2!C725="完全一致","〇","×")</f>
        <v>〇</v>
      </c>
      <c r="O725" t="str">
        <f>IF(match_results_2!C725="薬価一致候補","〇","×")</f>
        <v>×</v>
      </c>
      <c r="P725" s="58">
        <f>IF(match_results_2!E725="","",match_results_2!E725)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 hidden="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IF(match_results_2!C726="完全一致","〇","×")</f>
        <v>〇</v>
      </c>
      <c r="O726" t="str">
        <f>IF(match_results_2!C726="薬価一致候補","〇","×")</f>
        <v>×</v>
      </c>
      <c r="P726" s="58">
        <f>IF(match_results_2!E726="","",match_results_2!E726)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 hidden="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IF(match_results_2!C727="完全一致","〇","×")</f>
        <v>×</v>
      </c>
      <c r="O727" t="str">
        <f>IF(match_results_2!C727="薬価一致候補","〇","×")</f>
        <v>〇</v>
      </c>
      <c r="P727" s="56">
        <f>IF(match_results_2!E727="","",match_results_2!E727)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 hidden="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IF(match_results_2!C728="完全一致","〇","×")</f>
        <v>×</v>
      </c>
      <c r="O728" t="str">
        <f>IF(match_results_2!C728="薬価一致候補","〇","×")</f>
        <v>〇</v>
      </c>
      <c r="P728" s="56">
        <f>IF(match_results_2!E728="","",match_results_2!E728)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 hidden="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IF(match_results_2!C729="完全一致","〇","×")</f>
        <v>〇</v>
      </c>
      <c r="O729" t="str">
        <f>IF(match_results_2!C729="薬価一致候補","〇","×")</f>
        <v>×</v>
      </c>
      <c r="P729" s="58">
        <f>IF(match_results_2!E729="","",match_results_2!E729)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 hidden="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IF(match_results_2!C730="完全一致","〇","×")</f>
        <v>×</v>
      </c>
      <c r="O730" t="str">
        <f>IF(match_results_2!C730="薬価一致候補","〇","×")</f>
        <v>〇</v>
      </c>
      <c r="P730" s="56">
        <f>IF(match_results_2!E730="","",match_results_2!E730)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 hidden="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IF(match_results_2!C731="完全一致","〇","×")</f>
        <v>×</v>
      </c>
      <c r="O731" t="str">
        <f>IF(match_results_2!C731="薬価一致候補","〇","×")</f>
        <v>×</v>
      </c>
      <c r="P731" s="72" t="s">
        <v>4074</v>
      </c>
      <c r="Q731" s="71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 hidden="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IF(match_results_2!C732="完全一致","〇","×")</f>
        <v>〇</v>
      </c>
      <c r="O732" t="str">
        <f>IF(match_results_2!C732="薬価一致候補","〇","×")</f>
        <v>×</v>
      </c>
      <c r="P732" s="58">
        <f>IF(match_results_2!E732="","",match_results_2!E732)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 hidden="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IF(match_results_2!C733="完全一致","〇","×")</f>
        <v>〇</v>
      </c>
      <c r="O733" t="str">
        <f>IF(match_results_2!C733="薬価一致候補","〇","×")</f>
        <v>×</v>
      </c>
      <c r="P733" s="58">
        <f>IF(match_results_2!E733="","",match_results_2!E733)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 hidden="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IF(match_results_2!C734="完全一致","〇","×")</f>
        <v>〇</v>
      </c>
      <c r="O734" t="str">
        <f>IF(match_results_2!C734="薬価一致候補","〇","×")</f>
        <v>×</v>
      </c>
      <c r="P734" s="58">
        <f>IF(match_results_2!E734="","",match_results_2!E734)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 hidden="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IF(match_results_2!C735="完全一致","〇","×")</f>
        <v>〇</v>
      </c>
      <c r="O735" t="str">
        <f>IF(match_results_2!C735="薬価一致候補","〇","×")</f>
        <v>×</v>
      </c>
      <c r="P735" s="58">
        <f>IF(match_results_2!E735="","",match_results_2!E735)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 hidden="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IF(match_results_2!C736="完全一致","〇","×")</f>
        <v>〇</v>
      </c>
      <c r="O736" t="str">
        <f>IF(match_results_2!C736="薬価一致候補","〇","×")</f>
        <v>×</v>
      </c>
      <c r="P736" s="58">
        <f>IF(match_results_2!E736="","",match_results_2!E736)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 hidden="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IF(match_results_2!C737="完全一致","〇","×")</f>
        <v>×</v>
      </c>
      <c r="O737" t="str">
        <f>IF(match_results_2!C737="薬価一致候補","〇","×")</f>
        <v>〇</v>
      </c>
      <c r="P737" s="56">
        <f>IF(match_results_2!E737="","",match_results_2!E737)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 hidden="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IF(match_results_2!C738="完全一致","〇","×")</f>
        <v>〇</v>
      </c>
      <c r="O738" t="str">
        <f>IF(match_results_2!C738="薬価一致候補","〇","×")</f>
        <v>×</v>
      </c>
      <c r="P738" s="58">
        <f>IF(match_results_2!E738="","",match_results_2!E738)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 hidden="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IF(match_results_2!C739="完全一致","〇","×")</f>
        <v>〇</v>
      </c>
      <c r="O739" t="str">
        <f>IF(match_results_2!C739="薬価一致候補","〇","×")</f>
        <v>×</v>
      </c>
      <c r="P739" s="58">
        <f>IF(match_results_2!E739="","",match_results_2!E739)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 hidden="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IF(match_results_2!C740="完全一致","〇","×")</f>
        <v>〇</v>
      </c>
      <c r="O740" t="str">
        <f>IF(match_results_2!C740="薬価一致候補","〇","×")</f>
        <v>×</v>
      </c>
      <c r="P740" s="58">
        <f>IF(match_results_2!E740="","",match_results_2!E740)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 hidden="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IF(match_results_2!C741="完全一致","〇","×")</f>
        <v>×</v>
      </c>
      <c r="O741" t="str">
        <f>IF(match_results_2!C741="薬価一致候補","〇","×")</f>
        <v>〇</v>
      </c>
      <c r="P741" s="56">
        <f>IF(match_results_2!E741="","",match_results_2!E741)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 hidden="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IF(match_results_2!C742="完全一致","〇","×")</f>
        <v>×</v>
      </c>
      <c r="O742" t="str">
        <f>IF(match_results_2!C742="薬価一致候補","〇","×")</f>
        <v>〇</v>
      </c>
      <c r="P742" s="56">
        <f>IF(match_results_2!E742="","",match_results_2!E742)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 hidden="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IF(match_results_2!C743="完全一致","〇","×")</f>
        <v>×</v>
      </c>
      <c r="O743" t="str">
        <f>IF(match_results_2!C743="薬価一致候補","〇","×")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 hidden="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IF(match_results_2!C744="完全一致","〇","×")</f>
        <v>×</v>
      </c>
      <c r="O744" t="str">
        <f>IF(match_results_2!C744="薬価一致候補","〇","×")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 hidden="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IF(match_results_2!C745="完全一致","〇","×")</f>
        <v>×</v>
      </c>
      <c r="O745" t="str">
        <f>IF(match_results_2!C745="薬価一致候補","〇","×")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 hidden="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IF(match_results_2!C746="完全一致","〇","×")</f>
        <v>〇</v>
      </c>
      <c r="O746" t="str">
        <f>IF(match_results_2!C746="薬価一致候補","〇","×")</f>
        <v>×</v>
      </c>
      <c r="P746" s="58">
        <f>IF(match_results_2!E746="","",match_results_2!E746)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 hidden="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IF(match_results_2!C747="完全一致","〇","×")</f>
        <v>×</v>
      </c>
      <c r="O747" t="str">
        <f>IF(match_results_2!C747="薬価一致候補","〇","×")</f>
        <v>〇</v>
      </c>
      <c r="P747" s="56">
        <f>IF(match_results_2!E747="","",match_results_2!E747)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 hidden="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IF(match_results_2!C748="完全一致","〇","×")</f>
        <v>〇</v>
      </c>
      <c r="O748" t="str">
        <f>IF(match_results_2!C748="薬価一致候補","〇","×")</f>
        <v>×</v>
      </c>
      <c r="P748" s="58">
        <f>IF(match_results_2!E748="","",match_results_2!E748)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 hidden="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IF(match_results_2!C749="完全一致","〇","×")</f>
        <v>〇</v>
      </c>
      <c r="O749" t="str">
        <f>IF(match_results_2!C749="薬価一致候補","〇","×")</f>
        <v>×</v>
      </c>
      <c r="P749" s="58">
        <f>IF(match_results_2!E749="","",match_results_2!E749)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 hidden="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IF(match_results_2!C750="完全一致","〇","×")</f>
        <v>〇</v>
      </c>
      <c r="O750" t="str">
        <f>IF(match_results_2!C750="薬価一致候補","〇","×")</f>
        <v>×</v>
      </c>
      <c r="P750" s="58">
        <f>IF(match_results_2!E750="","",match_results_2!E750)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 hidden="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IF(match_results_2!C751="完全一致","〇","×")</f>
        <v>〇</v>
      </c>
      <c r="O751" t="str">
        <f>IF(match_results_2!C751="薬価一致候補","〇","×")</f>
        <v>×</v>
      </c>
      <c r="P751" s="58">
        <f>IF(match_results_2!E751="","",match_results_2!E751)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 hidden="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IF(match_results_2!C752="完全一致","〇","×")</f>
        <v>〇</v>
      </c>
      <c r="O752" t="str">
        <f>IF(match_results_2!C752="薬価一致候補","〇","×")</f>
        <v>×</v>
      </c>
      <c r="P752" s="58">
        <f>IF(match_results_2!E752="","",match_results_2!E752)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 hidden="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IF(match_results_2!C753="完全一致","〇","×")</f>
        <v>〇</v>
      </c>
      <c r="O753" t="str">
        <f>IF(match_results_2!C753="薬価一致候補","〇","×")</f>
        <v>×</v>
      </c>
      <c r="P753" s="58">
        <f>IF(match_results_2!E753="","",match_results_2!E753)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 hidden="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IF(match_results_2!C754="完全一致","〇","×")</f>
        <v>〇</v>
      </c>
      <c r="O754" t="str">
        <f>IF(match_results_2!C754="薬価一致候補","〇","×")</f>
        <v>×</v>
      </c>
      <c r="P754" s="58">
        <f>IF(match_results_2!E754="","",match_results_2!E754)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 hidden="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IF(match_results_2!C755="完全一致","〇","×")</f>
        <v>〇</v>
      </c>
      <c r="O755" t="str">
        <f>IF(match_results_2!C755="薬価一致候補","〇","×")</f>
        <v>×</v>
      </c>
      <c r="P755" s="58">
        <f>IF(match_results_2!E755="","",match_results_2!E755)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 hidden="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IF(match_results_2!C756="完全一致","〇","×")</f>
        <v>〇</v>
      </c>
      <c r="O756" t="str">
        <f>IF(match_results_2!C756="薬価一致候補","〇","×")</f>
        <v>×</v>
      </c>
      <c r="P756" s="58">
        <f>IF(match_results_2!E756="","",match_results_2!E756)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 hidden="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IF(match_results_2!C757="完全一致","〇","×")</f>
        <v>〇</v>
      </c>
      <c r="O757" t="str">
        <f>IF(match_results_2!C757="薬価一致候補","〇","×")</f>
        <v>×</v>
      </c>
      <c r="P757" s="58">
        <f>IF(match_results_2!E757="","",match_results_2!E757)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 hidden="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IF(match_results_2!C758="完全一致","〇","×")</f>
        <v>〇</v>
      </c>
      <c r="O758" t="str">
        <f>IF(match_results_2!C758="薬価一致候補","〇","×")</f>
        <v>×</v>
      </c>
      <c r="P758" s="58">
        <f>IF(match_results_2!E758="","",match_results_2!E758)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 hidden="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IF(match_results_2!C759="完全一致","〇","×")</f>
        <v>〇</v>
      </c>
      <c r="O759" t="str">
        <f>IF(match_results_2!C759="薬価一致候補","〇","×")</f>
        <v>×</v>
      </c>
      <c r="P759" s="58">
        <f>IF(match_results_2!E759="","",match_results_2!E759)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 hidden="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IF(match_results_2!C760="完全一致","〇","×")</f>
        <v>×</v>
      </c>
      <c r="O760" t="str">
        <f>IF(match_results_2!C760="薬価一致候補","〇","×")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 hidden="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IF(match_results_2!C761="完全一致","〇","×")</f>
        <v>〇</v>
      </c>
      <c r="O761" t="str">
        <f>IF(match_results_2!C761="薬価一致候補","〇","×")</f>
        <v>×</v>
      </c>
      <c r="P761" s="58">
        <f>IF(match_results_2!E761="","",match_results_2!E761)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 hidden="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IF(match_results_2!C762="完全一致","〇","×")</f>
        <v>〇</v>
      </c>
      <c r="O762" t="str">
        <f>IF(match_results_2!C762="薬価一致候補","〇","×")</f>
        <v>×</v>
      </c>
      <c r="P762" s="58">
        <f>IF(match_results_2!E762="","",match_results_2!E762)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 hidden="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IF(match_results_2!C763="完全一致","〇","×")</f>
        <v>〇</v>
      </c>
      <c r="O763" t="str">
        <f>IF(match_results_2!C763="薬価一致候補","〇","×")</f>
        <v>×</v>
      </c>
      <c r="P763" s="58">
        <f>IF(match_results_2!E763="","",match_results_2!E763)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 hidden="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IF(match_results_2!C764="完全一致","〇","×")</f>
        <v>〇</v>
      </c>
      <c r="O764" t="str">
        <f>IF(match_results_2!C764="薬価一致候補","〇","×")</f>
        <v>×</v>
      </c>
      <c r="P764" s="58">
        <f>IF(match_results_2!E764="","",match_results_2!E764)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 hidden="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IF(match_results_2!C765="完全一致","〇","×")</f>
        <v>〇</v>
      </c>
      <c r="O765" t="str">
        <f>IF(match_results_2!C765="薬価一致候補","〇","×")</f>
        <v>×</v>
      </c>
      <c r="P765" s="58">
        <f>IF(match_results_2!E765="","",match_results_2!E765)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 hidden="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IF(match_results_2!C766="完全一致","〇","×")</f>
        <v>〇</v>
      </c>
      <c r="O766" t="str">
        <f>IF(match_results_2!C766="薬価一致候補","〇","×")</f>
        <v>×</v>
      </c>
      <c r="P766" s="58">
        <f>IF(match_results_2!E766="","",match_results_2!E766)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 hidden="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IF(match_results_2!C767="完全一致","〇","×")</f>
        <v>〇</v>
      </c>
      <c r="O767" t="str">
        <f>IF(match_results_2!C767="薬価一致候補","〇","×")</f>
        <v>×</v>
      </c>
      <c r="P767" s="58">
        <f>IF(match_results_2!E767="","",match_results_2!E767)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 hidden="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IF(match_results_2!C768="完全一致","〇","×")</f>
        <v>〇</v>
      </c>
      <c r="O768" t="str">
        <f>IF(match_results_2!C768="薬価一致候補","〇","×")</f>
        <v>×</v>
      </c>
      <c r="P768" s="58">
        <f>IF(match_results_2!E768="","",match_results_2!E768)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 hidden="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IF(match_results_2!C769="完全一致","〇","×")</f>
        <v>〇</v>
      </c>
      <c r="O769" t="str">
        <f>IF(match_results_2!C769="薬価一致候補","〇","×")</f>
        <v>×</v>
      </c>
      <c r="P769" s="58">
        <f>IF(match_results_2!E769="","",match_results_2!E769)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 hidden="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IF(match_results_2!C770="完全一致","〇","×")</f>
        <v>〇</v>
      </c>
      <c r="O770" t="str">
        <f>IF(match_results_2!C770="薬価一致候補","〇","×")</f>
        <v>×</v>
      </c>
      <c r="P770" s="58">
        <f>IF(match_results_2!E770="","",match_results_2!E770)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 hidden="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IF(match_results_2!C771="完全一致","〇","×")</f>
        <v>〇</v>
      </c>
      <c r="O771" t="str">
        <f>IF(match_results_2!C771="薬価一致候補","〇","×")</f>
        <v>×</v>
      </c>
      <c r="P771" s="58">
        <f>IF(match_results_2!E771="","",match_results_2!E771)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 hidden="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IF(match_results_2!C772="完全一致","〇","×")</f>
        <v>〇</v>
      </c>
      <c r="O772" t="str">
        <f>IF(match_results_2!C772="薬価一致候補","〇","×")</f>
        <v>×</v>
      </c>
      <c r="P772" s="58">
        <f>IF(match_results_2!E772="","",match_results_2!E772)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 hidden="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IF(match_results_2!C773="完全一致","〇","×")</f>
        <v>×</v>
      </c>
      <c r="O773" t="str">
        <f>IF(match_results_2!C773="薬価一致候補","〇","×")</f>
        <v>〇</v>
      </c>
      <c r="P773" s="56">
        <f>IF(match_results_2!E773="","",match_results_2!E773)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 hidden="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IF(match_results_2!C774="完全一致","〇","×")</f>
        <v>〇</v>
      </c>
      <c r="O774" t="str">
        <f>IF(match_results_2!C774="薬価一致候補","〇","×")</f>
        <v>×</v>
      </c>
      <c r="P774" s="58">
        <f>IF(match_results_2!E774="","",match_results_2!E774)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 hidden="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IF(match_results_2!C775="完全一致","〇","×")</f>
        <v>〇</v>
      </c>
      <c r="O775" t="str">
        <f>IF(match_results_2!C775="薬価一致候補","〇","×")</f>
        <v>×</v>
      </c>
      <c r="P775" s="58">
        <f>IF(match_results_2!E775="","",match_results_2!E775)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 hidden="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IF(match_results_2!C776="完全一致","〇","×")</f>
        <v>〇</v>
      </c>
      <c r="O776" t="str">
        <f>IF(match_results_2!C776="薬価一致候補","〇","×")</f>
        <v>×</v>
      </c>
      <c r="P776" s="58">
        <f>IF(match_results_2!E776="","",match_results_2!E776)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 hidden="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IF(match_results_2!C777="完全一致","〇","×")</f>
        <v>〇</v>
      </c>
      <c r="O777" t="str">
        <f>IF(match_results_2!C777="薬価一致候補","〇","×")</f>
        <v>×</v>
      </c>
      <c r="P777" s="58">
        <f>IF(match_results_2!E777="","",match_results_2!E777)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IF(match_results_2!C778="完全一致","〇","×")</f>
        <v>×</v>
      </c>
      <c r="O778" t="str">
        <f>IF(match_results_2!C778="薬価一致候補","〇","×")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 hidden="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IF(match_results_2!C779="完全一致","〇","×")</f>
        <v>〇</v>
      </c>
      <c r="O779" t="str">
        <f>IF(match_results_2!C779="薬価一致候補","〇","×")</f>
        <v>×</v>
      </c>
      <c r="P779" s="58">
        <f>IF(match_results_2!E779="","",match_results_2!E779)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 hidden="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IF(match_results_2!C780="完全一致","〇","×")</f>
        <v>〇</v>
      </c>
      <c r="O780" t="str">
        <f>IF(match_results_2!C780="薬価一致候補","〇","×")</f>
        <v>×</v>
      </c>
      <c r="P780" s="58">
        <f>IF(match_results_2!E780="","",match_results_2!E780)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 hidden="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IF(match_results_2!C781="完全一致","〇","×")</f>
        <v>〇</v>
      </c>
      <c r="O781" t="str">
        <f>IF(match_results_2!C781="薬価一致候補","〇","×")</f>
        <v>×</v>
      </c>
      <c r="P781" s="58">
        <f>IF(match_results_2!E781="","",match_results_2!E781)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 hidden="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IF(match_results_2!C782="完全一致","〇","×")</f>
        <v>〇</v>
      </c>
      <c r="O782" t="str">
        <f>IF(match_results_2!C782="薬価一致候補","〇","×")</f>
        <v>×</v>
      </c>
      <c r="P782" s="58">
        <f>IF(match_results_2!E782="","",match_results_2!E782)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 hidden="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IF(match_results_2!C783="完全一致","〇","×")</f>
        <v>〇</v>
      </c>
      <c r="O783" t="str">
        <f>IF(match_results_2!C783="薬価一致候補","〇","×")</f>
        <v>×</v>
      </c>
      <c r="P783" s="58">
        <f>IF(match_results_2!E783="","",match_results_2!E783)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 hidden="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IF(match_results_2!C784="完全一致","〇","×")</f>
        <v>〇</v>
      </c>
      <c r="O784" t="str">
        <f>IF(match_results_2!C784="薬価一致候補","〇","×")</f>
        <v>×</v>
      </c>
      <c r="P784" s="58">
        <f>IF(match_results_2!E784="","",match_results_2!E784)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 hidden="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IF(match_results_2!C785="完全一致","〇","×")</f>
        <v>〇</v>
      </c>
      <c r="O785" t="str">
        <f>IF(match_results_2!C785="薬価一致候補","〇","×")</f>
        <v>×</v>
      </c>
      <c r="P785" s="58">
        <f>IF(match_results_2!E785="","",match_results_2!E785)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 hidden="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IF(match_results_2!C786="完全一致","〇","×")</f>
        <v>〇</v>
      </c>
      <c r="O786" t="str">
        <f>IF(match_results_2!C786="薬価一致候補","〇","×")</f>
        <v>×</v>
      </c>
      <c r="P786" s="58">
        <f>IF(match_results_2!E786="","",match_results_2!E786)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 hidden="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IF(match_results_2!C787="完全一致","〇","×")</f>
        <v>〇</v>
      </c>
      <c r="O787" t="str">
        <f>IF(match_results_2!C787="薬価一致候補","〇","×")</f>
        <v>×</v>
      </c>
      <c r="P787" s="58">
        <f>IF(match_results_2!E787="","",match_results_2!E787)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 hidden="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IF(match_results_2!C788="完全一致","〇","×")</f>
        <v>〇</v>
      </c>
      <c r="O788" t="str">
        <f>IF(match_results_2!C788="薬価一致候補","〇","×")</f>
        <v>×</v>
      </c>
      <c r="P788" s="58">
        <f>IF(match_results_2!E788="","",match_results_2!E788)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 hidden="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IF(match_results_2!C789="完全一致","〇","×")</f>
        <v>〇</v>
      </c>
      <c r="O789" t="str">
        <f>IF(match_results_2!C789="薬価一致候補","〇","×")</f>
        <v>×</v>
      </c>
      <c r="P789" s="58">
        <f>IF(match_results_2!E789="","",match_results_2!E789)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 hidden="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IF(match_results_2!C790="完全一致","〇","×")</f>
        <v>〇</v>
      </c>
      <c r="O790" t="str">
        <f>IF(match_results_2!C790="薬価一致候補","〇","×")</f>
        <v>×</v>
      </c>
      <c r="P790" s="58">
        <f>IF(match_results_2!E790="","",match_results_2!E790)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 hidden="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IF(match_results_2!C791="完全一致","〇","×")</f>
        <v>〇</v>
      </c>
      <c r="O791" t="str">
        <f>IF(match_results_2!C791="薬価一致候補","〇","×")</f>
        <v>×</v>
      </c>
      <c r="P791" s="58">
        <f>IF(match_results_2!E791="","",match_results_2!E791)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 hidden="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IF(match_results_2!C792="完全一致","〇","×")</f>
        <v>〇</v>
      </c>
      <c r="O792" t="str">
        <f>IF(match_results_2!C792="薬価一致候補","〇","×")</f>
        <v>×</v>
      </c>
      <c r="P792" s="58">
        <f>IF(match_results_2!E792="","",match_results_2!E792)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 hidden="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IF(match_results_2!C793="完全一致","〇","×")</f>
        <v>〇</v>
      </c>
      <c r="O793" t="str">
        <f>IF(match_results_2!C793="薬価一致候補","〇","×")</f>
        <v>×</v>
      </c>
      <c r="P793" s="58">
        <f>IF(match_results_2!E793="","",match_results_2!E793)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 hidden="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IF(match_results_2!C794="完全一致","〇","×")</f>
        <v>〇</v>
      </c>
      <c r="O794" t="str">
        <f>IF(match_results_2!C794="薬価一致候補","〇","×")</f>
        <v>×</v>
      </c>
      <c r="P794" s="58">
        <f>IF(match_results_2!E794="","",match_results_2!E794)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 hidden="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IF(match_results_2!C795="完全一致","〇","×")</f>
        <v>〇</v>
      </c>
      <c r="O795" t="str">
        <f>IF(match_results_2!C795="薬価一致候補","〇","×")</f>
        <v>×</v>
      </c>
      <c r="P795" s="58">
        <f>IF(match_results_2!E795="","",match_results_2!E795)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 hidden="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IF(match_results_2!C796="完全一致","〇","×")</f>
        <v>〇</v>
      </c>
      <c r="O796" t="str">
        <f>IF(match_results_2!C796="薬価一致候補","〇","×")</f>
        <v>×</v>
      </c>
      <c r="P796" s="58">
        <f>IF(match_results_2!E796="","",match_results_2!E796)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 hidden="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IF(match_results_2!C797="完全一致","〇","×")</f>
        <v>×</v>
      </c>
      <c r="O797" t="str">
        <f>IF(match_results_2!C797="薬価一致候補","〇","×")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 hidden="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IF(match_results_2!C798="完全一致","〇","×")</f>
        <v>×</v>
      </c>
      <c r="O798" t="str">
        <f>IF(match_results_2!C798="薬価一致候補","〇","×")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 hidden="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IF(match_results_2!C799="完全一致","〇","×")</f>
        <v>〇</v>
      </c>
      <c r="O799" t="str">
        <f>IF(match_results_2!C799="薬価一致候補","〇","×")</f>
        <v>×</v>
      </c>
      <c r="P799" s="58">
        <f>IF(match_results_2!E799="","",match_results_2!E799)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 hidden="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IF(match_results_2!C800="完全一致","〇","×")</f>
        <v>×</v>
      </c>
      <c r="O800" t="str">
        <f>IF(match_results_2!C800="薬価一致候補","〇","×")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 hidden="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IF(match_results_2!C801="完全一致","〇","×")</f>
        <v>〇</v>
      </c>
      <c r="O801" t="str">
        <f>IF(match_results_2!C801="薬価一致候補","〇","×")</f>
        <v>×</v>
      </c>
      <c r="P801" s="58">
        <f>IF(match_results_2!E801="","",match_results_2!E801)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 hidden="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IF(match_results_2!C802="完全一致","〇","×")</f>
        <v>〇</v>
      </c>
      <c r="O802" t="str">
        <f>IF(match_results_2!C802="薬価一致候補","〇","×")</f>
        <v>×</v>
      </c>
      <c r="P802" s="58">
        <f>IF(match_results_2!E802="","",match_results_2!E802)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 hidden="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IF(match_results_2!C803="完全一致","〇","×")</f>
        <v>×</v>
      </c>
      <c r="O803" t="str">
        <f>IF(match_results_2!C803="薬価一致候補","〇","×")</f>
        <v>〇</v>
      </c>
      <c r="P803" s="56">
        <f>IF(match_results_2!E803="","",match_results_2!E803)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 hidden="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IF(match_results_2!C804="完全一致","〇","×")</f>
        <v>×</v>
      </c>
      <c r="O804" t="str">
        <f>IF(match_results_2!C804="薬価一致候補","〇","×")</f>
        <v>〇</v>
      </c>
      <c r="P804" s="56">
        <f>IF(match_results_2!E804="","",match_results_2!E804)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 hidden="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IF(match_results_2!C805="完全一致","〇","×")</f>
        <v>×</v>
      </c>
      <c r="O805" t="str">
        <f>IF(match_results_2!C805="薬価一致候補","〇","×")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 hidden="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IF(match_results_2!C806="完全一致","〇","×")</f>
        <v>×</v>
      </c>
      <c r="O806" t="str">
        <f>IF(match_results_2!C806="薬価一致候補","〇","×")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 hidden="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IF(match_results_2!C807="完全一致","〇","×")</f>
        <v>×</v>
      </c>
      <c r="O807" t="str">
        <f>IF(match_results_2!C807="薬価一致候補","〇","×")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 hidden="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IF(match_results_2!C808="完全一致","〇","×")</f>
        <v>×</v>
      </c>
      <c r="O808" t="str">
        <f>IF(match_results_2!C808="薬価一致候補","〇","×")</f>
        <v>〇</v>
      </c>
      <c r="P808" s="72" t="s">
        <v>4063</v>
      </c>
      <c r="Q808" s="71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IF(match_results_2!C809="完全一致","〇","×")</f>
        <v>×</v>
      </c>
      <c r="O809" t="str">
        <f>IF(match_results_2!C809="薬価一致候補","〇","×")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IF(match_results_2!C810="完全一致","〇","×")</f>
        <v>×</v>
      </c>
      <c r="O810" t="str">
        <f>IF(match_results_2!C810="薬価一致候補","〇","×")</f>
        <v>×</v>
      </c>
      <c r="P810" s="58" t="str">
        <f>IF(match_results_2!E810="","",match_results_2!E810)</f>
        <v/>
      </c>
      <c r="Q810" t="e">
        <f ca="1">OFFSET(マスタ非採用削除!$C$4,元データ!P810,0)</f>
        <v>#VALUE!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 hidden="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IF(match_results_2!C811="完全一致","〇","×")</f>
        <v>〇</v>
      </c>
      <c r="O811" t="str">
        <f>IF(match_results_2!C811="薬価一致候補","〇","×")</f>
        <v>×</v>
      </c>
      <c r="P811" s="58">
        <f>IF(match_results_2!E811="","",match_results_2!E811)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 hidden="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IF(match_results_2!C812="完全一致","〇","×")</f>
        <v>×</v>
      </c>
      <c r="O812" t="str">
        <f>IF(match_results_2!C812="薬価一致候補","〇","×")</f>
        <v>〇</v>
      </c>
      <c r="P812" s="56">
        <f>IF(match_results_2!E812="","",match_results_2!E812)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 hidden="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IF(match_results_2!C813="完全一致","〇","×")</f>
        <v>×</v>
      </c>
      <c r="O813" t="str">
        <f>IF(match_results_2!C813="薬価一致候補","〇","×")</f>
        <v>〇</v>
      </c>
      <c r="P813" s="56">
        <f>IF(match_results_2!E813="","",match_results_2!E813)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 hidden="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IF(match_results_2!C814="完全一致","〇","×")</f>
        <v>〇</v>
      </c>
      <c r="O814" t="str">
        <f>IF(match_results_2!C814="薬価一致候補","〇","×")</f>
        <v>×</v>
      </c>
      <c r="P814" s="58">
        <f>IF(match_results_2!E814="","",match_results_2!E814)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IF(match_results_2!C815="完全一致","〇","×")</f>
        <v>×</v>
      </c>
      <c r="O815" t="str">
        <f>IF(match_results_2!C815="薬価一致候補","〇","×")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 hidden="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IF(match_results_2!C816="完全一致","〇","×")</f>
        <v>×</v>
      </c>
      <c r="O816" t="str">
        <f>IF(match_results_2!C816="薬価一致候補","〇","×")</f>
        <v>〇</v>
      </c>
      <c r="P816" s="56">
        <f>IF(match_results_2!E816="","",match_results_2!E816)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 hidden="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IF(match_results_2!C817="完全一致","〇","×")</f>
        <v>×</v>
      </c>
      <c r="O817" t="str">
        <f>IF(match_results_2!C817="薬価一致候補","〇","×")</f>
        <v>〇</v>
      </c>
      <c r="P817" s="56">
        <f>IF(match_results_2!E817="","",match_results_2!E817)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IF(match_results_2!C818="完全一致","〇","×")</f>
        <v>×</v>
      </c>
      <c r="O818" t="str">
        <f>IF(match_results_2!C818="薬価一致候補","〇","×")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IF(match_results_2!C819="完全一致","〇","×")</f>
        <v>×</v>
      </c>
      <c r="O819" t="str">
        <f>IF(match_results_2!C819="薬価一致候補","〇","×")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 hidden="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IF(match_results_2!C820="完全一致","〇","×")</f>
        <v>×</v>
      </c>
      <c r="O820" t="str">
        <f>IF(match_results_2!C820="薬価一致候補","〇","×")</f>
        <v>×</v>
      </c>
      <c r="P820" s="72" t="s">
        <v>4074</v>
      </c>
      <c r="Q820" s="71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IF(match_results_2!C821="完全一致","〇","×")</f>
        <v>×</v>
      </c>
      <c r="O821" t="str">
        <f>IF(match_results_2!C821="薬価一致候補","〇","×")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IF(match_results_2!C822="完全一致","〇","×")</f>
        <v>×</v>
      </c>
      <c r="O822" t="str">
        <f>IF(match_results_2!C822="薬価一致候補","〇","×")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 hidden="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IF(match_results_2!C823="完全一致","〇","×")</f>
        <v>×</v>
      </c>
      <c r="O823" t="str">
        <f>IF(match_results_2!C823="薬価一致候補","〇","×")</f>
        <v>〇</v>
      </c>
      <c r="P823" s="56">
        <f>IF(match_results_2!E823="","",match_results_2!E823)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IF(match_results_2!C824="完全一致","〇","×")</f>
        <v>×</v>
      </c>
      <c r="O824" t="str">
        <f>IF(match_results_2!C824="薬価一致候補","〇","×")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 hidden="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IF(match_results_2!C825="完全一致","〇","×")</f>
        <v>〇</v>
      </c>
      <c r="O825" t="str">
        <f>IF(match_results_2!C825="薬価一致候補","〇","×")</f>
        <v>×</v>
      </c>
      <c r="P825" s="58">
        <f>IF(match_results_2!E825="","",match_results_2!E825)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 hidden="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IF(match_results_2!C826="完全一致","〇","×")</f>
        <v>〇</v>
      </c>
      <c r="O826" t="str">
        <f>IF(match_results_2!C826="薬価一致候補","〇","×")</f>
        <v>×</v>
      </c>
      <c r="P826" s="58">
        <f>IF(match_results_2!E826="","",match_results_2!E826)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 hidden="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IF(match_results_2!C827="完全一致","〇","×")</f>
        <v>〇</v>
      </c>
      <c r="O827" t="str">
        <f>IF(match_results_2!C827="薬価一致候補","〇","×")</f>
        <v>×</v>
      </c>
      <c r="P827" s="58">
        <f>IF(match_results_2!E827="","",match_results_2!E827)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 hidden="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IF(match_results_2!C828="完全一致","〇","×")</f>
        <v>〇</v>
      </c>
      <c r="O828" t="str">
        <f>IF(match_results_2!C828="薬価一致候補","〇","×")</f>
        <v>×</v>
      </c>
      <c r="P828" s="58">
        <f>IF(match_results_2!E828="","",match_results_2!E828)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 hidden="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IF(match_results_2!C829="完全一致","〇","×")</f>
        <v>×</v>
      </c>
      <c r="O829" t="str">
        <f>IF(match_results_2!C829="薬価一致候補","〇","×")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IF(match_results_2!C830="完全一致","〇","×")</f>
        <v>×</v>
      </c>
      <c r="O830" t="str">
        <f>IF(match_results_2!C830="薬価一致候補","〇","×")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IF(match_results_2!C831="完全一致","〇","×")</f>
        <v>×</v>
      </c>
      <c r="O831" t="str">
        <f>IF(match_results_2!C831="薬価一致候補","〇","×")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IF(match_results_2!C832="完全一致","〇","×")</f>
        <v>×</v>
      </c>
      <c r="O832" t="str">
        <f>IF(match_results_2!C832="薬価一致候補","〇","×")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 hidden="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IF(match_results_2!C833="完全一致","〇","×")</f>
        <v>〇</v>
      </c>
      <c r="O833" t="str">
        <f>IF(match_results_2!C833="薬価一致候補","〇","×")</f>
        <v>×</v>
      </c>
      <c r="P833" s="58">
        <f>IF(match_results_2!E833="","",match_results_2!E833)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IF(match_results_2!C834="完全一致","〇","×")</f>
        <v>×</v>
      </c>
      <c r="O834" t="str">
        <f>IF(match_results_2!C834="薬価一致候補","〇","×")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834" xr:uid="{00000000-0001-0000-0000-000000000000}">
    <filterColumn colId="19">
      <filters>
        <filter val="0"/>
      </filters>
    </filterColumn>
  </autoFilter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A5CA-260D-4C96-8023-4C9DC6101AD9}">
  <dimension ref="A1:R56"/>
  <sheetViews>
    <sheetView workbookViewId="0">
      <selection activeCell="C47" sqref="C47"/>
    </sheetView>
  </sheetViews>
  <sheetFormatPr defaultRowHeight="13.2"/>
  <cols>
    <col min="3" max="3" width="42.88671875" bestFit="1" customWidth="1"/>
    <col min="4" max="4" width="38.88671875" bestFit="1" customWidth="1"/>
  </cols>
  <sheetData>
    <row r="1" spans="1:18">
      <c r="A1" t="s">
        <v>3774</v>
      </c>
      <c r="C1" t="s">
        <v>3775</v>
      </c>
      <c r="D1" t="s">
        <v>4080</v>
      </c>
      <c r="E1" t="s">
        <v>4081</v>
      </c>
      <c r="F1" t="s">
        <v>4082</v>
      </c>
      <c r="G1" t="s">
        <v>4083</v>
      </c>
      <c r="H1" t="s">
        <v>4084</v>
      </c>
      <c r="I1" t="s">
        <v>4085</v>
      </c>
      <c r="J1" t="s">
        <v>4086</v>
      </c>
      <c r="K1" t="s">
        <v>4087</v>
      </c>
      <c r="L1" t="s">
        <v>4088</v>
      </c>
      <c r="M1" t="s">
        <v>4089</v>
      </c>
      <c r="N1" t="s">
        <v>4090</v>
      </c>
      <c r="O1" t="s">
        <v>4091</v>
      </c>
      <c r="P1" t="s">
        <v>4092</v>
      </c>
      <c r="Q1" t="s">
        <v>4093</v>
      </c>
      <c r="R1" t="s">
        <v>4094</v>
      </c>
    </row>
    <row r="2" spans="1:18" s="71" customFormat="1">
      <c r="A2" s="71">
        <v>1</v>
      </c>
      <c r="B2" s="71">
        <f>MATCH(C2,統合マスタ!$C$5:$C$850,0)</f>
        <v>8</v>
      </c>
      <c r="C2" s="71" t="s">
        <v>3864</v>
      </c>
    </row>
    <row r="3" spans="1:18" s="71" customFormat="1">
      <c r="A3" s="71">
        <v>2</v>
      </c>
      <c r="B3" s="71">
        <f>MATCH(C3,統合マスタ!$C$5:$C$850,0)</f>
        <v>41</v>
      </c>
      <c r="C3" s="71" t="s">
        <v>3885</v>
      </c>
      <c r="D3" s="71" t="s">
        <v>4141</v>
      </c>
      <c r="E3" s="71">
        <v>7</v>
      </c>
      <c r="F3" s="71">
        <v>100</v>
      </c>
      <c r="G3" s="71" t="s">
        <v>4137</v>
      </c>
      <c r="H3" s="71">
        <v>6</v>
      </c>
      <c r="I3" s="71">
        <v>85</v>
      </c>
      <c r="J3" s="71" t="s">
        <v>4585</v>
      </c>
      <c r="K3" s="71">
        <v>129</v>
      </c>
      <c r="L3" s="71">
        <v>57.894736842105203</v>
      </c>
      <c r="M3" s="71" t="s">
        <v>4589</v>
      </c>
      <c r="N3" s="71">
        <v>130</v>
      </c>
      <c r="O3" s="71">
        <v>55</v>
      </c>
      <c r="P3" s="71" t="s">
        <v>4421</v>
      </c>
      <c r="Q3" s="71">
        <v>83</v>
      </c>
      <c r="R3" s="71">
        <v>52.631578947368403</v>
      </c>
    </row>
    <row r="4" spans="1:18">
      <c r="A4">
        <v>3</v>
      </c>
      <c r="B4">
        <f>MATCH(C4,統合マスタ!$C$5:$C$850,0)</f>
        <v>50</v>
      </c>
      <c r="C4" t="s">
        <v>3887</v>
      </c>
      <c r="D4" t="s">
        <v>5425</v>
      </c>
      <c r="E4">
        <v>267</v>
      </c>
      <c r="F4">
        <v>41.379310344827502</v>
      </c>
      <c r="G4" t="s">
        <v>1262</v>
      </c>
      <c r="H4">
        <v>12</v>
      </c>
      <c r="I4">
        <v>35.294117647058798</v>
      </c>
      <c r="J4" t="s">
        <v>4154</v>
      </c>
      <c r="K4">
        <v>11</v>
      </c>
      <c r="L4">
        <v>31.25</v>
      </c>
    </row>
    <row r="5" spans="1:18" s="71" customFormat="1">
      <c r="A5" s="71">
        <v>4</v>
      </c>
      <c r="B5" s="71">
        <f>MATCH(C5,統合マスタ!$C$5:$C$850,0)</f>
        <v>54</v>
      </c>
      <c r="C5" s="71" t="s">
        <v>1262</v>
      </c>
      <c r="D5" s="71" t="s">
        <v>1262</v>
      </c>
      <c r="E5" s="71">
        <v>12</v>
      </c>
      <c r="F5" s="71">
        <v>100</v>
      </c>
      <c r="G5" s="71" t="s">
        <v>4154</v>
      </c>
      <c r="H5" s="71">
        <v>11</v>
      </c>
      <c r="I5" s="71">
        <v>73.3333333333333</v>
      </c>
      <c r="J5" s="71" t="s">
        <v>5006</v>
      </c>
      <c r="K5" s="71">
        <v>238</v>
      </c>
      <c r="L5" s="71">
        <v>54.545454545454497</v>
      </c>
      <c r="M5" s="71" t="s">
        <v>4725</v>
      </c>
      <c r="N5" s="71">
        <v>165</v>
      </c>
      <c r="O5" s="71">
        <v>53.3333333333333</v>
      </c>
      <c r="P5" s="71" t="s">
        <v>4878</v>
      </c>
      <c r="Q5" s="71">
        <v>204</v>
      </c>
      <c r="R5" s="71">
        <v>48.484848484848399</v>
      </c>
    </row>
    <row r="6" spans="1:18">
      <c r="A6">
        <v>5</v>
      </c>
      <c r="B6">
        <f>MATCH(C6,統合マスタ!$C$5:$C$850,0)</f>
        <v>63</v>
      </c>
      <c r="C6" t="s">
        <v>3889</v>
      </c>
      <c r="D6" t="s">
        <v>4161</v>
      </c>
      <c r="E6">
        <v>13</v>
      </c>
      <c r="F6">
        <v>71.428571428571402</v>
      </c>
      <c r="G6" t="s">
        <v>4165</v>
      </c>
      <c r="H6">
        <v>14</v>
      </c>
      <c r="I6">
        <v>66.6666666666666</v>
      </c>
      <c r="J6" t="s">
        <v>4169</v>
      </c>
      <c r="K6">
        <v>15</v>
      </c>
      <c r="L6">
        <v>66.6666666666666</v>
      </c>
      <c r="M6" t="s">
        <v>5119</v>
      </c>
      <c r="N6">
        <v>268</v>
      </c>
      <c r="O6">
        <v>50</v>
      </c>
      <c r="P6" t="s">
        <v>5321</v>
      </c>
      <c r="Q6">
        <v>322</v>
      </c>
      <c r="R6">
        <v>48.648648648648603</v>
      </c>
    </row>
    <row r="7" spans="1:18" s="71" customFormat="1">
      <c r="A7" s="71">
        <v>6</v>
      </c>
      <c r="B7" s="71">
        <f>MATCH(C7,統合マスタ!$C$5:$C$850,0)</f>
        <v>66</v>
      </c>
      <c r="C7" s="71" t="s">
        <v>3892</v>
      </c>
      <c r="D7" s="71" t="s">
        <v>4165</v>
      </c>
      <c r="E7" s="71">
        <v>14</v>
      </c>
      <c r="F7" s="71">
        <v>73.170731707317003</v>
      </c>
      <c r="G7" s="71" t="s">
        <v>4169</v>
      </c>
      <c r="H7" s="71">
        <v>15</v>
      </c>
      <c r="I7" s="71">
        <v>73.170731707317003</v>
      </c>
      <c r="J7" s="71" t="s">
        <v>4161</v>
      </c>
      <c r="K7" s="71">
        <v>13</v>
      </c>
      <c r="L7" s="71">
        <v>68.292682926829201</v>
      </c>
      <c r="M7" s="71" t="s">
        <v>1427</v>
      </c>
      <c r="N7" s="71">
        <v>124</v>
      </c>
      <c r="O7" s="71">
        <v>48.484848484848399</v>
      </c>
      <c r="P7" s="71" t="s">
        <v>5119</v>
      </c>
      <c r="Q7" s="71">
        <v>268</v>
      </c>
      <c r="R7" s="71">
        <v>45.714285714285701</v>
      </c>
    </row>
    <row r="8" spans="1:18">
      <c r="A8">
        <v>7</v>
      </c>
      <c r="B8">
        <f>MATCH(C8,統合マスタ!$C$5:$C$850,0)</f>
        <v>71</v>
      </c>
      <c r="C8" t="s">
        <v>198</v>
      </c>
      <c r="D8" t="s">
        <v>4181</v>
      </c>
      <c r="E8">
        <v>18</v>
      </c>
      <c r="F8">
        <v>83.3333333333333</v>
      </c>
      <c r="G8" t="s">
        <v>4129</v>
      </c>
      <c r="H8">
        <v>4</v>
      </c>
      <c r="I8">
        <v>66.6666666666666</v>
      </c>
      <c r="J8" t="s">
        <v>1411</v>
      </c>
      <c r="K8">
        <v>115</v>
      </c>
      <c r="L8">
        <v>63.636363636363598</v>
      </c>
      <c r="M8" t="s">
        <v>5297</v>
      </c>
      <c r="N8">
        <v>315</v>
      </c>
      <c r="O8">
        <v>60.869565217391298</v>
      </c>
      <c r="P8" t="s">
        <v>4870</v>
      </c>
      <c r="Q8">
        <v>202</v>
      </c>
      <c r="R8">
        <v>58.3333333333333</v>
      </c>
    </row>
    <row r="9" spans="1:18">
      <c r="A9">
        <v>8</v>
      </c>
      <c r="B9">
        <f>MATCH(C9,統合マスタ!$C$5:$C$850,0)</f>
        <v>96</v>
      </c>
      <c r="C9" t="s">
        <v>3897</v>
      </c>
      <c r="D9" t="s">
        <v>4270</v>
      </c>
      <c r="E9">
        <v>42</v>
      </c>
      <c r="F9">
        <v>69.565217391304301</v>
      </c>
      <c r="G9" t="s">
        <v>4549</v>
      </c>
      <c r="H9">
        <v>119</v>
      </c>
      <c r="I9">
        <v>63.636363636363598</v>
      </c>
      <c r="J9" t="s">
        <v>4274</v>
      </c>
      <c r="K9">
        <v>43</v>
      </c>
      <c r="L9">
        <v>60.869565217391298</v>
      </c>
      <c r="M9" t="s">
        <v>1639</v>
      </c>
      <c r="N9">
        <v>249</v>
      </c>
      <c r="O9">
        <v>60.869565217391298</v>
      </c>
      <c r="P9" t="s">
        <v>5274</v>
      </c>
      <c r="Q9">
        <v>308</v>
      </c>
      <c r="R9">
        <v>60.869565217391298</v>
      </c>
    </row>
    <row r="10" spans="1:18" s="71" customFormat="1">
      <c r="A10" s="71">
        <v>9</v>
      </c>
      <c r="B10" s="71">
        <f>MATCH(C10,統合マスタ!$C$5:$C$850,0)</f>
        <v>100</v>
      </c>
      <c r="C10" s="71" t="s">
        <v>1297</v>
      </c>
      <c r="D10" s="71" t="s">
        <v>1297</v>
      </c>
      <c r="E10" s="71">
        <v>35</v>
      </c>
      <c r="F10" s="71">
        <v>100</v>
      </c>
      <c r="G10" s="71" t="s">
        <v>1547</v>
      </c>
      <c r="H10" s="71">
        <v>189</v>
      </c>
      <c r="I10" s="71">
        <v>76.923076923076906</v>
      </c>
      <c r="J10" s="71" t="s">
        <v>4417</v>
      </c>
      <c r="K10" s="71">
        <v>82</v>
      </c>
      <c r="L10" s="71">
        <v>56</v>
      </c>
      <c r="M10" s="71" t="s">
        <v>5159</v>
      </c>
      <c r="N10" s="71">
        <v>278</v>
      </c>
      <c r="O10" s="71">
        <v>48</v>
      </c>
      <c r="P10" s="71" t="s">
        <v>4289</v>
      </c>
      <c r="Q10" s="71">
        <v>47</v>
      </c>
      <c r="R10" s="71">
        <v>45.454545454545404</v>
      </c>
    </row>
    <row r="11" spans="1:18">
      <c r="A11">
        <v>10</v>
      </c>
      <c r="B11">
        <f>MATCH(C11,統合マスタ!$C$5:$C$850,0)</f>
        <v>102</v>
      </c>
      <c r="C11" t="s">
        <v>3898</v>
      </c>
      <c r="D11" t="s">
        <v>4972</v>
      </c>
      <c r="E11">
        <v>229</v>
      </c>
      <c r="F11">
        <v>37.837837837837803</v>
      </c>
      <c r="G11" t="s">
        <v>4935</v>
      </c>
      <c r="H11">
        <v>219</v>
      </c>
      <c r="I11">
        <v>34.146341463414601</v>
      </c>
      <c r="J11" t="s">
        <v>4297</v>
      </c>
      <c r="K11">
        <v>49</v>
      </c>
      <c r="L11">
        <v>31.25</v>
      </c>
      <c r="M11" t="s">
        <v>5026</v>
      </c>
      <c r="N11">
        <v>243</v>
      </c>
      <c r="O11">
        <v>31.25</v>
      </c>
      <c r="P11" t="s">
        <v>5151</v>
      </c>
      <c r="Q11">
        <v>276</v>
      </c>
      <c r="R11">
        <v>31.25</v>
      </c>
    </row>
    <row r="12" spans="1:18" s="71" customFormat="1">
      <c r="A12" s="71">
        <v>11</v>
      </c>
      <c r="B12" s="71">
        <f>MATCH(C12,統合マスタ!$C$5:$C$850,0)</f>
        <v>120</v>
      </c>
      <c r="C12" s="71" t="s">
        <v>3900</v>
      </c>
      <c r="D12" s="71" t="s">
        <v>4293</v>
      </c>
      <c r="E12" s="71">
        <v>48</v>
      </c>
      <c r="F12" s="71">
        <v>75.862068965517196</v>
      </c>
      <c r="G12" s="71" t="s">
        <v>5392</v>
      </c>
      <c r="H12" s="71">
        <v>341</v>
      </c>
      <c r="I12" s="71">
        <v>46.153846153846096</v>
      </c>
      <c r="J12" s="71" t="s">
        <v>1244</v>
      </c>
      <c r="K12" s="71">
        <v>3</v>
      </c>
      <c r="L12" s="71">
        <v>40</v>
      </c>
      <c r="M12" s="71" t="s">
        <v>4289</v>
      </c>
      <c r="N12" s="71">
        <v>47</v>
      </c>
      <c r="O12" s="71">
        <v>40</v>
      </c>
      <c r="P12" s="71" t="s">
        <v>4411</v>
      </c>
      <c r="Q12" s="71">
        <v>80</v>
      </c>
      <c r="R12" s="71">
        <v>40</v>
      </c>
    </row>
    <row r="13" spans="1:18">
      <c r="A13">
        <v>12</v>
      </c>
      <c r="B13">
        <f>MATCH(C13,統合マスタ!$C$5:$C$850,0)</f>
        <v>138</v>
      </c>
      <c r="C13" t="s">
        <v>3901</v>
      </c>
      <c r="D13" t="s">
        <v>4635</v>
      </c>
      <c r="E13">
        <v>142</v>
      </c>
      <c r="F13">
        <v>60.869565217391298</v>
      </c>
      <c r="G13" t="s">
        <v>5202</v>
      </c>
      <c r="H13">
        <v>289</v>
      </c>
      <c r="I13">
        <v>60.869565217391298</v>
      </c>
      <c r="J13" t="s">
        <v>4569</v>
      </c>
      <c r="K13">
        <v>125</v>
      </c>
      <c r="L13">
        <v>50</v>
      </c>
      <c r="M13" t="s">
        <v>4573</v>
      </c>
      <c r="N13">
        <v>126</v>
      </c>
      <c r="O13">
        <v>48</v>
      </c>
      <c r="P13" t="s">
        <v>4904</v>
      </c>
      <c r="Q13">
        <v>211</v>
      </c>
      <c r="R13">
        <v>47.619047619047599</v>
      </c>
    </row>
    <row r="14" spans="1:18">
      <c r="A14">
        <v>13</v>
      </c>
      <c r="B14">
        <f>MATCH(C14,統合マスタ!$C$5:$C$850,0)</f>
        <v>164</v>
      </c>
      <c r="C14" t="s">
        <v>365</v>
      </c>
    </row>
    <row r="15" spans="1:18">
      <c r="A15">
        <v>14</v>
      </c>
      <c r="B15">
        <f>MATCH(C15,統合マスタ!$C$5:$C$850,0)</f>
        <v>182</v>
      </c>
      <c r="C15" t="s">
        <v>3912</v>
      </c>
      <c r="D15" t="s">
        <v>1198</v>
      </c>
      <c r="E15">
        <v>94</v>
      </c>
      <c r="F15">
        <v>51.851851851851798</v>
      </c>
      <c r="G15" t="s">
        <v>4460</v>
      </c>
      <c r="H15">
        <v>93</v>
      </c>
      <c r="I15">
        <v>50</v>
      </c>
      <c r="J15" t="s">
        <v>1297</v>
      </c>
      <c r="K15">
        <v>35</v>
      </c>
      <c r="L15">
        <v>41.379310344827502</v>
      </c>
      <c r="M15" t="s">
        <v>5263</v>
      </c>
      <c r="N15">
        <v>305</v>
      </c>
      <c r="O15">
        <v>38.709677419354797</v>
      </c>
      <c r="P15" t="s">
        <v>4784</v>
      </c>
      <c r="Q15">
        <v>180</v>
      </c>
      <c r="R15">
        <v>38.461538461538403</v>
      </c>
    </row>
    <row r="16" spans="1:18" s="71" customFormat="1">
      <c r="A16" s="71">
        <v>15</v>
      </c>
      <c r="B16" s="71">
        <f>MATCH(C16,統合マスタ!$C$5:$C$850,0)</f>
        <v>187</v>
      </c>
      <c r="C16" s="71" t="s">
        <v>1375</v>
      </c>
      <c r="D16" s="71" t="s">
        <v>1375</v>
      </c>
      <c r="E16" s="71">
        <v>97</v>
      </c>
      <c r="F16" s="71">
        <v>100</v>
      </c>
      <c r="G16" s="71" t="s">
        <v>4071</v>
      </c>
      <c r="H16" s="71">
        <v>248</v>
      </c>
      <c r="I16" s="71">
        <v>66.6666666666666</v>
      </c>
      <c r="J16" s="71" t="s">
        <v>5274</v>
      </c>
      <c r="K16" s="71">
        <v>308</v>
      </c>
      <c r="L16" s="71">
        <v>63.636363636363598</v>
      </c>
      <c r="M16" s="71" t="s">
        <v>4675</v>
      </c>
      <c r="N16" s="71">
        <v>152</v>
      </c>
      <c r="O16" s="71">
        <v>58.3333333333333</v>
      </c>
      <c r="P16" s="71" t="s">
        <v>5217</v>
      </c>
      <c r="Q16" s="71">
        <v>293</v>
      </c>
      <c r="R16" s="71">
        <v>57.142857142857103</v>
      </c>
    </row>
    <row r="17" spans="1:18" s="71" customFormat="1">
      <c r="A17" s="71">
        <v>16</v>
      </c>
      <c r="B17" s="71">
        <f>MATCH(C17,統合マスタ!$C$5:$C$850,0)</f>
        <v>226</v>
      </c>
      <c r="C17" s="71" t="s">
        <v>1406</v>
      </c>
      <c r="D17" s="71" t="s">
        <v>1406</v>
      </c>
      <c r="E17" s="71">
        <v>114</v>
      </c>
      <c r="F17" s="71">
        <v>100</v>
      </c>
      <c r="G17" s="71" t="s">
        <v>5321</v>
      </c>
      <c r="H17" s="71">
        <v>322</v>
      </c>
      <c r="I17" s="71">
        <v>60</v>
      </c>
      <c r="J17" s="71" t="s">
        <v>1427</v>
      </c>
      <c r="K17" s="71">
        <v>124</v>
      </c>
      <c r="L17" s="71">
        <v>59.259259259259203</v>
      </c>
      <c r="M17" s="71" t="s">
        <v>4675</v>
      </c>
      <c r="N17" s="71">
        <v>152</v>
      </c>
      <c r="O17" s="71">
        <v>57.142857142857103</v>
      </c>
      <c r="P17" s="71" t="s">
        <v>4258</v>
      </c>
      <c r="Q17" s="71">
        <v>39</v>
      </c>
      <c r="R17" s="71">
        <v>53.846153846153797</v>
      </c>
    </row>
    <row r="18" spans="1:18" s="71" customFormat="1">
      <c r="A18" s="71">
        <v>17</v>
      </c>
      <c r="B18" s="71">
        <f>MATCH(C18,統合マスタ!$C$5:$C$850,0)</f>
        <v>229</v>
      </c>
      <c r="C18" s="71" t="s">
        <v>1411</v>
      </c>
      <c r="D18" s="71" t="s">
        <v>1411</v>
      </c>
      <c r="E18" s="71">
        <v>115</v>
      </c>
      <c r="F18" s="71">
        <v>100</v>
      </c>
      <c r="G18" s="71" t="s">
        <v>4651</v>
      </c>
      <c r="H18" s="71">
        <v>146</v>
      </c>
      <c r="I18" s="71">
        <v>70</v>
      </c>
      <c r="J18" s="71" t="s">
        <v>5274</v>
      </c>
      <c r="K18" s="71">
        <v>308</v>
      </c>
      <c r="L18" s="71">
        <v>66.6666666666666</v>
      </c>
      <c r="M18" s="71" t="s">
        <v>5297</v>
      </c>
      <c r="N18" s="71">
        <v>315</v>
      </c>
      <c r="O18" s="71">
        <v>66.6666666666666</v>
      </c>
      <c r="P18" s="71" t="s">
        <v>4129</v>
      </c>
      <c r="Q18" s="71">
        <v>4</v>
      </c>
      <c r="R18" s="71">
        <v>63.157894736842103</v>
      </c>
    </row>
    <row r="19" spans="1:18">
      <c r="A19">
        <v>18</v>
      </c>
      <c r="B19">
        <f>MATCH(C19,統合マスタ!$C$5:$C$850,0)</f>
        <v>232</v>
      </c>
      <c r="C19" t="s">
        <v>3918</v>
      </c>
      <c r="D19" t="s">
        <v>4541</v>
      </c>
      <c r="E19">
        <v>117</v>
      </c>
      <c r="F19">
        <v>81.25</v>
      </c>
      <c r="G19" t="s">
        <v>5074</v>
      </c>
      <c r="H19">
        <v>256</v>
      </c>
      <c r="I19">
        <v>45.161290322580598</v>
      </c>
      <c r="J19" t="s">
        <v>4808</v>
      </c>
      <c r="K19">
        <v>186</v>
      </c>
      <c r="L19">
        <v>44.4444444444444</v>
      </c>
      <c r="M19" t="s">
        <v>4804</v>
      </c>
      <c r="N19">
        <v>185</v>
      </c>
      <c r="O19">
        <v>43.243243243243199</v>
      </c>
      <c r="P19" t="s">
        <v>4812</v>
      </c>
      <c r="Q19">
        <v>187</v>
      </c>
      <c r="R19">
        <v>41.176470588235198</v>
      </c>
    </row>
    <row r="20" spans="1:18">
      <c r="A20">
        <v>19</v>
      </c>
      <c r="B20">
        <f>MATCH(C20,統合マスタ!$C$5:$C$850,0)</f>
        <v>233</v>
      </c>
      <c r="C20" t="s">
        <v>470</v>
      </c>
      <c r="D20" t="s">
        <v>4358</v>
      </c>
      <c r="E20">
        <v>65</v>
      </c>
      <c r="F20">
        <v>41.6666666666666</v>
      </c>
      <c r="G20" t="s">
        <v>4950</v>
      </c>
      <c r="H20">
        <v>223</v>
      </c>
      <c r="I20">
        <v>37.037037037037003</v>
      </c>
      <c r="J20" t="s">
        <v>4603</v>
      </c>
      <c r="K20">
        <v>134</v>
      </c>
      <c r="L20">
        <v>35.714285714285701</v>
      </c>
      <c r="M20" t="s">
        <v>4954</v>
      </c>
      <c r="N20">
        <v>224</v>
      </c>
      <c r="O20">
        <v>35.714285714285701</v>
      </c>
      <c r="P20" t="s">
        <v>5127</v>
      </c>
      <c r="Q20">
        <v>270</v>
      </c>
      <c r="R20">
        <v>31.25</v>
      </c>
    </row>
    <row r="21" spans="1:18">
      <c r="A21">
        <v>20</v>
      </c>
      <c r="B21">
        <f>MATCH(C21,統合マスタ!$C$5:$C$850,0)</f>
        <v>282</v>
      </c>
      <c r="C21" t="s">
        <v>3925</v>
      </c>
    </row>
    <row r="22" spans="1:18">
      <c r="A22">
        <v>21</v>
      </c>
      <c r="B22">
        <f>MATCH(C22,統合マスタ!$C$5:$C$850,0)</f>
        <v>283</v>
      </c>
      <c r="C22" t="s">
        <v>3926</v>
      </c>
      <c r="D22" t="s">
        <v>5213</v>
      </c>
      <c r="E22">
        <v>292</v>
      </c>
      <c r="F22">
        <v>34.146341463414601</v>
      </c>
    </row>
    <row r="23" spans="1:18">
      <c r="A23">
        <v>22</v>
      </c>
      <c r="B23">
        <f>MATCH(C23,統合マスタ!$C$5:$C$850,0)</f>
        <v>362</v>
      </c>
      <c r="C23" t="s">
        <v>3940</v>
      </c>
      <c r="D23" t="s">
        <v>4788</v>
      </c>
      <c r="E23">
        <v>181</v>
      </c>
      <c r="F23">
        <v>70</v>
      </c>
      <c r="G23" t="s">
        <v>4980</v>
      </c>
      <c r="H23">
        <v>231</v>
      </c>
      <c r="I23">
        <v>60.869565217391298</v>
      </c>
      <c r="J23" t="s">
        <v>4452</v>
      </c>
      <c r="K23">
        <v>91</v>
      </c>
      <c r="L23">
        <v>57.142857142857103</v>
      </c>
      <c r="M23" t="s">
        <v>1800</v>
      </c>
      <c r="N23">
        <v>316</v>
      </c>
      <c r="O23">
        <v>57.142857142857103</v>
      </c>
      <c r="P23" t="s">
        <v>4557</v>
      </c>
      <c r="Q23">
        <v>121</v>
      </c>
      <c r="R23">
        <v>52.173913043478201</v>
      </c>
    </row>
    <row r="24" spans="1:18">
      <c r="A24">
        <v>23</v>
      </c>
      <c r="B24">
        <f>MATCH(C24,統合マスタ!$C$5:$C$850,0)</f>
        <v>364</v>
      </c>
      <c r="C24" t="s">
        <v>3941</v>
      </c>
      <c r="D24" t="s">
        <v>4635</v>
      </c>
      <c r="E24">
        <v>142</v>
      </c>
      <c r="F24">
        <v>50</v>
      </c>
      <c r="G24" t="s">
        <v>5202</v>
      </c>
      <c r="H24">
        <v>289</v>
      </c>
      <c r="I24">
        <v>50</v>
      </c>
      <c r="J24" t="s">
        <v>4569</v>
      </c>
      <c r="K24">
        <v>125</v>
      </c>
      <c r="L24">
        <v>48</v>
      </c>
      <c r="M24" t="s">
        <v>4573</v>
      </c>
      <c r="N24">
        <v>126</v>
      </c>
      <c r="O24">
        <v>46.153846153846096</v>
      </c>
      <c r="P24" t="s">
        <v>4137</v>
      </c>
      <c r="Q24">
        <v>6</v>
      </c>
      <c r="R24">
        <v>36.363636363636303</v>
      </c>
    </row>
    <row r="25" spans="1:18">
      <c r="A25">
        <v>24</v>
      </c>
      <c r="B25">
        <f>MATCH(C25,統合マスタ!$C$5:$C$850,0)</f>
        <v>370</v>
      </c>
      <c r="C25" t="s">
        <v>668</v>
      </c>
      <c r="D25" t="s">
        <v>668</v>
      </c>
      <c r="E25">
        <v>179</v>
      </c>
      <c r="F25">
        <v>100</v>
      </c>
      <c r="G25" t="s">
        <v>4278</v>
      </c>
      <c r="H25">
        <v>44</v>
      </c>
      <c r="I25">
        <v>36.363636363636303</v>
      </c>
      <c r="J25" t="s">
        <v>4285</v>
      </c>
      <c r="K25">
        <v>46</v>
      </c>
      <c r="L25">
        <v>36.363636363636303</v>
      </c>
      <c r="M25" t="s">
        <v>4800</v>
      </c>
      <c r="N25">
        <v>184</v>
      </c>
      <c r="O25">
        <v>34.782608695652101</v>
      </c>
      <c r="P25" t="s">
        <v>4331</v>
      </c>
      <c r="Q25">
        <v>58</v>
      </c>
      <c r="R25">
        <v>31.999999999999901</v>
      </c>
    </row>
    <row r="26" spans="1:18" s="71" customFormat="1">
      <c r="A26" s="71">
        <v>25</v>
      </c>
      <c r="B26" s="71">
        <f>MATCH(C26,統合マスタ!$C$5:$C$850,0)</f>
        <v>388</v>
      </c>
      <c r="C26" s="71" t="s">
        <v>1547</v>
      </c>
      <c r="D26" s="71" t="s">
        <v>1547</v>
      </c>
      <c r="E26" s="71">
        <v>189</v>
      </c>
      <c r="F26" s="71">
        <v>100</v>
      </c>
      <c r="G26" s="71" t="s">
        <v>1297</v>
      </c>
      <c r="H26" s="71">
        <v>35</v>
      </c>
      <c r="I26" s="71">
        <v>76.923076923076906</v>
      </c>
      <c r="J26" s="71" t="s">
        <v>4417</v>
      </c>
      <c r="K26" s="71">
        <v>82</v>
      </c>
      <c r="L26" s="71">
        <v>56</v>
      </c>
      <c r="M26" s="71" t="s">
        <v>5159</v>
      </c>
      <c r="N26" s="71">
        <v>278</v>
      </c>
      <c r="O26" s="71">
        <v>48</v>
      </c>
      <c r="P26" s="71" t="s">
        <v>4777</v>
      </c>
      <c r="Q26" s="71">
        <v>178</v>
      </c>
      <c r="R26" s="71">
        <v>44.4444444444444</v>
      </c>
    </row>
    <row r="27" spans="1:18">
      <c r="A27">
        <v>26</v>
      </c>
      <c r="B27">
        <f>MATCH(C27,統合マスタ!$C$5:$C$850,0)</f>
        <v>409</v>
      </c>
      <c r="C27" t="s">
        <v>3946</v>
      </c>
      <c r="D27" t="s">
        <v>4882</v>
      </c>
      <c r="E27">
        <v>205</v>
      </c>
      <c r="F27">
        <v>85</v>
      </c>
      <c r="G27" t="s">
        <v>4878</v>
      </c>
      <c r="H27">
        <v>204</v>
      </c>
      <c r="I27">
        <v>75</v>
      </c>
      <c r="J27" t="s">
        <v>5155</v>
      </c>
      <c r="K27">
        <v>277</v>
      </c>
      <c r="L27">
        <v>58.536585365853597</v>
      </c>
      <c r="M27" t="s">
        <v>1800</v>
      </c>
      <c r="N27">
        <v>316</v>
      </c>
      <c r="O27">
        <v>44.999999999999901</v>
      </c>
      <c r="P27" t="s">
        <v>5372</v>
      </c>
      <c r="Q27">
        <v>336</v>
      </c>
      <c r="R27">
        <v>44.999999999999901</v>
      </c>
    </row>
    <row r="28" spans="1:18" s="71" customFormat="1">
      <c r="A28" s="71">
        <v>27</v>
      </c>
      <c r="B28" s="71">
        <f>MATCH(C28,統合マスタ!$C$5:$C$850,0)</f>
        <v>410</v>
      </c>
      <c r="C28" s="71" t="s">
        <v>3947</v>
      </c>
      <c r="D28" s="71" t="s">
        <v>4882</v>
      </c>
      <c r="E28" s="71">
        <v>205</v>
      </c>
      <c r="F28" s="71">
        <v>87.179487179487097</v>
      </c>
      <c r="G28" s="71" t="s">
        <v>4878</v>
      </c>
      <c r="H28" s="71">
        <v>204</v>
      </c>
      <c r="I28" s="71">
        <v>76.923076923076906</v>
      </c>
      <c r="J28" s="71" t="s">
        <v>5155</v>
      </c>
      <c r="K28" s="71">
        <v>277</v>
      </c>
      <c r="L28" s="71">
        <v>60</v>
      </c>
      <c r="M28" s="71" t="s">
        <v>1800</v>
      </c>
      <c r="N28" s="71">
        <v>316</v>
      </c>
      <c r="O28" s="71">
        <v>46.153846153846096</v>
      </c>
      <c r="P28" s="71" t="s">
        <v>5372</v>
      </c>
      <c r="Q28" s="71">
        <v>336</v>
      </c>
      <c r="R28" s="71">
        <v>46.153846153846096</v>
      </c>
    </row>
    <row r="29" spans="1:18" s="71" customFormat="1">
      <c r="A29" s="71">
        <v>28</v>
      </c>
      <c r="B29" s="71">
        <f>MATCH(C29,統合マスタ!$C$5:$C$850,0)</f>
        <v>438</v>
      </c>
      <c r="C29" s="71" t="s">
        <v>753</v>
      </c>
      <c r="D29" s="71" t="s">
        <v>753</v>
      </c>
      <c r="E29" s="71">
        <v>221</v>
      </c>
      <c r="F29" s="71">
        <v>100</v>
      </c>
      <c r="G29" s="71" t="s">
        <v>5415</v>
      </c>
      <c r="H29" s="71">
        <v>347</v>
      </c>
      <c r="I29" s="71">
        <v>68.75</v>
      </c>
      <c r="J29" s="71" t="s">
        <v>4928</v>
      </c>
      <c r="K29" s="71">
        <v>217</v>
      </c>
      <c r="L29" s="71">
        <v>66.6666666666666</v>
      </c>
      <c r="M29" s="71" t="s">
        <v>4456</v>
      </c>
      <c r="N29" s="71">
        <v>92</v>
      </c>
      <c r="O29" s="71">
        <v>62.5</v>
      </c>
      <c r="P29" s="71" t="s">
        <v>4705</v>
      </c>
      <c r="Q29" s="71">
        <v>160</v>
      </c>
      <c r="R29" s="71">
        <v>62.5</v>
      </c>
    </row>
    <row r="30" spans="1:18" s="71" customFormat="1">
      <c r="A30" s="71">
        <v>29</v>
      </c>
      <c r="B30" s="71">
        <f>MATCH(C30,統合マスタ!$C$5:$C$850,0)</f>
        <v>481</v>
      </c>
      <c r="C30" s="71" t="s">
        <v>3963</v>
      </c>
      <c r="D30" s="71" t="s">
        <v>5003</v>
      </c>
      <c r="E30" s="71">
        <v>237</v>
      </c>
      <c r="F30" s="71">
        <v>94.736842105263094</v>
      </c>
      <c r="G30" s="71" t="s">
        <v>5341</v>
      </c>
      <c r="H30" s="71">
        <v>327</v>
      </c>
      <c r="I30" s="71">
        <v>66.6666666666666</v>
      </c>
      <c r="J30" s="71" t="s">
        <v>4494</v>
      </c>
      <c r="K30" s="71">
        <v>103</v>
      </c>
      <c r="L30" s="71">
        <v>64.705882352941103</v>
      </c>
      <c r="M30" s="71" t="s">
        <v>4916</v>
      </c>
      <c r="N30" s="71">
        <v>214</v>
      </c>
      <c r="O30" s="71">
        <v>62.857142857142797</v>
      </c>
      <c r="P30" s="71" t="s">
        <v>4589</v>
      </c>
      <c r="Q30" s="71">
        <v>130</v>
      </c>
      <c r="R30" s="71">
        <v>61.538461538461497</v>
      </c>
    </row>
    <row r="31" spans="1:18" s="71" customFormat="1">
      <c r="A31" s="71">
        <v>30</v>
      </c>
      <c r="B31" s="71">
        <f>MATCH(C31,統合マスタ!$C$5:$C$850,0)</f>
        <v>503</v>
      </c>
      <c r="C31" s="71" t="s">
        <v>1638</v>
      </c>
      <c r="D31" s="71" t="s">
        <v>1638</v>
      </c>
      <c r="E31" s="71">
        <v>247</v>
      </c>
      <c r="F31" s="71">
        <v>100</v>
      </c>
      <c r="G31" s="71" t="s">
        <v>5034</v>
      </c>
      <c r="H31" s="71">
        <v>245</v>
      </c>
      <c r="I31" s="71">
        <v>73.684210526315795</v>
      </c>
      <c r="J31" s="71" t="s">
        <v>5198</v>
      </c>
      <c r="K31" s="71">
        <v>288</v>
      </c>
      <c r="L31" s="71">
        <v>50</v>
      </c>
      <c r="M31" s="71" t="s">
        <v>5202</v>
      </c>
      <c r="N31" s="71">
        <v>289</v>
      </c>
      <c r="O31" s="71">
        <v>50</v>
      </c>
      <c r="P31" s="71" t="s">
        <v>5361</v>
      </c>
      <c r="Q31" s="71">
        <v>333</v>
      </c>
      <c r="R31" s="71">
        <v>50</v>
      </c>
    </row>
    <row r="32" spans="1:18">
      <c r="A32">
        <v>31</v>
      </c>
      <c r="B32">
        <f>MATCH(C32,統合マスタ!$C$5:$C$850,0)</f>
        <v>513</v>
      </c>
      <c r="C32" t="s">
        <v>3968</v>
      </c>
      <c r="D32" t="s">
        <v>5229</v>
      </c>
      <c r="E32">
        <v>296</v>
      </c>
      <c r="F32">
        <v>42.105263157894697</v>
      </c>
      <c r="G32" t="s">
        <v>5159</v>
      </c>
      <c r="H32">
        <v>278</v>
      </c>
      <c r="I32">
        <v>38.095238095238003</v>
      </c>
      <c r="J32" t="s">
        <v>5058</v>
      </c>
      <c r="K32">
        <v>252</v>
      </c>
      <c r="L32">
        <v>37.037037037037003</v>
      </c>
      <c r="M32" t="s">
        <v>1385</v>
      </c>
      <c r="N32">
        <v>101</v>
      </c>
      <c r="O32">
        <v>36.363636363636303</v>
      </c>
      <c r="P32" t="s">
        <v>4069</v>
      </c>
      <c r="Q32">
        <v>335</v>
      </c>
      <c r="R32">
        <v>35.294117647058798</v>
      </c>
    </row>
    <row r="33" spans="1:18">
      <c r="A33">
        <v>32</v>
      </c>
      <c r="B33">
        <f>MATCH(C33,統合マスタ!$C$5:$C$850,0)</f>
        <v>532</v>
      </c>
      <c r="C33" t="s">
        <v>1657</v>
      </c>
      <c r="D33" t="s">
        <v>5074</v>
      </c>
      <c r="E33">
        <v>256</v>
      </c>
      <c r="F33">
        <v>48.484848484848399</v>
      </c>
      <c r="G33" t="s">
        <v>4456</v>
      </c>
      <c r="H33">
        <v>92</v>
      </c>
      <c r="I33">
        <v>45.714285714285701</v>
      </c>
      <c r="J33" t="s">
        <v>4804</v>
      </c>
      <c r="K33">
        <v>185</v>
      </c>
      <c r="L33">
        <v>41.025641025641001</v>
      </c>
      <c r="M33" t="s">
        <v>4219</v>
      </c>
      <c r="N33">
        <v>28</v>
      </c>
      <c r="O33">
        <v>40</v>
      </c>
      <c r="P33" t="s">
        <v>4585</v>
      </c>
      <c r="Q33">
        <v>129</v>
      </c>
      <c r="R33">
        <v>38.8888888888888</v>
      </c>
    </row>
    <row r="34" spans="1:18" s="71" customFormat="1">
      <c r="A34" s="71">
        <v>33</v>
      </c>
      <c r="B34" s="71">
        <f>MATCH(C34,統合マスタ!$C$5:$C$850,0)</f>
        <v>537</v>
      </c>
      <c r="C34" s="71" t="s">
        <v>865</v>
      </c>
      <c r="D34" s="71" t="s">
        <v>5101</v>
      </c>
      <c r="E34" s="71">
        <v>263</v>
      </c>
      <c r="F34" s="71">
        <v>100</v>
      </c>
      <c r="G34" s="71" t="s">
        <v>5392</v>
      </c>
      <c r="H34" s="71">
        <v>341</v>
      </c>
      <c r="I34" s="71">
        <v>38.095238095238003</v>
      </c>
      <c r="J34" s="71" t="s">
        <v>4647</v>
      </c>
      <c r="K34" s="71">
        <v>145</v>
      </c>
      <c r="L34" s="71">
        <v>31.999999999999901</v>
      </c>
      <c r="M34" s="71" t="s">
        <v>1244</v>
      </c>
      <c r="N34" s="71">
        <v>3</v>
      </c>
      <c r="O34" s="71">
        <v>30</v>
      </c>
      <c r="P34" s="71" t="s">
        <v>4908</v>
      </c>
      <c r="Q34" s="71">
        <v>212</v>
      </c>
      <c r="R34" s="71">
        <v>30</v>
      </c>
    </row>
    <row r="35" spans="1:18">
      <c r="A35">
        <v>34</v>
      </c>
      <c r="B35">
        <f>MATCH(C35,統合マスタ!$C$5:$C$850,0)</f>
        <v>539</v>
      </c>
      <c r="C35" t="s">
        <v>867</v>
      </c>
      <c r="D35" t="s">
        <v>4553</v>
      </c>
      <c r="E35">
        <v>120</v>
      </c>
      <c r="F35">
        <v>73.684210526315795</v>
      </c>
      <c r="G35" t="s">
        <v>4507</v>
      </c>
      <c r="H35">
        <v>107</v>
      </c>
      <c r="I35">
        <v>63.157894736842103</v>
      </c>
      <c r="J35" t="s">
        <v>5380</v>
      </c>
      <c r="K35">
        <v>338</v>
      </c>
      <c r="L35">
        <v>63.157894736842103</v>
      </c>
      <c r="M35" t="s">
        <v>5384</v>
      </c>
      <c r="N35">
        <v>339</v>
      </c>
      <c r="O35">
        <v>60</v>
      </c>
      <c r="P35" t="s">
        <v>5388</v>
      </c>
      <c r="Q35">
        <v>340</v>
      </c>
      <c r="R35">
        <v>60</v>
      </c>
    </row>
    <row r="36" spans="1:18">
      <c r="A36">
        <v>35</v>
      </c>
      <c r="B36">
        <f>MATCH(C36,統合マスタ!$C$5:$C$850,0)</f>
        <v>540</v>
      </c>
      <c r="C36" t="s">
        <v>3971</v>
      </c>
      <c r="D36" t="s">
        <v>5109</v>
      </c>
      <c r="E36">
        <v>265</v>
      </c>
      <c r="F36">
        <v>69.565217391304301</v>
      </c>
      <c r="G36" t="s">
        <v>4274</v>
      </c>
      <c r="H36">
        <v>43</v>
      </c>
      <c r="I36">
        <v>58.3333333333333</v>
      </c>
      <c r="J36" t="s">
        <v>4429</v>
      </c>
      <c r="K36">
        <v>85</v>
      </c>
      <c r="L36">
        <v>54.545454545454497</v>
      </c>
      <c r="M36" t="s">
        <v>4270</v>
      </c>
      <c r="N36">
        <v>42</v>
      </c>
      <c r="O36">
        <v>50</v>
      </c>
      <c r="P36" t="s">
        <v>5051</v>
      </c>
      <c r="Q36">
        <v>250</v>
      </c>
      <c r="R36">
        <v>44.4444444444444</v>
      </c>
    </row>
    <row r="37" spans="1:18">
      <c r="A37">
        <v>36</v>
      </c>
      <c r="B37">
        <f>MATCH(C37,統合マスタ!$C$5:$C$850,0)</f>
        <v>541</v>
      </c>
      <c r="C37" t="s">
        <v>869</v>
      </c>
      <c r="D37" t="s">
        <v>5113</v>
      </c>
      <c r="E37">
        <v>266</v>
      </c>
      <c r="F37">
        <v>42.105263157894697</v>
      </c>
    </row>
    <row r="38" spans="1:18" s="71" customFormat="1">
      <c r="A38" s="71">
        <v>37</v>
      </c>
      <c r="B38" s="71">
        <f>MATCH(C38,統合マスタ!$C$5:$C$850,0)</f>
        <v>542</v>
      </c>
      <c r="C38" s="71" t="s">
        <v>3972</v>
      </c>
      <c r="D38" s="71" t="s">
        <v>5113</v>
      </c>
      <c r="E38" s="71">
        <v>266</v>
      </c>
      <c r="F38" s="71">
        <v>100</v>
      </c>
      <c r="G38" s="71" t="s">
        <v>4541</v>
      </c>
      <c r="H38" s="71">
        <v>117</v>
      </c>
      <c r="I38" s="71">
        <v>38.709677419354797</v>
      </c>
      <c r="J38" s="71" t="s">
        <v>4308</v>
      </c>
      <c r="K38" s="71">
        <v>52</v>
      </c>
      <c r="L38" s="71">
        <v>37.5</v>
      </c>
      <c r="M38" s="71" t="s">
        <v>5078</v>
      </c>
      <c r="N38" s="71">
        <v>257</v>
      </c>
      <c r="O38" s="71">
        <v>35.294117647058798</v>
      </c>
      <c r="P38" s="71" t="s">
        <v>4729</v>
      </c>
      <c r="Q38" s="71">
        <v>166</v>
      </c>
      <c r="R38" s="71">
        <v>34.482758620689602</v>
      </c>
    </row>
    <row r="39" spans="1:18">
      <c r="A39">
        <v>38</v>
      </c>
      <c r="B39">
        <f>MATCH(C39,統合マスタ!$C$5:$C$850,0)</f>
        <v>544</v>
      </c>
      <c r="C39" t="s">
        <v>3973</v>
      </c>
      <c r="D39" t="s">
        <v>5113</v>
      </c>
      <c r="E39">
        <v>266</v>
      </c>
      <c r="F39">
        <v>78.787878787878697</v>
      </c>
      <c r="G39" t="s">
        <v>5425</v>
      </c>
      <c r="H39">
        <v>267</v>
      </c>
      <c r="I39">
        <v>41.379310344827502</v>
      </c>
      <c r="J39" t="s">
        <v>4541</v>
      </c>
      <c r="K39">
        <v>117</v>
      </c>
      <c r="L39">
        <v>35.294117647058798</v>
      </c>
      <c r="M39" t="s">
        <v>4603</v>
      </c>
      <c r="N39">
        <v>134</v>
      </c>
      <c r="O39">
        <v>34.285714285714199</v>
      </c>
      <c r="P39" t="s">
        <v>4300</v>
      </c>
      <c r="Q39">
        <v>50</v>
      </c>
      <c r="R39">
        <v>32.258064516128997</v>
      </c>
    </row>
    <row r="40" spans="1:18">
      <c r="A40">
        <v>39</v>
      </c>
      <c r="B40">
        <f>MATCH(C40,統合マスタ!$C$5:$C$850,0)</f>
        <v>566</v>
      </c>
      <c r="C40" t="s">
        <v>3976</v>
      </c>
      <c r="D40" t="s">
        <v>4154</v>
      </c>
      <c r="E40">
        <v>11</v>
      </c>
      <c r="F40">
        <v>62.068965517241303</v>
      </c>
      <c r="G40" t="s">
        <v>1262</v>
      </c>
      <c r="H40">
        <v>12</v>
      </c>
      <c r="I40">
        <v>51.612903225806399</v>
      </c>
      <c r="J40" t="s">
        <v>1337</v>
      </c>
      <c r="K40">
        <v>67</v>
      </c>
      <c r="L40">
        <v>48.648648648648603</v>
      </c>
      <c r="M40" t="s">
        <v>4721</v>
      </c>
      <c r="N40">
        <v>164</v>
      </c>
      <c r="O40">
        <v>48.275862068965502</v>
      </c>
      <c r="P40" t="s">
        <v>4725</v>
      </c>
      <c r="Q40">
        <v>165</v>
      </c>
      <c r="R40">
        <v>48.275862068965502</v>
      </c>
    </row>
    <row r="41" spans="1:18">
      <c r="A41">
        <v>40</v>
      </c>
      <c r="B41">
        <f>MATCH(C41,統合マスタ!$C$5:$C$850,0)</f>
        <v>619</v>
      </c>
      <c r="C41" t="s">
        <v>3993</v>
      </c>
      <c r="D41" t="s">
        <v>5213</v>
      </c>
      <c r="E41">
        <v>292</v>
      </c>
      <c r="F41">
        <v>56.410256410256402</v>
      </c>
      <c r="G41" t="s">
        <v>4916</v>
      </c>
      <c r="H41">
        <v>214</v>
      </c>
      <c r="I41">
        <v>33.3333333333333</v>
      </c>
      <c r="J41" t="s">
        <v>1742</v>
      </c>
      <c r="K41">
        <v>297</v>
      </c>
      <c r="L41">
        <v>32.258064516128997</v>
      </c>
      <c r="M41" t="s">
        <v>5026</v>
      </c>
      <c r="N41">
        <v>243</v>
      </c>
      <c r="O41">
        <v>31.25</v>
      </c>
      <c r="P41" t="s">
        <v>4070</v>
      </c>
      <c r="Q41">
        <v>106</v>
      </c>
      <c r="R41">
        <v>30.303030303030202</v>
      </c>
    </row>
    <row r="42" spans="1:18" s="71" customFormat="1">
      <c r="A42" s="71">
        <v>41</v>
      </c>
      <c r="B42" s="71">
        <f>MATCH(C42,統合マスタ!$C$5:$C$850,0)</f>
        <v>634</v>
      </c>
      <c r="C42" s="71" t="s">
        <v>1742</v>
      </c>
      <c r="D42" s="71" t="s">
        <v>1742</v>
      </c>
      <c r="E42" s="71">
        <v>297</v>
      </c>
      <c r="F42" s="71">
        <v>100</v>
      </c>
      <c r="G42" s="71" t="s">
        <v>5259</v>
      </c>
      <c r="H42" s="71">
        <v>304</v>
      </c>
      <c r="I42" s="71">
        <v>54.545454545454497</v>
      </c>
      <c r="J42" s="71" t="s">
        <v>1639</v>
      </c>
      <c r="K42" s="71">
        <v>249</v>
      </c>
      <c r="L42" s="71">
        <v>45.454545454545404</v>
      </c>
      <c r="M42" s="71" t="s">
        <v>5274</v>
      </c>
      <c r="N42" s="71">
        <v>308</v>
      </c>
      <c r="O42" s="71">
        <v>45.454545454545404</v>
      </c>
      <c r="P42" s="71" t="s">
        <v>4607</v>
      </c>
      <c r="Q42" s="71">
        <v>135</v>
      </c>
      <c r="R42" s="71">
        <v>40</v>
      </c>
    </row>
    <row r="43" spans="1:18">
      <c r="A43">
        <v>42</v>
      </c>
      <c r="B43">
        <f>MATCH(C43,統合マスタ!$C$5:$C$850,0)</f>
        <v>777</v>
      </c>
      <c r="C43" t="s">
        <v>4021</v>
      </c>
      <c r="D43" t="s">
        <v>4274</v>
      </c>
      <c r="E43">
        <v>43</v>
      </c>
      <c r="F43">
        <v>57.142857142857103</v>
      </c>
      <c r="G43" t="s">
        <v>4904</v>
      </c>
      <c r="H43">
        <v>211</v>
      </c>
      <c r="I43">
        <v>52.631578947368403</v>
      </c>
      <c r="J43" t="s">
        <v>5022</v>
      </c>
      <c r="K43">
        <v>242</v>
      </c>
      <c r="L43">
        <v>52.631578947368403</v>
      </c>
      <c r="M43" t="s">
        <v>4285</v>
      </c>
      <c r="N43">
        <v>46</v>
      </c>
      <c r="O43">
        <v>50</v>
      </c>
      <c r="P43" t="s">
        <v>4270</v>
      </c>
      <c r="Q43">
        <v>42</v>
      </c>
      <c r="R43">
        <v>47.619047619047599</v>
      </c>
    </row>
    <row r="44" spans="1:18" s="71" customFormat="1">
      <c r="A44" s="71">
        <v>43</v>
      </c>
      <c r="B44" s="71">
        <f>MATCH(C44,統合マスタ!$C$5:$C$850,0)</f>
        <v>807</v>
      </c>
      <c r="C44" s="71" t="s">
        <v>1337</v>
      </c>
      <c r="D44" s="71" t="s">
        <v>1337</v>
      </c>
      <c r="E44" s="71">
        <v>67</v>
      </c>
      <c r="F44" s="71">
        <v>100</v>
      </c>
      <c r="G44" s="71" t="s">
        <v>4995</v>
      </c>
      <c r="H44" s="71">
        <v>235</v>
      </c>
      <c r="I44" s="71">
        <v>52.631578947368403</v>
      </c>
      <c r="J44" s="71" t="s">
        <v>4137</v>
      </c>
      <c r="K44" s="71">
        <v>6</v>
      </c>
      <c r="L44" s="71">
        <v>42.857142857142797</v>
      </c>
      <c r="M44" s="71" t="s">
        <v>4141</v>
      </c>
      <c r="N44" s="71">
        <v>7</v>
      </c>
      <c r="O44" s="71">
        <v>42.857142857142797</v>
      </c>
      <c r="P44" s="71" t="s">
        <v>5353</v>
      </c>
      <c r="Q44" s="71">
        <v>331</v>
      </c>
      <c r="R44" s="71">
        <v>42.857142857142797</v>
      </c>
    </row>
    <row r="45" spans="1:18">
      <c r="A45">
        <v>44</v>
      </c>
      <c r="B45">
        <f>MATCH(C45,統合マスタ!$C$5:$C$850,0)</f>
        <v>808</v>
      </c>
      <c r="C45" t="s">
        <v>4026</v>
      </c>
      <c r="D45" t="s">
        <v>4663</v>
      </c>
      <c r="E45">
        <v>149</v>
      </c>
      <c r="F45">
        <v>48.275862068965502</v>
      </c>
      <c r="G45" t="s">
        <v>4398</v>
      </c>
      <c r="H45">
        <v>76</v>
      </c>
      <c r="I45">
        <v>46.6666666666666</v>
      </c>
      <c r="J45" t="s">
        <v>4394</v>
      </c>
      <c r="K45">
        <v>75</v>
      </c>
      <c r="L45">
        <v>42.424242424242401</v>
      </c>
      <c r="M45" t="s">
        <v>5213</v>
      </c>
      <c r="N45">
        <v>292</v>
      </c>
      <c r="O45">
        <v>42.424242424242401</v>
      </c>
      <c r="P45" t="s">
        <v>4659</v>
      </c>
      <c r="Q45">
        <v>148</v>
      </c>
      <c r="R45">
        <v>41.379310344827502</v>
      </c>
    </row>
    <row r="46" spans="1:18">
      <c r="A46">
        <v>45</v>
      </c>
      <c r="B46">
        <f>MATCH(C46,統合マスタ!$C$5:$C$850,0)</f>
        <v>809</v>
      </c>
      <c r="C46" t="s">
        <v>1181</v>
      </c>
    </row>
    <row r="47" spans="1:18">
      <c r="A47">
        <v>46</v>
      </c>
      <c r="B47">
        <f>MATCH(C47,統合マスタ!$C$5:$C$850,0)</f>
        <v>814</v>
      </c>
      <c r="C47" t="s">
        <v>4027</v>
      </c>
      <c r="D47" t="s">
        <v>4603</v>
      </c>
      <c r="E47">
        <v>134</v>
      </c>
      <c r="F47">
        <v>70.588235294117595</v>
      </c>
      <c r="G47" t="s">
        <v>4358</v>
      </c>
      <c r="H47">
        <v>65</v>
      </c>
      <c r="I47">
        <v>40</v>
      </c>
      <c r="J47" t="s">
        <v>4623</v>
      </c>
      <c r="K47">
        <v>139</v>
      </c>
      <c r="L47">
        <v>37.037037037037003</v>
      </c>
      <c r="M47" t="s">
        <v>4635</v>
      </c>
      <c r="N47">
        <v>142</v>
      </c>
      <c r="O47">
        <v>35.714285714285701</v>
      </c>
      <c r="P47" t="s">
        <v>4411</v>
      </c>
      <c r="Q47">
        <v>80</v>
      </c>
      <c r="R47">
        <v>32.258064516128997</v>
      </c>
    </row>
    <row r="48" spans="1:18">
      <c r="A48">
        <v>47</v>
      </c>
      <c r="B48">
        <f>MATCH(C48,統合マスタ!$C$5:$C$850,0)</f>
        <v>817</v>
      </c>
      <c r="C48" t="s">
        <v>4030</v>
      </c>
      <c r="D48" t="s">
        <v>5213</v>
      </c>
      <c r="E48">
        <v>292</v>
      </c>
      <c r="F48">
        <v>41.176470588235198</v>
      </c>
      <c r="G48" t="s">
        <v>4603</v>
      </c>
      <c r="H48">
        <v>134</v>
      </c>
      <c r="I48">
        <v>37.5</v>
      </c>
      <c r="J48" t="s">
        <v>5006</v>
      </c>
      <c r="K48">
        <v>238</v>
      </c>
      <c r="L48">
        <v>37.5</v>
      </c>
      <c r="M48" t="s">
        <v>5425</v>
      </c>
      <c r="N48">
        <v>267</v>
      </c>
      <c r="O48">
        <v>30.769230769230699</v>
      </c>
    </row>
    <row r="49" spans="1:18">
      <c r="A49">
        <v>48</v>
      </c>
      <c r="B49">
        <f>MATCH(C49,統合マスタ!$C$5:$C$850,0)</f>
        <v>818</v>
      </c>
      <c r="C49" t="s">
        <v>1196</v>
      </c>
    </row>
    <row r="50" spans="1:18">
      <c r="A50">
        <v>49</v>
      </c>
      <c r="B50">
        <f>MATCH(C50,統合マスタ!$C$5:$C$850,0)</f>
        <v>820</v>
      </c>
      <c r="C50" t="s">
        <v>1240</v>
      </c>
    </row>
    <row r="51" spans="1:18">
      <c r="A51">
        <v>50</v>
      </c>
      <c r="B51">
        <f>MATCH(C51,統合マスタ!$C$5:$C$850,0)</f>
        <v>821</v>
      </c>
      <c r="C51" t="s">
        <v>1241</v>
      </c>
    </row>
    <row r="52" spans="1:18">
      <c r="A52">
        <v>51</v>
      </c>
      <c r="B52">
        <f>MATCH(C52,統合マスタ!$C$5:$C$850,0)</f>
        <v>822</v>
      </c>
      <c r="C52" t="s">
        <v>1202</v>
      </c>
      <c r="D52" t="s">
        <v>5425</v>
      </c>
      <c r="E52">
        <v>267</v>
      </c>
      <c r="F52">
        <v>70.588235294117595</v>
      </c>
    </row>
    <row r="53" spans="1:18">
      <c r="A53">
        <v>52</v>
      </c>
      <c r="B53">
        <f>MATCH(C53,統合マスタ!$C$5:$C$850,0)</f>
        <v>829</v>
      </c>
      <c r="C53" t="s">
        <v>4031</v>
      </c>
      <c r="D53" t="s">
        <v>5113</v>
      </c>
      <c r="E53">
        <v>266</v>
      </c>
      <c r="F53">
        <v>41.025641025641001</v>
      </c>
      <c r="G53" t="s">
        <v>4603</v>
      </c>
      <c r="H53">
        <v>134</v>
      </c>
      <c r="I53">
        <v>34.146341463414601</v>
      </c>
      <c r="J53" t="s">
        <v>1337</v>
      </c>
      <c r="K53">
        <v>67</v>
      </c>
      <c r="L53">
        <v>30.434782608695599</v>
      </c>
    </row>
    <row r="54" spans="1:18">
      <c r="A54">
        <v>53</v>
      </c>
      <c r="B54">
        <f>MATCH(C54,統合マスタ!$C$5:$C$850,0)</f>
        <v>830</v>
      </c>
      <c r="C54" t="s">
        <v>4032</v>
      </c>
      <c r="D54" t="s">
        <v>5113</v>
      </c>
      <c r="E54">
        <v>266</v>
      </c>
      <c r="F54">
        <v>43.243243243243199</v>
      </c>
      <c r="G54" t="s">
        <v>5078</v>
      </c>
      <c r="H54">
        <v>257</v>
      </c>
      <c r="I54">
        <v>34.146341463414601</v>
      </c>
      <c r="J54" t="s">
        <v>4603</v>
      </c>
      <c r="K54">
        <v>134</v>
      </c>
      <c r="L54">
        <v>30.769230769230699</v>
      </c>
    </row>
    <row r="55" spans="1:18">
      <c r="A55">
        <v>54</v>
      </c>
      <c r="B55">
        <f>MATCH(C55,統合マスタ!$C$5:$C$850,0)</f>
        <v>831</v>
      </c>
      <c r="C55" t="s">
        <v>1212</v>
      </c>
    </row>
    <row r="56" spans="1:18">
      <c r="A56">
        <v>55</v>
      </c>
      <c r="B56">
        <f>MATCH(C56,統合マスタ!$C$5:$C$850,0)</f>
        <v>833</v>
      </c>
      <c r="C56" t="s">
        <v>1217</v>
      </c>
      <c r="D56" t="s">
        <v>4643</v>
      </c>
      <c r="E56">
        <v>144</v>
      </c>
      <c r="F56">
        <v>37.037037037037003</v>
      </c>
      <c r="G56" t="s">
        <v>4541</v>
      </c>
      <c r="H56">
        <v>117</v>
      </c>
      <c r="I56">
        <v>35.714285714285701</v>
      </c>
      <c r="J56" t="s">
        <v>4916</v>
      </c>
      <c r="K56">
        <v>214</v>
      </c>
      <c r="L56">
        <v>35.714285714285701</v>
      </c>
      <c r="M56" t="s">
        <v>4603</v>
      </c>
      <c r="N56">
        <v>134</v>
      </c>
      <c r="O56">
        <v>34.482758620689602</v>
      </c>
      <c r="P56" t="s">
        <v>5003</v>
      </c>
      <c r="Q56">
        <v>237</v>
      </c>
      <c r="R56">
        <v>32.258064516128997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34C1-76F6-428D-A4FE-4115523C4A7D}">
  <dimension ref="A1:L353"/>
  <sheetViews>
    <sheetView workbookViewId="0">
      <selection activeCell="C5" sqref="C5:C353"/>
    </sheetView>
  </sheetViews>
  <sheetFormatPr defaultRowHeight="13.2"/>
  <cols>
    <col min="3" max="3" width="54.5546875" bestFit="1" customWidth="1"/>
    <col min="4" max="4" width="28.88671875" customWidth="1"/>
  </cols>
  <sheetData>
    <row r="1" spans="1:12">
      <c r="A1" t="s">
        <v>1870</v>
      </c>
      <c r="B1" s="16">
        <v>46085</v>
      </c>
    </row>
    <row r="2" spans="1:12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2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2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</row>
    <row r="5" spans="1:12">
      <c r="A5" t="s">
        <v>4120</v>
      </c>
      <c r="B5" t="s">
        <v>4120</v>
      </c>
      <c r="C5" t="s">
        <v>1242</v>
      </c>
      <c r="D5" t="s">
        <v>4121</v>
      </c>
      <c r="E5">
        <v>0</v>
      </c>
      <c r="G5">
        <v>268.89999999999998</v>
      </c>
      <c r="H5" t="s">
        <v>4122</v>
      </c>
      <c r="I5">
        <v>21</v>
      </c>
      <c r="J5" t="s">
        <v>1946</v>
      </c>
      <c r="K5">
        <v>0</v>
      </c>
    </row>
    <row r="6" spans="1:12">
      <c r="A6" t="s">
        <v>4123</v>
      </c>
      <c r="B6" t="s">
        <v>4123</v>
      </c>
      <c r="C6" t="s">
        <v>4067</v>
      </c>
      <c r="E6">
        <v>0</v>
      </c>
      <c r="G6">
        <v>2081</v>
      </c>
      <c r="H6" t="s">
        <v>4124</v>
      </c>
      <c r="I6">
        <v>25</v>
      </c>
      <c r="J6" t="s">
        <v>1903</v>
      </c>
      <c r="K6">
        <v>2</v>
      </c>
    </row>
    <row r="7" spans="1:12">
      <c r="A7" t="s">
        <v>4125</v>
      </c>
      <c r="B7" t="s">
        <v>4125</v>
      </c>
      <c r="C7" t="s">
        <v>1244</v>
      </c>
      <c r="D7" t="s">
        <v>4126</v>
      </c>
      <c r="E7">
        <v>0</v>
      </c>
      <c r="G7">
        <v>21.4</v>
      </c>
      <c r="H7" t="s">
        <v>4127</v>
      </c>
      <c r="I7">
        <v>3</v>
      </c>
      <c r="J7" t="s">
        <v>1939</v>
      </c>
      <c r="K7">
        <v>0</v>
      </c>
    </row>
    <row r="8" spans="1:12">
      <c r="A8" t="s">
        <v>4128</v>
      </c>
      <c r="B8" t="s">
        <v>4128</v>
      </c>
      <c r="C8" t="s">
        <v>4129</v>
      </c>
      <c r="D8" t="s">
        <v>4130</v>
      </c>
      <c r="E8">
        <v>0</v>
      </c>
      <c r="G8">
        <v>50.1</v>
      </c>
      <c r="H8" t="s">
        <v>4131</v>
      </c>
      <c r="I8">
        <v>1</v>
      </c>
      <c r="J8" t="s">
        <v>1916</v>
      </c>
      <c r="K8">
        <v>0</v>
      </c>
    </row>
    <row r="9" spans="1:12">
      <c r="A9" t="s">
        <v>4132</v>
      </c>
      <c r="B9" t="s">
        <v>4132</v>
      </c>
      <c r="C9" t="s">
        <v>4133</v>
      </c>
      <c r="D9" t="s">
        <v>4134</v>
      </c>
      <c r="E9">
        <v>0</v>
      </c>
      <c r="G9">
        <v>76.3</v>
      </c>
      <c r="H9" t="s">
        <v>4135</v>
      </c>
      <c r="I9">
        <v>1</v>
      </c>
      <c r="J9" t="s">
        <v>1916</v>
      </c>
      <c r="K9">
        <v>0</v>
      </c>
    </row>
    <row r="10" spans="1:12">
      <c r="A10" t="s">
        <v>4136</v>
      </c>
      <c r="B10" t="s">
        <v>4136</v>
      </c>
      <c r="C10" t="s">
        <v>4137</v>
      </c>
      <c r="D10" t="s">
        <v>4138</v>
      </c>
      <c r="E10">
        <v>0</v>
      </c>
      <c r="G10">
        <v>84</v>
      </c>
      <c r="H10" t="s">
        <v>4139</v>
      </c>
      <c r="I10">
        <v>25</v>
      </c>
      <c r="J10" t="s">
        <v>1903</v>
      </c>
      <c r="K10">
        <v>0</v>
      </c>
    </row>
    <row r="11" spans="1:12">
      <c r="A11" t="s">
        <v>4140</v>
      </c>
      <c r="B11" t="s">
        <v>4140</v>
      </c>
      <c r="C11" t="s">
        <v>4141</v>
      </c>
      <c r="E11">
        <v>0</v>
      </c>
      <c r="G11">
        <v>100</v>
      </c>
      <c r="H11" t="s">
        <v>4142</v>
      </c>
      <c r="I11">
        <v>25</v>
      </c>
      <c r="J11" t="s">
        <v>1903</v>
      </c>
      <c r="K11">
        <v>0</v>
      </c>
    </row>
    <row r="12" spans="1:12">
      <c r="A12" t="s">
        <v>4143</v>
      </c>
      <c r="B12" t="s">
        <v>4143</v>
      </c>
      <c r="C12" t="s">
        <v>4144</v>
      </c>
      <c r="D12" t="s">
        <v>4145</v>
      </c>
      <c r="E12">
        <v>0</v>
      </c>
      <c r="G12">
        <v>10.9</v>
      </c>
      <c r="H12" t="s">
        <v>4146</v>
      </c>
      <c r="I12">
        <v>8</v>
      </c>
      <c r="J12" t="s">
        <v>2114</v>
      </c>
      <c r="K12">
        <v>0</v>
      </c>
    </row>
    <row r="13" spans="1:12">
      <c r="A13" t="s">
        <v>4147</v>
      </c>
      <c r="B13" t="s">
        <v>4147</v>
      </c>
      <c r="C13" t="s">
        <v>4148</v>
      </c>
      <c r="E13">
        <v>0</v>
      </c>
      <c r="G13">
        <v>5.9</v>
      </c>
      <c r="H13" t="s">
        <v>4149</v>
      </c>
      <c r="I13">
        <v>1</v>
      </c>
      <c r="J13" t="s">
        <v>1916</v>
      </c>
      <c r="K13">
        <v>0</v>
      </c>
    </row>
    <row r="14" spans="1:12">
      <c r="A14" t="s">
        <v>4150</v>
      </c>
      <c r="B14" t="s">
        <v>4150</v>
      </c>
      <c r="C14" t="s">
        <v>4151</v>
      </c>
      <c r="E14">
        <v>0</v>
      </c>
      <c r="G14">
        <v>0</v>
      </c>
      <c r="H14" t="s">
        <v>4152</v>
      </c>
      <c r="I14">
        <v>21</v>
      </c>
      <c r="J14" t="s">
        <v>1946</v>
      </c>
      <c r="K14">
        <v>0</v>
      </c>
    </row>
    <row r="15" spans="1:12">
      <c r="A15" t="s">
        <v>4153</v>
      </c>
      <c r="B15" t="s">
        <v>4153</v>
      </c>
      <c r="C15" t="s">
        <v>4154</v>
      </c>
      <c r="D15" t="s">
        <v>4155</v>
      </c>
      <c r="E15">
        <v>0</v>
      </c>
      <c r="G15">
        <v>10.4</v>
      </c>
      <c r="H15" t="s">
        <v>4156</v>
      </c>
      <c r="I15">
        <v>1</v>
      </c>
      <c r="J15" t="s">
        <v>1916</v>
      </c>
      <c r="K15">
        <v>0</v>
      </c>
    </row>
    <row r="16" spans="1:12">
      <c r="A16" t="s">
        <v>4157</v>
      </c>
      <c r="B16" t="s">
        <v>4157</v>
      </c>
      <c r="C16" t="s">
        <v>1262</v>
      </c>
      <c r="D16" t="s">
        <v>4158</v>
      </c>
      <c r="E16">
        <v>0</v>
      </c>
      <c r="G16">
        <v>11.3</v>
      </c>
      <c r="H16" t="s">
        <v>4159</v>
      </c>
      <c r="I16">
        <v>1</v>
      </c>
      <c r="J16" t="s">
        <v>1916</v>
      </c>
      <c r="K16">
        <v>0</v>
      </c>
    </row>
    <row r="17" spans="1:11">
      <c r="A17" t="s">
        <v>4160</v>
      </c>
      <c r="B17" t="s">
        <v>4160</v>
      </c>
      <c r="C17" t="s">
        <v>4161</v>
      </c>
      <c r="D17" t="s">
        <v>4162</v>
      </c>
      <c r="E17">
        <v>0</v>
      </c>
      <c r="G17">
        <v>50.3</v>
      </c>
      <c r="H17" t="s">
        <v>4163</v>
      </c>
      <c r="I17">
        <v>2</v>
      </c>
      <c r="J17" t="s">
        <v>835</v>
      </c>
      <c r="K17">
        <v>2</v>
      </c>
    </row>
    <row r="18" spans="1:11">
      <c r="A18" t="s">
        <v>4164</v>
      </c>
      <c r="B18" t="s">
        <v>4164</v>
      </c>
      <c r="C18" t="s">
        <v>4165</v>
      </c>
      <c r="D18" t="s">
        <v>4166</v>
      </c>
      <c r="E18">
        <v>0</v>
      </c>
      <c r="G18">
        <v>64.7</v>
      </c>
      <c r="H18" t="s">
        <v>4167</v>
      </c>
      <c r="I18">
        <v>2</v>
      </c>
      <c r="J18" t="s">
        <v>835</v>
      </c>
      <c r="K18">
        <v>2</v>
      </c>
    </row>
    <row r="19" spans="1:11">
      <c r="A19" t="s">
        <v>4168</v>
      </c>
      <c r="B19" t="s">
        <v>4168</v>
      </c>
      <c r="C19" t="s">
        <v>4169</v>
      </c>
      <c r="D19" t="s">
        <v>4170</v>
      </c>
      <c r="E19">
        <v>0</v>
      </c>
      <c r="G19">
        <v>64.7</v>
      </c>
      <c r="H19" t="s">
        <v>4171</v>
      </c>
      <c r="I19">
        <v>2</v>
      </c>
      <c r="J19" t="s">
        <v>835</v>
      </c>
      <c r="K19">
        <v>2</v>
      </c>
    </row>
    <row r="20" spans="1:11">
      <c r="A20" t="s">
        <v>4172</v>
      </c>
      <c r="B20" t="s">
        <v>4172</v>
      </c>
      <c r="C20" t="s">
        <v>4173</v>
      </c>
      <c r="D20" t="s">
        <v>4174</v>
      </c>
      <c r="E20">
        <v>0</v>
      </c>
      <c r="G20">
        <v>13.9</v>
      </c>
      <c r="H20" t="s">
        <v>4175</v>
      </c>
      <c r="I20">
        <v>1</v>
      </c>
      <c r="J20" t="s">
        <v>1916</v>
      </c>
      <c r="K20">
        <v>0</v>
      </c>
    </row>
    <row r="21" spans="1:11">
      <c r="A21" t="s">
        <v>4176</v>
      </c>
      <c r="B21" t="s">
        <v>4176</v>
      </c>
      <c r="C21" t="s">
        <v>4177</v>
      </c>
      <c r="D21" t="s">
        <v>4178</v>
      </c>
      <c r="E21">
        <v>0</v>
      </c>
      <c r="G21">
        <v>58.5</v>
      </c>
      <c r="H21" t="s">
        <v>4179</v>
      </c>
      <c r="I21">
        <v>1</v>
      </c>
      <c r="J21" t="s">
        <v>1916</v>
      </c>
      <c r="K21">
        <v>2</v>
      </c>
    </row>
    <row r="22" spans="1:11">
      <c r="A22" t="s">
        <v>4180</v>
      </c>
      <c r="B22" t="s">
        <v>4180</v>
      </c>
      <c r="C22" t="s">
        <v>4181</v>
      </c>
      <c r="D22" t="s">
        <v>4182</v>
      </c>
      <c r="E22">
        <v>0</v>
      </c>
      <c r="G22">
        <v>11.1</v>
      </c>
      <c r="H22" t="s">
        <v>4183</v>
      </c>
      <c r="I22">
        <v>1</v>
      </c>
      <c r="J22" t="s">
        <v>1916</v>
      </c>
      <c r="K22">
        <v>0</v>
      </c>
    </row>
    <row r="23" spans="1:11">
      <c r="A23" t="s">
        <v>4184</v>
      </c>
      <c r="B23" t="s">
        <v>4184</v>
      </c>
      <c r="C23" t="s">
        <v>1278</v>
      </c>
      <c r="E23">
        <v>0</v>
      </c>
      <c r="G23">
        <v>5445.1</v>
      </c>
      <c r="H23" t="s">
        <v>4185</v>
      </c>
      <c r="I23">
        <v>10</v>
      </c>
      <c r="J23" t="s">
        <v>1968</v>
      </c>
      <c r="K23">
        <v>0</v>
      </c>
    </row>
    <row r="24" spans="1:11">
      <c r="A24" t="s">
        <v>4186</v>
      </c>
      <c r="B24" t="s">
        <v>4186</v>
      </c>
      <c r="C24" t="s">
        <v>4187</v>
      </c>
      <c r="D24" t="s">
        <v>4188</v>
      </c>
      <c r="E24">
        <v>0</v>
      </c>
      <c r="G24">
        <v>22.7</v>
      </c>
      <c r="H24" t="s">
        <v>4189</v>
      </c>
      <c r="I24">
        <v>19</v>
      </c>
      <c r="J24" t="s">
        <v>1980</v>
      </c>
      <c r="K24">
        <v>0</v>
      </c>
    </row>
    <row r="25" spans="1:11">
      <c r="A25" t="s">
        <v>4190</v>
      </c>
      <c r="B25" t="s">
        <v>4190</v>
      </c>
      <c r="C25" t="s">
        <v>4191</v>
      </c>
      <c r="D25" t="s">
        <v>4192</v>
      </c>
      <c r="E25">
        <v>0</v>
      </c>
      <c r="G25">
        <v>10.4</v>
      </c>
      <c r="H25" t="s">
        <v>4193</v>
      </c>
      <c r="I25">
        <v>1</v>
      </c>
      <c r="J25" t="s">
        <v>1916</v>
      </c>
      <c r="K25">
        <v>2</v>
      </c>
    </row>
    <row r="26" spans="1:11">
      <c r="A26" t="s">
        <v>4194</v>
      </c>
      <c r="B26" t="s">
        <v>4194</v>
      </c>
      <c r="C26" t="s">
        <v>4195</v>
      </c>
      <c r="D26" t="s">
        <v>4196</v>
      </c>
      <c r="E26">
        <v>0</v>
      </c>
      <c r="G26">
        <v>915.1</v>
      </c>
      <c r="H26" t="s">
        <v>4197</v>
      </c>
      <c r="I26">
        <v>23</v>
      </c>
      <c r="J26" t="s">
        <v>2361</v>
      </c>
      <c r="K26">
        <v>0</v>
      </c>
    </row>
    <row r="27" spans="1:11">
      <c r="A27" t="s">
        <v>4198</v>
      </c>
      <c r="B27" t="s">
        <v>4198</v>
      </c>
      <c r="C27" t="s">
        <v>4199</v>
      </c>
      <c r="D27" t="s">
        <v>4200</v>
      </c>
      <c r="E27">
        <v>0</v>
      </c>
      <c r="G27">
        <v>76.099999999999994</v>
      </c>
      <c r="H27" t="s">
        <v>4201</v>
      </c>
      <c r="I27">
        <v>1</v>
      </c>
      <c r="J27" t="s">
        <v>1916</v>
      </c>
      <c r="K27">
        <v>2</v>
      </c>
    </row>
    <row r="28" spans="1:11">
      <c r="A28" t="s">
        <v>4202</v>
      </c>
      <c r="B28" t="s">
        <v>4202</v>
      </c>
      <c r="C28" t="s">
        <v>4203</v>
      </c>
      <c r="D28" t="s">
        <v>4204</v>
      </c>
      <c r="E28">
        <v>0</v>
      </c>
      <c r="G28">
        <v>7.1</v>
      </c>
      <c r="H28" t="s">
        <v>4205</v>
      </c>
      <c r="I28">
        <v>1</v>
      </c>
      <c r="J28" t="s">
        <v>1916</v>
      </c>
      <c r="K28">
        <v>2</v>
      </c>
    </row>
    <row r="29" spans="1:11">
      <c r="A29" t="s">
        <v>4206</v>
      </c>
      <c r="B29" t="s">
        <v>4206</v>
      </c>
      <c r="C29" t="s">
        <v>4207</v>
      </c>
      <c r="D29" t="s">
        <v>4208</v>
      </c>
      <c r="E29">
        <v>0</v>
      </c>
      <c r="G29">
        <v>31.7</v>
      </c>
      <c r="H29" t="s">
        <v>4209</v>
      </c>
      <c r="I29">
        <v>7</v>
      </c>
      <c r="J29" t="s">
        <v>2143</v>
      </c>
      <c r="K29">
        <v>2</v>
      </c>
    </row>
    <row r="30" spans="1:11">
      <c r="A30" t="s">
        <v>4210</v>
      </c>
      <c r="B30" t="s">
        <v>4210</v>
      </c>
      <c r="C30" t="s">
        <v>4211</v>
      </c>
      <c r="D30" t="s">
        <v>4212</v>
      </c>
      <c r="E30">
        <v>0</v>
      </c>
      <c r="G30">
        <v>65.8</v>
      </c>
      <c r="H30" t="s">
        <v>4213</v>
      </c>
      <c r="I30">
        <v>7</v>
      </c>
      <c r="J30" t="s">
        <v>2143</v>
      </c>
      <c r="K30">
        <v>2</v>
      </c>
    </row>
    <row r="31" spans="1:11">
      <c r="A31" t="s">
        <v>4214</v>
      </c>
      <c r="B31" t="s">
        <v>4214</v>
      </c>
      <c r="C31" t="s">
        <v>4215</v>
      </c>
      <c r="D31" t="s">
        <v>4216</v>
      </c>
      <c r="E31">
        <v>0</v>
      </c>
      <c r="G31">
        <v>13.1</v>
      </c>
      <c r="H31" t="s">
        <v>4217</v>
      </c>
      <c r="I31">
        <v>1</v>
      </c>
      <c r="J31" t="s">
        <v>1916</v>
      </c>
      <c r="K31">
        <v>2</v>
      </c>
    </row>
    <row r="32" spans="1:11">
      <c r="A32" t="s">
        <v>4218</v>
      </c>
      <c r="B32" t="s">
        <v>4218</v>
      </c>
      <c r="C32" t="s">
        <v>4219</v>
      </c>
      <c r="D32" t="s">
        <v>4220</v>
      </c>
      <c r="E32">
        <v>0</v>
      </c>
      <c r="G32">
        <v>20.6</v>
      </c>
      <c r="H32" t="s">
        <v>4221</v>
      </c>
      <c r="I32">
        <v>3</v>
      </c>
      <c r="J32" t="s">
        <v>1939</v>
      </c>
      <c r="K32">
        <v>2</v>
      </c>
    </row>
    <row r="33" spans="1:11">
      <c r="A33" t="s">
        <v>4222</v>
      </c>
      <c r="B33" t="s">
        <v>4222</v>
      </c>
      <c r="C33" t="s">
        <v>4223</v>
      </c>
      <c r="D33" t="s">
        <v>4224</v>
      </c>
      <c r="E33">
        <v>0</v>
      </c>
      <c r="G33">
        <v>25.3</v>
      </c>
      <c r="H33" t="s">
        <v>4225</v>
      </c>
      <c r="I33">
        <v>1</v>
      </c>
      <c r="J33" t="s">
        <v>1916</v>
      </c>
      <c r="K33">
        <v>2</v>
      </c>
    </row>
    <row r="34" spans="1:11">
      <c r="A34" t="s">
        <v>4226</v>
      </c>
      <c r="B34" t="s">
        <v>4226</v>
      </c>
      <c r="C34" t="s">
        <v>4227</v>
      </c>
      <c r="E34">
        <v>0</v>
      </c>
      <c r="G34">
        <v>0</v>
      </c>
      <c r="H34" t="s">
        <v>4228</v>
      </c>
      <c r="I34">
        <v>7</v>
      </c>
      <c r="J34" t="s">
        <v>2143</v>
      </c>
      <c r="K34">
        <v>0</v>
      </c>
    </row>
    <row r="35" spans="1:11">
      <c r="A35" t="s">
        <v>4229</v>
      </c>
      <c r="B35" t="s">
        <v>4229</v>
      </c>
      <c r="C35" t="s">
        <v>4230</v>
      </c>
      <c r="D35" t="s">
        <v>4231</v>
      </c>
      <c r="E35">
        <v>0</v>
      </c>
      <c r="G35">
        <v>6.1</v>
      </c>
      <c r="H35" t="s">
        <v>4232</v>
      </c>
      <c r="I35">
        <v>2</v>
      </c>
      <c r="J35" t="s">
        <v>835</v>
      </c>
      <c r="K35">
        <v>2</v>
      </c>
    </row>
    <row r="36" spans="1:11">
      <c r="A36" t="s">
        <v>4233</v>
      </c>
      <c r="B36" t="s">
        <v>4233</v>
      </c>
      <c r="C36" t="s">
        <v>239</v>
      </c>
      <c r="D36" t="s">
        <v>4234</v>
      </c>
      <c r="E36">
        <v>0</v>
      </c>
      <c r="G36">
        <v>20.6</v>
      </c>
      <c r="H36" t="s">
        <v>4235</v>
      </c>
      <c r="I36">
        <v>14</v>
      </c>
      <c r="J36" t="s">
        <v>1899</v>
      </c>
      <c r="K36">
        <v>0</v>
      </c>
    </row>
    <row r="37" spans="1:11">
      <c r="A37" t="s">
        <v>4236</v>
      </c>
      <c r="B37" t="s">
        <v>4236</v>
      </c>
      <c r="C37" t="s">
        <v>4068</v>
      </c>
      <c r="D37" t="s">
        <v>4237</v>
      </c>
      <c r="E37">
        <v>0</v>
      </c>
      <c r="G37">
        <v>421.8</v>
      </c>
      <c r="H37" t="s">
        <v>4238</v>
      </c>
      <c r="I37">
        <v>21</v>
      </c>
      <c r="J37" t="s">
        <v>1946</v>
      </c>
      <c r="K37">
        <v>0</v>
      </c>
    </row>
    <row r="38" spans="1:11">
      <c r="A38" t="s">
        <v>4239</v>
      </c>
      <c r="B38" t="s">
        <v>4239</v>
      </c>
      <c r="C38" t="s">
        <v>4240</v>
      </c>
      <c r="D38" t="s">
        <v>4241</v>
      </c>
      <c r="E38">
        <v>0</v>
      </c>
      <c r="G38">
        <v>1182</v>
      </c>
      <c r="H38" t="s">
        <v>4242</v>
      </c>
      <c r="I38">
        <v>25</v>
      </c>
      <c r="J38" t="s">
        <v>1903</v>
      </c>
      <c r="K38">
        <v>2</v>
      </c>
    </row>
    <row r="39" spans="1:11">
      <c r="A39" t="s">
        <v>4243</v>
      </c>
      <c r="B39" t="s">
        <v>4243</v>
      </c>
      <c r="C39" t="s">
        <v>1297</v>
      </c>
      <c r="D39" t="s">
        <v>4244</v>
      </c>
      <c r="E39">
        <v>0</v>
      </c>
      <c r="G39">
        <v>18.899999999999999</v>
      </c>
      <c r="H39" t="s">
        <v>4245</v>
      </c>
      <c r="I39">
        <v>14</v>
      </c>
      <c r="J39" t="s">
        <v>1899</v>
      </c>
      <c r="K39">
        <v>2</v>
      </c>
    </row>
    <row r="40" spans="1:11">
      <c r="A40" t="s">
        <v>4246</v>
      </c>
      <c r="B40" t="s">
        <v>4246</v>
      </c>
      <c r="C40" t="s">
        <v>4247</v>
      </c>
      <c r="D40" t="s">
        <v>4248</v>
      </c>
      <c r="E40">
        <v>0</v>
      </c>
      <c r="G40">
        <v>20.9</v>
      </c>
      <c r="H40" t="s">
        <v>4249</v>
      </c>
      <c r="I40">
        <v>12</v>
      </c>
      <c r="J40" t="s">
        <v>2248</v>
      </c>
      <c r="K40">
        <v>0</v>
      </c>
    </row>
    <row r="41" spans="1:11">
      <c r="A41" t="s">
        <v>4250</v>
      </c>
      <c r="B41" t="s">
        <v>4250</v>
      </c>
      <c r="C41" t="s">
        <v>4251</v>
      </c>
      <c r="D41" t="s">
        <v>4252</v>
      </c>
      <c r="E41">
        <v>0</v>
      </c>
      <c r="G41">
        <v>331.6</v>
      </c>
      <c r="H41" t="s">
        <v>4253</v>
      </c>
      <c r="I41">
        <v>1</v>
      </c>
      <c r="J41" t="s">
        <v>1916</v>
      </c>
      <c r="K41">
        <v>0</v>
      </c>
    </row>
    <row r="42" spans="1:11">
      <c r="A42" t="s">
        <v>4254</v>
      </c>
      <c r="B42" t="s">
        <v>4254</v>
      </c>
      <c r="C42" t="s">
        <v>4255</v>
      </c>
      <c r="E42">
        <v>0</v>
      </c>
      <c r="G42">
        <v>331.6</v>
      </c>
      <c r="H42" t="s">
        <v>4256</v>
      </c>
      <c r="I42">
        <v>1</v>
      </c>
      <c r="J42" t="s">
        <v>1916</v>
      </c>
      <c r="K42">
        <v>0</v>
      </c>
    </row>
    <row r="43" spans="1:11">
      <c r="A43" t="s">
        <v>4257</v>
      </c>
      <c r="B43" t="s">
        <v>4257</v>
      </c>
      <c r="C43" t="s">
        <v>4258</v>
      </c>
      <c r="D43" t="s">
        <v>4259</v>
      </c>
      <c r="E43">
        <v>0</v>
      </c>
      <c r="G43">
        <v>69.3</v>
      </c>
      <c r="H43" t="s">
        <v>4260</v>
      </c>
      <c r="I43">
        <v>1</v>
      </c>
      <c r="J43" t="s">
        <v>1916</v>
      </c>
      <c r="K43">
        <v>0</v>
      </c>
    </row>
    <row r="44" spans="1:11">
      <c r="A44" t="s">
        <v>4261</v>
      </c>
      <c r="B44" t="s">
        <v>4261</v>
      </c>
      <c r="C44" t="s">
        <v>4262</v>
      </c>
      <c r="D44" t="s">
        <v>4263</v>
      </c>
      <c r="E44">
        <v>0</v>
      </c>
      <c r="G44">
        <v>133.1</v>
      </c>
      <c r="H44" t="s">
        <v>4264</v>
      </c>
      <c r="I44">
        <v>3</v>
      </c>
      <c r="J44" t="s">
        <v>1939</v>
      </c>
      <c r="K44">
        <v>0</v>
      </c>
    </row>
    <row r="45" spans="1:11">
      <c r="A45" t="s">
        <v>4265</v>
      </c>
      <c r="B45" t="s">
        <v>4265</v>
      </c>
      <c r="C45" t="s">
        <v>4266</v>
      </c>
      <c r="D45" t="s">
        <v>4267</v>
      </c>
      <c r="E45">
        <v>0</v>
      </c>
      <c r="G45">
        <v>1271</v>
      </c>
      <c r="H45" t="s">
        <v>4268</v>
      </c>
      <c r="I45">
        <v>25</v>
      </c>
      <c r="J45" t="s">
        <v>1903</v>
      </c>
      <c r="K45">
        <v>0</v>
      </c>
    </row>
    <row r="46" spans="1:11">
      <c r="A46" t="s">
        <v>4269</v>
      </c>
      <c r="B46" t="s">
        <v>4269</v>
      </c>
      <c r="C46" t="s">
        <v>4270</v>
      </c>
      <c r="D46" t="s">
        <v>4271</v>
      </c>
      <c r="E46">
        <v>0</v>
      </c>
      <c r="G46">
        <v>10.1</v>
      </c>
      <c r="H46" t="s">
        <v>4272</v>
      </c>
      <c r="I46">
        <v>1</v>
      </c>
      <c r="J46" t="s">
        <v>1916</v>
      </c>
      <c r="K46">
        <v>0</v>
      </c>
    </row>
    <row r="47" spans="1:11">
      <c r="A47" t="s">
        <v>4273</v>
      </c>
      <c r="B47" t="s">
        <v>4273</v>
      </c>
      <c r="C47" t="s">
        <v>4274</v>
      </c>
      <c r="D47" t="s">
        <v>4275</v>
      </c>
      <c r="E47">
        <v>0</v>
      </c>
      <c r="G47">
        <v>100</v>
      </c>
      <c r="H47" t="s">
        <v>4276</v>
      </c>
      <c r="I47">
        <v>25</v>
      </c>
      <c r="J47" t="s">
        <v>1903</v>
      </c>
      <c r="K47">
        <v>0</v>
      </c>
    </row>
    <row r="48" spans="1:11">
      <c r="A48" t="s">
        <v>4277</v>
      </c>
      <c r="B48" t="s">
        <v>4277</v>
      </c>
      <c r="C48" t="s">
        <v>4278</v>
      </c>
      <c r="E48">
        <v>0</v>
      </c>
      <c r="G48">
        <v>1.41</v>
      </c>
      <c r="H48" t="s">
        <v>4279</v>
      </c>
      <c r="I48">
        <v>7</v>
      </c>
      <c r="J48" t="s">
        <v>2143</v>
      </c>
      <c r="K48">
        <v>0</v>
      </c>
    </row>
    <row r="49" spans="1:11">
      <c r="A49" t="s">
        <v>4280</v>
      </c>
      <c r="B49" t="s">
        <v>4280</v>
      </c>
      <c r="C49" t="s">
        <v>4281</v>
      </c>
      <c r="D49" t="s">
        <v>4282</v>
      </c>
      <c r="E49">
        <v>0</v>
      </c>
      <c r="G49">
        <v>10.4</v>
      </c>
      <c r="H49" t="s">
        <v>4283</v>
      </c>
      <c r="I49">
        <v>1</v>
      </c>
      <c r="J49" t="s">
        <v>1916</v>
      </c>
      <c r="K49">
        <v>0</v>
      </c>
    </row>
    <row r="50" spans="1:11">
      <c r="A50" t="s">
        <v>4284</v>
      </c>
      <c r="B50" t="s">
        <v>4284</v>
      </c>
      <c r="C50" t="s">
        <v>4285</v>
      </c>
      <c r="D50" t="s">
        <v>4286</v>
      </c>
      <c r="E50">
        <v>0</v>
      </c>
      <c r="G50">
        <v>527.20000000000005</v>
      </c>
      <c r="H50" t="s">
        <v>4287</v>
      </c>
      <c r="I50">
        <v>1</v>
      </c>
      <c r="J50" t="s">
        <v>1916</v>
      </c>
      <c r="K50">
        <v>2</v>
      </c>
    </row>
    <row r="51" spans="1:11">
      <c r="A51" t="s">
        <v>4288</v>
      </c>
      <c r="B51" t="s">
        <v>4288</v>
      </c>
      <c r="C51" t="s">
        <v>4289</v>
      </c>
      <c r="D51" t="s">
        <v>4290</v>
      </c>
      <c r="E51">
        <v>0</v>
      </c>
      <c r="G51">
        <v>3.3</v>
      </c>
      <c r="H51" t="s">
        <v>4291</v>
      </c>
      <c r="I51">
        <v>14</v>
      </c>
      <c r="J51" t="s">
        <v>1899</v>
      </c>
      <c r="K51">
        <v>0</v>
      </c>
    </row>
    <row r="52" spans="1:11">
      <c r="A52" t="s">
        <v>4292</v>
      </c>
      <c r="B52" t="s">
        <v>4292</v>
      </c>
      <c r="C52" t="s">
        <v>4293</v>
      </c>
      <c r="D52" t="s">
        <v>4294</v>
      </c>
      <c r="E52">
        <v>0</v>
      </c>
      <c r="G52">
        <v>9.8000000000000007</v>
      </c>
      <c r="H52" t="s">
        <v>4295</v>
      </c>
      <c r="I52">
        <v>3</v>
      </c>
      <c r="J52" t="s">
        <v>1939</v>
      </c>
      <c r="K52">
        <v>2</v>
      </c>
    </row>
    <row r="53" spans="1:11">
      <c r="A53" t="s">
        <v>4296</v>
      </c>
      <c r="B53" t="s">
        <v>4296</v>
      </c>
      <c r="C53" t="s">
        <v>4297</v>
      </c>
      <c r="E53">
        <v>0</v>
      </c>
      <c r="G53">
        <v>3.9</v>
      </c>
      <c r="H53" t="s">
        <v>4298</v>
      </c>
      <c r="I53">
        <v>15</v>
      </c>
      <c r="J53" t="s">
        <v>1907</v>
      </c>
      <c r="K53">
        <v>0</v>
      </c>
    </row>
    <row r="54" spans="1:11">
      <c r="A54" t="s">
        <v>4299</v>
      </c>
      <c r="B54" t="s">
        <v>4299</v>
      </c>
      <c r="C54" t="s">
        <v>4300</v>
      </c>
      <c r="D54" t="s">
        <v>4301</v>
      </c>
      <c r="E54">
        <v>0</v>
      </c>
      <c r="G54">
        <v>20</v>
      </c>
      <c r="H54" t="s">
        <v>4302</v>
      </c>
      <c r="I54">
        <v>1</v>
      </c>
      <c r="J54" t="s">
        <v>1916</v>
      </c>
      <c r="K54">
        <v>2</v>
      </c>
    </row>
    <row r="55" spans="1:11">
      <c r="A55" t="s">
        <v>4303</v>
      </c>
      <c r="B55" t="s">
        <v>4303</v>
      </c>
      <c r="C55" t="s">
        <v>4304</v>
      </c>
      <c r="D55" t="s">
        <v>4305</v>
      </c>
      <c r="E55">
        <v>0</v>
      </c>
      <c r="G55">
        <v>18.600000000000001</v>
      </c>
      <c r="H55" t="s">
        <v>4306</v>
      </c>
      <c r="I55">
        <v>3</v>
      </c>
      <c r="J55" t="s">
        <v>1939</v>
      </c>
      <c r="K55">
        <v>0</v>
      </c>
    </row>
    <row r="56" spans="1:11">
      <c r="A56" t="s">
        <v>4307</v>
      </c>
      <c r="B56" t="s">
        <v>4307</v>
      </c>
      <c r="C56" t="s">
        <v>4308</v>
      </c>
      <c r="D56" t="s">
        <v>4309</v>
      </c>
      <c r="E56">
        <v>0</v>
      </c>
      <c r="G56">
        <v>8.1999999999999993</v>
      </c>
      <c r="H56" t="s">
        <v>4310</v>
      </c>
      <c r="I56">
        <v>1</v>
      </c>
      <c r="J56" t="s">
        <v>1916</v>
      </c>
      <c r="K56">
        <v>2</v>
      </c>
    </row>
    <row r="57" spans="1:11">
      <c r="A57" t="s">
        <v>4311</v>
      </c>
      <c r="B57" t="s">
        <v>4311</v>
      </c>
      <c r="C57" t="s">
        <v>4312</v>
      </c>
      <c r="D57" t="s">
        <v>4313</v>
      </c>
      <c r="E57">
        <v>0</v>
      </c>
      <c r="G57">
        <v>10.4</v>
      </c>
      <c r="H57" t="s">
        <v>4314</v>
      </c>
      <c r="I57">
        <v>1</v>
      </c>
      <c r="J57" t="s">
        <v>1916</v>
      </c>
      <c r="K57">
        <v>0</v>
      </c>
    </row>
    <row r="58" spans="1:11">
      <c r="A58" t="s">
        <v>4315</v>
      </c>
      <c r="B58" t="s">
        <v>4315</v>
      </c>
      <c r="C58" t="s">
        <v>4316</v>
      </c>
      <c r="D58" t="s">
        <v>4317</v>
      </c>
      <c r="E58">
        <v>0</v>
      </c>
      <c r="G58">
        <v>1036</v>
      </c>
      <c r="H58" t="s">
        <v>4318</v>
      </c>
      <c r="I58">
        <v>25</v>
      </c>
      <c r="J58" t="s">
        <v>1903</v>
      </c>
      <c r="K58">
        <v>0</v>
      </c>
    </row>
    <row r="59" spans="1:11">
      <c r="A59" t="s">
        <v>4319</v>
      </c>
      <c r="B59" t="s">
        <v>4319</v>
      </c>
      <c r="C59" t="s">
        <v>4320</v>
      </c>
      <c r="D59" t="s">
        <v>4321</v>
      </c>
      <c r="E59">
        <v>0</v>
      </c>
      <c r="G59">
        <v>38</v>
      </c>
      <c r="H59" t="s">
        <v>4322</v>
      </c>
      <c r="I59">
        <v>1</v>
      </c>
      <c r="J59" t="s">
        <v>1916</v>
      </c>
      <c r="K59">
        <v>0</v>
      </c>
    </row>
    <row r="60" spans="1:11">
      <c r="A60" t="s">
        <v>4323</v>
      </c>
      <c r="B60" t="s">
        <v>4323</v>
      </c>
      <c r="C60" t="s">
        <v>4324</v>
      </c>
      <c r="E60">
        <v>0</v>
      </c>
      <c r="G60">
        <v>17.399999999999999</v>
      </c>
      <c r="H60" t="s">
        <v>4325</v>
      </c>
      <c r="I60">
        <v>1</v>
      </c>
      <c r="J60" t="s">
        <v>1916</v>
      </c>
      <c r="K60">
        <v>0</v>
      </c>
    </row>
    <row r="61" spans="1:11">
      <c r="A61" t="s">
        <v>4326</v>
      </c>
      <c r="B61" t="s">
        <v>4326</v>
      </c>
      <c r="C61" t="s">
        <v>4327</v>
      </c>
      <c r="D61" t="s">
        <v>4328</v>
      </c>
      <c r="E61">
        <v>0</v>
      </c>
      <c r="G61">
        <v>14.5</v>
      </c>
      <c r="H61" t="s">
        <v>4329</v>
      </c>
      <c r="I61">
        <v>1</v>
      </c>
      <c r="J61" t="s">
        <v>1916</v>
      </c>
      <c r="K61">
        <v>0</v>
      </c>
    </row>
    <row r="62" spans="1:11">
      <c r="A62" t="s">
        <v>4330</v>
      </c>
      <c r="B62" t="s">
        <v>4330</v>
      </c>
      <c r="C62" t="s">
        <v>4331</v>
      </c>
      <c r="D62" t="s">
        <v>4332</v>
      </c>
      <c r="E62">
        <v>0</v>
      </c>
      <c r="G62">
        <v>25.5</v>
      </c>
      <c r="H62" t="s">
        <v>4333</v>
      </c>
      <c r="I62">
        <v>1</v>
      </c>
      <c r="J62" t="s">
        <v>1916</v>
      </c>
      <c r="K62">
        <v>0</v>
      </c>
    </row>
    <row r="63" spans="1:11">
      <c r="A63" t="s">
        <v>4334</v>
      </c>
      <c r="B63" t="s">
        <v>4334</v>
      </c>
      <c r="C63" t="s">
        <v>4335</v>
      </c>
      <c r="D63" t="s">
        <v>4336</v>
      </c>
      <c r="E63">
        <v>0</v>
      </c>
      <c r="G63">
        <v>11.4</v>
      </c>
      <c r="H63" t="s">
        <v>4337</v>
      </c>
      <c r="I63">
        <v>1</v>
      </c>
      <c r="J63" t="s">
        <v>1916</v>
      </c>
      <c r="K63">
        <v>2</v>
      </c>
    </row>
    <row r="64" spans="1:11">
      <c r="A64" t="s">
        <v>4338</v>
      </c>
      <c r="B64" t="s">
        <v>4338</v>
      </c>
      <c r="C64" t="s">
        <v>4339</v>
      </c>
      <c r="D64" t="s">
        <v>4340</v>
      </c>
      <c r="E64">
        <v>0</v>
      </c>
      <c r="G64">
        <v>34.1</v>
      </c>
      <c r="H64" t="s">
        <v>4341</v>
      </c>
      <c r="I64">
        <v>1</v>
      </c>
      <c r="J64" t="s">
        <v>1916</v>
      </c>
      <c r="K64">
        <v>2</v>
      </c>
    </row>
    <row r="65" spans="1:11">
      <c r="A65" t="s">
        <v>4342</v>
      </c>
      <c r="B65" t="s">
        <v>4342</v>
      </c>
      <c r="C65" t="s">
        <v>4343</v>
      </c>
      <c r="D65" t="s">
        <v>4344</v>
      </c>
      <c r="E65">
        <v>0</v>
      </c>
      <c r="G65">
        <v>65.3</v>
      </c>
      <c r="H65" t="s">
        <v>4345</v>
      </c>
      <c r="I65">
        <v>1</v>
      </c>
      <c r="J65" t="s">
        <v>1916</v>
      </c>
      <c r="K65">
        <v>2</v>
      </c>
    </row>
    <row r="66" spans="1:11">
      <c r="A66" t="s">
        <v>4346</v>
      </c>
      <c r="B66" t="s">
        <v>4346</v>
      </c>
      <c r="C66" t="s">
        <v>4347</v>
      </c>
      <c r="D66" t="s">
        <v>4348</v>
      </c>
      <c r="E66">
        <v>0</v>
      </c>
      <c r="G66">
        <v>69.3</v>
      </c>
      <c r="H66" t="s">
        <v>4349</v>
      </c>
      <c r="I66">
        <v>3</v>
      </c>
      <c r="J66" t="s">
        <v>1939</v>
      </c>
      <c r="K66">
        <v>2</v>
      </c>
    </row>
    <row r="67" spans="1:11">
      <c r="A67" t="s">
        <v>4350</v>
      </c>
      <c r="B67" t="s">
        <v>4350</v>
      </c>
      <c r="C67" t="s">
        <v>4351</v>
      </c>
      <c r="D67" t="s">
        <v>4352</v>
      </c>
      <c r="E67">
        <v>0</v>
      </c>
      <c r="G67">
        <v>124.3</v>
      </c>
      <c r="H67" t="s">
        <v>4353</v>
      </c>
      <c r="I67">
        <v>1</v>
      </c>
      <c r="J67" t="s">
        <v>1916</v>
      </c>
      <c r="K67">
        <v>2</v>
      </c>
    </row>
    <row r="68" spans="1:11">
      <c r="A68" t="s">
        <v>4354</v>
      </c>
      <c r="B68" t="s">
        <v>4354</v>
      </c>
      <c r="C68" t="s">
        <v>1331</v>
      </c>
      <c r="D68" t="s">
        <v>4355</v>
      </c>
      <c r="E68">
        <v>0</v>
      </c>
      <c r="G68">
        <v>6.1</v>
      </c>
      <c r="H68" t="s">
        <v>4356</v>
      </c>
      <c r="I68">
        <v>1</v>
      </c>
      <c r="J68" t="s">
        <v>1916</v>
      </c>
      <c r="K68">
        <v>0</v>
      </c>
    </row>
    <row r="69" spans="1:11">
      <c r="A69" t="s">
        <v>4357</v>
      </c>
      <c r="B69" t="s">
        <v>4357</v>
      </c>
      <c r="C69" t="s">
        <v>4358</v>
      </c>
      <c r="D69" t="s">
        <v>4359</v>
      </c>
      <c r="E69">
        <v>0</v>
      </c>
      <c r="G69">
        <v>835</v>
      </c>
      <c r="H69" t="s">
        <v>4360</v>
      </c>
      <c r="I69">
        <v>25</v>
      </c>
      <c r="J69" t="s">
        <v>1903</v>
      </c>
      <c r="K69">
        <v>2</v>
      </c>
    </row>
    <row r="70" spans="1:11">
      <c r="A70" t="s">
        <v>4361</v>
      </c>
      <c r="B70" t="s">
        <v>4361</v>
      </c>
      <c r="C70" t="s">
        <v>4362</v>
      </c>
      <c r="E70">
        <v>0</v>
      </c>
      <c r="G70">
        <v>32</v>
      </c>
      <c r="H70" t="s">
        <v>4363</v>
      </c>
      <c r="I70">
        <v>3</v>
      </c>
      <c r="J70" t="s">
        <v>1939</v>
      </c>
      <c r="K70">
        <v>0</v>
      </c>
    </row>
    <row r="71" spans="1:11">
      <c r="A71" t="s">
        <v>4364</v>
      </c>
      <c r="B71" t="s">
        <v>4364</v>
      </c>
      <c r="C71" t="s">
        <v>1337</v>
      </c>
      <c r="D71" t="s">
        <v>4365</v>
      </c>
      <c r="E71">
        <v>0</v>
      </c>
      <c r="G71">
        <v>61</v>
      </c>
      <c r="H71" t="s">
        <v>4366</v>
      </c>
      <c r="I71">
        <v>25</v>
      </c>
      <c r="J71" t="s">
        <v>1903</v>
      </c>
      <c r="K71">
        <v>0</v>
      </c>
    </row>
    <row r="72" spans="1:11">
      <c r="A72" t="s">
        <v>4367</v>
      </c>
      <c r="B72" t="s">
        <v>4367</v>
      </c>
      <c r="C72" t="s">
        <v>1338</v>
      </c>
      <c r="E72">
        <v>0</v>
      </c>
      <c r="G72">
        <v>71.5</v>
      </c>
      <c r="H72" t="s">
        <v>4368</v>
      </c>
      <c r="I72">
        <v>1</v>
      </c>
      <c r="J72" t="s">
        <v>1916</v>
      </c>
      <c r="K72">
        <v>2</v>
      </c>
    </row>
    <row r="73" spans="1:11">
      <c r="A73" t="s">
        <v>4369</v>
      </c>
      <c r="B73" t="s">
        <v>4369</v>
      </c>
      <c r="C73" t="s">
        <v>4370</v>
      </c>
      <c r="D73" t="s">
        <v>4371</v>
      </c>
      <c r="E73">
        <v>0</v>
      </c>
      <c r="G73">
        <v>48.7</v>
      </c>
      <c r="H73" t="s">
        <v>4372</v>
      </c>
      <c r="I73">
        <v>1</v>
      </c>
      <c r="J73" t="s">
        <v>1916</v>
      </c>
      <c r="K73">
        <v>0</v>
      </c>
    </row>
    <row r="74" spans="1:11">
      <c r="A74" t="s">
        <v>4373</v>
      </c>
      <c r="B74" t="s">
        <v>4373</v>
      </c>
      <c r="C74" t="s">
        <v>4374</v>
      </c>
      <c r="D74" t="s">
        <v>4375</v>
      </c>
      <c r="E74">
        <v>0</v>
      </c>
      <c r="G74">
        <v>329.9</v>
      </c>
      <c r="H74" t="s">
        <v>4376</v>
      </c>
      <c r="I74">
        <v>1</v>
      </c>
      <c r="J74" t="s">
        <v>1916</v>
      </c>
      <c r="K74">
        <v>2</v>
      </c>
    </row>
    <row r="75" spans="1:11">
      <c r="A75" t="s">
        <v>4377</v>
      </c>
      <c r="B75" t="s">
        <v>4377</v>
      </c>
      <c r="C75" t="s">
        <v>4378</v>
      </c>
      <c r="D75" t="s">
        <v>4379</v>
      </c>
      <c r="E75">
        <v>0</v>
      </c>
      <c r="G75">
        <v>659.7</v>
      </c>
      <c r="H75" t="s">
        <v>4380</v>
      </c>
      <c r="I75">
        <v>1</v>
      </c>
      <c r="J75" t="s">
        <v>1916</v>
      </c>
      <c r="K75">
        <v>2</v>
      </c>
    </row>
    <row r="76" spans="1:11">
      <c r="A76" t="s">
        <v>4381</v>
      </c>
      <c r="B76" t="s">
        <v>4381</v>
      </c>
      <c r="C76" t="s">
        <v>4382</v>
      </c>
      <c r="D76" t="s">
        <v>4383</v>
      </c>
      <c r="E76">
        <v>0</v>
      </c>
      <c r="G76">
        <v>0</v>
      </c>
      <c r="H76" t="s">
        <v>4384</v>
      </c>
      <c r="I76">
        <v>24</v>
      </c>
      <c r="J76" t="s">
        <v>2057</v>
      </c>
      <c r="K76">
        <v>0</v>
      </c>
    </row>
    <row r="77" spans="1:11">
      <c r="A77" t="s">
        <v>4385</v>
      </c>
      <c r="B77" t="s">
        <v>4385</v>
      </c>
      <c r="C77" t="s">
        <v>4386</v>
      </c>
      <c r="D77" t="s">
        <v>4387</v>
      </c>
      <c r="E77">
        <v>0</v>
      </c>
      <c r="G77">
        <v>9.1999999999999993</v>
      </c>
      <c r="H77" t="s">
        <v>4388</v>
      </c>
      <c r="I77">
        <v>1</v>
      </c>
      <c r="J77" t="s">
        <v>1916</v>
      </c>
      <c r="K77">
        <v>2</v>
      </c>
    </row>
    <row r="78" spans="1:11">
      <c r="A78" t="s">
        <v>4389</v>
      </c>
      <c r="B78" t="s">
        <v>4389</v>
      </c>
      <c r="C78" t="s">
        <v>4390</v>
      </c>
      <c r="D78" t="s">
        <v>4391</v>
      </c>
      <c r="E78">
        <v>0</v>
      </c>
      <c r="G78">
        <v>18.899999999999999</v>
      </c>
      <c r="H78" t="s">
        <v>4392</v>
      </c>
      <c r="I78">
        <v>1</v>
      </c>
      <c r="J78" t="s">
        <v>1916</v>
      </c>
      <c r="K78">
        <v>2</v>
      </c>
    </row>
    <row r="79" spans="1:11">
      <c r="A79" t="s">
        <v>4393</v>
      </c>
      <c r="B79" t="s">
        <v>4393</v>
      </c>
      <c r="C79" t="s">
        <v>4394</v>
      </c>
      <c r="D79" t="s">
        <v>4395</v>
      </c>
      <c r="E79">
        <v>0</v>
      </c>
      <c r="G79">
        <v>33.6</v>
      </c>
      <c r="H79" t="s">
        <v>4396</v>
      </c>
      <c r="I79">
        <v>1</v>
      </c>
      <c r="J79" t="s">
        <v>1916</v>
      </c>
      <c r="K79">
        <v>2</v>
      </c>
    </row>
    <row r="80" spans="1:11">
      <c r="A80" t="s">
        <v>4397</v>
      </c>
      <c r="B80" t="s">
        <v>4397</v>
      </c>
      <c r="C80" t="s">
        <v>4398</v>
      </c>
      <c r="D80" t="s">
        <v>4399</v>
      </c>
      <c r="E80">
        <v>0</v>
      </c>
      <c r="G80">
        <v>67.099999999999994</v>
      </c>
      <c r="H80" t="s">
        <v>4400</v>
      </c>
      <c r="I80">
        <v>3</v>
      </c>
      <c r="J80" t="s">
        <v>1939</v>
      </c>
      <c r="K80">
        <v>2</v>
      </c>
    </row>
    <row r="81" spans="1:11">
      <c r="A81" t="s">
        <v>4401</v>
      </c>
      <c r="B81" t="s">
        <v>4401</v>
      </c>
      <c r="C81" t="s">
        <v>4402</v>
      </c>
      <c r="E81">
        <v>0</v>
      </c>
      <c r="G81">
        <v>30.7</v>
      </c>
      <c r="H81" t="s">
        <v>4403</v>
      </c>
      <c r="I81">
        <v>1</v>
      </c>
      <c r="J81" t="s">
        <v>1916</v>
      </c>
      <c r="K81">
        <v>2</v>
      </c>
    </row>
    <row r="82" spans="1:11">
      <c r="A82" t="s">
        <v>4404</v>
      </c>
      <c r="B82" t="s">
        <v>4404</v>
      </c>
      <c r="C82" t="s">
        <v>4405</v>
      </c>
      <c r="E82">
        <v>0</v>
      </c>
      <c r="G82">
        <v>17</v>
      </c>
      <c r="H82" t="s">
        <v>4406</v>
      </c>
      <c r="I82">
        <v>1</v>
      </c>
      <c r="J82" t="s">
        <v>1916</v>
      </c>
      <c r="K82">
        <v>2</v>
      </c>
    </row>
    <row r="83" spans="1:11">
      <c r="A83" t="s">
        <v>4407</v>
      </c>
      <c r="B83" t="s">
        <v>4407</v>
      </c>
      <c r="C83" t="s">
        <v>4408</v>
      </c>
      <c r="E83">
        <v>0</v>
      </c>
      <c r="G83">
        <v>8.1999999999999993</v>
      </c>
      <c r="H83" t="s">
        <v>4409</v>
      </c>
      <c r="I83">
        <v>1</v>
      </c>
      <c r="J83" t="s">
        <v>1916</v>
      </c>
      <c r="K83">
        <v>2</v>
      </c>
    </row>
    <row r="84" spans="1:11">
      <c r="A84" t="s">
        <v>4410</v>
      </c>
      <c r="B84" t="s">
        <v>4410</v>
      </c>
      <c r="C84" t="s">
        <v>4411</v>
      </c>
      <c r="E84">
        <v>0</v>
      </c>
      <c r="G84">
        <v>63.3</v>
      </c>
      <c r="H84" t="s">
        <v>4412</v>
      </c>
      <c r="I84">
        <v>4</v>
      </c>
      <c r="J84" t="s">
        <v>2200</v>
      </c>
      <c r="K84">
        <v>2</v>
      </c>
    </row>
    <row r="85" spans="1:11">
      <c r="A85" t="s">
        <v>4413</v>
      </c>
      <c r="B85" t="s">
        <v>4413</v>
      </c>
      <c r="C85" t="s">
        <v>4414</v>
      </c>
      <c r="E85">
        <v>0</v>
      </c>
      <c r="G85">
        <v>8.1999999999999993</v>
      </c>
      <c r="H85" t="s">
        <v>4415</v>
      </c>
      <c r="I85">
        <v>1</v>
      </c>
      <c r="J85" t="s">
        <v>1916</v>
      </c>
      <c r="K85">
        <v>2</v>
      </c>
    </row>
    <row r="86" spans="1:11">
      <c r="A86" t="s">
        <v>4416</v>
      </c>
      <c r="B86" t="s">
        <v>4416</v>
      </c>
      <c r="C86" t="s">
        <v>4417</v>
      </c>
      <c r="D86" t="s">
        <v>4418</v>
      </c>
      <c r="E86">
        <v>0</v>
      </c>
      <c r="G86">
        <v>40.299999999999997</v>
      </c>
      <c r="H86" t="s">
        <v>4419</v>
      </c>
      <c r="I86">
        <v>14</v>
      </c>
      <c r="J86" t="s">
        <v>1899</v>
      </c>
      <c r="K86">
        <v>0</v>
      </c>
    </row>
    <row r="87" spans="1:11">
      <c r="A87" t="s">
        <v>4420</v>
      </c>
      <c r="B87" t="s">
        <v>4420</v>
      </c>
      <c r="C87" t="s">
        <v>4421</v>
      </c>
      <c r="D87" t="s">
        <v>4422</v>
      </c>
      <c r="E87">
        <v>0</v>
      </c>
      <c r="G87">
        <v>10.4</v>
      </c>
      <c r="H87" t="s">
        <v>4423</v>
      </c>
      <c r="I87">
        <v>1</v>
      </c>
      <c r="J87" t="s">
        <v>1916</v>
      </c>
      <c r="K87">
        <v>0</v>
      </c>
    </row>
    <row r="88" spans="1:11">
      <c r="A88" t="s">
        <v>4424</v>
      </c>
      <c r="B88" t="s">
        <v>4424</v>
      </c>
      <c r="C88" t="s">
        <v>4425</v>
      </c>
      <c r="D88" t="s">
        <v>4426</v>
      </c>
      <c r="E88">
        <v>0</v>
      </c>
      <c r="G88">
        <v>946.6</v>
      </c>
      <c r="H88" t="s">
        <v>4427</v>
      </c>
      <c r="I88">
        <v>1</v>
      </c>
      <c r="J88" t="s">
        <v>1916</v>
      </c>
      <c r="K88">
        <v>2</v>
      </c>
    </row>
    <row r="89" spans="1:11">
      <c r="A89" t="s">
        <v>4428</v>
      </c>
      <c r="B89" t="s">
        <v>4428</v>
      </c>
      <c r="C89" t="s">
        <v>4429</v>
      </c>
      <c r="E89">
        <v>0</v>
      </c>
      <c r="G89">
        <v>5.9</v>
      </c>
      <c r="H89" t="s">
        <v>4430</v>
      </c>
      <c r="I89">
        <v>1</v>
      </c>
      <c r="J89" t="s">
        <v>1916</v>
      </c>
      <c r="K89">
        <v>0</v>
      </c>
    </row>
    <row r="90" spans="1:11">
      <c r="A90" t="s">
        <v>4431</v>
      </c>
      <c r="B90" t="s">
        <v>4431</v>
      </c>
      <c r="C90" t="s">
        <v>4432</v>
      </c>
      <c r="D90" t="s">
        <v>4433</v>
      </c>
      <c r="E90">
        <v>0</v>
      </c>
      <c r="G90">
        <v>19.8</v>
      </c>
      <c r="H90" t="s">
        <v>4434</v>
      </c>
      <c r="I90">
        <v>3</v>
      </c>
      <c r="J90" t="s">
        <v>1939</v>
      </c>
      <c r="K90">
        <v>0</v>
      </c>
    </row>
    <row r="91" spans="1:11">
      <c r="A91" t="s">
        <v>4435</v>
      </c>
      <c r="B91" t="s">
        <v>4435</v>
      </c>
      <c r="C91" t="s">
        <v>4436</v>
      </c>
      <c r="D91" t="s">
        <v>4437</v>
      </c>
      <c r="E91">
        <v>0</v>
      </c>
      <c r="G91">
        <v>6.1</v>
      </c>
      <c r="H91" t="s">
        <v>4438</v>
      </c>
      <c r="I91">
        <v>1</v>
      </c>
      <c r="J91" t="s">
        <v>1916</v>
      </c>
      <c r="K91">
        <v>0</v>
      </c>
    </row>
    <row r="92" spans="1:11">
      <c r="A92" t="s">
        <v>4439</v>
      </c>
      <c r="B92" t="s">
        <v>4439</v>
      </c>
      <c r="C92" t="s">
        <v>4440</v>
      </c>
      <c r="D92" t="s">
        <v>4441</v>
      </c>
      <c r="E92">
        <v>0</v>
      </c>
      <c r="G92">
        <v>24.6</v>
      </c>
      <c r="H92" t="s">
        <v>4442</v>
      </c>
      <c r="I92">
        <v>1</v>
      </c>
      <c r="J92" t="s">
        <v>1916</v>
      </c>
      <c r="K92">
        <v>0</v>
      </c>
    </row>
    <row r="93" spans="1:11">
      <c r="A93" t="s">
        <v>4443</v>
      </c>
      <c r="B93" t="s">
        <v>4443</v>
      </c>
      <c r="C93" t="s">
        <v>4444</v>
      </c>
      <c r="D93" t="s">
        <v>4445</v>
      </c>
      <c r="E93">
        <v>0</v>
      </c>
      <c r="G93">
        <v>18.399999999999999</v>
      </c>
      <c r="H93" t="s">
        <v>4446</v>
      </c>
      <c r="I93">
        <v>1</v>
      </c>
      <c r="J93" t="s">
        <v>1916</v>
      </c>
      <c r="K93">
        <v>2</v>
      </c>
    </row>
    <row r="94" spans="1:11">
      <c r="A94" t="s">
        <v>4447</v>
      </c>
      <c r="B94" t="s">
        <v>4447</v>
      </c>
      <c r="C94" t="s">
        <v>4448</v>
      </c>
      <c r="D94" t="s">
        <v>4449</v>
      </c>
      <c r="E94">
        <v>0</v>
      </c>
      <c r="G94">
        <v>36</v>
      </c>
      <c r="H94" t="s">
        <v>4450</v>
      </c>
      <c r="I94">
        <v>1</v>
      </c>
      <c r="J94" t="s">
        <v>1916</v>
      </c>
      <c r="K94">
        <v>2</v>
      </c>
    </row>
    <row r="95" spans="1:11">
      <c r="A95" t="s">
        <v>4451</v>
      </c>
      <c r="B95" t="s">
        <v>4451</v>
      </c>
      <c r="C95" t="s">
        <v>4452</v>
      </c>
      <c r="D95" t="s">
        <v>4453</v>
      </c>
      <c r="E95">
        <v>0</v>
      </c>
      <c r="G95">
        <v>9.8000000000000007</v>
      </c>
      <c r="H95" t="s">
        <v>4454</v>
      </c>
      <c r="I95">
        <v>1</v>
      </c>
      <c r="J95" t="s">
        <v>1916</v>
      </c>
      <c r="K95">
        <v>2</v>
      </c>
    </row>
    <row r="96" spans="1:11">
      <c r="A96" t="s">
        <v>4455</v>
      </c>
      <c r="B96" t="s">
        <v>4455</v>
      </c>
      <c r="C96" t="s">
        <v>4456</v>
      </c>
      <c r="D96" t="s">
        <v>4457</v>
      </c>
      <c r="E96">
        <v>0</v>
      </c>
      <c r="G96">
        <v>10.4</v>
      </c>
      <c r="H96" t="s">
        <v>4458</v>
      </c>
      <c r="I96">
        <v>1</v>
      </c>
      <c r="J96" t="s">
        <v>1916</v>
      </c>
      <c r="K96">
        <v>0</v>
      </c>
    </row>
    <row r="97" spans="1:11">
      <c r="A97" t="s">
        <v>4459</v>
      </c>
      <c r="B97" t="s">
        <v>4459</v>
      </c>
      <c r="C97" t="s">
        <v>4460</v>
      </c>
      <c r="D97" t="s">
        <v>4461</v>
      </c>
      <c r="E97">
        <v>0</v>
      </c>
      <c r="G97">
        <v>5.3</v>
      </c>
      <c r="H97" t="s">
        <v>4462</v>
      </c>
      <c r="I97">
        <v>7</v>
      </c>
      <c r="J97" t="s">
        <v>2143</v>
      </c>
      <c r="K97">
        <v>2</v>
      </c>
    </row>
    <row r="98" spans="1:11">
      <c r="A98" t="s">
        <v>4463</v>
      </c>
      <c r="B98" t="s">
        <v>4463</v>
      </c>
      <c r="C98" t="s">
        <v>1198</v>
      </c>
      <c r="D98" t="s">
        <v>4464</v>
      </c>
      <c r="E98">
        <v>0</v>
      </c>
      <c r="G98">
        <v>119</v>
      </c>
      <c r="H98" t="s">
        <v>4465</v>
      </c>
      <c r="I98">
        <v>25</v>
      </c>
      <c r="J98" t="s">
        <v>1903</v>
      </c>
      <c r="K98">
        <v>2</v>
      </c>
    </row>
    <row r="99" spans="1:11">
      <c r="A99" t="s">
        <v>4466</v>
      </c>
      <c r="B99" t="s">
        <v>4466</v>
      </c>
      <c r="C99" t="s">
        <v>4467</v>
      </c>
      <c r="D99" t="s">
        <v>4468</v>
      </c>
      <c r="E99">
        <v>0</v>
      </c>
      <c r="G99">
        <v>37.200000000000003</v>
      </c>
      <c r="H99" t="s">
        <v>4469</v>
      </c>
      <c r="I99">
        <v>3</v>
      </c>
      <c r="J99" t="s">
        <v>1939</v>
      </c>
      <c r="K99">
        <v>0</v>
      </c>
    </row>
    <row r="100" spans="1:11">
      <c r="A100" t="s">
        <v>4470</v>
      </c>
      <c r="B100" t="s">
        <v>4470</v>
      </c>
      <c r="C100" t="s">
        <v>4471</v>
      </c>
      <c r="D100" t="s">
        <v>4472</v>
      </c>
      <c r="E100">
        <v>0</v>
      </c>
      <c r="G100">
        <v>0</v>
      </c>
      <c r="H100" t="s">
        <v>4473</v>
      </c>
      <c r="I100">
        <v>24</v>
      </c>
      <c r="J100" t="s">
        <v>2057</v>
      </c>
      <c r="K100">
        <v>0</v>
      </c>
    </row>
    <row r="101" spans="1:11">
      <c r="A101" t="s">
        <v>4474</v>
      </c>
      <c r="B101" t="s">
        <v>4474</v>
      </c>
      <c r="C101" t="s">
        <v>1375</v>
      </c>
      <c r="E101">
        <v>0</v>
      </c>
      <c r="G101">
        <v>90.8</v>
      </c>
      <c r="H101" t="s">
        <v>4475</v>
      </c>
      <c r="I101">
        <v>1</v>
      </c>
      <c r="J101" t="s">
        <v>1916</v>
      </c>
      <c r="K101">
        <v>0</v>
      </c>
    </row>
    <row r="102" spans="1:11">
      <c r="A102" t="s">
        <v>4476</v>
      </c>
      <c r="B102" t="s">
        <v>4476</v>
      </c>
      <c r="C102" t="s">
        <v>4066</v>
      </c>
      <c r="D102" t="s">
        <v>4477</v>
      </c>
      <c r="E102">
        <v>0</v>
      </c>
      <c r="G102">
        <v>24.1</v>
      </c>
      <c r="H102" t="s">
        <v>4478</v>
      </c>
      <c r="I102">
        <v>3</v>
      </c>
      <c r="J102" t="s">
        <v>1939</v>
      </c>
      <c r="K102">
        <v>0</v>
      </c>
    </row>
    <row r="103" spans="1:11">
      <c r="A103" t="s">
        <v>4479</v>
      </c>
      <c r="B103" t="s">
        <v>4479</v>
      </c>
      <c r="C103" t="s">
        <v>4480</v>
      </c>
      <c r="D103" t="s">
        <v>4481</v>
      </c>
      <c r="E103">
        <v>0</v>
      </c>
      <c r="G103">
        <v>25.5</v>
      </c>
      <c r="H103" t="s">
        <v>4482</v>
      </c>
      <c r="I103">
        <v>3</v>
      </c>
      <c r="J103" t="s">
        <v>1939</v>
      </c>
      <c r="K103">
        <v>0</v>
      </c>
    </row>
    <row r="104" spans="1:11">
      <c r="A104" t="s">
        <v>4483</v>
      </c>
      <c r="B104" t="s">
        <v>4483</v>
      </c>
      <c r="C104" t="s">
        <v>4484</v>
      </c>
      <c r="E104">
        <v>0</v>
      </c>
      <c r="G104">
        <v>22.3</v>
      </c>
      <c r="H104" t="s">
        <v>4485</v>
      </c>
      <c r="I104">
        <v>4</v>
      </c>
      <c r="J104" t="s">
        <v>2200</v>
      </c>
      <c r="K104">
        <v>0</v>
      </c>
    </row>
    <row r="105" spans="1:11">
      <c r="A105" t="s">
        <v>4486</v>
      </c>
      <c r="B105" t="s">
        <v>4486</v>
      </c>
      <c r="C105" t="s">
        <v>1385</v>
      </c>
      <c r="D105" t="s">
        <v>4487</v>
      </c>
      <c r="E105">
        <v>0</v>
      </c>
      <c r="G105">
        <v>449.4</v>
      </c>
      <c r="H105" t="s">
        <v>4488</v>
      </c>
      <c r="I105">
        <v>21</v>
      </c>
      <c r="J105" t="s">
        <v>1946</v>
      </c>
      <c r="K105">
        <v>0</v>
      </c>
    </row>
    <row r="106" spans="1:11">
      <c r="A106" t="s">
        <v>4489</v>
      </c>
      <c r="B106" t="s">
        <v>4489</v>
      </c>
      <c r="C106" t="s">
        <v>4490</v>
      </c>
      <c r="D106" t="s">
        <v>4491</v>
      </c>
      <c r="E106">
        <v>0</v>
      </c>
      <c r="G106">
        <v>57</v>
      </c>
      <c r="H106" t="s">
        <v>4492</v>
      </c>
      <c r="I106">
        <v>25</v>
      </c>
      <c r="J106" t="s">
        <v>1903</v>
      </c>
      <c r="K106">
        <v>0</v>
      </c>
    </row>
    <row r="107" spans="1:11">
      <c r="A107" t="s">
        <v>4493</v>
      </c>
      <c r="B107" t="s">
        <v>4493</v>
      </c>
      <c r="C107" t="s">
        <v>4494</v>
      </c>
      <c r="D107" t="s">
        <v>4495</v>
      </c>
      <c r="E107">
        <v>0</v>
      </c>
      <c r="G107">
        <v>10.4</v>
      </c>
      <c r="H107" t="s">
        <v>4496</v>
      </c>
      <c r="I107">
        <v>1</v>
      </c>
      <c r="J107" t="s">
        <v>1916</v>
      </c>
      <c r="K107">
        <v>2</v>
      </c>
    </row>
    <row r="108" spans="1:11">
      <c r="A108" t="s">
        <v>4497</v>
      </c>
      <c r="B108" t="s">
        <v>4497</v>
      </c>
      <c r="C108" t="s">
        <v>4498</v>
      </c>
      <c r="E108">
        <v>0</v>
      </c>
      <c r="G108">
        <v>272</v>
      </c>
      <c r="H108" t="s">
        <v>4499</v>
      </c>
      <c r="I108">
        <v>25</v>
      </c>
      <c r="J108" t="s">
        <v>1903</v>
      </c>
      <c r="K108">
        <v>0</v>
      </c>
    </row>
    <row r="109" spans="1:11">
      <c r="A109" t="s">
        <v>4500</v>
      </c>
      <c r="B109" t="s">
        <v>4500</v>
      </c>
      <c r="C109" t="s">
        <v>4501</v>
      </c>
      <c r="E109">
        <v>0</v>
      </c>
      <c r="G109">
        <v>387</v>
      </c>
      <c r="H109" t="s">
        <v>4502</v>
      </c>
      <c r="I109">
        <v>25</v>
      </c>
      <c r="J109" t="s">
        <v>1903</v>
      </c>
      <c r="K109">
        <v>0</v>
      </c>
    </row>
    <row r="110" spans="1:11">
      <c r="A110" t="s">
        <v>4503</v>
      </c>
      <c r="B110" t="s">
        <v>4503</v>
      </c>
      <c r="C110" t="s">
        <v>4070</v>
      </c>
      <c r="D110" t="s">
        <v>4504</v>
      </c>
      <c r="E110">
        <v>0</v>
      </c>
      <c r="G110">
        <v>1396.8</v>
      </c>
      <c r="H110" t="s">
        <v>4505</v>
      </c>
      <c r="I110">
        <v>17</v>
      </c>
      <c r="J110" t="s">
        <v>2091</v>
      </c>
      <c r="K110">
        <v>0</v>
      </c>
    </row>
    <row r="111" spans="1:11">
      <c r="A111" t="s">
        <v>4506</v>
      </c>
      <c r="B111" t="s">
        <v>4506</v>
      </c>
      <c r="C111" t="s">
        <v>4507</v>
      </c>
      <c r="D111" t="s">
        <v>4508</v>
      </c>
      <c r="E111">
        <v>0</v>
      </c>
      <c r="G111">
        <v>25.9</v>
      </c>
      <c r="H111" t="s">
        <v>4509</v>
      </c>
      <c r="I111">
        <v>1</v>
      </c>
      <c r="J111" t="s">
        <v>1916</v>
      </c>
      <c r="K111">
        <v>2</v>
      </c>
    </row>
    <row r="112" spans="1:11">
      <c r="A112" t="s">
        <v>4510</v>
      </c>
      <c r="B112" t="s">
        <v>4510</v>
      </c>
      <c r="C112" t="s">
        <v>4511</v>
      </c>
      <c r="D112" t="s">
        <v>4512</v>
      </c>
      <c r="E112">
        <v>0</v>
      </c>
      <c r="G112">
        <v>12.7</v>
      </c>
      <c r="H112" t="s">
        <v>4513</v>
      </c>
      <c r="I112">
        <v>1</v>
      </c>
      <c r="J112" t="s">
        <v>1916</v>
      </c>
      <c r="K112">
        <v>0</v>
      </c>
    </row>
    <row r="113" spans="1:11">
      <c r="A113" t="s">
        <v>4514</v>
      </c>
      <c r="B113" t="s">
        <v>4514</v>
      </c>
      <c r="C113" t="s">
        <v>4515</v>
      </c>
      <c r="D113" t="s">
        <v>4516</v>
      </c>
      <c r="E113">
        <v>0</v>
      </c>
      <c r="G113">
        <v>31.9</v>
      </c>
      <c r="H113" t="s">
        <v>4517</v>
      </c>
      <c r="I113">
        <v>1</v>
      </c>
      <c r="J113" t="s">
        <v>1916</v>
      </c>
      <c r="K113">
        <v>0</v>
      </c>
    </row>
    <row r="114" spans="1:11">
      <c r="A114" t="s">
        <v>4518</v>
      </c>
      <c r="B114" t="s">
        <v>4518</v>
      </c>
      <c r="C114" t="s">
        <v>4519</v>
      </c>
      <c r="D114" t="s">
        <v>4520</v>
      </c>
      <c r="E114">
        <v>0</v>
      </c>
      <c r="G114">
        <v>201.7</v>
      </c>
      <c r="H114" t="s">
        <v>4521</v>
      </c>
      <c r="I114">
        <v>21</v>
      </c>
      <c r="J114" t="s">
        <v>1946</v>
      </c>
      <c r="K114">
        <v>0</v>
      </c>
    </row>
    <row r="115" spans="1:11">
      <c r="A115" t="s">
        <v>4522</v>
      </c>
      <c r="B115" t="s">
        <v>4522</v>
      </c>
      <c r="C115" t="s">
        <v>4523</v>
      </c>
      <c r="D115" t="s">
        <v>4524</v>
      </c>
      <c r="E115">
        <v>0</v>
      </c>
      <c r="G115">
        <v>187.8</v>
      </c>
      <c r="H115" t="s">
        <v>4525</v>
      </c>
      <c r="I115">
        <v>21</v>
      </c>
      <c r="J115" t="s">
        <v>1946</v>
      </c>
      <c r="K115">
        <v>0</v>
      </c>
    </row>
    <row r="116" spans="1:11">
      <c r="A116" t="s">
        <v>4526</v>
      </c>
      <c r="B116" t="s">
        <v>4526</v>
      </c>
      <c r="C116" t="s">
        <v>4527</v>
      </c>
      <c r="D116" t="s">
        <v>4528</v>
      </c>
      <c r="E116">
        <v>0</v>
      </c>
      <c r="G116">
        <v>239.1</v>
      </c>
      <c r="H116" t="s">
        <v>4529</v>
      </c>
      <c r="I116">
        <v>23</v>
      </c>
      <c r="J116" t="s">
        <v>2361</v>
      </c>
      <c r="K116">
        <v>0</v>
      </c>
    </row>
    <row r="117" spans="1:11">
      <c r="A117" t="s">
        <v>4530</v>
      </c>
      <c r="B117" t="s">
        <v>4530</v>
      </c>
      <c r="C117" t="s">
        <v>1402</v>
      </c>
      <c r="E117">
        <v>0</v>
      </c>
      <c r="G117">
        <v>5.7</v>
      </c>
      <c r="H117" t="s">
        <v>4531</v>
      </c>
      <c r="I117">
        <v>1</v>
      </c>
      <c r="J117" t="s">
        <v>1916</v>
      </c>
      <c r="K117">
        <v>0</v>
      </c>
    </row>
    <row r="118" spans="1:11">
      <c r="A118" t="s">
        <v>4532</v>
      </c>
      <c r="B118" t="s">
        <v>4532</v>
      </c>
      <c r="C118" t="s">
        <v>1406</v>
      </c>
      <c r="E118">
        <v>0</v>
      </c>
      <c r="G118">
        <v>31.5</v>
      </c>
      <c r="H118" t="s">
        <v>4533</v>
      </c>
      <c r="I118">
        <v>2</v>
      </c>
      <c r="J118" t="s">
        <v>835</v>
      </c>
      <c r="K118">
        <v>0</v>
      </c>
    </row>
    <row r="119" spans="1:11">
      <c r="A119" t="s">
        <v>4534</v>
      </c>
      <c r="B119" t="s">
        <v>4534</v>
      </c>
      <c r="C119" t="s">
        <v>1411</v>
      </c>
      <c r="E119">
        <v>0</v>
      </c>
      <c r="G119">
        <v>7.4</v>
      </c>
      <c r="H119" t="s">
        <v>4535</v>
      </c>
      <c r="I119">
        <v>1</v>
      </c>
      <c r="J119" t="s">
        <v>1916</v>
      </c>
      <c r="K119">
        <v>0</v>
      </c>
    </row>
    <row r="120" spans="1:11">
      <c r="A120" t="s">
        <v>4536</v>
      </c>
      <c r="B120" t="s">
        <v>4536</v>
      </c>
      <c r="C120" t="s">
        <v>4537</v>
      </c>
      <c r="D120" t="s">
        <v>4538</v>
      </c>
      <c r="E120">
        <v>0</v>
      </c>
      <c r="G120">
        <v>7.2</v>
      </c>
      <c r="H120" t="s">
        <v>4539</v>
      </c>
      <c r="I120">
        <v>3</v>
      </c>
      <c r="J120" t="s">
        <v>1939</v>
      </c>
      <c r="K120">
        <v>0</v>
      </c>
    </row>
    <row r="121" spans="1:11">
      <c r="A121" t="s">
        <v>4540</v>
      </c>
      <c r="B121" t="s">
        <v>4540</v>
      </c>
      <c r="C121" t="s">
        <v>4541</v>
      </c>
      <c r="D121" t="s">
        <v>4542</v>
      </c>
      <c r="E121">
        <v>0</v>
      </c>
      <c r="G121">
        <v>7.7</v>
      </c>
      <c r="H121" t="s">
        <v>4543</v>
      </c>
      <c r="I121">
        <v>3</v>
      </c>
      <c r="J121" t="s">
        <v>1939</v>
      </c>
      <c r="K121">
        <v>2</v>
      </c>
    </row>
    <row r="122" spans="1:11">
      <c r="A122" t="s">
        <v>4544</v>
      </c>
      <c r="B122" t="s">
        <v>4544</v>
      </c>
      <c r="C122" t="s">
        <v>4545</v>
      </c>
      <c r="D122" t="s">
        <v>4546</v>
      </c>
      <c r="E122">
        <v>0</v>
      </c>
      <c r="G122">
        <v>18174</v>
      </c>
      <c r="H122" t="s">
        <v>4547</v>
      </c>
      <c r="I122">
        <v>25</v>
      </c>
      <c r="J122" t="s">
        <v>1903</v>
      </c>
      <c r="K122">
        <v>2</v>
      </c>
    </row>
    <row r="123" spans="1:11">
      <c r="A123" t="s">
        <v>4548</v>
      </c>
      <c r="B123" t="s">
        <v>4548</v>
      </c>
      <c r="C123" t="s">
        <v>4549</v>
      </c>
      <c r="D123" t="s">
        <v>4550</v>
      </c>
      <c r="E123">
        <v>0</v>
      </c>
      <c r="G123">
        <v>74.5</v>
      </c>
      <c r="H123" t="s">
        <v>4551</v>
      </c>
      <c r="I123">
        <v>1</v>
      </c>
      <c r="J123" t="s">
        <v>1916</v>
      </c>
      <c r="K123">
        <v>0</v>
      </c>
    </row>
    <row r="124" spans="1:11">
      <c r="A124" t="s">
        <v>4552</v>
      </c>
      <c r="B124" t="s">
        <v>4552</v>
      </c>
      <c r="C124" t="s">
        <v>4553</v>
      </c>
      <c r="D124" t="s">
        <v>4554</v>
      </c>
      <c r="E124">
        <v>0</v>
      </c>
      <c r="G124">
        <v>14.4</v>
      </c>
      <c r="H124" t="s">
        <v>4555</v>
      </c>
      <c r="I124">
        <v>1</v>
      </c>
      <c r="J124" t="s">
        <v>1916</v>
      </c>
      <c r="K124">
        <v>0</v>
      </c>
    </row>
    <row r="125" spans="1:11">
      <c r="A125" t="s">
        <v>4556</v>
      </c>
      <c r="B125" t="s">
        <v>4556</v>
      </c>
      <c r="C125" t="s">
        <v>4557</v>
      </c>
      <c r="D125" t="s">
        <v>4558</v>
      </c>
      <c r="E125">
        <v>0</v>
      </c>
      <c r="G125">
        <v>165.8</v>
      </c>
      <c r="H125" t="s">
        <v>4559</v>
      </c>
      <c r="I125">
        <v>1</v>
      </c>
      <c r="J125" t="s">
        <v>1916</v>
      </c>
      <c r="K125">
        <v>2</v>
      </c>
    </row>
    <row r="126" spans="1:11">
      <c r="A126" t="s">
        <v>4560</v>
      </c>
      <c r="B126" t="s">
        <v>4560</v>
      </c>
      <c r="C126" t="s">
        <v>476</v>
      </c>
      <c r="E126">
        <v>0</v>
      </c>
      <c r="G126">
        <v>369.1</v>
      </c>
      <c r="H126" t="s">
        <v>4561</v>
      </c>
      <c r="I126">
        <v>24</v>
      </c>
      <c r="J126" t="s">
        <v>2057</v>
      </c>
      <c r="K126">
        <v>0</v>
      </c>
    </row>
    <row r="127" spans="1:11">
      <c r="A127" t="s">
        <v>4562</v>
      </c>
      <c r="B127" t="s">
        <v>4562</v>
      </c>
      <c r="C127" t="s">
        <v>4563</v>
      </c>
      <c r="D127" t="s">
        <v>4564</v>
      </c>
      <c r="E127">
        <v>0</v>
      </c>
      <c r="G127">
        <v>44.2</v>
      </c>
      <c r="H127" t="s">
        <v>4565</v>
      </c>
      <c r="I127">
        <v>1</v>
      </c>
      <c r="J127" t="s">
        <v>1916</v>
      </c>
      <c r="K127">
        <v>2</v>
      </c>
    </row>
    <row r="128" spans="1:11">
      <c r="A128" t="s">
        <v>4566</v>
      </c>
      <c r="B128" t="s">
        <v>4566</v>
      </c>
      <c r="C128" t="s">
        <v>1427</v>
      </c>
      <c r="E128">
        <v>0</v>
      </c>
      <c r="G128">
        <v>2297.9</v>
      </c>
      <c r="H128" t="s">
        <v>4567</v>
      </c>
      <c r="I128">
        <v>2</v>
      </c>
      <c r="J128" t="s">
        <v>835</v>
      </c>
      <c r="K128">
        <v>2</v>
      </c>
    </row>
    <row r="129" spans="1:11">
      <c r="A129" t="s">
        <v>4568</v>
      </c>
      <c r="B129" t="s">
        <v>4568</v>
      </c>
      <c r="C129" t="s">
        <v>4569</v>
      </c>
      <c r="D129" t="s">
        <v>4570</v>
      </c>
      <c r="E129">
        <v>0</v>
      </c>
      <c r="G129">
        <v>1193</v>
      </c>
      <c r="H129" t="s">
        <v>4571</v>
      </c>
      <c r="I129">
        <v>25</v>
      </c>
      <c r="J129" t="s">
        <v>1903</v>
      </c>
      <c r="K129">
        <v>0</v>
      </c>
    </row>
    <row r="130" spans="1:11">
      <c r="A130" t="s">
        <v>4572</v>
      </c>
      <c r="B130" t="s">
        <v>4572</v>
      </c>
      <c r="C130" t="s">
        <v>4573</v>
      </c>
      <c r="D130" t="s">
        <v>4574</v>
      </c>
      <c r="E130">
        <v>0</v>
      </c>
      <c r="G130">
        <v>1520</v>
      </c>
      <c r="H130" t="s">
        <v>4575</v>
      </c>
      <c r="I130">
        <v>25</v>
      </c>
      <c r="J130" t="s">
        <v>1903</v>
      </c>
      <c r="K130">
        <v>0</v>
      </c>
    </row>
    <row r="131" spans="1:11">
      <c r="A131" t="s">
        <v>4576</v>
      </c>
      <c r="B131" t="s">
        <v>4576</v>
      </c>
      <c r="C131" t="s">
        <v>4577</v>
      </c>
      <c r="D131" t="s">
        <v>4578</v>
      </c>
      <c r="E131">
        <v>0</v>
      </c>
      <c r="G131">
        <v>966</v>
      </c>
      <c r="H131" t="s">
        <v>4579</v>
      </c>
      <c r="I131">
        <v>25</v>
      </c>
      <c r="J131" t="s">
        <v>1903</v>
      </c>
      <c r="K131">
        <v>0</v>
      </c>
    </row>
    <row r="132" spans="1:11">
      <c r="A132" t="s">
        <v>4580</v>
      </c>
      <c r="B132" t="s">
        <v>4580</v>
      </c>
      <c r="C132" t="s">
        <v>4581</v>
      </c>
      <c r="D132" t="s">
        <v>4582</v>
      </c>
      <c r="E132">
        <v>0</v>
      </c>
      <c r="G132">
        <v>389</v>
      </c>
      <c r="H132" t="s">
        <v>4583</v>
      </c>
      <c r="I132">
        <v>25</v>
      </c>
      <c r="J132" t="s">
        <v>1903</v>
      </c>
      <c r="K132">
        <v>2</v>
      </c>
    </row>
    <row r="133" spans="1:11">
      <c r="A133" t="s">
        <v>4584</v>
      </c>
      <c r="B133" t="s">
        <v>4584</v>
      </c>
      <c r="C133" t="s">
        <v>4585</v>
      </c>
      <c r="D133" t="s">
        <v>4586</v>
      </c>
      <c r="E133">
        <v>0</v>
      </c>
      <c r="G133">
        <v>12.6</v>
      </c>
      <c r="H133" t="s">
        <v>4587</v>
      </c>
      <c r="I133">
        <v>1</v>
      </c>
      <c r="J133" t="s">
        <v>1916</v>
      </c>
      <c r="K133">
        <v>0</v>
      </c>
    </row>
    <row r="134" spans="1:11">
      <c r="A134" t="s">
        <v>4588</v>
      </c>
      <c r="B134" t="s">
        <v>4588</v>
      </c>
      <c r="C134" t="s">
        <v>4589</v>
      </c>
      <c r="E134">
        <v>0</v>
      </c>
      <c r="G134">
        <v>12.6</v>
      </c>
      <c r="H134" t="s">
        <v>4590</v>
      </c>
      <c r="I134">
        <v>1</v>
      </c>
      <c r="J134" t="s">
        <v>1916</v>
      </c>
      <c r="K134">
        <v>0</v>
      </c>
    </row>
    <row r="135" spans="1:11">
      <c r="A135" t="s">
        <v>4591</v>
      </c>
      <c r="B135" t="s">
        <v>4591</v>
      </c>
      <c r="C135" t="s">
        <v>1443</v>
      </c>
      <c r="D135" t="s">
        <v>4592</v>
      </c>
      <c r="E135">
        <v>0</v>
      </c>
      <c r="G135">
        <v>3100.9</v>
      </c>
      <c r="H135" t="s">
        <v>4593</v>
      </c>
      <c r="I135">
        <v>10</v>
      </c>
      <c r="J135" t="s">
        <v>1968</v>
      </c>
      <c r="K135">
        <v>0</v>
      </c>
    </row>
    <row r="136" spans="1:11">
      <c r="A136" t="s">
        <v>4594</v>
      </c>
      <c r="B136" t="s">
        <v>4594</v>
      </c>
      <c r="C136" t="s">
        <v>4595</v>
      </c>
      <c r="D136" t="s">
        <v>4596</v>
      </c>
      <c r="E136">
        <v>0</v>
      </c>
      <c r="G136">
        <v>5.9</v>
      </c>
      <c r="H136" t="s">
        <v>4597</v>
      </c>
      <c r="I136">
        <v>1</v>
      </c>
      <c r="J136" t="s">
        <v>1916</v>
      </c>
      <c r="K136">
        <v>0</v>
      </c>
    </row>
    <row r="137" spans="1:11">
      <c r="A137" t="s">
        <v>4598</v>
      </c>
      <c r="B137" t="s">
        <v>4598</v>
      </c>
      <c r="C137" t="s">
        <v>4599</v>
      </c>
      <c r="D137" t="s">
        <v>4600</v>
      </c>
      <c r="E137">
        <v>0</v>
      </c>
      <c r="G137">
        <v>21</v>
      </c>
      <c r="H137" t="s">
        <v>4601</v>
      </c>
      <c r="I137">
        <v>3</v>
      </c>
      <c r="J137" t="s">
        <v>1939</v>
      </c>
      <c r="K137">
        <v>2</v>
      </c>
    </row>
    <row r="138" spans="1:11">
      <c r="A138" t="s">
        <v>4602</v>
      </c>
      <c r="B138" t="s">
        <v>4602</v>
      </c>
      <c r="C138" t="s">
        <v>4603</v>
      </c>
      <c r="D138" t="s">
        <v>4604</v>
      </c>
      <c r="E138">
        <v>0</v>
      </c>
      <c r="G138">
        <v>100</v>
      </c>
      <c r="H138" t="s">
        <v>4605</v>
      </c>
      <c r="I138">
        <v>25</v>
      </c>
      <c r="J138" t="s">
        <v>1903</v>
      </c>
      <c r="K138">
        <v>0</v>
      </c>
    </row>
    <row r="139" spans="1:11">
      <c r="A139" t="s">
        <v>4606</v>
      </c>
      <c r="B139" t="s">
        <v>4606</v>
      </c>
      <c r="C139" t="s">
        <v>4607</v>
      </c>
      <c r="D139" t="s">
        <v>4608</v>
      </c>
      <c r="E139">
        <v>0</v>
      </c>
      <c r="G139">
        <v>64.400000000000006</v>
      </c>
      <c r="H139" t="s">
        <v>4609</v>
      </c>
      <c r="I139">
        <v>1</v>
      </c>
      <c r="J139" t="s">
        <v>1916</v>
      </c>
      <c r="K139">
        <v>0</v>
      </c>
    </row>
    <row r="140" spans="1:11">
      <c r="A140" t="s">
        <v>4610</v>
      </c>
      <c r="B140" t="s">
        <v>4610</v>
      </c>
      <c r="C140" t="s">
        <v>4611</v>
      </c>
      <c r="D140" t="s">
        <v>4612</v>
      </c>
      <c r="E140">
        <v>0</v>
      </c>
      <c r="G140">
        <v>0</v>
      </c>
      <c r="H140" t="s">
        <v>4613</v>
      </c>
      <c r="I140">
        <v>25</v>
      </c>
      <c r="J140" t="s">
        <v>1903</v>
      </c>
      <c r="K140">
        <v>0</v>
      </c>
    </row>
    <row r="141" spans="1:11">
      <c r="A141" t="s">
        <v>4614</v>
      </c>
      <c r="B141" t="s">
        <v>4614</v>
      </c>
      <c r="C141" t="s">
        <v>4615</v>
      </c>
      <c r="D141" t="s">
        <v>4616</v>
      </c>
      <c r="E141">
        <v>0</v>
      </c>
      <c r="G141">
        <v>346</v>
      </c>
      <c r="H141" t="s">
        <v>4617</v>
      </c>
      <c r="I141">
        <v>25</v>
      </c>
      <c r="J141" t="s">
        <v>1903</v>
      </c>
      <c r="K141">
        <v>0</v>
      </c>
    </row>
    <row r="142" spans="1:11">
      <c r="A142" t="s">
        <v>4618</v>
      </c>
      <c r="B142" t="s">
        <v>4618</v>
      </c>
      <c r="C142" t="s">
        <v>4619</v>
      </c>
      <c r="D142" t="s">
        <v>4620</v>
      </c>
      <c r="E142">
        <v>0</v>
      </c>
      <c r="G142">
        <v>446</v>
      </c>
      <c r="H142" t="s">
        <v>4621</v>
      </c>
      <c r="I142">
        <v>25</v>
      </c>
      <c r="J142" t="s">
        <v>1903</v>
      </c>
      <c r="K142">
        <v>0</v>
      </c>
    </row>
    <row r="143" spans="1:11">
      <c r="A143" t="s">
        <v>4622</v>
      </c>
      <c r="B143" t="s">
        <v>4622</v>
      </c>
      <c r="C143" t="s">
        <v>4623</v>
      </c>
      <c r="D143" t="s">
        <v>4624</v>
      </c>
      <c r="E143">
        <v>0</v>
      </c>
      <c r="G143">
        <v>301.5</v>
      </c>
      <c r="H143" t="s">
        <v>4625</v>
      </c>
      <c r="I143">
        <v>1</v>
      </c>
      <c r="J143" t="s">
        <v>1916</v>
      </c>
      <c r="K143">
        <v>2</v>
      </c>
    </row>
    <row r="144" spans="1:11">
      <c r="A144" t="s">
        <v>4626</v>
      </c>
      <c r="B144" t="s">
        <v>4626</v>
      </c>
      <c r="C144" t="s">
        <v>4627</v>
      </c>
      <c r="D144" t="s">
        <v>4628</v>
      </c>
      <c r="E144">
        <v>0</v>
      </c>
      <c r="G144">
        <v>6.2</v>
      </c>
      <c r="H144" t="s">
        <v>4629</v>
      </c>
      <c r="I144">
        <v>1</v>
      </c>
      <c r="J144" t="s">
        <v>1916</v>
      </c>
      <c r="K144">
        <v>0</v>
      </c>
    </row>
    <row r="145" spans="1:11">
      <c r="A145" t="s">
        <v>4630</v>
      </c>
      <c r="B145" t="s">
        <v>4630</v>
      </c>
      <c r="C145" t="s">
        <v>4631</v>
      </c>
      <c r="D145" t="s">
        <v>4632</v>
      </c>
      <c r="E145">
        <v>0</v>
      </c>
      <c r="G145">
        <v>9.6999999999999993</v>
      </c>
      <c r="H145" t="s">
        <v>4633</v>
      </c>
      <c r="I145">
        <v>1</v>
      </c>
      <c r="J145" t="s">
        <v>1916</v>
      </c>
      <c r="K145">
        <v>0</v>
      </c>
    </row>
    <row r="146" spans="1:11">
      <c r="A146" t="s">
        <v>4634</v>
      </c>
      <c r="B146" t="s">
        <v>4634</v>
      </c>
      <c r="C146" t="s">
        <v>4635</v>
      </c>
      <c r="D146" t="s">
        <v>4636</v>
      </c>
      <c r="E146">
        <v>0</v>
      </c>
      <c r="G146">
        <v>82</v>
      </c>
      <c r="H146" t="s">
        <v>4637</v>
      </c>
      <c r="I146">
        <v>25</v>
      </c>
      <c r="J146" t="s">
        <v>1903</v>
      </c>
      <c r="K146">
        <v>0</v>
      </c>
    </row>
    <row r="147" spans="1:11">
      <c r="A147" t="s">
        <v>4638</v>
      </c>
      <c r="B147" t="s">
        <v>4638</v>
      </c>
      <c r="C147" t="s">
        <v>4639</v>
      </c>
      <c r="D147" t="s">
        <v>4640</v>
      </c>
      <c r="E147">
        <v>0</v>
      </c>
      <c r="G147">
        <v>651.29999999999995</v>
      </c>
      <c r="H147" t="s">
        <v>4641</v>
      </c>
      <c r="I147">
        <v>1</v>
      </c>
      <c r="J147" t="s">
        <v>1916</v>
      </c>
      <c r="K147">
        <v>0</v>
      </c>
    </row>
    <row r="148" spans="1:11">
      <c r="A148" t="s">
        <v>4642</v>
      </c>
      <c r="B148" t="s">
        <v>4642</v>
      </c>
      <c r="C148" t="s">
        <v>4643</v>
      </c>
      <c r="D148" t="s">
        <v>4644</v>
      </c>
      <c r="E148">
        <v>0</v>
      </c>
      <c r="G148">
        <v>5.3</v>
      </c>
      <c r="H148" t="s">
        <v>4645</v>
      </c>
      <c r="I148">
        <v>1</v>
      </c>
      <c r="J148" t="s">
        <v>1916</v>
      </c>
      <c r="K148">
        <v>0</v>
      </c>
    </row>
    <row r="149" spans="1:11">
      <c r="A149" t="s">
        <v>4646</v>
      </c>
      <c r="B149" t="s">
        <v>4646</v>
      </c>
      <c r="C149" t="s">
        <v>4647</v>
      </c>
      <c r="D149" t="s">
        <v>4648</v>
      </c>
      <c r="E149">
        <v>0</v>
      </c>
      <c r="G149">
        <v>10.7</v>
      </c>
      <c r="H149" t="s">
        <v>4649</v>
      </c>
      <c r="I149">
        <v>3</v>
      </c>
      <c r="J149" t="s">
        <v>1939</v>
      </c>
      <c r="K149">
        <v>0</v>
      </c>
    </row>
    <row r="150" spans="1:11">
      <c r="A150" t="s">
        <v>4650</v>
      </c>
      <c r="B150" t="s">
        <v>4650</v>
      </c>
      <c r="C150" t="s">
        <v>4651</v>
      </c>
      <c r="D150" t="s">
        <v>4652</v>
      </c>
      <c r="E150">
        <v>0</v>
      </c>
      <c r="G150">
        <v>202.3</v>
      </c>
      <c r="H150" t="s">
        <v>4653</v>
      </c>
      <c r="I150">
        <v>1</v>
      </c>
      <c r="J150" t="s">
        <v>1916</v>
      </c>
      <c r="K150">
        <v>0</v>
      </c>
    </row>
    <row r="151" spans="1:11">
      <c r="A151" t="s">
        <v>4654</v>
      </c>
      <c r="B151" t="s">
        <v>4654</v>
      </c>
      <c r="C151" t="s">
        <v>4655</v>
      </c>
      <c r="D151" t="s">
        <v>4656</v>
      </c>
      <c r="E151">
        <v>0</v>
      </c>
      <c r="G151">
        <v>5.9</v>
      </c>
      <c r="H151" t="s">
        <v>4657</v>
      </c>
      <c r="I151">
        <v>1</v>
      </c>
      <c r="J151" t="s">
        <v>1916</v>
      </c>
      <c r="K151">
        <v>2</v>
      </c>
    </row>
    <row r="152" spans="1:11">
      <c r="A152" t="s">
        <v>4658</v>
      </c>
      <c r="B152" t="s">
        <v>4658</v>
      </c>
      <c r="C152" t="s">
        <v>4659</v>
      </c>
      <c r="D152" t="s">
        <v>4660</v>
      </c>
      <c r="E152">
        <v>0</v>
      </c>
      <c r="G152">
        <v>8.6999999999999993</v>
      </c>
      <c r="H152" t="s">
        <v>4661</v>
      </c>
      <c r="I152">
        <v>1</v>
      </c>
      <c r="J152" t="s">
        <v>1916</v>
      </c>
      <c r="K152">
        <v>2</v>
      </c>
    </row>
    <row r="153" spans="1:11">
      <c r="A153" t="s">
        <v>4662</v>
      </c>
      <c r="B153" t="s">
        <v>4662</v>
      </c>
      <c r="C153" t="s">
        <v>4663</v>
      </c>
      <c r="D153" t="s">
        <v>4664</v>
      </c>
      <c r="E153">
        <v>0</v>
      </c>
      <c r="G153">
        <v>76.599999999999994</v>
      </c>
      <c r="H153" t="s">
        <v>4665</v>
      </c>
      <c r="I153">
        <v>3</v>
      </c>
      <c r="J153" t="s">
        <v>1939</v>
      </c>
      <c r="K153">
        <v>2</v>
      </c>
    </row>
    <row r="154" spans="1:11">
      <c r="A154" t="s">
        <v>4666</v>
      </c>
      <c r="B154" t="s">
        <v>4666</v>
      </c>
      <c r="C154" t="s">
        <v>4667</v>
      </c>
      <c r="D154" t="s">
        <v>4668</v>
      </c>
      <c r="E154">
        <v>0</v>
      </c>
      <c r="G154">
        <v>77.5</v>
      </c>
      <c r="H154" t="s">
        <v>4669</v>
      </c>
      <c r="I154">
        <v>19</v>
      </c>
      <c r="J154" t="s">
        <v>1980</v>
      </c>
      <c r="K154">
        <v>0</v>
      </c>
    </row>
    <row r="155" spans="1:11">
      <c r="A155" t="s">
        <v>4670</v>
      </c>
      <c r="B155" t="s">
        <v>4670</v>
      </c>
      <c r="C155" t="s">
        <v>4671</v>
      </c>
      <c r="D155" t="s">
        <v>4672</v>
      </c>
      <c r="E155">
        <v>0</v>
      </c>
      <c r="G155">
        <v>1668</v>
      </c>
      <c r="H155" t="s">
        <v>4673</v>
      </c>
      <c r="I155">
        <v>25</v>
      </c>
      <c r="J155" t="s">
        <v>1903</v>
      </c>
      <c r="K155">
        <v>0</v>
      </c>
    </row>
    <row r="156" spans="1:11">
      <c r="A156" t="s">
        <v>4674</v>
      </c>
      <c r="B156" t="s">
        <v>4674</v>
      </c>
      <c r="C156" t="s">
        <v>4675</v>
      </c>
      <c r="D156" t="s">
        <v>4676</v>
      </c>
      <c r="E156">
        <v>0</v>
      </c>
      <c r="G156">
        <v>18</v>
      </c>
      <c r="H156" t="s">
        <v>4677</v>
      </c>
      <c r="I156">
        <v>1</v>
      </c>
      <c r="J156" t="s">
        <v>1916</v>
      </c>
      <c r="K156">
        <v>0</v>
      </c>
    </row>
    <row r="157" spans="1:11">
      <c r="A157" t="s">
        <v>4678</v>
      </c>
      <c r="B157" t="s">
        <v>4678</v>
      </c>
      <c r="C157" t="s">
        <v>4679</v>
      </c>
      <c r="D157" t="s">
        <v>4680</v>
      </c>
      <c r="E157">
        <v>0</v>
      </c>
      <c r="G157">
        <v>94.3</v>
      </c>
      <c r="H157" t="s">
        <v>4681</v>
      </c>
      <c r="I157">
        <v>1</v>
      </c>
      <c r="J157" t="s">
        <v>1916</v>
      </c>
      <c r="K157">
        <v>0</v>
      </c>
    </row>
    <row r="158" spans="1:11">
      <c r="A158" t="s">
        <v>4682</v>
      </c>
      <c r="B158" t="s">
        <v>4682</v>
      </c>
      <c r="C158" t="s">
        <v>4683</v>
      </c>
      <c r="D158" t="s">
        <v>4684</v>
      </c>
      <c r="E158">
        <v>0</v>
      </c>
      <c r="G158">
        <v>141</v>
      </c>
      <c r="H158" t="s">
        <v>4685</v>
      </c>
      <c r="I158">
        <v>1</v>
      </c>
      <c r="J158" t="s">
        <v>1916</v>
      </c>
      <c r="K158">
        <v>0</v>
      </c>
    </row>
    <row r="159" spans="1:11">
      <c r="A159" t="s">
        <v>4686</v>
      </c>
      <c r="B159" t="s">
        <v>4686</v>
      </c>
      <c r="C159" t="s">
        <v>4687</v>
      </c>
      <c r="E159">
        <v>0</v>
      </c>
      <c r="G159">
        <v>4446</v>
      </c>
      <c r="H159" t="s">
        <v>4688</v>
      </c>
      <c r="I159">
        <v>25</v>
      </c>
      <c r="J159" t="s">
        <v>1903</v>
      </c>
      <c r="K159">
        <v>0</v>
      </c>
    </row>
    <row r="160" spans="1:11">
      <c r="A160" t="s">
        <v>4689</v>
      </c>
      <c r="B160" t="s">
        <v>4689</v>
      </c>
      <c r="C160" t="s">
        <v>4690</v>
      </c>
      <c r="D160" t="s">
        <v>4691</v>
      </c>
      <c r="E160">
        <v>0</v>
      </c>
      <c r="G160">
        <v>5.9</v>
      </c>
      <c r="H160" t="s">
        <v>4692</v>
      </c>
      <c r="I160">
        <v>2</v>
      </c>
      <c r="J160" t="s">
        <v>835</v>
      </c>
      <c r="K160">
        <v>0</v>
      </c>
    </row>
    <row r="161" spans="1:11">
      <c r="A161" t="s">
        <v>4693</v>
      </c>
      <c r="B161" t="s">
        <v>4693</v>
      </c>
      <c r="C161" t="s">
        <v>4694</v>
      </c>
      <c r="E161">
        <v>0</v>
      </c>
      <c r="G161">
        <v>9.3000000000000007</v>
      </c>
      <c r="H161" t="s">
        <v>4695</v>
      </c>
      <c r="I161">
        <v>5</v>
      </c>
      <c r="J161" t="s">
        <v>2582</v>
      </c>
      <c r="K161">
        <v>0</v>
      </c>
    </row>
    <row r="162" spans="1:11">
      <c r="A162" t="s">
        <v>4696</v>
      </c>
      <c r="B162" t="s">
        <v>4696</v>
      </c>
      <c r="C162" t="s">
        <v>4697</v>
      </c>
      <c r="D162" t="s">
        <v>4698</v>
      </c>
      <c r="E162">
        <v>0</v>
      </c>
      <c r="G162">
        <v>0</v>
      </c>
      <c r="H162" t="s">
        <v>4699</v>
      </c>
      <c r="I162">
        <v>24</v>
      </c>
      <c r="J162" t="s">
        <v>2057</v>
      </c>
      <c r="K162">
        <v>0</v>
      </c>
    </row>
    <row r="163" spans="1:11">
      <c r="A163" t="s">
        <v>4700</v>
      </c>
      <c r="B163" t="s">
        <v>4700</v>
      </c>
      <c r="C163" t="s">
        <v>4701</v>
      </c>
      <c r="D163" t="s">
        <v>4702</v>
      </c>
      <c r="E163">
        <v>0</v>
      </c>
      <c r="G163">
        <v>0</v>
      </c>
      <c r="H163" t="s">
        <v>4703</v>
      </c>
      <c r="I163">
        <v>24</v>
      </c>
      <c r="J163" t="s">
        <v>2057</v>
      </c>
      <c r="K163">
        <v>0</v>
      </c>
    </row>
    <row r="164" spans="1:11">
      <c r="A164" t="s">
        <v>4704</v>
      </c>
      <c r="B164" t="s">
        <v>4704</v>
      </c>
      <c r="C164" t="s">
        <v>4705</v>
      </c>
      <c r="D164" t="s">
        <v>4706</v>
      </c>
      <c r="E164">
        <v>0</v>
      </c>
      <c r="G164">
        <v>29.8</v>
      </c>
      <c r="H164" t="s">
        <v>4707</v>
      </c>
      <c r="I164">
        <v>1</v>
      </c>
      <c r="J164" t="s">
        <v>1916</v>
      </c>
      <c r="K164">
        <v>0</v>
      </c>
    </row>
    <row r="165" spans="1:11">
      <c r="A165" t="s">
        <v>4708</v>
      </c>
      <c r="B165" t="s">
        <v>4708</v>
      </c>
      <c r="C165" t="s">
        <v>4709</v>
      </c>
      <c r="D165" t="s">
        <v>4710</v>
      </c>
      <c r="E165">
        <v>0</v>
      </c>
      <c r="G165">
        <v>5.9</v>
      </c>
      <c r="H165" t="s">
        <v>4711</v>
      </c>
      <c r="I165">
        <v>1</v>
      </c>
      <c r="J165" t="s">
        <v>1916</v>
      </c>
      <c r="K165">
        <v>2</v>
      </c>
    </row>
    <row r="166" spans="1:11">
      <c r="A166" t="s">
        <v>4712</v>
      </c>
      <c r="B166" t="s">
        <v>4712</v>
      </c>
      <c r="C166" t="s">
        <v>4713</v>
      </c>
      <c r="D166" t="s">
        <v>4714</v>
      </c>
      <c r="E166">
        <v>0</v>
      </c>
      <c r="G166">
        <v>5.9</v>
      </c>
      <c r="H166" t="s">
        <v>4715</v>
      </c>
      <c r="I166">
        <v>1</v>
      </c>
      <c r="J166" t="s">
        <v>1916</v>
      </c>
      <c r="K166">
        <v>2</v>
      </c>
    </row>
    <row r="167" spans="1:11">
      <c r="A167" t="s">
        <v>4716</v>
      </c>
      <c r="B167" t="s">
        <v>4716</v>
      </c>
      <c r="C167" t="s">
        <v>4717</v>
      </c>
      <c r="D167" t="s">
        <v>4718</v>
      </c>
      <c r="E167">
        <v>0</v>
      </c>
      <c r="G167">
        <v>0.55000000000000004</v>
      </c>
      <c r="H167" t="s">
        <v>4719</v>
      </c>
      <c r="I167">
        <v>7</v>
      </c>
      <c r="J167" t="s">
        <v>2143</v>
      </c>
      <c r="K167">
        <v>0</v>
      </c>
    </row>
    <row r="168" spans="1:11">
      <c r="A168" t="s">
        <v>4720</v>
      </c>
      <c r="B168" t="s">
        <v>4720</v>
      </c>
      <c r="C168" t="s">
        <v>4721</v>
      </c>
      <c r="D168" t="s">
        <v>4722</v>
      </c>
      <c r="E168">
        <v>0</v>
      </c>
      <c r="G168">
        <v>8.1999999999999993</v>
      </c>
      <c r="H168" t="s">
        <v>4723</v>
      </c>
      <c r="I168">
        <v>1</v>
      </c>
      <c r="J168" t="s">
        <v>1916</v>
      </c>
      <c r="K168">
        <v>0</v>
      </c>
    </row>
    <row r="169" spans="1:11">
      <c r="A169" t="s">
        <v>4724</v>
      </c>
      <c r="B169" t="s">
        <v>4724</v>
      </c>
      <c r="C169" t="s">
        <v>4725</v>
      </c>
      <c r="D169" t="s">
        <v>4726</v>
      </c>
      <c r="E169">
        <v>0</v>
      </c>
      <c r="G169">
        <v>10.4</v>
      </c>
      <c r="H169" t="s">
        <v>4727</v>
      </c>
      <c r="I169">
        <v>1</v>
      </c>
      <c r="J169" t="s">
        <v>1916</v>
      </c>
      <c r="K169">
        <v>0</v>
      </c>
    </row>
    <row r="170" spans="1:11">
      <c r="A170" t="s">
        <v>4728</v>
      </c>
      <c r="B170" t="s">
        <v>4728</v>
      </c>
      <c r="C170" t="s">
        <v>4729</v>
      </c>
      <c r="D170" t="s">
        <v>4730</v>
      </c>
      <c r="E170">
        <v>0</v>
      </c>
      <c r="G170">
        <v>11.7</v>
      </c>
      <c r="H170" t="s">
        <v>4731</v>
      </c>
      <c r="I170">
        <v>3</v>
      </c>
      <c r="J170" t="s">
        <v>1939</v>
      </c>
      <c r="K170">
        <v>0</v>
      </c>
    </row>
    <row r="171" spans="1:11">
      <c r="A171" t="s">
        <v>4732</v>
      </c>
      <c r="B171" t="s">
        <v>4732</v>
      </c>
      <c r="C171" t="s">
        <v>4733</v>
      </c>
      <c r="D171" t="s">
        <v>4734</v>
      </c>
      <c r="E171">
        <v>0</v>
      </c>
      <c r="G171">
        <v>5.9</v>
      </c>
      <c r="H171" t="s">
        <v>4735</v>
      </c>
      <c r="I171">
        <v>1</v>
      </c>
      <c r="J171" t="s">
        <v>1916</v>
      </c>
      <c r="K171">
        <v>0</v>
      </c>
    </row>
    <row r="172" spans="1:11">
      <c r="A172" t="s">
        <v>4736</v>
      </c>
      <c r="B172" t="s">
        <v>4736</v>
      </c>
      <c r="C172" t="s">
        <v>4737</v>
      </c>
      <c r="D172" t="s">
        <v>4738</v>
      </c>
      <c r="E172">
        <v>0</v>
      </c>
      <c r="G172">
        <v>6.1</v>
      </c>
      <c r="H172" t="s">
        <v>4739</v>
      </c>
      <c r="I172">
        <v>1</v>
      </c>
      <c r="J172" t="s">
        <v>1916</v>
      </c>
      <c r="K172">
        <v>2</v>
      </c>
    </row>
    <row r="173" spans="1:11">
      <c r="A173" t="s">
        <v>4740</v>
      </c>
      <c r="B173" t="s">
        <v>4740</v>
      </c>
      <c r="C173" t="s">
        <v>4741</v>
      </c>
      <c r="D173" t="s">
        <v>4742</v>
      </c>
      <c r="E173">
        <v>0</v>
      </c>
      <c r="G173">
        <v>15.9</v>
      </c>
      <c r="H173" t="s">
        <v>4743</v>
      </c>
      <c r="I173">
        <v>1</v>
      </c>
      <c r="J173" t="s">
        <v>1916</v>
      </c>
      <c r="K173">
        <v>2</v>
      </c>
    </row>
    <row r="174" spans="1:11">
      <c r="A174" t="s">
        <v>4744</v>
      </c>
      <c r="B174" t="s">
        <v>4744</v>
      </c>
      <c r="C174" t="s">
        <v>4745</v>
      </c>
      <c r="D174" t="s">
        <v>4746</v>
      </c>
      <c r="E174">
        <v>0</v>
      </c>
      <c r="G174">
        <v>40.299999999999997</v>
      </c>
      <c r="H174" t="s">
        <v>4747</v>
      </c>
      <c r="I174">
        <v>3</v>
      </c>
      <c r="J174" t="s">
        <v>1939</v>
      </c>
      <c r="K174">
        <v>2</v>
      </c>
    </row>
    <row r="175" spans="1:11">
      <c r="A175" t="s">
        <v>4748</v>
      </c>
      <c r="B175" t="s">
        <v>4748</v>
      </c>
      <c r="C175" t="s">
        <v>4749</v>
      </c>
      <c r="D175" t="s">
        <v>4750</v>
      </c>
      <c r="E175">
        <v>0</v>
      </c>
      <c r="G175">
        <v>22.3</v>
      </c>
      <c r="H175" t="s">
        <v>4751</v>
      </c>
      <c r="I175">
        <v>3</v>
      </c>
      <c r="J175" t="s">
        <v>1939</v>
      </c>
      <c r="K175">
        <v>0</v>
      </c>
    </row>
    <row r="176" spans="1:11">
      <c r="A176" t="s">
        <v>4752</v>
      </c>
      <c r="B176" t="s">
        <v>4752</v>
      </c>
      <c r="C176" t="s">
        <v>4753</v>
      </c>
      <c r="D176" t="s">
        <v>4754</v>
      </c>
      <c r="E176">
        <v>0</v>
      </c>
      <c r="G176">
        <v>9.6</v>
      </c>
      <c r="H176" t="s">
        <v>4755</v>
      </c>
      <c r="I176">
        <v>3</v>
      </c>
      <c r="J176" t="s">
        <v>1939</v>
      </c>
      <c r="K176">
        <v>0</v>
      </c>
    </row>
    <row r="177" spans="1:11" s="61" customFormat="1">
      <c r="A177" s="61" t="s">
        <v>4756</v>
      </c>
      <c r="B177" s="61" t="s">
        <v>4756</v>
      </c>
      <c r="C177" s="61" t="s">
        <v>4757</v>
      </c>
      <c r="D177" s="61" t="s">
        <v>4758</v>
      </c>
      <c r="E177" s="61">
        <v>0</v>
      </c>
      <c r="G177" s="61">
        <v>18.399999999999999</v>
      </c>
      <c r="H177" s="61" t="s">
        <v>4759</v>
      </c>
      <c r="I177" s="61">
        <v>3</v>
      </c>
      <c r="J177" s="61" t="s">
        <v>1939</v>
      </c>
      <c r="K177" s="61">
        <v>0</v>
      </c>
    </row>
    <row r="178" spans="1:11">
      <c r="A178" t="s">
        <v>4760</v>
      </c>
      <c r="B178" t="s">
        <v>4760</v>
      </c>
      <c r="C178" t="s">
        <v>4761</v>
      </c>
      <c r="D178" t="s">
        <v>4762</v>
      </c>
      <c r="E178">
        <v>0</v>
      </c>
      <c r="G178">
        <v>15.2</v>
      </c>
      <c r="H178" t="s">
        <v>4763</v>
      </c>
      <c r="I178">
        <v>3</v>
      </c>
      <c r="J178" t="s">
        <v>1939</v>
      </c>
      <c r="K178">
        <v>0</v>
      </c>
    </row>
    <row r="179" spans="1:11">
      <c r="A179" t="s">
        <v>4764</v>
      </c>
      <c r="B179" t="s">
        <v>4764</v>
      </c>
      <c r="C179" t="s">
        <v>4765</v>
      </c>
      <c r="D179" t="s">
        <v>4766</v>
      </c>
      <c r="E179">
        <v>0</v>
      </c>
      <c r="G179">
        <v>18</v>
      </c>
      <c r="H179" t="s">
        <v>4767</v>
      </c>
      <c r="I179">
        <v>3</v>
      </c>
      <c r="J179" t="s">
        <v>1939</v>
      </c>
      <c r="K179">
        <v>0</v>
      </c>
    </row>
    <row r="180" spans="1:11">
      <c r="A180" t="s">
        <v>4768</v>
      </c>
      <c r="B180" t="s">
        <v>4768</v>
      </c>
      <c r="C180" t="s">
        <v>4769</v>
      </c>
      <c r="D180" t="s">
        <v>4770</v>
      </c>
      <c r="E180">
        <v>0</v>
      </c>
      <c r="G180">
        <v>10.8</v>
      </c>
      <c r="H180" t="s">
        <v>4771</v>
      </c>
      <c r="I180">
        <v>3</v>
      </c>
      <c r="J180" t="s">
        <v>1939</v>
      </c>
      <c r="K180">
        <v>0</v>
      </c>
    </row>
    <row r="181" spans="1:11">
      <c r="A181" t="s">
        <v>4772</v>
      </c>
      <c r="B181" t="s">
        <v>4772</v>
      </c>
      <c r="C181" t="s">
        <v>4773</v>
      </c>
      <c r="D181" t="s">
        <v>4774</v>
      </c>
      <c r="E181">
        <v>0</v>
      </c>
      <c r="G181">
        <v>297.5</v>
      </c>
      <c r="H181" t="s">
        <v>4775</v>
      </c>
      <c r="I181">
        <v>2</v>
      </c>
      <c r="J181" t="s">
        <v>835</v>
      </c>
      <c r="K181">
        <v>2</v>
      </c>
    </row>
    <row r="182" spans="1:11">
      <c r="A182" t="s">
        <v>4776</v>
      </c>
      <c r="B182" t="s">
        <v>4776</v>
      </c>
      <c r="C182" t="s">
        <v>4777</v>
      </c>
      <c r="D182" t="s">
        <v>4778</v>
      </c>
      <c r="E182">
        <v>0</v>
      </c>
      <c r="G182">
        <v>172.6</v>
      </c>
      <c r="H182" t="s">
        <v>4779</v>
      </c>
      <c r="I182">
        <v>21</v>
      </c>
      <c r="J182" t="s">
        <v>1946</v>
      </c>
      <c r="K182">
        <v>0</v>
      </c>
    </row>
    <row r="183" spans="1:11">
      <c r="A183" t="s">
        <v>4780</v>
      </c>
      <c r="B183" t="s">
        <v>4780</v>
      </c>
      <c r="C183" t="s">
        <v>668</v>
      </c>
      <c r="D183" t="s">
        <v>4781</v>
      </c>
      <c r="E183">
        <v>0</v>
      </c>
      <c r="G183">
        <v>11.3</v>
      </c>
      <c r="H183" t="s">
        <v>4782</v>
      </c>
      <c r="I183">
        <v>1</v>
      </c>
      <c r="J183" t="s">
        <v>1916</v>
      </c>
      <c r="K183">
        <v>0</v>
      </c>
    </row>
    <row r="184" spans="1:11">
      <c r="A184" t="s">
        <v>4783</v>
      </c>
      <c r="B184" t="s">
        <v>4783</v>
      </c>
      <c r="C184" t="s">
        <v>4784</v>
      </c>
      <c r="D184" t="s">
        <v>4785</v>
      </c>
      <c r="E184">
        <v>0</v>
      </c>
      <c r="G184">
        <v>7.9</v>
      </c>
      <c r="H184" t="s">
        <v>4786</v>
      </c>
      <c r="I184">
        <v>6</v>
      </c>
      <c r="J184" t="s">
        <v>3013</v>
      </c>
      <c r="K184">
        <v>0</v>
      </c>
    </row>
    <row r="185" spans="1:11">
      <c r="A185" t="s">
        <v>4787</v>
      </c>
      <c r="B185" t="s">
        <v>4787</v>
      </c>
      <c r="C185" t="s">
        <v>4788</v>
      </c>
      <c r="D185" t="s">
        <v>4789</v>
      </c>
      <c r="E185">
        <v>0</v>
      </c>
      <c r="G185">
        <v>9.5</v>
      </c>
      <c r="H185" t="s">
        <v>4790</v>
      </c>
      <c r="I185">
        <v>1</v>
      </c>
      <c r="J185" t="s">
        <v>1916</v>
      </c>
      <c r="K185">
        <v>0</v>
      </c>
    </row>
    <row r="186" spans="1:11">
      <c r="A186" t="s">
        <v>4791</v>
      </c>
      <c r="B186" t="s">
        <v>4791</v>
      </c>
      <c r="C186" t="s">
        <v>4792</v>
      </c>
      <c r="D186" t="s">
        <v>4793</v>
      </c>
      <c r="E186">
        <v>0</v>
      </c>
      <c r="G186">
        <v>10.4</v>
      </c>
      <c r="H186" t="s">
        <v>4794</v>
      </c>
      <c r="I186">
        <v>1</v>
      </c>
      <c r="J186" t="s">
        <v>1916</v>
      </c>
      <c r="K186">
        <v>0</v>
      </c>
    </row>
    <row r="187" spans="1:11">
      <c r="A187" t="s">
        <v>4795</v>
      </c>
      <c r="B187" t="s">
        <v>4795</v>
      </c>
      <c r="C187" t="s">
        <v>4796</v>
      </c>
      <c r="D187" t="s">
        <v>4797</v>
      </c>
      <c r="E187">
        <v>0</v>
      </c>
      <c r="G187">
        <v>6.5</v>
      </c>
      <c r="H187" t="s">
        <v>4798</v>
      </c>
      <c r="I187">
        <v>2</v>
      </c>
      <c r="J187" t="s">
        <v>835</v>
      </c>
      <c r="K187">
        <v>0</v>
      </c>
    </row>
    <row r="188" spans="1:11">
      <c r="A188" t="s">
        <v>4799</v>
      </c>
      <c r="B188" t="s">
        <v>4799</v>
      </c>
      <c r="C188" t="s">
        <v>4800</v>
      </c>
      <c r="D188" t="s">
        <v>4801</v>
      </c>
      <c r="E188">
        <v>0</v>
      </c>
      <c r="G188">
        <v>572.5</v>
      </c>
      <c r="H188" t="s">
        <v>4802</v>
      </c>
      <c r="I188">
        <v>21</v>
      </c>
      <c r="J188" t="s">
        <v>1946</v>
      </c>
      <c r="K188">
        <v>0</v>
      </c>
    </row>
    <row r="189" spans="1:11">
      <c r="A189" t="s">
        <v>4803</v>
      </c>
      <c r="B189" t="s">
        <v>4803</v>
      </c>
      <c r="C189" t="s">
        <v>4804</v>
      </c>
      <c r="D189" t="s">
        <v>4805</v>
      </c>
      <c r="E189">
        <v>0</v>
      </c>
      <c r="G189">
        <v>9.5</v>
      </c>
      <c r="H189" t="s">
        <v>4806</v>
      </c>
      <c r="I189">
        <v>15</v>
      </c>
      <c r="J189" t="s">
        <v>1907</v>
      </c>
      <c r="K189">
        <v>0</v>
      </c>
    </row>
    <row r="190" spans="1:11">
      <c r="A190" t="s">
        <v>4807</v>
      </c>
      <c r="B190" t="s">
        <v>4807</v>
      </c>
      <c r="C190" t="s">
        <v>4808</v>
      </c>
      <c r="D190" t="s">
        <v>4809</v>
      </c>
      <c r="E190">
        <v>0</v>
      </c>
      <c r="G190">
        <v>9.5</v>
      </c>
      <c r="H190" t="s">
        <v>4810</v>
      </c>
      <c r="I190">
        <v>17</v>
      </c>
      <c r="J190" t="s">
        <v>2091</v>
      </c>
      <c r="K190">
        <v>0</v>
      </c>
    </row>
    <row r="191" spans="1:11">
      <c r="A191" t="s">
        <v>4811</v>
      </c>
      <c r="B191" t="s">
        <v>4811</v>
      </c>
      <c r="C191" t="s">
        <v>4812</v>
      </c>
      <c r="E191">
        <v>0</v>
      </c>
      <c r="G191">
        <v>13.9</v>
      </c>
      <c r="H191" t="s">
        <v>4813</v>
      </c>
      <c r="I191">
        <v>17</v>
      </c>
      <c r="J191" t="s">
        <v>2091</v>
      </c>
      <c r="K191">
        <v>0</v>
      </c>
    </row>
    <row r="192" spans="1:11">
      <c r="A192" t="s">
        <v>4814</v>
      </c>
      <c r="B192" t="s">
        <v>4814</v>
      </c>
      <c r="C192" t="s">
        <v>4815</v>
      </c>
      <c r="D192" t="s">
        <v>4816</v>
      </c>
      <c r="E192">
        <v>0</v>
      </c>
      <c r="G192">
        <v>10.4</v>
      </c>
      <c r="H192" t="s">
        <v>4817</v>
      </c>
      <c r="I192">
        <v>1</v>
      </c>
      <c r="J192" t="s">
        <v>1916</v>
      </c>
      <c r="K192">
        <v>0</v>
      </c>
    </row>
    <row r="193" spans="1:11">
      <c r="A193" t="s">
        <v>4818</v>
      </c>
      <c r="B193" t="s">
        <v>4818</v>
      </c>
      <c r="C193" t="s">
        <v>1547</v>
      </c>
      <c r="D193" t="s">
        <v>4819</v>
      </c>
      <c r="E193">
        <v>0</v>
      </c>
      <c r="G193">
        <v>14.6</v>
      </c>
      <c r="H193" t="s">
        <v>4820</v>
      </c>
      <c r="I193">
        <v>14</v>
      </c>
      <c r="J193" t="s">
        <v>1899</v>
      </c>
      <c r="K193">
        <v>2</v>
      </c>
    </row>
    <row r="194" spans="1:11">
      <c r="A194" t="s">
        <v>4821</v>
      </c>
      <c r="B194" t="s">
        <v>4821</v>
      </c>
      <c r="C194" t="s">
        <v>4822</v>
      </c>
      <c r="D194" t="s">
        <v>4823</v>
      </c>
      <c r="E194">
        <v>0</v>
      </c>
      <c r="G194">
        <v>27.7</v>
      </c>
      <c r="H194" t="s">
        <v>4824</v>
      </c>
      <c r="I194">
        <v>15</v>
      </c>
      <c r="J194" t="s">
        <v>1907</v>
      </c>
      <c r="K194">
        <v>0</v>
      </c>
    </row>
    <row r="195" spans="1:11">
      <c r="A195" t="s">
        <v>4825</v>
      </c>
      <c r="B195" t="s">
        <v>4825</v>
      </c>
      <c r="C195" t="s">
        <v>4826</v>
      </c>
      <c r="D195" t="s">
        <v>4827</v>
      </c>
      <c r="E195">
        <v>0</v>
      </c>
      <c r="G195">
        <v>236</v>
      </c>
      <c r="H195" t="s">
        <v>4828</v>
      </c>
      <c r="I195">
        <v>25</v>
      </c>
      <c r="J195" t="s">
        <v>1903</v>
      </c>
      <c r="K195">
        <v>0</v>
      </c>
    </row>
    <row r="196" spans="1:11">
      <c r="A196" t="s">
        <v>4829</v>
      </c>
      <c r="B196" t="s">
        <v>4829</v>
      </c>
      <c r="C196" t="s">
        <v>4830</v>
      </c>
      <c r="D196" t="s">
        <v>4831</v>
      </c>
      <c r="E196">
        <v>0</v>
      </c>
      <c r="G196">
        <v>21.2</v>
      </c>
      <c r="H196" t="s">
        <v>4832</v>
      </c>
      <c r="I196">
        <v>3</v>
      </c>
      <c r="J196" t="s">
        <v>1939</v>
      </c>
      <c r="K196">
        <v>2</v>
      </c>
    </row>
    <row r="197" spans="1:11">
      <c r="A197" t="s">
        <v>4833</v>
      </c>
      <c r="B197" t="s">
        <v>4833</v>
      </c>
      <c r="C197" t="s">
        <v>4834</v>
      </c>
      <c r="D197" t="s">
        <v>4835</v>
      </c>
      <c r="E197">
        <v>0</v>
      </c>
      <c r="G197">
        <v>29.1</v>
      </c>
      <c r="H197" t="s">
        <v>4836</v>
      </c>
      <c r="I197">
        <v>1</v>
      </c>
      <c r="J197" t="s">
        <v>1916</v>
      </c>
      <c r="K197">
        <v>2</v>
      </c>
    </row>
    <row r="198" spans="1:11">
      <c r="A198" t="s">
        <v>4837</v>
      </c>
      <c r="B198" t="s">
        <v>4837</v>
      </c>
      <c r="C198" t="s">
        <v>4838</v>
      </c>
      <c r="D198" t="s">
        <v>4839</v>
      </c>
      <c r="E198">
        <v>0</v>
      </c>
      <c r="G198">
        <v>29.1</v>
      </c>
      <c r="H198" t="s">
        <v>4840</v>
      </c>
      <c r="I198">
        <v>1</v>
      </c>
      <c r="J198" t="s">
        <v>1916</v>
      </c>
      <c r="K198">
        <v>2</v>
      </c>
    </row>
    <row r="199" spans="1:11">
      <c r="A199" t="s">
        <v>4841</v>
      </c>
      <c r="B199" t="s">
        <v>4841</v>
      </c>
      <c r="C199" t="s">
        <v>4842</v>
      </c>
      <c r="D199" t="s">
        <v>4843</v>
      </c>
      <c r="E199">
        <v>0</v>
      </c>
      <c r="G199">
        <v>43.4</v>
      </c>
      <c r="H199" t="s">
        <v>4844</v>
      </c>
      <c r="I199">
        <v>1</v>
      </c>
      <c r="J199" t="s">
        <v>1916</v>
      </c>
      <c r="K199">
        <v>2</v>
      </c>
    </row>
    <row r="200" spans="1:11">
      <c r="A200" t="s">
        <v>4845</v>
      </c>
      <c r="B200" t="s">
        <v>4845</v>
      </c>
      <c r="C200" t="s">
        <v>4846</v>
      </c>
      <c r="D200" t="s">
        <v>4847</v>
      </c>
      <c r="E200">
        <v>0</v>
      </c>
      <c r="G200">
        <v>43.4</v>
      </c>
      <c r="H200" t="s">
        <v>4848</v>
      </c>
      <c r="I200">
        <v>1</v>
      </c>
      <c r="J200" t="s">
        <v>1916</v>
      </c>
      <c r="K200">
        <v>2</v>
      </c>
    </row>
    <row r="201" spans="1:11">
      <c r="A201" t="s">
        <v>4849</v>
      </c>
      <c r="B201" t="s">
        <v>4849</v>
      </c>
      <c r="C201" t="s">
        <v>4850</v>
      </c>
      <c r="D201" t="s">
        <v>4851</v>
      </c>
      <c r="E201">
        <v>0</v>
      </c>
      <c r="G201">
        <v>50.8</v>
      </c>
      <c r="H201" t="s">
        <v>4852</v>
      </c>
      <c r="I201">
        <v>3</v>
      </c>
      <c r="J201" t="s">
        <v>1939</v>
      </c>
      <c r="K201">
        <v>2</v>
      </c>
    </row>
    <row r="202" spans="1:11">
      <c r="A202" t="s">
        <v>4853</v>
      </c>
      <c r="B202" t="s">
        <v>4853</v>
      </c>
      <c r="C202" t="s">
        <v>4854</v>
      </c>
      <c r="D202" t="s">
        <v>4855</v>
      </c>
      <c r="E202">
        <v>0</v>
      </c>
      <c r="G202">
        <v>73.099999999999994</v>
      </c>
      <c r="H202" t="s">
        <v>4856</v>
      </c>
      <c r="I202">
        <v>1</v>
      </c>
      <c r="J202" t="s">
        <v>1916</v>
      </c>
      <c r="K202">
        <v>2</v>
      </c>
    </row>
    <row r="203" spans="1:11">
      <c r="A203" t="s">
        <v>4857</v>
      </c>
      <c r="B203" t="s">
        <v>4857</v>
      </c>
      <c r="C203" t="s">
        <v>4858</v>
      </c>
      <c r="D203" t="s">
        <v>4859</v>
      </c>
      <c r="E203">
        <v>0</v>
      </c>
      <c r="G203">
        <v>73.099999999999994</v>
      </c>
      <c r="H203" t="s">
        <v>4860</v>
      </c>
      <c r="I203">
        <v>1</v>
      </c>
      <c r="J203" t="s">
        <v>1916</v>
      </c>
      <c r="K203">
        <v>2</v>
      </c>
    </row>
    <row r="204" spans="1:11">
      <c r="A204" t="s">
        <v>4861</v>
      </c>
      <c r="B204" t="s">
        <v>4861</v>
      </c>
      <c r="C204" t="s">
        <v>4862</v>
      </c>
      <c r="D204" t="s">
        <v>4863</v>
      </c>
      <c r="E204">
        <v>0</v>
      </c>
      <c r="G204">
        <v>45.1</v>
      </c>
      <c r="H204" t="s">
        <v>4864</v>
      </c>
      <c r="I204">
        <v>1</v>
      </c>
      <c r="J204" t="s">
        <v>1916</v>
      </c>
      <c r="K204">
        <v>0</v>
      </c>
    </row>
    <row r="205" spans="1:11">
      <c r="A205" t="s">
        <v>4865</v>
      </c>
      <c r="B205" t="s">
        <v>4865</v>
      </c>
      <c r="C205" t="s">
        <v>4866</v>
      </c>
      <c r="D205" t="s">
        <v>4867</v>
      </c>
      <c r="E205">
        <v>0</v>
      </c>
      <c r="G205">
        <v>75.599999999999994</v>
      </c>
      <c r="H205" t="s">
        <v>4868</v>
      </c>
      <c r="I205">
        <v>14</v>
      </c>
      <c r="J205" t="s">
        <v>1899</v>
      </c>
      <c r="K205">
        <v>2</v>
      </c>
    </row>
    <row r="206" spans="1:11">
      <c r="A206" t="s">
        <v>4869</v>
      </c>
      <c r="B206" t="s">
        <v>4869</v>
      </c>
      <c r="C206" t="s">
        <v>4870</v>
      </c>
      <c r="D206" t="s">
        <v>4871</v>
      </c>
      <c r="E206">
        <v>0</v>
      </c>
      <c r="G206">
        <v>29.4</v>
      </c>
      <c r="H206" t="s">
        <v>4872</v>
      </c>
      <c r="I206">
        <v>1</v>
      </c>
      <c r="J206" t="s">
        <v>1916</v>
      </c>
      <c r="K206">
        <v>2</v>
      </c>
    </row>
    <row r="207" spans="1:11">
      <c r="A207" t="s">
        <v>4873</v>
      </c>
      <c r="B207" t="s">
        <v>4873</v>
      </c>
      <c r="C207" t="s">
        <v>4874</v>
      </c>
      <c r="D207" t="s">
        <v>4875</v>
      </c>
      <c r="E207">
        <v>0</v>
      </c>
      <c r="G207">
        <v>26.9</v>
      </c>
      <c r="H207" t="s">
        <v>4876</v>
      </c>
      <c r="I207">
        <v>1</v>
      </c>
      <c r="J207" t="s">
        <v>1916</v>
      </c>
      <c r="K207">
        <v>2</v>
      </c>
    </row>
    <row r="208" spans="1:11">
      <c r="A208" t="s">
        <v>4877</v>
      </c>
      <c r="B208" t="s">
        <v>4877</v>
      </c>
      <c r="C208" t="s">
        <v>4878</v>
      </c>
      <c r="D208" t="s">
        <v>4879</v>
      </c>
      <c r="E208">
        <v>0</v>
      </c>
      <c r="G208">
        <v>5.9</v>
      </c>
      <c r="H208" t="s">
        <v>4880</v>
      </c>
      <c r="I208">
        <v>1</v>
      </c>
      <c r="J208" t="s">
        <v>1916</v>
      </c>
      <c r="K208">
        <v>0</v>
      </c>
    </row>
    <row r="209" spans="1:11">
      <c r="A209" t="s">
        <v>4881</v>
      </c>
      <c r="B209" t="s">
        <v>4881</v>
      </c>
      <c r="C209" t="s">
        <v>4882</v>
      </c>
      <c r="E209">
        <v>0</v>
      </c>
      <c r="G209">
        <v>6.1</v>
      </c>
      <c r="H209" t="s">
        <v>4883</v>
      </c>
      <c r="I209">
        <v>1</v>
      </c>
      <c r="J209" t="s">
        <v>1916</v>
      </c>
      <c r="K209">
        <v>0</v>
      </c>
    </row>
    <row r="210" spans="1:11">
      <c r="A210" t="s">
        <v>4884</v>
      </c>
      <c r="B210" t="s">
        <v>4884</v>
      </c>
      <c r="C210" t="s">
        <v>4885</v>
      </c>
      <c r="D210" t="s">
        <v>4886</v>
      </c>
      <c r="E210">
        <v>0</v>
      </c>
      <c r="G210">
        <v>9</v>
      </c>
      <c r="H210" t="s">
        <v>4887</v>
      </c>
      <c r="I210">
        <v>1</v>
      </c>
      <c r="J210" t="s">
        <v>1916</v>
      </c>
      <c r="K210">
        <v>0</v>
      </c>
    </row>
    <row r="211" spans="1:11">
      <c r="A211" t="s">
        <v>4888</v>
      </c>
      <c r="B211" t="s">
        <v>4888</v>
      </c>
      <c r="C211" t="s">
        <v>4889</v>
      </c>
      <c r="D211" t="s">
        <v>4890</v>
      </c>
      <c r="E211">
        <v>0</v>
      </c>
      <c r="G211">
        <v>205.2</v>
      </c>
      <c r="H211" t="s">
        <v>4891</v>
      </c>
      <c r="I211">
        <v>7</v>
      </c>
      <c r="J211" t="s">
        <v>2143</v>
      </c>
      <c r="K211">
        <v>0</v>
      </c>
    </row>
    <row r="212" spans="1:11">
      <c r="A212" t="s">
        <v>4892</v>
      </c>
      <c r="B212" t="s">
        <v>4892</v>
      </c>
      <c r="C212" t="s">
        <v>4893</v>
      </c>
      <c r="D212" t="s">
        <v>4894</v>
      </c>
      <c r="E212">
        <v>0</v>
      </c>
      <c r="G212">
        <v>618.5</v>
      </c>
      <c r="H212" t="s">
        <v>4895</v>
      </c>
      <c r="I212">
        <v>1</v>
      </c>
      <c r="J212" t="s">
        <v>1916</v>
      </c>
      <c r="K212">
        <v>2</v>
      </c>
    </row>
    <row r="213" spans="1:11">
      <c r="A213" t="s">
        <v>4896</v>
      </c>
      <c r="B213" t="s">
        <v>4896</v>
      </c>
      <c r="C213" t="s">
        <v>1576</v>
      </c>
      <c r="D213" t="s">
        <v>4897</v>
      </c>
      <c r="E213">
        <v>0</v>
      </c>
      <c r="G213">
        <v>49.7</v>
      </c>
      <c r="H213" t="s">
        <v>4898</v>
      </c>
      <c r="I213">
        <v>2</v>
      </c>
      <c r="J213" t="s">
        <v>835</v>
      </c>
      <c r="K213">
        <v>0</v>
      </c>
    </row>
    <row r="214" spans="1:11">
      <c r="A214" t="s">
        <v>4899</v>
      </c>
      <c r="B214" t="s">
        <v>4899</v>
      </c>
      <c r="C214" t="s">
        <v>4900</v>
      </c>
      <c r="D214" t="s">
        <v>4901</v>
      </c>
      <c r="E214">
        <v>0</v>
      </c>
      <c r="G214">
        <v>8.9</v>
      </c>
      <c r="H214" t="s">
        <v>4902</v>
      </c>
      <c r="I214">
        <v>1</v>
      </c>
      <c r="J214" t="s">
        <v>1916</v>
      </c>
      <c r="K214">
        <v>2</v>
      </c>
    </row>
    <row r="215" spans="1:11">
      <c r="A215" t="s">
        <v>4903</v>
      </c>
      <c r="B215" t="s">
        <v>4903</v>
      </c>
      <c r="C215" t="s">
        <v>4904</v>
      </c>
      <c r="D215" t="s">
        <v>4905</v>
      </c>
      <c r="E215">
        <v>0</v>
      </c>
      <c r="G215">
        <v>24.5</v>
      </c>
      <c r="H215" t="s">
        <v>4906</v>
      </c>
      <c r="I215">
        <v>1</v>
      </c>
      <c r="J215" t="s">
        <v>1916</v>
      </c>
      <c r="K215">
        <v>2</v>
      </c>
    </row>
    <row r="216" spans="1:11">
      <c r="A216" t="s">
        <v>4907</v>
      </c>
      <c r="B216" t="s">
        <v>4907</v>
      </c>
      <c r="C216" t="s">
        <v>4908</v>
      </c>
      <c r="D216" t="s">
        <v>4909</v>
      </c>
      <c r="E216">
        <v>0</v>
      </c>
      <c r="G216">
        <v>74.2</v>
      </c>
      <c r="H216" t="s">
        <v>4910</v>
      </c>
      <c r="I216">
        <v>3</v>
      </c>
      <c r="J216" t="s">
        <v>1939</v>
      </c>
      <c r="K216">
        <v>2</v>
      </c>
    </row>
    <row r="217" spans="1:11">
      <c r="A217" t="s">
        <v>4911</v>
      </c>
      <c r="B217" t="s">
        <v>4911</v>
      </c>
      <c r="C217" t="s">
        <v>4912</v>
      </c>
      <c r="D217" t="s">
        <v>4913</v>
      </c>
      <c r="E217">
        <v>0</v>
      </c>
      <c r="G217">
        <v>1447.4</v>
      </c>
      <c r="H217" t="s">
        <v>4914</v>
      </c>
      <c r="I217">
        <v>17</v>
      </c>
      <c r="J217" t="s">
        <v>2091</v>
      </c>
      <c r="K217">
        <v>0</v>
      </c>
    </row>
    <row r="218" spans="1:11">
      <c r="A218" t="s">
        <v>4915</v>
      </c>
      <c r="B218" t="s">
        <v>4915</v>
      </c>
      <c r="C218" t="s">
        <v>4916</v>
      </c>
      <c r="D218" t="s">
        <v>4917</v>
      </c>
      <c r="E218">
        <v>0</v>
      </c>
      <c r="G218">
        <v>6.1</v>
      </c>
      <c r="H218" t="s">
        <v>4918</v>
      </c>
      <c r="I218">
        <v>1</v>
      </c>
      <c r="J218" t="s">
        <v>1916</v>
      </c>
      <c r="K218">
        <v>0</v>
      </c>
    </row>
    <row r="219" spans="1:11">
      <c r="A219" t="s">
        <v>4919</v>
      </c>
      <c r="B219" t="s">
        <v>4919</v>
      </c>
      <c r="C219" t="s">
        <v>4920</v>
      </c>
      <c r="D219" t="s">
        <v>4921</v>
      </c>
      <c r="E219">
        <v>0</v>
      </c>
      <c r="G219">
        <v>58</v>
      </c>
      <c r="H219" t="s">
        <v>4922</v>
      </c>
      <c r="I219">
        <v>25</v>
      </c>
      <c r="J219" t="s">
        <v>1903</v>
      </c>
      <c r="K219">
        <v>0</v>
      </c>
    </row>
    <row r="220" spans="1:11">
      <c r="A220" t="s">
        <v>4923</v>
      </c>
      <c r="B220" t="s">
        <v>4923</v>
      </c>
      <c r="C220" t="s">
        <v>4924</v>
      </c>
      <c r="D220" t="s">
        <v>4925</v>
      </c>
      <c r="E220">
        <v>0</v>
      </c>
      <c r="G220">
        <v>332</v>
      </c>
      <c r="H220" t="s">
        <v>4926</v>
      </c>
      <c r="I220">
        <v>25</v>
      </c>
      <c r="J220" t="s">
        <v>1903</v>
      </c>
      <c r="K220">
        <v>2</v>
      </c>
    </row>
    <row r="221" spans="1:11">
      <c r="A221" t="s">
        <v>4927</v>
      </c>
      <c r="B221" t="s">
        <v>4927</v>
      </c>
      <c r="C221" t="s">
        <v>4928</v>
      </c>
      <c r="E221">
        <v>0</v>
      </c>
      <c r="G221">
        <v>6.1</v>
      </c>
      <c r="H221" t="s">
        <v>4929</v>
      </c>
      <c r="I221">
        <v>1</v>
      </c>
      <c r="J221" t="s">
        <v>1916</v>
      </c>
      <c r="K221">
        <v>0</v>
      </c>
    </row>
    <row r="222" spans="1:11">
      <c r="A222" t="s">
        <v>4930</v>
      </c>
      <c r="B222" t="s">
        <v>4930</v>
      </c>
      <c r="C222" t="s">
        <v>4931</v>
      </c>
      <c r="D222" t="s">
        <v>4932</v>
      </c>
      <c r="E222">
        <v>0</v>
      </c>
      <c r="G222">
        <v>16.2</v>
      </c>
      <c r="H222" t="s">
        <v>4933</v>
      </c>
      <c r="I222">
        <v>3</v>
      </c>
      <c r="J222" t="s">
        <v>1939</v>
      </c>
      <c r="K222">
        <v>0</v>
      </c>
    </row>
    <row r="223" spans="1:11">
      <c r="A223" t="s">
        <v>4934</v>
      </c>
      <c r="B223" t="s">
        <v>4934</v>
      </c>
      <c r="C223" t="s">
        <v>4935</v>
      </c>
      <c r="D223" t="s">
        <v>4936</v>
      </c>
      <c r="E223">
        <v>0</v>
      </c>
      <c r="G223">
        <v>117.9</v>
      </c>
      <c r="H223" t="s">
        <v>4937</v>
      </c>
      <c r="I223">
        <v>21</v>
      </c>
      <c r="J223" t="s">
        <v>1946</v>
      </c>
      <c r="K223">
        <v>0</v>
      </c>
    </row>
    <row r="224" spans="1:11">
      <c r="A224" t="s">
        <v>4938</v>
      </c>
      <c r="B224" t="s">
        <v>4938</v>
      </c>
      <c r="C224" t="s">
        <v>4939</v>
      </c>
      <c r="D224" t="s">
        <v>4940</v>
      </c>
      <c r="E224">
        <v>0</v>
      </c>
      <c r="G224">
        <v>454.7</v>
      </c>
      <c r="H224" t="s">
        <v>4941</v>
      </c>
      <c r="I224">
        <v>19</v>
      </c>
      <c r="J224" t="s">
        <v>1980</v>
      </c>
      <c r="K224">
        <v>2</v>
      </c>
    </row>
    <row r="225" spans="1:11">
      <c r="A225" t="s">
        <v>4942</v>
      </c>
      <c r="B225" t="s">
        <v>4942</v>
      </c>
      <c r="C225" t="s">
        <v>753</v>
      </c>
      <c r="D225" t="s">
        <v>4943</v>
      </c>
      <c r="E225">
        <v>0</v>
      </c>
      <c r="G225">
        <v>10.1</v>
      </c>
      <c r="H225" t="s">
        <v>4944</v>
      </c>
      <c r="I225">
        <v>1</v>
      </c>
      <c r="J225" t="s">
        <v>1916</v>
      </c>
      <c r="K225">
        <v>2</v>
      </c>
    </row>
    <row r="226" spans="1:11">
      <c r="A226" t="s">
        <v>4945</v>
      </c>
      <c r="B226" t="s">
        <v>4945</v>
      </c>
      <c r="C226" t="s">
        <v>4946</v>
      </c>
      <c r="D226" t="s">
        <v>4947</v>
      </c>
      <c r="E226">
        <v>0</v>
      </c>
      <c r="G226">
        <v>151.6</v>
      </c>
      <c r="H226" t="s">
        <v>4948</v>
      </c>
      <c r="I226">
        <v>2</v>
      </c>
      <c r="J226" t="s">
        <v>835</v>
      </c>
      <c r="K226">
        <v>2</v>
      </c>
    </row>
    <row r="227" spans="1:11">
      <c r="A227" t="s">
        <v>4949</v>
      </c>
      <c r="B227" t="s">
        <v>4949</v>
      </c>
      <c r="C227" t="s">
        <v>4950</v>
      </c>
      <c r="D227" t="s">
        <v>4951</v>
      </c>
      <c r="E227">
        <v>0</v>
      </c>
      <c r="G227">
        <v>4157</v>
      </c>
      <c r="H227" t="s">
        <v>4952</v>
      </c>
      <c r="I227">
        <v>25</v>
      </c>
      <c r="J227" t="s">
        <v>1903</v>
      </c>
      <c r="K227">
        <v>2</v>
      </c>
    </row>
    <row r="228" spans="1:11">
      <c r="A228" t="s">
        <v>4953</v>
      </c>
      <c r="B228" t="s">
        <v>4953</v>
      </c>
      <c r="C228" t="s">
        <v>4954</v>
      </c>
      <c r="D228" t="s">
        <v>4955</v>
      </c>
      <c r="E228">
        <v>0</v>
      </c>
      <c r="G228">
        <v>9434</v>
      </c>
      <c r="H228" t="s">
        <v>4956</v>
      </c>
      <c r="I228">
        <v>25</v>
      </c>
      <c r="J228" t="s">
        <v>1903</v>
      </c>
      <c r="K228">
        <v>2</v>
      </c>
    </row>
    <row r="229" spans="1:11">
      <c r="A229" t="s">
        <v>4957</v>
      </c>
      <c r="B229" t="s">
        <v>4957</v>
      </c>
      <c r="C229" t="s">
        <v>4958</v>
      </c>
      <c r="D229" t="s">
        <v>4959</v>
      </c>
      <c r="E229">
        <v>0</v>
      </c>
      <c r="G229">
        <v>17</v>
      </c>
      <c r="H229" t="s">
        <v>4960</v>
      </c>
      <c r="I229">
        <v>15</v>
      </c>
      <c r="J229" t="s">
        <v>1907</v>
      </c>
      <c r="K229">
        <v>2</v>
      </c>
    </row>
    <row r="230" spans="1:11">
      <c r="A230" t="s">
        <v>4961</v>
      </c>
      <c r="B230" t="s">
        <v>4961</v>
      </c>
      <c r="C230" t="s">
        <v>1598</v>
      </c>
      <c r="E230">
        <v>0</v>
      </c>
      <c r="G230">
        <v>770.6</v>
      </c>
      <c r="H230" t="s">
        <v>4962</v>
      </c>
      <c r="I230">
        <v>1</v>
      </c>
      <c r="J230" t="s">
        <v>1916</v>
      </c>
      <c r="K230">
        <v>0</v>
      </c>
    </row>
    <row r="231" spans="1:11">
      <c r="A231" t="s">
        <v>4963</v>
      </c>
      <c r="B231" t="s">
        <v>4963</v>
      </c>
      <c r="C231" t="s">
        <v>4964</v>
      </c>
      <c r="D231" t="s">
        <v>4965</v>
      </c>
      <c r="E231">
        <v>0</v>
      </c>
      <c r="G231">
        <v>1293</v>
      </c>
      <c r="H231" t="s">
        <v>4966</v>
      </c>
      <c r="I231">
        <v>25</v>
      </c>
      <c r="J231" t="s">
        <v>1903</v>
      </c>
      <c r="K231">
        <v>2</v>
      </c>
    </row>
    <row r="232" spans="1:11">
      <c r="A232" t="s">
        <v>4967</v>
      </c>
      <c r="B232" t="s">
        <v>4967</v>
      </c>
      <c r="C232" t="s">
        <v>4968</v>
      </c>
      <c r="D232" t="s">
        <v>4969</v>
      </c>
      <c r="E232">
        <v>0</v>
      </c>
      <c r="G232">
        <v>1297</v>
      </c>
      <c r="H232" t="s">
        <v>4970</v>
      </c>
      <c r="I232">
        <v>25</v>
      </c>
      <c r="J232" t="s">
        <v>1903</v>
      </c>
      <c r="K232">
        <v>2</v>
      </c>
    </row>
    <row r="233" spans="1:11">
      <c r="A233" t="s">
        <v>4971</v>
      </c>
      <c r="B233" t="s">
        <v>4971</v>
      </c>
      <c r="C233" t="s">
        <v>4972</v>
      </c>
      <c r="D233" t="s">
        <v>4973</v>
      </c>
      <c r="E233">
        <v>0</v>
      </c>
      <c r="G233">
        <v>181.7</v>
      </c>
      <c r="H233" t="s">
        <v>4974</v>
      </c>
      <c r="I233">
        <v>21</v>
      </c>
      <c r="J233" t="s">
        <v>1946</v>
      </c>
      <c r="K233">
        <v>0</v>
      </c>
    </row>
    <row r="234" spans="1:11">
      <c r="A234" t="s">
        <v>4975</v>
      </c>
      <c r="B234" t="s">
        <v>4975</v>
      </c>
      <c r="C234" t="s">
        <v>4976</v>
      </c>
      <c r="D234" t="s">
        <v>4977</v>
      </c>
      <c r="E234">
        <v>0</v>
      </c>
      <c r="G234">
        <v>40.9</v>
      </c>
      <c r="H234" t="s">
        <v>4978</v>
      </c>
      <c r="I234">
        <v>1</v>
      </c>
      <c r="J234" t="s">
        <v>1916</v>
      </c>
      <c r="K234">
        <v>2</v>
      </c>
    </row>
    <row r="235" spans="1:11">
      <c r="A235" t="s">
        <v>4979</v>
      </c>
      <c r="B235" t="s">
        <v>4979</v>
      </c>
      <c r="C235" t="s">
        <v>4980</v>
      </c>
      <c r="D235" t="s">
        <v>4981</v>
      </c>
      <c r="E235">
        <v>0</v>
      </c>
      <c r="G235">
        <v>380.7</v>
      </c>
      <c r="H235" t="s">
        <v>4982</v>
      </c>
      <c r="I235">
        <v>1</v>
      </c>
      <c r="J235" t="s">
        <v>1916</v>
      </c>
      <c r="K235">
        <v>2</v>
      </c>
    </row>
    <row r="236" spans="1:11">
      <c r="A236" t="s">
        <v>4983</v>
      </c>
      <c r="B236" t="s">
        <v>4983</v>
      </c>
      <c r="C236" t="s">
        <v>4984</v>
      </c>
      <c r="D236" t="s">
        <v>4985</v>
      </c>
      <c r="E236">
        <v>0</v>
      </c>
      <c r="G236">
        <v>105.9</v>
      </c>
      <c r="H236" t="s">
        <v>4986</v>
      </c>
      <c r="I236">
        <v>1</v>
      </c>
      <c r="J236" t="s">
        <v>1916</v>
      </c>
      <c r="K236">
        <v>0</v>
      </c>
    </row>
    <row r="237" spans="1:11">
      <c r="A237" t="s">
        <v>4987</v>
      </c>
      <c r="B237" t="s">
        <v>4987</v>
      </c>
      <c r="C237" t="s">
        <v>4988</v>
      </c>
      <c r="D237" t="s">
        <v>4989</v>
      </c>
      <c r="E237">
        <v>0</v>
      </c>
      <c r="G237">
        <v>26.3</v>
      </c>
      <c r="H237" t="s">
        <v>4990</v>
      </c>
      <c r="I237">
        <v>3</v>
      </c>
      <c r="J237" t="s">
        <v>1939</v>
      </c>
      <c r="K237">
        <v>0</v>
      </c>
    </row>
    <row r="238" spans="1:11">
      <c r="A238" t="s">
        <v>4991</v>
      </c>
      <c r="B238" t="s">
        <v>4991</v>
      </c>
      <c r="C238" t="s">
        <v>4992</v>
      </c>
      <c r="E238">
        <v>0</v>
      </c>
      <c r="G238">
        <v>60</v>
      </c>
      <c r="H238" t="s">
        <v>4993</v>
      </c>
      <c r="I238">
        <v>1</v>
      </c>
      <c r="J238" t="s">
        <v>1916</v>
      </c>
      <c r="K238">
        <v>0</v>
      </c>
    </row>
    <row r="239" spans="1:11">
      <c r="A239" t="s">
        <v>4994</v>
      </c>
      <c r="B239" t="s">
        <v>4994</v>
      </c>
      <c r="C239" t="s">
        <v>4995</v>
      </c>
      <c r="D239" t="s">
        <v>4996</v>
      </c>
      <c r="E239">
        <v>0</v>
      </c>
      <c r="G239">
        <v>6.3</v>
      </c>
      <c r="H239" t="s">
        <v>4997</v>
      </c>
      <c r="I239">
        <v>1</v>
      </c>
      <c r="J239" t="s">
        <v>1916</v>
      </c>
      <c r="K239">
        <v>2</v>
      </c>
    </row>
    <row r="240" spans="1:11">
      <c r="A240" t="s">
        <v>4998</v>
      </c>
      <c r="B240" t="s">
        <v>4998</v>
      </c>
      <c r="C240" t="s">
        <v>4999</v>
      </c>
      <c r="D240" t="s">
        <v>5000</v>
      </c>
      <c r="E240">
        <v>0</v>
      </c>
      <c r="G240">
        <v>7.7</v>
      </c>
      <c r="H240" t="s">
        <v>5001</v>
      </c>
      <c r="I240">
        <v>3</v>
      </c>
      <c r="J240" t="s">
        <v>1939</v>
      </c>
      <c r="K240">
        <v>2</v>
      </c>
    </row>
    <row r="241" spans="1:11">
      <c r="A241" t="s">
        <v>5002</v>
      </c>
      <c r="B241" t="s">
        <v>5002</v>
      </c>
      <c r="C241" t="s">
        <v>5003</v>
      </c>
      <c r="E241">
        <v>0</v>
      </c>
      <c r="G241">
        <v>11.7</v>
      </c>
      <c r="H241" t="s">
        <v>5004</v>
      </c>
      <c r="I241">
        <v>1</v>
      </c>
      <c r="J241" t="s">
        <v>1916</v>
      </c>
      <c r="K241">
        <v>0</v>
      </c>
    </row>
    <row r="242" spans="1:11">
      <c r="A242" t="s">
        <v>5005</v>
      </c>
      <c r="B242" t="s">
        <v>5005</v>
      </c>
      <c r="C242" t="s">
        <v>5006</v>
      </c>
      <c r="D242" t="s">
        <v>5007</v>
      </c>
      <c r="E242">
        <v>0</v>
      </c>
      <c r="G242">
        <v>110.9</v>
      </c>
      <c r="H242" t="s">
        <v>5008</v>
      </c>
      <c r="I242">
        <v>1</v>
      </c>
      <c r="J242" t="s">
        <v>1916</v>
      </c>
      <c r="K242">
        <v>2</v>
      </c>
    </row>
    <row r="243" spans="1:11">
      <c r="A243" t="s">
        <v>5009</v>
      </c>
      <c r="B243" t="s">
        <v>5009</v>
      </c>
      <c r="C243" t="s">
        <v>5010</v>
      </c>
      <c r="D243" t="s">
        <v>5011</v>
      </c>
      <c r="E243">
        <v>0</v>
      </c>
      <c r="G243">
        <v>8434</v>
      </c>
      <c r="H243" t="s">
        <v>5012</v>
      </c>
      <c r="I243">
        <v>25</v>
      </c>
      <c r="J243" t="s">
        <v>1903</v>
      </c>
      <c r="K243">
        <v>2</v>
      </c>
    </row>
    <row r="244" spans="1:11">
      <c r="A244" t="s">
        <v>5013</v>
      </c>
      <c r="B244" t="s">
        <v>5013</v>
      </c>
      <c r="C244" t="s">
        <v>5014</v>
      </c>
      <c r="D244" t="s">
        <v>5015</v>
      </c>
      <c r="E244">
        <v>0</v>
      </c>
      <c r="G244">
        <v>10.4</v>
      </c>
      <c r="H244" t="s">
        <v>5016</v>
      </c>
      <c r="I244">
        <v>1</v>
      </c>
      <c r="J244" t="s">
        <v>1916</v>
      </c>
      <c r="K244">
        <v>0</v>
      </c>
    </row>
    <row r="245" spans="1:11">
      <c r="A245" t="s">
        <v>5017</v>
      </c>
      <c r="B245" t="s">
        <v>5017</v>
      </c>
      <c r="C245" t="s">
        <v>5018</v>
      </c>
      <c r="D245" t="s">
        <v>5019</v>
      </c>
      <c r="E245">
        <v>0</v>
      </c>
      <c r="G245">
        <v>10.4</v>
      </c>
      <c r="H245" t="s">
        <v>5020</v>
      </c>
      <c r="I245">
        <v>1</v>
      </c>
      <c r="J245" t="s">
        <v>1916</v>
      </c>
      <c r="K245">
        <v>0</v>
      </c>
    </row>
    <row r="246" spans="1:11">
      <c r="A246" t="s">
        <v>5021</v>
      </c>
      <c r="B246" t="s">
        <v>5021</v>
      </c>
      <c r="C246" t="s">
        <v>5022</v>
      </c>
      <c r="D246" t="s">
        <v>5023</v>
      </c>
      <c r="E246">
        <v>0</v>
      </c>
      <c r="G246">
        <v>58</v>
      </c>
      <c r="H246" t="s">
        <v>5024</v>
      </c>
      <c r="I246">
        <v>25</v>
      </c>
      <c r="J246" t="s">
        <v>1903</v>
      </c>
      <c r="K246">
        <v>0</v>
      </c>
    </row>
    <row r="247" spans="1:11">
      <c r="A247" t="s">
        <v>5025</v>
      </c>
      <c r="B247" t="s">
        <v>5025</v>
      </c>
      <c r="C247" t="s">
        <v>5026</v>
      </c>
      <c r="D247" t="s">
        <v>5027</v>
      </c>
      <c r="E247">
        <v>0</v>
      </c>
      <c r="G247">
        <v>11.1</v>
      </c>
      <c r="H247" t="s">
        <v>5028</v>
      </c>
      <c r="I247">
        <v>10</v>
      </c>
      <c r="J247" t="s">
        <v>1968</v>
      </c>
      <c r="K247">
        <v>0</v>
      </c>
    </row>
    <row r="248" spans="1:11">
      <c r="A248" t="s">
        <v>5029</v>
      </c>
      <c r="B248" t="s">
        <v>5029</v>
      </c>
      <c r="C248" t="s">
        <v>5030</v>
      </c>
      <c r="D248" t="s">
        <v>5031</v>
      </c>
      <c r="E248">
        <v>0</v>
      </c>
      <c r="G248">
        <v>8</v>
      </c>
      <c r="H248" t="s">
        <v>5032</v>
      </c>
      <c r="I248">
        <v>2</v>
      </c>
      <c r="J248" t="s">
        <v>835</v>
      </c>
      <c r="K248">
        <v>0</v>
      </c>
    </row>
    <row r="249" spans="1:11">
      <c r="A249" t="s">
        <v>5033</v>
      </c>
      <c r="B249" t="s">
        <v>5033</v>
      </c>
      <c r="C249" t="s">
        <v>5034</v>
      </c>
      <c r="D249" t="s">
        <v>5035</v>
      </c>
      <c r="E249">
        <v>0</v>
      </c>
      <c r="G249">
        <v>5.9</v>
      </c>
      <c r="H249" t="s">
        <v>5036</v>
      </c>
      <c r="I249">
        <v>1</v>
      </c>
      <c r="J249" t="s">
        <v>1916</v>
      </c>
      <c r="K249">
        <v>0</v>
      </c>
    </row>
    <row r="250" spans="1:11">
      <c r="A250" t="s">
        <v>5037</v>
      </c>
      <c r="B250" t="s">
        <v>5037</v>
      </c>
      <c r="C250" t="s">
        <v>5038</v>
      </c>
      <c r="D250" t="s">
        <v>5039</v>
      </c>
      <c r="E250">
        <v>0</v>
      </c>
      <c r="G250">
        <v>6.5</v>
      </c>
      <c r="H250" t="s">
        <v>5040</v>
      </c>
      <c r="I250">
        <v>3</v>
      </c>
      <c r="J250" t="s">
        <v>1939</v>
      </c>
      <c r="K250">
        <v>2</v>
      </c>
    </row>
    <row r="251" spans="1:11">
      <c r="A251" t="s">
        <v>5041</v>
      </c>
      <c r="B251" t="s">
        <v>5041</v>
      </c>
      <c r="C251" t="s">
        <v>1638</v>
      </c>
      <c r="D251" t="s">
        <v>5042</v>
      </c>
      <c r="E251">
        <v>0</v>
      </c>
      <c r="G251">
        <v>61</v>
      </c>
      <c r="H251" t="s">
        <v>5043</v>
      </c>
      <c r="I251">
        <v>25</v>
      </c>
      <c r="J251" t="s">
        <v>1903</v>
      </c>
      <c r="K251">
        <v>0</v>
      </c>
    </row>
    <row r="252" spans="1:11">
      <c r="A252" t="s">
        <v>5044</v>
      </c>
      <c r="B252" t="s">
        <v>5044</v>
      </c>
      <c r="C252" t="s">
        <v>4071</v>
      </c>
      <c r="D252" t="s">
        <v>5045</v>
      </c>
      <c r="E252">
        <v>0</v>
      </c>
      <c r="G252">
        <v>217.8</v>
      </c>
      <c r="H252" t="s">
        <v>5046</v>
      </c>
      <c r="I252">
        <v>1</v>
      </c>
      <c r="J252" t="s">
        <v>1916</v>
      </c>
      <c r="K252">
        <v>2</v>
      </c>
    </row>
    <row r="253" spans="1:11">
      <c r="A253" t="s">
        <v>5047</v>
      </c>
      <c r="B253" t="s">
        <v>5047</v>
      </c>
      <c r="C253" t="s">
        <v>1639</v>
      </c>
      <c r="D253" t="s">
        <v>5048</v>
      </c>
      <c r="E253">
        <v>0</v>
      </c>
      <c r="G253">
        <v>355.5</v>
      </c>
      <c r="H253" t="s">
        <v>5049</v>
      </c>
      <c r="I253">
        <v>1</v>
      </c>
      <c r="J253" t="s">
        <v>1916</v>
      </c>
      <c r="K253">
        <v>2</v>
      </c>
    </row>
    <row r="254" spans="1:11">
      <c r="A254" t="s">
        <v>5050</v>
      </c>
      <c r="B254" t="s">
        <v>5050</v>
      </c>
      <c r="C254" t="s">
        <v>5051</v>
      </c>
      <c r="D254" t="s">
        <v>5052</v>
      </c>
      <c r="E254">
        <v>0</v>
      </c>
      <c r="G254">
        <v>4298</v>
      </c>
      <c r="H254" t="s">
        <v>5053</v>
      </c>
      <c r="I254">
        <v>25</v>
      </c>
      <c r="J254" t="s">
        <v>1903</v>
      </c>
      <c r="K254">
        <v>2</v>
      </c>
    </row>
    <row r="255" spans="1:11">
      <c r="A255" t="s">
        <v>5054</v>
      </c>
      <c r="B255" t="s">
        <v>5054</v>
      </c>
      <c r="C255" t="s">
        <v>4072</v>
      </c>
      <c r="D255" t="s">
        <v>5055</v>
      </c>
      <c r="E255">
        <v>0</v>
      </c>
      <c r="G255">
        <v>1174</v>
      </c>
      <c r="H255" t="s">
        <v>5056</v>
      </c>
      <c r="I255">
        <v>25</v>
      </c>
      <c r="J255" t="s">
        <v>1903</v>
      </c>
      <c r="K255">
        <v>2</v>
      </c>
    </row>
    <row r="256" spans="1:11">
      <c r="A256" t="s">
        <v>5057</v>
      </c>
      <c r="B256" t="s">
        <v>5057</v>
      </c>
      <c r="C256" t="s">
        <v>5058</v>
      </c>
      <c r="D256" t="s">
        <v>5059</v>
      </c>
      <c r="E256">
        <v>0</v>
      </c>
      <c r="G256">
        <v>1251</v>
      </c>
      <c r="H256" t="s">
        <v>5060</v>
      </c>
      <c r="I256">
        <v>25</v>
      </c>
      <c r="J256" t="s">
        <v>1903</v>
      </c>
      <c r="K256">
        <v>2</v>
      </c>
    </row>
    <row r="257" spans="1:11">
      <c r="A257" t="s">
        <v>5061</v>
      </c>
      <c r="B257" t="s">
        <v>5061</v>
      </c>
      <c r="C257" t="s">
        <v>5062</v>
      </c>
      <c r="D257" t="s">
        <v>5063</v>
      </c>
      <c r="E257">
        <v>0</v>
      </c>
      <c r="G257">
        <v>48.7</v>
      </c>
      <c r="H257" t="s">
        <v>5064</v>
      </c>
      <c r="I257">
        <v>1</v>
      </c>
      <c r="J257" t="s">
        <v>1916</v>
      </c>
      <c r="K257">
        <v>0</v>
      </c>
    </row>
    <row r="258" spans="1:11">
      <c r="A258" t="s">
        <v>5065</v>
      </c>
      <c r="B258" t="s">
        <v>5065</v>
      </c>
      <c r="C258" t="s">
        <v>5066</v>
      </c>
      <c r="D258" t="s">
        <v>5067</v>
      </c>
      <c r="E258">
        <v>0</v>
      </c>
      <c r="G258">
        <v>23</v>
      </c>
      <c r="H258" t="s">
        <v>5068</v>
      </c>
      <c r="I258">
        <v>3</v>
      </c>
      <c r="J258" t="s">
        <v>1939</v>
      </c>
      <c r="K258">
        <v>0</v>
      </c>
    </row>
    <row r="259" spans="1:11">
      <c r="A259" t="s">
        <v>5069</v>
      </c>
      <c r="B259" t="s">
        <v>5069</v>
      </c>
      <c r="C259" t="s">
        <v>5070</v>
      </c>
      <c r="D259" t="s">
        <v>5071</v>
      </c>
      <c r="E259">
        <v>0</v>
      </c>
      <c r="G259">
        <v>23.6</v>
      </c>
      <c r="H259" t="s">
        <v>5072</v>
      </c>
      <c r="I259">
        <v>2</v>
      </c>
      <c r="J259" t="s">
        <v>835</v>
      </c>
      <c r="K259">
        <v>2</v>
      </c>
    </row>
    <row r="260" spans="1:11">
      <c r="A260" t="s">
        <v>5073</v>
      </c>
      <c r="B260" t="s">
        <v>5073</v>
      </c>
      <c r="C260" t="s">
        <v>5074</v>
      </c>
      <c r="D260" t="s">
        <v>5075</v>
      </c>
      <c r="E260">
        <v>0</v>
      </c>
      <c r="G260">
        <v>40.9</v>
      </c>
      <c r="H260" t="s">
        <v>5076</v>
      </c>
      <c r="I260">
        <v>3</v>
      </c>
      <c r="J260" t="s">
        <v>1939</v>
      </c>
      <c r="K260">
        <v>0</v>
      </c>
    </row>
    <row r="261" spans="1:11">
      <c r="A261" t="s">
        <v>5077</v>
      </c>
      <c r="B261" t="s">
        <v>5077</v>
      </c>
      <c r="C261" t="s">
        <v>5078</v>
      </c>
      <c r="D261" t="s">
        <v>5079</v>
      </c>
      <c r="E261">
        <v>0</v>
      </c>
      <c r="G261">
        <v>100</v>
      </c>
      <c r="H261" t="s">
        <v>5080</v>
      </c>
      <c r="I261">
        <v>25</v>
      </c>
      <c r="J261" t="s">
        <v>1903</v>
      </c>
      <c r="K261">
        <v>0</v>
      </c>
    </row>
    <row r="262" spans="1:11">
      <c r="A262" t="s">
        <v>5081</v>
      </c>
      <c r="B262" t="s">
        <v>5081</v>
      </c>
      <c r="C262" t="s">
        <v>5082</v>
      </c>
      <c r="D262" t="s">
        <v>5083</v>
      </c>
      <c r="E262">
        <v>0</v>
      </c>
      <c r="G262">
        <v>6907.7</v>
      </c>
      <c r="H262" t="s">
        <v>5084</v>
      </c>
      <c r="I262">
        <v>18</v>
      </c>
      <c r="J262" t="s">
        <v>2255</v>
      </c>
      <c r="K262">
        <v>0</v>
      </c>
    </row>
    <row r="263" spans="1:11">
      <c r="A263" t="s">
        <v>5085</v>
      </c>
      <c r="B263" t="s">
        <v>5085</v>
      </c>
      <c r="C263" t="s">
        <v>5086</v>
      </c>
      <c r="E263">
        <v>0</v>
      </c>
      <c r="G263">
        <v>2.0299999999999998</v>
      </c>
      <c r="H263" t="s">
        <v>5087</v>
      </c>
      <c r="I263">
        <v>14</v>
      </c>
      <c r="J263" t="s">
        <v>1899</v>
      </c>
      <c r="K263">
        <v>0</v>
      </c>
    </row>
    <row r="264" spans="1:11">
      <c r="A264" t="s">
        <v>5088</v>
      </c>
      <c r="B264" t="s">
        <v>5088</v>
      </c>
      <c r="C264" t="s">
        <v>5089</v>
      </c>
      <c r="D264" t="s">
        <v>5090</v>
      </c>
      <c r="E264">
        <v>0</v>
      </c>
      <c r="G264">
        <v>6.1</v>
      </c>
      <c r="H264" t="s">
        <v>5091</v>
      </c>
      <c r="I264">
        <v>1</v>
      </c>
      <c r="J264" t="s">
        <v>1916</v>
      </c>
      <c r="K264">
        <v>0</v>
      </c>
    </row>
    <row r="265" spans="1:11">
      <c r="A265" t="s">
        <v>5092</v>
      </c>
      <c r="B265" t="s">
        <v>5092</v>
      </c>
      <c r="C265" t="s">
        <v>5093</v>
      </c>
      <c r="D265" t="s">
        <v>5094</v>
      </c>
      <c r="E265">
        <v>0</v>
      </c>
      <c r="G265">
        <v>11.9</v>
      </c>
      <c r="H265" t="s">
        <v>5095</v>
      </c>
      <c r="I265">
        <v>1</v>
      </c>
      <c r="J265" t="s">
        <v>1916</v>
      </c>
      <c r="K265">
        <v>2</v>
      </c>
    </row>
    <row r="266" spans="1:11">
      <c r="A266" t="s">
        <v>5096</v>
      </c>
      <c r="B266" t="s">
        <v>5096</v>
      </c>
      <c r="C266" t="s">
        <v>5097</v>
      </c>
      <c r="D266" t="s">
        <v>5098</v>
      </c>
      <c r="E266">
        <v>0</v>
      </c>
      <c r="G266">
        <v>6.1</v>
      </c>
      <c r="H266" t="s">
        <v>5099</v>
      </c>
      <c r="I266">
        <v>1</v>
      </c>
      <c r="J266" t="s">
        <v>1916</v>
      </c>
      <c r="K266">
        <v>0</v>
      </c>
    </row>
    <row r="267" spans="1:11">
      <c r="A267" t="s">
        <v>5100</v>
      </c>
      <c r="B267" t="s">
        <v>5100</v>
      </c>
      <c r="C267" t="s">
        <v>5101</v>
      </c>
      <c r="D267" t="s">
        <v>5102</v>
      </c>
      <c r="E267">
        <v>0</v>
      </c>
      <c r="G267">
        <v>9.4</v>
      </c>
      <c r="H267" t="s">
        <v>5103</v>
      </c>
      <c r="I267">
        <v>3</v>
      </c>
      <c r="J267" t="s">
        <v>1939</v>
      </c>
      <c r="K267">
        <v>0</v>
      </c>
    </row>
    <row r="268" spans="1:11">
      <c r="A268" t="s">
        <v>5104</v>
      </c>
      <c r="B268" t="s">
        <v>5104</v>
      </c>
      <c r="C268" t="s">
        <v>5105</v>
      </c>
      <c r="D268" t="s">
        <v>5106</v>
      </c>
      <c r="E268">
        <v>0</v>
      </c>
      <c r="G268">
        <v>24063</v>
      </c>
      <c r="H268" t="s">
        <v>5107</v>
      </c>
      <c r="I268">
        <v>25</v>
      </c>
      <c r="J268" t="s">
        <v>1903</v>
      </c>
      <c r="K268">
        <v>0</v>
      </c>
    </row>
    <row r="269" spans="1:11">
      <c r="A269" t="s">
        <v>5108</v>
      </c>
      <c r="B269" t="s">
        <v>5108</v>
      </c>
      <c r="C269" t="s">
        <v>5109</v>
      </c>
      <c r="D269" t="s">
        <v>5110</v>
      </c>
      <c r="E269">
        <v>0</v>
      </c>
      <c r="G269">
        <v>6.1</v>
      </c>
      <c r="H269" t="s">
        <v>5111</v>
      </c>
      <c r="I269">
        <v>1</v>
      </c>
      <c r="J269" t="s">
        <v>1916</v>
      </c>
      <c r="K269">
        <v>0</v>
      </c>
    </row>
    <row r="270" spans="1:11">
      <c r="A270" t="s">
        <v>5112</v>
      </c>
      <c r="B270" t="s">
        <v>5112</v>
      </c>
      <c r="C270" t="s">
        <v>5113</v>
      </c>
      <c r="D270" t="s">
        <v>5114</v>
      </c>
      <c r="E270">
        <v>0</v>
      </c>
      <c r="G270">
        <v>100</v>
      </c>
      <c r="H270" t="s">
        <v>5115</v>
      </c>
      <c r="I270">
        <v>25</v>
      </c>
      <c r="J270" t="s">
        <v>1903</v>
      </c>
      <c r="K270">
        <v>0</v>
      </c>
    </row>
    <row r="271" spans="1:11">
      <c r="A271" t="s">
        <v>5116</v>
      </c>
      <c r="B271" t="s">
        <v>5116</v>
      </c>
      <c r="C271" t="s">
        <v>5117</v>
      </c>
      <c r="E271">
        <v>0</v>
      </c>
      <c r="G271">
        <v>151</v>
      </c>
      <c r="H271" t="s">
        <v>2826</v>
      </c>
      <c r="I271">
        <v>25</v>
      </c>
      <c r="J271" t="s">
        <v>1903</v>
      </c>
      <c r="K271">
        <v>0</v>
      </c>
    </row>
    <row r="272" spans="1:11">
      <c r="A272" t="s">
        <v>5118</v>
      </c>
      <c r="B272" t="s">
        <v>5118</v>
      </c>
      <c r="C272" t="s">
        <v>5119</v>
      </c>
      <c r="D272" t="s">
        <v>5120</v>
      </c>
      <c r="E272">
        <v>0</v>
      </c>
      <c r="G272">
        <v>216.3</v>
      </c>
      <c r="H272" t="s">
        <v>5121</v>
      </c>
      <c r="I272">
        <v>2</v>
      </c>
      <c r="J272" t="s">
        <v>835</v>
      </c>
      <c r="K272">
        <v>0</v>
      </c>
    </row>
    <row r="273" spans="1:11">
      <c r="A273" t="s">
        <v>5122</v>
      </c>
      <c r="B273" t="s">
        <v>5122</v>
      </c>
      <c r="C273" t="s">
        <v>5123</v>
      </c>
      <c r="D273" t="s">
        <v>5124</v>
      </c>
      <c r="E273">
        <v>0</v>
      </c>
      <c r="G273">
        <v>0</v>
      </c>
      <c r="H273" t="s">
        <v>5125</v>
      </c>
      <c r="I273">
        <v>24</v>
      </c>
      <c r="J273" t="s">
        <v>2057</v>
      </c>
      <c r="K273">
        <v>0</v>
      </c>
    </row>
    <row r="274" spans="1:11">
      <c r="A274" t="s">
        <v>5126</v>
      </c>
      <c r="B274" t="s">
        <v>5126</v>
      </c>
      <c r="C274" t="s">
        <v>5127</v>
      </c>
      <c r="D274" t="s">
        <v>5128</v>
      </c>
      <c r="E274">
        <v>0</v>
      </c>
      <c r="G274">
        <v>24939</v>
      </c>
      <c r="H274" t="s">
        <v>5129</v>
      </c>
      <c r="I274">
        <v>25</v>
      </c>
      <c r="J274" t="s">
        <v>1903</v>
      </c>
      <c r="K274">
        <v>2</v>
      </c>
    </row>
    <row r="275" spans="1:11">
      <c r="A275" t="s">
        <v>5130</v>
      </c>
      <c r="B275" t="s">
        <v>5130</v>
      </c>
      <c r="C275" t="s">
        <v>5131</v>
      </c>
      <c r="D275" t="s">
        <v>5132</v>
      </c>
      <c r="E275">
        <v>0</v>
      </c>
      <c r="G275">
        <v>29.1</v>
      </c>
      <c r="H275" t="s">
        <v>5133</v>
      </c>
      <c r="I275">
        <v>1</v>
      </c>
      <c r="J275" t="s">
        <v>1916</v>
      </c>
      <c r="K275">
        <v>0</v>
      </c>
    </row>
    <row r="276" spans="1:11">
      <c r="A276" t="s">
        <v>5134</v>
      </c>
      <c r="B276" t="s">
        <v>5134</v>
      </c>
      <c r="C276" t="s">
        <v>5135</v>
      </c>
      <c r="D276" t="s">
        <v>5136</v>
      </c>
      <c r="E276">
        <v>0</v>
      </c>
      <c r="G276">
        <v>950</v>
      </c>
      <c r="H276" t="s">
        <v>5137</v>
      </c>
      <c r="I276">
        <v>10</v>
      </c>
      <c r="J276" t="s">
        <v>1968</v>
      </c>
      <c r="K276">
        <v>0</v>
      </c>
    </row>
    <row r="277" spans="1:11">
      <c r="A277" t="s">
        <v>5138</v>
      </c>
      <c r="B277" t="s">
        <v>5138</v>
      </c>
      <c r="C277" t="s">
        <v>5139</v>
      </c>
      <c r="D277" t="s">
        <v>5140</v>
      </c>
      <c r="E277">
        <v>0</v>
      </c>
      <c r="G277">
        <v>162.9</v>
      </c>
      <c r="H277" t="s">
        <v>5141</v>
      </c>
      <c r="I277">
        <v>2</v>
      </c>
      <c r="J277" t="s">
        <v>835</v>
      </c>
      <c r="K277">
        <v>2</v>
      </c>
    </row>
    <row r="278" spans="1:11">
      <c r="A278" t="s">
        <v>5142</v>
      </c>
      <c r="B278" t="s">
        <v>5142</v>
      </c>
      <c r="C278" t="s">
        <v>5143</v>
      </c>
      <c r="D278" t="s">
        <v>5144</v>
      </c>
      <c r="E278">
        <v>0</v>
      </c>
      <c r="G278">
        <v>17.100000000000001</v>
      </c>
      <c r="H278" t="s">
        <v>5145</v>
      </c>
      <c r="I278">
        <v>19</v>
      </c>
      <c r="J278" t="s">
        <v>1980</v>
      </c>
      <c r="K278">
        <v>0</v>
      </c>
    </row>
    <row r="279" spans="1:11">
      <c r="A279" t="s">
        <v>5146</v>
      </c>
      <c r="B279" t="s">
        <v>5146</v>
      </c>
      <c r="C279" t="s">
        <v>5147</v>
      </c>
      <c r="D279" t="s">
        <v>5148</v>
      </c>
      <c r="E279">
        <v>0</v>
      </c>
      <c r="G279">
        <v>372.9</v>
      </c>
      <c r="H279" t="s">
        <v>5149</v>
      </c>
      <c r="I279">
        <v>2</v>
      </c>
      <c r="J279" t="s">
        <v>835</v>
      </c>
      <c r="K279">
        <v>2</v>
      </c>
    </row>
    <row r="280" spans="1:11">
      <c r="A280" t="s">
        <v>5150</v>
      </c>
      <c r="B280" t="s">
        <v>5150</v>
      </c>
      <c r="C280" t="s">
        <v>5151</v>
      </c>
      <c r="D280" t="s">
        <v>5152</v>
      </c>
      <c r="E280">
        <v>0</v>
      </c>
      <c r="G280">
        <v>20.3</v>
      </c>
      <c r="H280" t="s">
        <v>5153</v>
      </c>
      <c r="I280">
        <v>1</v>
      </c>
      <c r="J280" t="s">
        <v>1916</v>
      </c>
      <c r="K280">
        <v>2</v>
      </c>
    </row>
    <row r="281" spans="1:11">
      <c r="A281" t="s">
        <v>5154</v>
      </c>
      <c r="B281" t="s">
        <v>5154</v>
      </c>
      <c r="C281" t="s">
        <v>5155</v>
      </c>
      <c r="D281" t="s">
        <v>5156</v>
      </c>
      <c r="E281">
        <v>0</v>
      </c>
      <c r="G281">
        <v>10.4</v>
      </c>
      <c r="H281" t="s">
        <v>5157</v>
      </c>
      <c r="I281">
        <v>1</v>
      </c>
      <c r="J281" t="s">
        <v>1916</v>
      </c>
      <c r="K281">
        <v>0</v>
      </c>
    </row>
    <row r="282" spans="1:11">
      <c r="A282" t="s">
        <v>5158</v>
      </c>
      <c r="B282" t="s">
        <v>5158</v>
      </c>
      <c r="C282" t="s">
        <v>5159</v>
      </c>
      <c r="D282" t="s">
        <v>5160</v>
      </c>
      <c r="E282">
        <v>0</v>
      </c>
      <c r="G282">
        <v>58.4</v>
      </c>
      <c r="H282" t="s">
        <v>5161</v>
      </c>
      <c r="I282">
        <v>14</v>
      </c>
      <c r="J282" t="s">
        <v>1899</v>
      </c>
      <c r="K282">
        <v>2</v>
      </c>
    </row>
    <row r="283" spans="1:11">
      <c r="A283" t="s">
        <v>5162</v>
      </c>
      <c r="B283" t="s">
        <v>5162</v>
      </c>
      <c r="C283" t="s">
        <v>5163</v>
      </c>
      <c r="D283" t="s">
        <v>5164</v>
      </c>
      <c r="E283">
        <v>0</v>
      </c>
      <c r="G283">
        <v>6.6</v>
      </c>
      <c r="H283" t="s">
        <v>5165</v>
      </c>
      <c r="I283">
        <v>1</v>
      </c>
      <c r="J283" t="s">
        <v>1916</v>
      </c>
      <c r="K283">
        <v>2</v>
      </c>
    </row>
    <row r="284" spans="1:11">
      <c r="A284" t="s">
        <v>5166</v>
      </c>
      <c r="B284" t="s">
        <v>5166</v>
      </c>
      <c r="C284" t="s">
        <v>5167</v>
      </c>
      <c r="D284" t="s">
        <v>5168</v>
      </c>
      <c r="E284">
        <v>0</v>
      </c>
      <c r="G284">
        <v>11.7</v>
      </c>
      <c r="H284" t="s">
        <v>5169</v>
      </c>
      <c r="I284">
        <v>1</v>
      </c>
      <c r="J284" t="s">
        <v>1916</v>
      </c>
      <c r="K284">
        <v>2</v>
      </c>
    </row>
    <row r="285" spans="1:11">
      <c r="A285" t="s">
        <v>5170</v>
      </c>
      <c r="B285" t="s">
        <v>5170</v>
      </c>
      <c r="C285" t="s">
        <v>5171</v>
      </c>
      <c r="D285" t="s">
        <v>5172</v>
      </c>
      <c r="E285">
        <v>0</v>
      </c>
      <c r="G285">
        <v>98.2</v>
      </c>
      <c r="H285" t="s">
        <v>5173</v>
      </c>
      <c r="I285">
        <v>24</v>
      </c>
      <c r="J285" t="s">
        <v>2057</v>
      </c>
      <c r="K285">
        <v>0</v>
      </c>
    </row>
    <row r="286" spans="1:11">
      <c r="A286" t="s">
        <v>5174</v>
      </c>
      <c r="B286" t="s">
        <v>5174</v>
      </c>
      <c r="C286" t="s">
        <v>5175</v>
      </c>
      <c r="D286" t="s">
        <v>5176</v>
      </c>
      <c r="E286">
        <v>0</v>
      </c>
      <c r="G286">
        <v>13.5</v>
      </c>
      <c r="H286" t="s">
        <v>5177</v>
      </c>
      <c r="I286">
        <v>1</v>
      </c>
      <c r="J286" t="s">
        <v>1916</v>
      </c>
      <c r="K286">
        <v>0</v>
      </c>
    </row>
    <row r="287" spans="1:11">
      <c r="A287" t="s">
        <v>5178</v>
      </c>
      <c r="B287" t="s">
        <v>5178</v>
      </c>
      <c r="C287" t="s">
        <v>5179</v>
      </c>
      <c r="D287" t="s">
        <v>5180</v>
      </c>
      <c r="E287">
        <v>0</v>
      </c>
      <c r="G287">
        <v>82.8</v>
      </c>
      <c r="H287" t="s">
        <v>5181</v>
      </c>
      <c r="I287">
        <v>1</v>
      </c>
      <c r="J287" t="s">
        <v>1916</v>
      </c>
      <c r="K287">
        <v>0</v>
      </c>
    </row>
    <row r="288" spans="1:11">
      <c r="A288" t="s">
        <v>5182</v>
      </c>
      <c r="B288" t="s">
        <v>5182</v>
      </c>
      <c r="C288" t="s">
        <v>1708</v>
      </c>
      <c r="D288" t="s">
        <v>5183</v>
      </c>
      <c r="E288">
        <v>0</v>
      </c>
      <c r="G288">
        <v>141.69999999999999</v>
      </c>
      <c r="H288" t="s">
        <v>5184</v>
      </c>
      <c r="I288">
        <v>1</v>
      </c>
      <c r="J288" t="s">
        <v>1916</v>
      </c>
      <c r="K288">
        <v>2</v>
      </c>
    </row>
    <row r="289" spans="1:11">
      <c r="A289" t="s">
        <v>5185</v>
      </c>
      <c r="B289" t="s">
        <v>5185</v>
      </c>
      <c r="C289" t="s">
        <v>5186</v>
      </c>
      <c r="D289" t="s">
        <v>5187</v>
      </c>
      <c r="E289">
        <v>0</v>
      </c>
      <c r="G289">
        <v>2.4900000000000002</v>
      </c>
      <c r="H289" t="s">
        <v>5188</v>
      </c>
      <c r="I289">
        <v>14</v>
      </c>
      <c r="J289" t="s">
        <v>1899</v>
      </c>
      <c r="K289">
        <v>0</v>
      </c>
    </row>
    <row r="290" spans="1:11">
      <c r="A290" t="s">
        <v>5189</v>
      </c>
      <c r="B290" t="s">
        <v>5189</v>
      </c>
      <c r="C290" t="s">
        <v>5190</v>
      </c>
      <c r="D290" t="s">
        <v>5191</v>
      </c>
      <c r="E290">
        <v>0</v>
      </c>
      <c r="G290">
        <v>87.1</v>
      </c>
      <c r="H290" t="s">
        <v>5192</v>
      </c>
      <c r="I290">
        <v>16</v>
      </c>
      <c r="J290" t="s">
        <v>3385</v>
      </c>
      <c r="K290">
        <v>0</v>
      </c>
    </row>
    <row r="291" spans="1:11">
      <c r="A291" t="s">
        <v>5193</v>
      </c>
      <c r="B291" t="s">
        <v>5193</v>
      </c>
      <c r="C291" t="s">
        <v>5194</v>
      </c>
      <c r="D291" t="s">
        <v>5195</v>
      </c>
      <c r="E291">
        <v>0</v>
      </c>
      <c r="G291">
        <v>12.8</v>
      </c>
      <c r="H291" t="s">
        <v>5196</v>
      </c>
      <c r="I291">
        <v>1</v>
      </c>
      <c r="J291" t="s">
        <v>1916</v>
      </c>
      <c r="K291">
        <v>2</v>
      </c>
    </row>
    <row r="292" spans="1:11">
      <c r="A292" t="s">
        <v>5197</v>
      </c>
      <c r="B292" t="s">
        <v>5197</v>
      </c>
      <c r="C292" t="s">
        <v>5198</v>
      </c>
      <c r="D292" t="s">
        <v>5199</v>
      </c>
      <c r="E292">
        <v>0</v>
      </c>
      <c r="G292">
        <v>6.1</v>
      </c>
      <c r="H292" t="s">
        <v>5200</v>
      </c>
      <c r="I292">
        <v>1</v>
      </c>
      <c r="J292" t="s">
        <v>1916</v>
      </c>
      <c r="K292">
        <v>0</v>
      </c>
    </row>
    <row r="293" spans="1:11">
      <c r="A293" t="s">
        <v>5201</v>
      </c>
      <c r="B293" t="s">
        <v>5201</v>
      </c>
      <c r="C293" t="s">
        <v>5202</v>
      </c>
      <c r="E293">
        <v>0</v>
      </c>
      <c r="G293">
        <v>175</v>
      </c>
      <c r="H293" t="s">
        <v>5203</v>
      </c>
      <c r="I293">
        <v>25</v>
      </c>
      <c r="J293" t="s">
        <v>1903</v>
      </c>
      <c r="K293">
        <v>2</v>
      </c>
    </row>
    <row r="294" spans="1:11">
      <c r="A294" t="s">
        <v>5204</v>
      </c>
      <c r="B294" t="s">
        <v>5204</v>
      </c>
      <c r="C294" t="s">
        <v>5205</v>
      </c>
      <c r="D294" t="s">
        <v>5206</v>
      </c>
      <c r="E294">
        <v>0</v>
      </c>
      <c r="G294">
        <v>10.4</v>
      </c>
      <c r="H294" t="s">
        <v>5207</v>
      </c>
      <c r="I294">
        <v>1</v>
      </c>
      <c r="J294" t="s">
        <v>1916</v>
      </c>
      <c r="K294">
        <v>0</v>
      </c>
    </row>
    <row r="295" spans="1:11">
      <c r="A295" t="s">
        <v>5208</v>
      </c>
      <c r="B295" t="s">
        <v>5208</v>
      </c>
      <c r="C295" t="s">
        <v>5209</v>
      </c>
      <c r="D295" t="s">
        <v>5210</v>
      </c>
      <c r="E295">
        <v>0</v>
      </c>
      <c r="G295">
        <v>77.900000000000006</v>
      </c>
      <c r="H295" t="s">
        <v>5211</v>
      </c>
      <c r="I295">
        <v>22</v>
      </c>
      <c r="J295" t="s">
        <v>2663</v>
      </c>
      <c r="K295">
        <v>0</v>
      </c>
    </row>
    <row r="296" spans="1:11">
      <c r="A296" t="s">
        <v>5212</v>
      </c>
      <c r="B296" t="s">
        <v>5212</v>
      </c>
      <c r="C296" t="s">
        <v>5213</v>
      </c>
      <c r="D296" t="s">
        <v>5214</v>
      </c>
      <c r="E296">
        <v>0</v>
      </c>
      <c r="G296">
        <v>1.21</v>
      </c>
      <c r="H296" t="s">
        <v>5215</v>
      </c>
      <c r="I296">
        <v>17</v>
      </c>
      <c r="J296" t="s">
        <v>2091</v>
      </c>
      <c r="K296">
        <v>0</v>
      </c>
    </row>
    <row r="297" spans="1:11">
      <c r="A297" t="s">
        <v>5216</v>
      </c>
      <c r="B297" t="s">
        <v>5216</v>
      </c>
      <c r="C297" t="s">
        <v>5217</v>
      </c>
      <c r="D297" t="s">
        <v>5218</v>
      </c>
      <c r="E297">
        <v>0</v>
      </c>
      <c r="G297">
        <v>11.2</v>
      </c>
      <c r="H297" t="s">
        <v>5219</v>
      </c>
      <c r="I297">
        <v>1</v>
      </c>
      <c r="J297" t="s">
        <v>1916</v>
      </c>
      <c r="K297">
        <v>0</v>
      </c>
    </row>
    <row r="298" spans="1:11">
      <c r="A298" t="s">
        <v>5220</v>
      </c>
      <c r="B298" t="s">
        <v>5220</v>
      </c>
      <c r="C298" t="s">
        <v>5221</v>
      </c>
      <c r="D298" t="s">
        <v>5222</v>
      </c>
      <c r="E298">
        <v>0</v>
      </c>
      <c r="G298">
        <v>50.1</v>
      </c>
      <c r="H298" t="s">
        <v>5223</v>
      </c>
      <c r="I298">
        <v>3</v>
      </c>
      <c r="J298" t="s">
        <v>1939</v>
      </c>
      <c r="K298">
        <v>0</v>
      </c>
    </row>
    <row r="299" spans="1:11">
      <c r="A299" t="s">
        <v>5224</v>
      </c>
      <c r="B299" t="s">
        <v>5224</v>
      </c>
      <c r="C299" t="s">
        <v>5225</v>
      </c>
      <c r="D299" t="s">
        <v>5226</v>
      </c>
      <c r="E299">
        <v>0</v>
      </c>
      <c r="G299">
        <v>17422.8</v>
      </c>
      <c r="H299" t="s">
        <v>5227</v>
      </c>
      <c r="I299">
        <v>1</v>
      </c>
      <c r="J299" t="s">
        <v>1916</v>
      </c>
      <c r="K299">
        <v>0</v>
      </c>
    </row>
    <row r="300" spans="1:11">
      <c r="A300" t="s">
        <v>5228</v>
      </c>
      <c r="B300" t="s">
        <v>5228</v>
      </c>
      <c r="C300" t="s">
        <v>5229</v>
      </c>
      <c r="D300" t="s">
        <v>5230</v>
      </c>
      <c r="E300">
        <v>0</v>
      </c>
      <c r="G300">
        <v>139.4</v>
      </c>
      <c r="H300" t="s">
        <v>5231</v>
      </c>
      <c r="I300">
        <v>14</v>
      </c>
      <c r="J300" t="s">
        <v>1899</v>
      </c>
      <c r="K300">
        <v>2</v>
      </c>
    </row>
    <row r="301" spans="1:11">
      <c r="A301" t="s">
        <v>5232</v>
      </c>
      <c r="B301" t="s">
        <v>5232</v>
      </c>
      <c r="C301" t="s">
        <v>1742</v>
      </c>
      <c r="E301">
        <v>0</v>
      </c>
      <c r="G301">
        <v>17</v>
      </c>
      <c r="H301" t="s">
        <v>5233</v>
      </c>
      <c r="I301">
        <v>1</v>
      </c>
      <c r="J301" t="s">
        <v>1916</v>
      </c>
      <c r="K301">
        <v>0</v>
      </c>
    </row>
    <row r="302" spans="1:11">
      <c r="A302" t="s">
        <v>5234</v>
      </c>
      <c r="B302" t="s">
        <v>5234</v>
      </c>
      <c r="C302" t="s">
        <v>5235</v>
      </c>
      <c r="D302" t="s">
        <v>5236</v>
      </c>
      <c r="E302">
        <v>0</v>
      </c>
      <c r="G302">
        <v>1484</v>
      </c>
      <c r="H302" t="s">
        <v>5237</v>
      </c>
      <c r="I302">
        <v>25</v>
      </c>
      <c r="J302" t="s">
        <v>1903</v>
      </c>
      <c r="K302">
        <v>2</v>
      </c>
    </row>
    <row r="303" spans="1:11">
      <c r="A303" t="s">
        <v>5238</v>
      </c>
      <c r="B303" t="s">
        <v>5238</v>
      </c>
      <c r="C303" t="s">
        <v>5239</v>
      </c>
      <c r="D303" t="s">
        <v>5240</v>
      </c>
      <c r="E303">
        <v>0</v>
      </c>
      <c r="G303">
        <v>61.8</v>
      </c>
      <c r="H303" t="s">
        <v>5241</v>
      </c>
      <c r="I303">
        <v>1</v>
      </c>
      <c r="J303" t="s">
        <v>1916</v>
      </c>
      <c r="K303">
        <v>0</v>
      </c>
    </row>
    <row r="304" spans="1:11">
      <c r="A304" t="s">
        <v>5242</v>
      </c>
      <c r="B304" t="s">
        <v>5242</v>
      </c>
      <c r="C304" t="s">
        <v>5243</v>
      </c>
      <c r="D304" t="s">
        <v>5244</v>
      </c>
      <c r="E304">
        <v>0</v>
      </c>
      <c r="G304">
        <v>10.9</v>
      </c>
      <c r="H304" t="s">
        <v>5245</v>
      </c>
      <c r="I304">
        <v>1</v>
      </c>
      <c r="J304" t="s">
        <v>1916</v>
      </c>
      <c r="K304">
        <v>0</v>
      </c>
    </row>
    <row r="305" spans="1:11">
      <c r="A305" t="s">
        <v>5246</v>
      </c>
      <c r="B305" t="s">
        <v>5246</v>
      </c>
      <c r="C305" t="s">
        <v>5247</v>
      </c>
      <c r="D305" t="s">
        <v>5248</v>
      </c>
      <c r="E305">
        <v>0</v>
      </c>
      <c r="G305">
        <v>15.7</v>
      </c>
      <c r="H305" t="s">
        <v>5249</v>
      </c>
      <c r="I305">
        <v>1</v>
      </c>
      <c r="J305" t="s">
        <v>1916</v>
      </c>
      <c r="K305">
        <v>2</v>
      </c>
    </row>
    <row r="306" spans="1:11">
      <c r="A306" t="s">
        <v>5250</v>
      </c>
      <c r="B306" t="s">
        <v>5250</v>
      </c>
      <c r="C306" t="s">
        <v>5251</v>
      </c>
      <c r="D306" t="s">
        <v>5252</v>
      </c>
      <c r="E306">
        <v>0</v>
      </c>
      <c r="G306">
        <v>18.100000000000001</v>
      </c>
      <c r="H306" t="s">
        <v>5253</v>
      </c>
      <c r="I306">
        <v>3</v>
      </c>
      <c r="J306" t="s">
        <v>1939</v>
      </c>
      <c r="K306">
        <v>0</v>
      </c>
    </row>
    <row r="307" spans="1:11">
      <c r="A307" t="s">
        <v>5254</v>
      </c>
      <c r="B307" t="s">
        <v>5254</v>
      </c>
      <c r="C307" t="s">
        <v>5255</v>
      </c>
      <c r="D307" t="s">
        <v>5256</v>
      </c>
      <c r="E307">
        <v>0</v>
      </c>
      <c r="G307">
        <v>86.4</v>
      </c>
      <c r="H307" t="s">
        <v>5257</v>
      </c>
      <c r="I307">
        <v>21</v>
      </c>
      <c r="J307" t="s">
        <v>1946</v>
      </c>
      <c r="K307">
        <v>0</v>
      </c>
    </row>
    <row r="308" spans="1:11">
      <c r="A308" t="s">
        <v>5258</v>
      </c>
      <c r="B308" t="s">
        <v>5258</v>
      </c>
      <c r="C308" t="s">
        <v>5259</v>
      </c>
      <c r="D308" t="s">
        <v>5260</v>
      </c>
      <c r="E308">
        <v>0</v>
      </c>
      <c r="G308">
        <v>10.5</v>
      </c>
      <c r="H308" t="s">
        <v>5261</v>
      </c>
      <c r="I308">
        <v>1</v>
      </c>
      <c r="J308" t="s">
        <v>1916</v>
      </c>
      <c r="K308">
        <v>0</v>
      </c>
    </row>
    <row r="309" spans="1:11">
      <c r="A309" t="s">
        <v>5262</v>
      </c>
      <c r="B309" t="s">
        <v>5262</v>
      </c>
      <c r="C309" t="s">
        <v>5263</v>
      </c>
      <c r="D309" t="s">
        <v>5264</v>
      </c>
      <c r="E309">
        <v>0</v>
      </c>
      <c r="G309">
        <v>656</v>
      </c>
      <c r="H309" t="s">
        <v>5265</v>
      </c>
      <c r="I309">
        <v>25</v>
      </c>
      <c r="J309" t="s">
        <v>1903</v>
      </c>
      <c r="K309">
        <v>0</v>
      </c>
    </row>
    <row r="310" spans="1:11">
      <c r="A310" t="s">
        <v>5266</v>
      </c>
      <c r="B310" t="s">
        <v>5266</v>
      </c>
      <c r="C310" t="s">
        <v>5267</v>
      </c>
      <c r="E310">
        <v>0</v>
      </c>
      <c r="G310">
        <v>656</v>
      </c>
      <c r="H310" t="s">
        <v>5268</v>
      </c>
      <c r="I310">
        <v>25</v>
      </c>
      <c r="J310" t="s">
        <v>1903</v>
      </c>
      <c r="K310">
        <v>0</v>
      </c>
    </row>
    <row r="311" spans="1:11">
      <c r="A311" t="s">
        <v>5269</v>
      </c>
      <c r="B311" t="s">
        <v>5269</v>
      </c>
      <c r="C311" t="s">
        <v>5270</v>
      </c>
      <c r="D311" t="s">
        <v>5271</v>
      </c>
      <c r="E311">
        <v>0</v>
      </c>
      <c r="G311">
        <v>14.4</v>
      </c>
      <c r="H311" t="s">
        <v>5272</v>
      </c>
      <c r="I311">
        <v>14</v>
      </c>
      <c r="J311" t="s">
        <v>1899</v>
      </c>
      <c r="K311">
        <v>2</v>
      </c>
    </row>
    <row r="312" spans="1:11">
      <c r="A312" t="s">
        <v>5273</v>
      </c>
      <c r="B312" t="s">
        <v>5273</v>
      </c>
      <c r="C312" t="s">
        <v>5274</v>
      </c>
      <c r="D312" t="s">
        <v>5275</v>
      </c>
      <c r="E312">
        <v>0</v>
      </c>
      <c r="G312">
        <v>2621.9</v>
      </c>
      <c r="H312" t="s">
        <v>5276</v>
      </c>
      <c r="I312">
        <v>1</v>
      </c>
      <c r="J312" t="s">
        <v>1916</v>
      </c>
      <c r="K312">
        <v>0</v>
      </c>
    </row>
    <row r="313" spans="1:11">
      <c r="A313" t="s">
        <v>5277</v>
      </c>
      <c r="B313" t="s">
        <v>5277</v>
      </c>
      <c r="C313" t="s">
        <v>1767</v>
      </c>
      <c r="E313">
        <v>0</v>
      </c>
      <c r="G313">
        <v>42.4</v>
      </c>
      <c r="H313" t="s">
        <v>5278</v>
      </c>
      <c r="I313">
        <v>1</v>
      </c>
      <c r="J313" t="s">
        <v>1916</v>
      </c>
      <c r="K313">
        <v>0</v>
      </c>
    </row>
    <row r="314" spans="1:11">
      <c r="A314" t="s">
        <v>5279</v>
      </c>
      <c r="B314" t="s">
        <v>5279</v>
      </c>
      <c r="C314" t="s">
        <v>5280</v>
      </c>
      <c r="D314" t="s">
        <v>5281</v>
      </c>
      <c r="E314">
        <v>0</v>
      </c>
      <c r="G314">
        <v>28.9</v>
      </c>
      <c r="H314" t="s">
        <v>5282</v>
      </c>
      <c r="I314">
        <v>1</v>
      </c>
      <c r="J314" t="s">
        <v>1916</v>
      </c>
      <c r="K314">
        <v>2</v>
      </c>
    </row>
    <row r="315" spans="1:11">
      <c r="A315" t="s">
        <v>5283</v>
      </c>
      <c r="B315" t="s">
        <v>5283</v>
      </c>
      <c r="C315" t="s">
        <v>5284</v>
      </c>
      <c r="D315" t="s">
        <v>5285</v>
      </c>
      <c r="E315">
        <v>0</v>
      </c>
      <c r="G315">
        <v>1.07</v>
      </c>
      <c r="H315" t="s">
        <v>5286</v>
      </c>
      <c r="I315">
        <v>24</v>
      </c>
      <c r="J315" t="s">
        <v>2057</v>
      </c>
      <c r="K315">
        <v>0</v>
      </c>
    </row>
    <row r="316" spans="1:11">
      <c r="A316" t="s">
        <v>5287</v>
      </c>
      <c r="B316" t="s">
        <v>5287</v>
      </c>
      <c r="C316" t="s">
        <v>5288</v>
      </c>
      <c r="D316" t="s">
        <v>5289</v>
      </c>
      <c r="E316">
        <v>0</v>
      </c>
      <c r="G316">
        <v>170.4</v>
      </c>
      <c r="H316" t="s">
        <v>5290</v>
      </c>
      <c r="I316">
        <v>21</v>
      </c>
      <c r="J316" t="s">
        <v>1946</v>
      </c>
      <c r="K316">
        <v>0</v>
      </c>
    </row>
    <row r="317" spans="1:11">
      <c r="A317" t="s">
        <v>5291</v>
      </c>
      <c r="B317" t="s">
        <v>5291</v>
      </c>
      <c r="C317" t="s">
        <v>5292</v>
      </c>
      <c r="E317">
        <v>0</v>
      </c>
      <c r="G317">
        <v>151</v>
      </c>
      <c r="H317" t="s">
        <v>5293</v>
      </c>
      <c r="I317">
        <v>21</v>
      </c>
      <c r="J317" t="s">
        <v>1946</v>
      </c>
      <c r="K317">
        <v>0</v>
      </c>
    </row>
    <row r="318" spans="1:11">
      <c r="A318" t="s">
        <v>5294</v>
      </c>
      <c r="B318" t="s">
        <v>5294</v>
      </c>
      <c r="C318" t="s">
        <v>4073</v>
      </c>
      <c r="E318">
        <v>0</v>
      </c>
      <c r="G318">
        <v>1910</v>
      </c>
      <c r="H318" t="s">
        <v>5295</v>
      </c>
      <c r="I318">
        <v>25</v>
      </c>
      <c r="J318" t="s">
        <v>1903</v>
      </c>
      <c r="K318">
        <v>2</v>
      </c>
    </row>
    <row r="319" spans="1:11">
      <c r="A319" t="s">
        <v>5296</v>
      </c>
      <c r="B319" t="s">
        <v>5296</v>
      </c>
      <c r="C319" t="s">
        <v>5297</v>
      </c>
      <c r="E319">
        <v>0</v>
      </c>
      <c r="G319">
        <v>154.5</v>
      </c>
      <c r="H319" t="s">
        <v>5298</v>
      </c>
      <c r="I319">
        <v>1</v>
      </c>
      <c r="J319" t="s">
        <v>1916</v>
      </c>
      <c r="K319">
        <v>0</v>
      </c>
    </row>
    <row r="320" spans="1:11">
      <c r="A320" t="s">
        <v>5299</v>
      </c>
      <c r="B320" t="s">
        <v>5299</v>
      </c>
      <c r="C320" t="s">
        <v>1800</v>
      </c>
      <c r="D320" t="s">
        <v>5300</v>
      </c>
      <c r="E320">
        <v>0</v>
      </c>
      <c r="G320">
        <v>10.4</v>
      </c>
      <c r="H320" t="s">
        <v>5301</v>
      </c>
      <c r="I320">
        <v>1</v>
      </c>
      <c r="J320" t="s">
        <v>1916</v>
      </c>
      <c r="K320">
        <v>2</v>
      </c>
    </row>
    <row r="321" spans="1:11">
      <c r="A321" t="s">
        <v>5302</v>
      </c>
      <c r="B321" t="s">
        <v>5302</v>
      </c>
      <c r="C321" t="s">
        <v>5303</v>
      </c>
      <c r="D321" t="s">
        <v>5304</v>
      </c>
      <c r="E321">
        <v>0</v>
      </c>
      <c r="G321">
        <v>34.700000000000003</v>
      </c>
      <c r="H321" t="s">
        <v>5305</v>
      </c>
      <c r="I321">
        <v>7</v>
      </c>
      <c r="J321" t="s">
        <v>2143</v>
      </c>
      <c r="K321">
        <v>2</v>
      </c>
    </row>
    <row r="322" spans="1:11">
      <c r="A322" t="s">
        <v>5306</v>
      </c>
      <c r="B322" t="s">
        <v>5306</v>
      </c>
      <c r="C322" t="s">
        <v>1802</v>
      </c>
      <c r="D322" t="s">
        <v>5307</v>
      </c>
      <c r="E322">
        <v>0</v>
      </c>
      <c r="G322">
        <v>10.4</v>
      </c>
      <c r="H322" t="s">
        <v>5308</v>
      </c>
      <c r="I322">
        <v>1</v>
      </c>
      <c r="J322" t="s">
        <v>1916</v>
      </c>
      <c r="K322">
        <v>2</v>
      </c>
    </row>
    <row r="323" spans="1:11">
      <c r="A323" t="s">
        <v>5309</v>
      </c>
      <c r="B323" t="s">
        <v>5309</v>
      </c>
      <c r="C323" t="s">
        <v>5310</v>
      </c>
      <c r="D323" t="s">
        <v>5311</v>
      </c>
      <c r="E323">
        <v>0</v>
      </c>
      <c r="G323">
        <v>10.4</v>
      </c>
      <c r="H323" t="s">
        <v>5312</v>
      </c>
      <c r="I323">
        <v>1</v>
      </c>
      <c r="J323" t="s">
        <v>1916</v>
      </c>
      <c r="K323">
        <v>2</v>
      </c>
    </row>
    <row r="324" spans="1:11">
      <c r="A324" t="s">
        <v>5313</v>
      </c>
      <c r="B324" t="s">
        <v>5313</v>
      </c>
      <c r="C324" t="s">
        <v>5314</v>
      </c>
      <c r="D324" t="s">
        <v>5315</v>
      </c>
      <c r="E324">
        <v>0</v>
      </c>
      <c r="G324">
        <v>10.9</v>
      </c>
      <c r="H324" t="s">
        <v>5316</v>
      </c>
      <c r="I324">
        <v>1</v>
      </c>
      <c r="J324" t="s">
        <v>1916</v>
      </c>
      <c r="K324">
        <v>2</v>
      </c>
    </row>
    <row r="325" spans="1:11">
      <c r="A325" t="s">
        <v>5317</v>
      </c>
      <c r="B325" t="s">
        <v>5317</v>
      </c>
      <c r="C325" t="s">
        <v>1804</v>
      </c>
      <c r="D325" t="s">
        <v>5318</v>
      </c>
      <c r="E325">
        <v>0</v>
      </c>
      <c r="G325">
        <v>46.9</v>
      </c>
      <c r="H325" t="s">
        <v>5319</v>
      </c>
      <c r="I325">
        <v>3</v>
      </c>
      <c r="J325" t="s">
        <v>1939</v>
      </c>
      <c r="K325">
        <v>2</v>
      </c>
    </row>
    <row r="326" spans="1:11">
      <c r="A326" t="s">
        <v>5320</v>
      </c>
      <c r="B326" t="s">
        <v>5320</v>
      </c>
      <c r="C326" t="s">
        <v>5321</v>
      </c>
      <c r="D326" t="s">
        <v>5322</v>
      </c>
      <c r="E326">
        <v>0</v>
      </c>
      <c r="G326">
        <v>30.1</v>
      </c>
      <c r="H326" t="s">
        <v>5323</v>
      </c>
      <c r="I326">
        <v>2</v>
      </c>
      <c r="J326" t="s">
        <v>835</v>
      </c>
      <c r="K326">
        <v>0</v>
      </c>
    </row>
    <row r="327" spans="1:11">
      <c r="A327" t="s">
        <v>5324</v>
      </c>
      <c r="B327" t="s">
        <v>5324</v>
      </c>
      <c r="C327" t="s">
        <v>5325</v>
      </c>
      <c r="D327" t="s">
        <v>5326</v>
      </c>
      <c r="E327">
        <v>0</v>
      </c>
      <c r="G327">
        <v>71.2</v>
      </c>
      <c r="H327" t="s">
        <v>5327</v>
      </c>
      <c r="I327">
        <v>19</v>
      </c>
      <c r="J327" t="s">
        <v>1980</v>
      </c>
      <c r="K327">
        <v>2</v>
      </c>
    </row>
    <row r="328" spans="1:11">
      <c r="A328" t="s">
        <v>5328</v>
      </c>
      <c r="B328" t="s">
        <v>5328</v>
      </c>
      <c r="C328" t="s">
        <v>5329</v>
      </c>
      <c r="D328" t="s">
        <v>5330</v>
      </c>
      <c r="E328">
        <v>0</v>
      </c>
      <c r="G328">
        <v>80.400000000000006</v>
      </c>
      <c r="H328" t="s">
        <v>5331</v>
      </c>
      <c r="I328">
        <v>19</v>
      </c>
      <c r="J328" t="s">
        <v>1980</v>
      </c>
      <c r="K328">
        <v>2</v>
      </c>
    </row>
    <row r="329" spans="1:11">
      <c r="A329" t="s">
        <v>5332</v>
      </c>
      <c r="B329" t="s">
        <v>5332</v>
      </c>
      <c r="C329" t="s">
        <v>5333</v>
      </c>
      <c r="D329" t="s">
        <v>5334</v>
      </c>
      <c r="E329">
        <v>0</v>
      </c>
      <c r="G329">
        <v>84</v>
      </c>
      <c r="H329" t="s">
        <v>5335</v>
      </c>
      <c r="I329">
        <v>19</v>
      </c>
      <c r="J329" t="s">
        <v>1980</v>
      </c>
      <c r="K329">
        <v>2</v>
      </c>
    </row>
    <row r="330" spans="1:11">
      <c r="A330" t="s">
        <v>5336</v>
      </c>
      <c r="B330" t="s">
        <v>5336</v>
      </c>
      <c r="C330" t="s">
        <v>5337</v>
      </c>
      <c r="D330" t="s">
        <v>5338</v>
      </c>
      <c r="E330">
        <v>0</v>
      </c>
      <c r="G330">
        <v>89.5</v>
      </c>
      <c r="H330" t="s">
        <v>5339</v>
      </c>
      <c r="I330">
        <v>19</v>
      </c>
      <c r="J330" t="s">
        <v>1980</v>
      </c>
      <c r="K330">
        <v>2</v>
      </c>
    </row>
    <row r="331" spans="1:11">
      <c r="A331" t="s">
        <v>5340</v>
      </c>
      <c r="B331" t="s">
        <v>5340</v>
      </c>
      <c r="C331" t="s">
        <v>5341</v>
      </c>
      <c r="E331">
        <v>0</v>
      </c>
      <c r="G331">
        <v>161.30000000000001</v>
      </c>
      <c r="H331" t="s">
        <v>5342</v>
      </c>
      <c r="I331">
        <v>1</v>
      </c>
      <c r="J331" t="s">
        <v>1916</v>
      </c>
      <c r="K331">
        <v>0</v>
      </c>
    </row>
    <row r="332" spans="1:11">
      <c r="A332" t="s">
        <v>5343</v>
      </c>
      <c r="B332" t="s">
        <v>5343</v>
      </c>
      <c r="C332" t="s">
        <v>5344</v>
      </c>
      <c r="D332" t="s">
        <v>5345</v>
      </c>
      <c r="E332">
        <v>0</v>
      </c>
      <c r="G332">
        <v>16.899999999999999</v>
      </c>
      <c r="H332" t="s">
        <v>5346</v>
      </c>
      <c r="I332">
        <v>2</v>
      </c>
      <c r="J332" t="s">
        <v>835</v>
      </c>
      <c r="K332">
        <v>0</v>
      </c>
    </row>
    <row r="333" spans="1:11">
      <c r="A333" t="s">
        <v>5347</v>
      </c>
      <c r="B333" t="s">
        <v>5347</v>
      </c>
      <c r="C333" t="s">
        <v>1816</v>
      </c>
      <c r="E333">
        <v>0</v>
      </c>
      <c r="G333">
        <v>235.1</v>
      </c>
      <c r="H333" t="s">
        <v>5348</v>
      </c>
      <c r="I333">
        <v>1</v>
      </c>
      <c r="J333" t="s">
        <v>1916</v>
      </c>
      <c r="K333">
        <v>0</v>
      </c>
    </row>
    <row r="334" spans="1:11">
      <c r="A334" t="s">
        <v>5349</v>
      </c>
      <c r="B334" t="s">
        <v>5349</v>
      </c>
      <c r="C334" t="s">
        <v>5350</v>
      </c>
      <c r="D334" t="s">
        <v>5351</v>
      </c>
      <c r="E334">
        <v>0</v>
      </c>
      <c r="G334">
        <v>0</v>
      </c>
      <c r="H334" t="s">
        <v>5351</v>
      </c>
      <c r="I334">
        <v>25</v>
      </c>
      <c r="J334" t="s">
        <v>1903</v>
      </c>
      <c r="K334">
        <v>0</v>
      </c>
    </row>
    <row r="335" spans="1:11">
      <c r="A335" t="s">
        <v>5352</v>
      </c>
      <c r="B335" t="s">
        <v>5352</v>
      </c>
      <c r="C335" t="s">
        <v>5353</v>
      </c>
      <c r="D335" t="s">
        <v>5354</v>
      </c>
      <c r="E335">
        <v>0</v>
      </c>
      <c r="G335">
        <v>396</v>
      </c>
      <c r="H335" t="s">
        <v>5355</v>
      </c>
      <c r="I335">
        <v>25</v>
      </c>
      <c r="J335" t="s">
        <v>1903</v>
      </c>
      <c r="K335">
        <v>0</v>
      </c>
    </row>
    <row r="336" spans="1:11">
      <c r="A336" t="s">
        <v>5356</v>
      </c>
      <c r="B336" t="s">
        <v>5356</v>
      </c>
      <c r="C336" t="s">
        <v>5357</v>
      </c>
      <c r="D336" t="s">
        <v>5358</v>
      </c>
      <c r="E336">
        <v>0</v>
      </c>
      <c r="G336">
        <v>67.7</v>
      </c>
      <c r="H336" t="s">
        <v>5359</v>
      </c>
      <c r="I336">
        <v>14</v>
      </c>
      <c r="J336" t="s">
        <v>1899</v>
      </c>
      <c r="K336">
        <v>0</v>
      </c>
    </row>
    <row r="337" spans="1:11">
      <c r="A337" t="s">
        <v>5360</v>
      </c>
      <c r="B337" t="s">
        <v>5360</v>
      </c>
      <c r="C337" t="s">
        <v>5361</v>
      </c>
      <c r="D337" t="s">
        <v>5362</v>
      </c>
      <c r="E337">
        <v>0</v>
      </c>
      <c r="G337">
        <v>12</v>
      </c>
      <c r="H337" t="s">
        <v>5363</v>
      </c>
      <c r="I337">
        <v>1</v>
      </c>
      <c r="J337" t="s">
        <v>1916</v>
      </c>
      <c r="K337">
        <v>0</v>
      </c>
    </row>
    <row r="338" spans="1:11">
      <c r="A338" t="s">
        <v>5364</v>
      </c>
      <c r="B338" t="s">
        <v>5364</v>
      </c>
      <c r="C338" t="s">
        <v>5365</v>
      </c>
      <c r="D338" t="s">
        <v>5366</v>
      </c>
      <c r="E338">
        <v>0</v>
      </c>
      <c r="G338">
        <v>14.4</v>
      </c>
      <c r="H338" t="s">
        <v>5367</v>
      </c>
      <c r="I338">
        <v>1</v>
      </c>
      <c r="J338" t="s">
        <v>1916</v>
      </c>
      <c r="K338">
        <v>0</v>
      </c>
    </row>
    <row r="339" spans="1:11">
      <c r="A339" t="s">
        <v>5368</v>
      </c>
      <c r="B339" t="s">
        <v>5368</v>
      </c>
      <c r="C339" t="s">
        <v>4069</v>
      </c>
      <c r="D339" t="s">
        <v>5369</v>
      </c>
      <c r="E339">
        <v>0</v>
      </c>
      <c r="G339">
        <v>14.1</v>
      </c>
      <c r="H339" t="s">
        <v>5370</v>
      </c>
      <c r="I339">
        <v>1</v>
      </c>
      <c r="J339" t="s">
        <v>1916</v>
      </c>
      <c r="K339">
        <v>0</v>
      </c>
    </row>
    <row r="340" spans="1:11">
      <c r="A340" t="s">
        <v>5371</v>
      </c>
      <c r="B340" t="s">
        <v>5371</v>
      </c>
      <c r="C340" t="s">
        <v>5372</v>
      </c>
      <c r="D340" t="s">
        <v>5373</v>
      </c>
      <c r="E340">
        <v>0</v>
      </c>
      <c r="G340">
        <v>25.4</v>
      </c>
      <c r="H340" t="s">
        <v>5374</v>
      </c>
      <c r="I340">
        <v>1</v>
      </c>
      <c r="J340" t="s">
        <v>1916</v>
      </c>
      <c r="K340">
        <v>0</v>
      </c>
    </row>
    <row r="341" spans="1:11">
      <c r="A341" t="s">
        <v>5375</v>
      </c>
      <c r="B341" t="s">
        <v>5375</v>
      </c>
      <c r="C341" t="s">
        <v>5376</v>
      </c>
      <c r="D341" t="s">
        <v>5377</v>
      </c>
      <c r="E341">
        <v>0</v>
      </c>
      <c r="G341">
        <v>63.7</v>
      </c>
      <c r="H341" t="s">
        <v>5378</v>
      </c>
      <c r="I341">
        <v>3</v>
      </c>
      <c r="J341" t="s">
        <v>1939</v>
      </c>
      <c r="K341">
        <v>0</v>
      </c>
    </row>
    <row r="342" spans="1:11">
      <c r="A342" t="s">
        <v>5379</v>
      </c>
      <c r="B342" t="s">
        <v>5379</v>
      </c>
      <c r="C342" t="s">
        <v>5380</v>
      </c>
      <c r="D342" t="s">
        <v>5381</v>
      </c>
      <c r="E342">
        <v>0</v>
      </c>
      <c r="G342">
        <v>5.9</v>
      </c>
      <c r="H342" t="s">
        <v>5382</v>
      </c>
      <c r="I342">
        <v>1</v>
      </c>
      <c r="J342" t="s">
        <v>1916</v>
      </c>
      <c r="K342">
        <v>0</v>
      </c>
    </row>
    <row r="343" spans="1:11">
      <c r="A343" t="s">
        <v>5383</v>
      </c>
      <c r="B343" t="s">
        <v>5383</v>
      </c>
      <c r="C343" t="s">
        <v>5384</v>
      </c>
      <c r="D343" t="s">
        <v>5385</v>
      </c>
      <c r="E343">
        <v>0</v>
      </c>
      <c r="G343">
        <v>8.6</v>
      </c>
      <c r="H343" t="s">
        <v>5386</v>
      </c>
      <c r="I343">
        <v>1</v>
      </c>
      <c r="J343" t="s">
        <v>1916</v>
      </c>
      <c r="K343">
        <v>0</v>
      </c>
    </row>
    <row r="344" spans="1:11">
      <c r="A344" t="s">
        <v>5387</v>
      </c>
      <c r="B344" t="s">
        <v>5387</v>
      </c>
      <c r="C344" t="s">
        <v>5388</v>
      </c>
      <c r="D344" t="s">
        <v>5389</v>
      </c>
      <c r="E344">
        <v>0</v>
      </c>
      <c r="G344">
        <v>8.9</v>
      </c>
      <c r="H344" t="s">
        <v>5390</v>
      </c>
      <c r="I344">
        <v>1</v>
      </c>
      <c r="J344" t="s">
        <v>1916</v>
      </c>
      <c r="K344">
        <v>2</v>
      </c>
    </row>
    <row r="345" spans="1:11">
      <c r="A345" t="s">
        <v>5391</v>
      </c>
      <c r="B345" t="s">
        <v>5391</v>
      </c>
      <c r="C345" t="s">
        <v>5392</v>
      </c>
      <c r="D345" t="s">
        <v>5393</v>
      </c>
      <c r="E345">
        <v>0</v>
      </c>
      <c r="G345">
        <v>14.3</v>
      </c>
      <c r="H345" t="s">
        <v>5394</v>
      </c>
      <c r="I345">
        <v>3</v>
      </c>
      <c r="J345" t="s">
        <v>1939</v>
      </c>
      <c r="K345">
        <v>2</v>
      </c>
    </row>
    <row r="346" spans="1:11">
      <c r="A346" t="s">
        <v>5395</v>
      </c>
      <c r="B346" t="s">
        <v>5395</v>
      </c>
      <c r="C346" t="s">
        <v>5396</v>
      </c>
      <c r="D346" t="s">
        <v>5397</v>
      </c>
      <c r="E346">
        <v>0</v>
      </c>
      <c r="G346">
        <v>57</v>
      </c>
      <c r="H346" t="s">
        <v>5398</v>
      </c>
      <c r="I346">
        <v>25</v>
      </c>
      <c r="J346" t="s">
        <v>1903</v>
      </c>
      <c r="K346">
        <v>2</v>
      </c>
    </row>
    <row r="347" spans="1:11">
      <c r="A347" t="s">
        <v>5399</v>
      </c>
      <c r="B347" t="s">
        <v>5399</v>
      </c>
      <c r="C347" t="s">
        <v>5400</v>
      </c>
      <c r="D347" t="s">
        <v>5401</v>
      </c>
      <c r="E347">
        <v>0</v>
      </c>
      <c r="G347">
        <v>17.600000000000001</v>
      </c>
      <c r="H347" t="s">
        <v>5402</v>
      </c>
      <c r="I347">
        <v>19</v>
      </c>
      <c r="J347" t="s">
        <v>1980</v>
      </c>
      <c r="K347">
        <v>0</v>
      </c>
    </row>
    <row r="348" spans="1:11">
      <c r="A348" t="s">
        <v>5403</v>
      </c>
      <c r="B348" t="s">
        <v>5403</v>
      </c>
      <c r="C348" t="s">
        <v>5404</v>
      </c>
      <c r="E348">
        <v>0</v>
      </c>
      <c r="G348">
        <v>17.600000000000001</v>
      </c>
      <c r="H348" t="s">
        <v>5405</v>
      </c>
      <c r="I348">
        <v>19</v>
      </c>
      <c r="J348" t="s">
        <v>1980</v>
      </c>
      <c r="K348">
        <v>0</v>
      </c>
    </row>
    <row r="349" spans="1:11">
      <c r="A349" t="s">
        <v>5406</v>
      </c>
      <c r="B349" t="s">
        <v>5406</v>
      </c>
      <c r="C349" t="s">
        <v>5407</v>
      </c>
      <c r="D349" t="s">
        <v>5408</v>
      </c>
      <c r="E349">
        <v>0</v>
      </c>
      <c r="G349">
        <v>10.4</v>
      </c>
      <c r="H349" t="s">
        <v>5409</v>
      </c>
      <c r="I349">
        <v>1</v>
      </c>
      <c r="J349" t="s">
        <v>1916</v>
      </c>
      <c r="K349">
        <v>0</v>
      </c>
    </row>
    <row r="350" spans="1:11">
      <c r="A350" t="s">
        <v>5410</v>
      </c>
      <c r="B350" t="s">
        <v>5410</v>
      </c>
      <c r="C350" t="s">
        <v>5411</v>
      </c>
      <c r="D350" t="s">
        <v>5412</v>
      </c>
      <c r="E350">
        <v>0</v>
      </c>
      <c r="G350">
        <v>7.7</v>
      </c>
      <c r="H350" t="s">
        <v>5413</v>
      </c>
      <c r="I350">
        <v>3</v>
      </c>
      <c r="J350" t="s">
        <v>1939</v>
      </c>
      <c r="K350">
        <v>2</v>
      </c>
    </row>
    <row r="351" spans="1:11">
      <c r="A351" t="s">
        <v>5414</v>
      </c>
      <c r="B351" t="s">
        <v>5414</v>
      </c>
      <c r="C351" t="s">
        <v>5415</v>
      </c>
      <c r="D351" t="s">
        <v>5416</v>
      </c>
      <c r="E351">
        <v>0</v>
      </c>
      <c r="G351">
        <v>46.8</v>
      </c>
      <c r="H351" t="s">
        <v>5417</v>
      </c>
      <c r="I351">
        <v>1</v>
      </c>
      <c r="J351" t="s">
        <v>1916</v>
      </c>
      <c r="K351">
        <v>2</v>
      </c>
    </row>
    <row r="352" spans="1:11">
      <c r="A352" t="s">
        <v>5418</v>
      </c>
      <c r="B352" t="s">
        <v>5418</v>
      </c>
      <c r="C352" t="s">
        <v>5419</v>
      </c>
      <c r="D352" t="s">
        <v>5420</v>
      </c>
      <c r="E352">
        <v>0</v>
      </c>
      <c r="G352">
        <v>6.1</v>
      </c>
      <c r="H352" t="s">
        <v>5421</v>
      </c>
      <c r="I352">
        <v>1</v>
      </c>
      <c r="J352" t="s">
        <v>1916</v>
      </c>
      <c r="K352">
        <v>0</v>
      </c>
    </row>
    <row r="353" spans="1:11">
      <c r="A353" t="s">
        <v>5422</v>
      </c>
      <c r="B353" t="s">
        <v>5422</v>
      </c>
      <c r="C353" t="s">
        <v>5423</v>
      </c>
      <c r="E353">
        <v>0</v>
      </c>
      <c r="G353">
        <v>1313</v>
      </c>
      <c r="H353" t="s">
        <v>5424</v>
      </c>
      <c r="I353">
        <v>25</v>
      </c>
      <c r="J353" t="s">
        <v>1903</v>
      </c>
      <c r="K353">
        <v>0</v>
      </c>
    </row>
  </sheetData>
  <autoFilter ref="A4:L353" xr:uid="{64A3EC73-256A-46DE-9426-523A489831CE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3B0F-0BD9-45C1-9526-61A74CBA924A}">
  <dimension ref="A1:G1032"/>
  <sheetViews>
    <sheetView workbookViewId="0">
      <selection activeCell="N17" sqref="N17"/>
    </sheetView>
  </sheetViews>
  <sheetFormatPr defaultRowHeight="13.2"/>
  <cols>
    <col min="2" max="2" width="25.109375" bestFit="1" customWidth="1"/>
  </cols>
  <sheetData>
    <row r="1" spans="1:7">
      <c r="A1" t="s">
        <v>148</v>
      </c>
      <c r="B1" t="str">
        <f>DBCS(A1)</f>
        <v>アセサイド消毒液６％　８００ｍｌｘ２</v>
      </c>
      <c r="F1" t="s">
        <v>1242</v>
      </c>
      <c r="G1" t="str">
        <f>DBCS(F1)</f>
        <v>アイファガン点眼液０．１％</v>
      </c>
    </row>
    <row r="2" spans="1:7">
      <c r="A2" t="s">
        <v>182</v>
      </c>
      <c r="B2" t="str">
        <f t="shared" ref="B2:B65" si="0">DBCS(A2)</f>
        <v>アトモキセチンカプセル１０ｍｇ　「ＶＴＲＳ」</v>
      </c>
      <c r="F2" t="s">
        <v>4067</v>
      </c>
      <c r="G2" t="str">
        <f t="shared" ref="G2:G65" si="1">DBCS(F2)</f>
        <v>アウィクリ注　フレックスタッチ　総量３００単位</v>
      </c>
    </row>
    <row r="3" spans="1:7">
      <c r="A3" t="s">
        <v>198</v>
      </c>
      <c r="B3" t="str">
        <f t="shared" si="0"/>
        <v>アナフラニール錠１０ｍｇ</v>
      </c>
      <c r="F3" t="s">
        <v>1243</v>
      </c>
      <c r="G3" t="str">
        <f t="shared" si="1"/>
        <v>亜鉛華軟膏「ニッコー」</v>
      </c>
    </row>
    <row r="4" spans="1:7">
      <c r="A4" t="s">
        <v>247</v>
      </c>
      <c r="B4" t="str">
        <f t="shared" si="0"/>
        <v>アレビアチン錠１００ｍｇ</v>
      </c>
      <c r="F4" t="s">
        <v>1244</v>
      </c>
      <c r="G4" t="str">
        <f t="shared" si="1"/>
        <v>アキネトン細粒１％</v>
      </c>
    </row>
    <row r="5" spans="1:7">
      <c r="A5" t="s">
        <v>259</v>
      </c>
      <c r="B5" t="str">
        <f t="shared" si="0"/>
        <v>イソプロパノール消毒液７０％　「ヨシダ」</v>
      </c>
      <c r="F5" t="s">
        <v>1245</v>
      </c>
      <c r="G5" t="str">
        <f t="shared" si="1"/>
        <v>アキネトン注射液５ｍｇ</v>
      </c>
    </row>
    <row r="6" spans="1:7">
      <c r="A6" t="s">
        <v>318</v>
      </c>
      <c r="B6" t="str">
        <f t="shared" si="0"/>
        <v>エピペン注射液０．３ｍｇ</v>
      </c>
      <c r="F6" t="s">
        <v>1246</v>
      </c>
      <c r="G6" t="str">
        <f t="shared" si="1"/>
        <v>アクアチムクリーム１％</v>
      </c>
    </row>
    <row r="7" spans="1:7">
      <c r="A7" t="s">
        <v>365</v>
      </c>
      <c r="B7" t="str">
        <f t="shared" si="0"/>
        <v>オリブ油</v>
      </c>
      <c r="F7" t="s">
        <v>1247</v>
      </c>
      <c r="G7" t="str">
        <f t="shared" si="1"/>
        <v>アクチット輸液</v>
      </c>
    </row>
    <row r="8" spans="1:7">
      <c r="A8" t="s">
        <v>390</v>
      </c>
      <c r="B8" t="str">
        <f t="shared" si="0"/>
        <v>キシロカイン注ポリアンプ０．５％</v>
      </c>
      <c r="F8" t="s">
        <v>99</v>
      </c>
      <c r="G8" t="str">
        <f t="shared" si="1"/>
        <v>アクトシン軟膏３％</v>
      </c>
    </row>
    <row r="9" spans="1:7">
      <c r="A9" t="s">
        <v>468</v>
      </c>
      <c r="B9" t="str">
        <f t="shared" si="0"/>
        <v>コデインリン酸塩散１％「ホエイ」</v>
      </c>
      <c r="F9" t="s">
        <v>1248</v>
      </c>
      <c r="G9" t="str">
        <f t="shared" si="1"/>
        <v>アザルフィジンＥＮ錠５００ｍｇ</v>
      </c>
    </row>
    <row r="10" spans="1:7">
      <c r="A10" t="s">
        <v>470</v>
      </c>
      <c r="B10" t="str">
        <f t="shared" si="0"/>
        <v>コミナティ筋注シリンジ</v>
      </c>
      <c r="F10" t="s">
        <v>1249</v>
      </c>
      <c r="G10" t="str">
        <f t="shared" si="1"/>
        <v>アシクロビル点滴静注用２５０ｍｇ「サワイ」</v>
      </c>
    </row>
    <row r="11" spans="1:7">
      <c r="A11" t="s">
        <v>549</v>
      </c>
      <c r="B11" t="str">
        <f t="shared" si="0"/>
        <v>スワブスティック　（ヘキシジン）</v>
      </c>
      <c r="F11" t="s">
        <v>1250</v>
      </c>
      <c r="G11" t="str">
        <f t="shared" si="1"/>
        <v>アジスロマイシン錠２５０ｍｇ「トーワ」</v>
      </c>
    </row>
    <row r="12" spans="1:7">
      <c r="A12" t="s">
        <v>552</v>
      </c>
      <c r="B12" t="str">
        <f t="shared" si="0"/>
        <v>スワブスティック（ポビドンヨード）　　　Ｍサイズ</v>
      </c>
      <c r="F12" t="s">
        <v>4129</v>
      </c>
      <c r="G12" t="str">
        <f t="shared" si="1"/>
        <v>アジルバ錠１０ｍｇ</v>
      </c>
    </row>
    <row r="13" spans="1:7">
      <c r="A13" t="s">
        <v>654</v>
      </c>
      <c r="B13" t="str">
        <f t="shared" si="0"/>
        <v>デカドロン錠０．５ｍｇ</v>
      </c>
      <c r="F13" t="s">
        <v>4133</v>
      </c>
      <c r="G13" t="str">
        <f t="shared" si="1"/>
        <v>アジルバ錠２０ｍｇ</v>
      </c>
    </row>
    <row r="14" spans="1:7">
      <c r="A14" t="s">
        <v>656</v>
      </c>
      <c r="B14" t="str">
        <f t="shared" si="0"/>
        <v>デカドロン注射液６．６ｍｇ</v>
      </c>
      <c r="F14" t="s">
        <v>1251</v>
      </c>
      <c r="G14" t="str">
        <f t="shared" si="1"/>
        <v>アジルサルタンＯＤ錠２０ｍｇ「サワイ」</v>
      </c>
    </row>
    <row r="15" spans="1:7">
      <c r="A15" t="s">
        <v>668</v>
      </c>
      <c r="B15" t="str">
        <f t="shared" si="0"/>
        <v>デノタスチュアブル配合錠</v>
      </c>
      <c r="F15" t="s">
        <v>4137</v>
      </c>
      <c r="G15" t="str">
        <f t="shared" si="1"/>
        <v>アスコルビン酸注射液５００ｍｇ「日医工」</v>
      </c>
    </row>
    <row r="16" spans="1:7">
      <c r="A16" t="s">
        <v>4115</v>
      </c>
      <c r="B16" t="str">
        <f t="shared" si="0"/>
        <v>トリアゾラム錠０．１２５ｍｇ「ＣＨ」　　採用中止</v>
      </c>
      <c r="F16" t="s">
        <v>4141</v>
      </c>
      <c r="G16" t="str">
        <f t="shared" si="1"/>
        <v>アスコルビン酸注射液５００ｍｇ「トーワ」</v>
      </c>
    </row>
    <row r="17" spans="1:7">
      <c r="A17" t="s">
        <v>841</v>
      </c>
      <c r="B17" t="str">
        <f t="shared" si="0"/>
        <v>ピューラックス６％</v>
      </c>
      <c r="F17" t="s">
        <v>1252</v>
      </c>
      <c r="G17" t="str">
        <f t="shared" si="1"/>
        <v>アスコルビン酸注５００ｍｇ「イセイ」</v>
      </c>
    </row>
    <row r="18" spans="1:7">
      <c r="A18" t="s">
        <v>867</v>
      </c>
      <c r="B18" t="str">
        <f t="shared" si="0"/>
        <v>フォリアミン錠５ｍｇ</v>
      </c>
      <c r="F18" t="s">
        <v>4144</v>
      </c>
      <c r="G18" t="str">
        <f t="shared" si="1"/>
        <v>アズノールＳＴ錠口腔用５ｍｇ</v>
      </c>
    </row>
    <row r="19" spans="1:7">
      <c r="A19" t="s">
        <v>868</v>
      </c>
      <c r="B19" t="str">
        <f t="shared" si="0"/>
        <v>ブスコパン注２０ｍｇ　２％</v>
      </c>
      <c r="F19" t="s">
        <v>1253</v>
      </c>
      <c r="G19" t="str">
        <f t="shared" si="1"/>
        <v>アズノール軟膏０．０３３％</v>
      </c>
    </row>
    <row r="20" spans="1:7">
      <c r="A20" t="s">
        <v>869</v>
      </c>
      <c r="B20" t="str">
        <f t="shared" si="0"/>
        <v>ブドウ糖</v>
      </c>
      <c r="F20" t="s">
        <v>4148</v>
      </c>
      <c r="G20" t="str">
        <f t="shared" si="1"/>
        <v>アズノール錠２ｍｇ</v>
      </c>
    </row>
    <row r="21" spans="1:7">
      <c r="A21" t="s">
        <v>903</v>
      </c>
      <c r="B21" t="str">
        <f t="shared" si="0"/>
        <v>フロセミド注２０ｍｇ「ＮＩＧ」</v>
      </c>
      <c r="F21" t="s">
        <v>1254</v>
      </c>
      <c r="G21" t="str">
        <f t="shared" si="1"/>
        <v>アスパラ－ＣＡ錠２００</v>
      </c>
    </row>
    <row r="22" spans="1:7">
      <c r="A22" t="s">
        <v>976</v>
      </c>
      <c r="B22" t="str">
        <f t="shared" si="0"/>
        <v>ポビドンヨード液１０％　　　綿球２０ケンエー</v>
      </c>
      <c r="F22" t="s">
        <v>1255</v>
      </c>
      <c r="G22" t="str">
        <f t="shared" si="1"/>
        <v>アスパラカリウム錠３００ｍｇ</v>
      </c>
    </row>
    <row r="23" spans="1:7">
      <c r="A23" t="s">
        <v>1146</v>
      </c>
      <c r="B23" t="str">
        <f t="shared" si="0"/>
        <v>ロイコボリン注３ｍｇ</v>
      </c>
      <c r="F23" t="s">
        <v>1256</v>
      </c>
      <c r="G23" t="str">
        <f t="shared" si="1"/>
        <v>アスパラカリウム散５０％</v>
      </c>
    </row>
    <row r="24" spans="1:7">
      <c r="A24" t="s">
        <v>1179</v>
      </c>
      <c r="B24" t="str">
        <f t="shared" si="0"/>
        <v>逆性石ケン液１０％「ヨシダ」</v>
      </c>
      <c r="F24" t="s">
        <v>1257</v>
      </c>
      <c r="G24" t="str">
        <f t="shared" si="1"/>
        <v>アスパラギン酸カリウム注１０ｍＥｑキット「テルモ」</v>
      </c>
    </row>
    <row r="25" spans="1:7">
      <c r="A25" t="s">
        <v>1181</v>
      </c>
      <c r="B25" t="str">
        <f t="shared" si="0"/>
        <v>重カマ「ヨシダ」（細粒状）</v>
      </c>
      <c r="F25" t="s">
        <v>1258</v>
      </c>
      <c r="G25" t="str">
        <f t="shared" si="1"/>
        <v>アズレン点眼液０．０２％「ニットー」</v>
      </c>
    </row>
    <row r="26" spans="1:7">
      <c r="A26" t="s">
        <v>1190</v>
      </c>
      <c r="B26" t="str">
        <f t="shared" si="0"/>
        <v>生食注シリンジ「ＮＰ」中口１０ｍｌ</v>
      </c>
      <c r="F26" t="s">
        <v>4151</v>
      </c>
      <c r="G26" t="str">
        <f t="shared" si="1"/>
        <v>アズレン点眼液わかもと</v>
      </c>
    </row>
    <row r="27" spans="1:7">
      <c r="A27" t="s">
        <v>4116</v>
      </c>
      <c r="B27" t="str">
        <f t="shared" si="0"/>
        <v>生理食塩液「ＶＴＲＳ」２０ｍｌ</v>
      </c>
      <c r="F27" t="s">
        <v>1259</v>
      </c>
      <c r="G27" t="str">
        <f t="shared" si="1"/>
        <v>アセリオ静注液１０００ｍｇバッグ</v>
      </c>
    </row>
    <row r="28" spans="1:7">
      <c r="A28" t="s">
        <v>1196</v>
      </c>
      <c r="B28" t="str">
        <f t="shared" si="0"/>
        <v>精製水「ケンエー」</v>
      </c>
      <c r="F28" t="s">
        <v>1260</v>
      </c>
      <c r="G28" t="str">
        <f t="shared" si="1"/>
        <v>アセレンド注１００μｇ</v>
      </c>
    </row>
    <row r="29" spans="1:7">
      <c r="A29" t="s">
        <v>1240</v>
      </c>
      <c r="B29" t="str">
        <f t="shared" si="0"/>
        <v>大塚生食注　　プラ細口　</v>
      </c>
      <c r="F29" t="s">
        <v>4154</v>
      </c>
      <c r="G29" t="str">
        <f t="shared" si="1"/>
        <v>アゾセミド錠３０ｍｇ「ＪＧ」</v>
      </c>
    </row>
    <row r="30" spans="1:7">
      <c r="A30" t="s">
        <v>1241</v>
      </c>
      <c r="B30" t="str">
        <f t="shared" si="0"/>
        <v>大塚生食注　ソフトバッグ</v>
      </c>
      <c r="F30" t="s">
        <v>1261</v>
      </c>
      <c r="G30" t="str">
        <f t="shared" si="1"/>
        <v>アゾセミド錠３０ｍｇ「ＤＳＥＰ」</v>
      </c>
    </row>
    <row r="31" spans="1:7">
      <c r="A31" t="s">
        <v>1202</v>
      </c>
      <c r="B31" t="str">
        <f t="shared" si="0"/>
        <v>大塚糖液５％　　　　　　　　　　　　　</v>
      </c>
      <c r="F31" t="s">
        <v>1262</v>
      </c>
      <c r="G31" t="str">
        <f t="shared" si="1"/>
        <v>アゾセミド錠６０ｍｇ「ＤＳＥＰ」</v>
      </c>
    </row>
    <row r="32" spans="1:7">
      <c r="A32" t="s">
        <v>4117</v>
      </c>
      <c r="B32" t="str">
        <f t="shared" si="0"/>
        <v>注射用水ＰＬ「フソー」１００ｍｌ（スタンタフル）</v>
      </c>
      <c r="F32" t="s">
        <v>1263</v>
      </c>
      <c r="G32" t="str">
        <f t="shared" si="1"/>
        <v>アタラックス錠２５ｍｇ</v>
      </c>
    </row>
    <row r="33" spans="1:7">
      <c r="A33" t="s">
        <v>4118</v>
      </c>
      <c r="B33" t="str">
        <f t="shared" si="0"/>
        <v>注射用水ＰＬ「フソー」２０ｍｌ（スノープル）</v>
      </c>
      <c r="F33" t="s">
        <v>1264</v>
      </c>
      <c r="G33" t="str">
        <f t="shared" si="1"/>
        <v>アダラートＣＲ錠２０ｍｇ</v>
      </c>
    </row>
    <row r="34" spans="1:7">
      <c r="A34" t="s">
        <v>1212</v>
      </c>
      <c r="B34" t="str">
        <f t="shared" si="0"/>
        <v>乳糖水和物「ケンエー」粒状</v>
      </c>
      <c r="F34" t="s">
        <v>1265</v>
      </c>
      <c r="G34" t="str">
        <f t="shared" si="1"/>
        <v>アーチスト錠１．２５ｍｇ</v>
      </c>
    </row>
    <row r="35" spans="1:7">
      <c r="A35" t="s">
        <v>1217</v>
      </c>
      <c r="B35" t="str">
        <f t="shared" si="0"/>
        <v>白色ワセリン「ケンエー」</v>
      </c>
      <c r="F35" t="s">
        <v>1266</v>
      </c>
      <c r="G35" t="str">
        <f t="shared" si="1"/>
        <v>アドエア５００ディスカス６０吸入用</v>
      </c>
    </row>
    <row r="36" spans="1:7">
      <c r="B36" t="str">
        <f t="shared" si="0"/>
        <v/>
      </c>
      <c r="F36" t="s">
        <v>1267</v>
      </c>
      <c r="G36" t="str">
        <f t="shared" si="1"/>
        <v>アドナ錠３０ｍｇ</v>
      </c>
    </row>
    <row r="37" spans="1:7">
      <c r="B37" t="str">
        <f t="shared" si="0"/>
        <v/>
      </c>
      <c r="F37" t="s">
        <v>1268</v>
      </c>
      <c r="G37" t="str">
        <f t="shared" si="1"/>
        <v>アドナ注（静脈用）５０ｍｇ</v>
      </c>
    </row>
    <row r="38" spans="1:7">
      <c r="B38" t="str">
        <f t="shared" si="0"/>
        <v/>
      </c>
      <c r="F38" t="s">
        <v>1269</v>
      </c>
      <c r="G38" t="str">
        <f t="shared" si="1"/>
        <v>アドナ散１０％</v>
      </c>
    </row>
    <row r="39" spans="1:7">
      <c r="B39" t="str">
        <f t="shared" si="0"/>
        <v/>
      </c>
      <c r="F39" t="s">
        <v>1270</v>
      </c>
      <c r="G39" t="str">
        <f t="shared" si="1"/>
        <v>アドフィードパップ４０ｍｇ</v>
      </c>
    </row>
    <row r="40" spans="1:7">
      <c r="B40" t="str">
        <f t="shared" si="0"/>
        <v/>
      </c>
      <c r="F40" t="s">
        <v>1271</v>
      </c>
      <c r="G40" t="str">
        <f t="shared" si="1"/>
        <v>アトモキセチンカプセル１０ｍｇ「サワイ」</v>
      </c>
    </row>
    <row r="41" spans="1:7">
      <c r="B41" t="str">
        <f t="shared" si="0"/>
        <v/>
      </c>
      <c r="F41" t="s">
        <v>4161</v>
      </c>
      <c r="G41" t="str">
        <f t="shared" si="1"/>
        <v>アトモキセチンカプセル１０ｍｇ「アメル」</v>
      </c>
    </row>
    <row r="42" spans="1:7">
      <c r="B42" t="str">
        <f t="shared" si="0"/>
        <v/>
      </c>
      <c r="F42" t="s">
        <v>4165</v>
      </c>
      <c r="G42" t="str">
        <f t="shared" si="1"/>
        <v>アトモキセチンカプセル４０ｍｇ「サワイ」</v>
      </c>
    </row>
    <row r="43" spans="1:7">
      <c r="B43" t="str">
        <f t="shared" si="0"/>
        <v/>
      </c>
      <c r="F43" t="s">
        <v>4169</v>
      </c>
      <c r="G43" t="str">
        <f t="shared" si="1"/>
        <v>アトモキセチンカプセル４０ｍｇ「アメル」</v>
      </c>
    </row>
    <row r="44" spans="1:7">
      <c r="B44" t="str">
        <f t="shared" si="0"/>
        <v/>
      </c>
      <c r="F44" t="s">
        <v>1272</v>
      </c>
      <c r="G44" t="str">
        <f t="shared" si="1"/>
        <v>アトモキセチンカプセル４０ｍｇ「ＶＴＲＳ」</v>
      </c>
    </row>
    <row r="45" spans="1:7">
      <c r="B45" t="str">
        <f t="shared" si="0"/>
        <v/>
      </c>
      <c r="F45" t="s">
        <v>4173</v>
      </c>
      <c r="G45" t="str">
        <f t="shared" si="1"/>
        <v>アトルバスタチン錠１０ｍｇ「Ｍｅ」</v>
      </c>
    </row>
    <row r="46" spans="1:7">
      <c r="B46" t="str">
        <f t="shared" si="0"/>
        <v/>
      </c>
      <c r="F46" t="s">
        <v>1273</v>
      </c>
      <c r="G46" t="str">
        <f t="shared" si="1"/>
        <v>アトルバスタチンＯＤ錠１０ｍｇ「トーワ」</v>
      </c>
    </row>
    <row r="47" spans="1:7">
      <c r="B47" t="str">
        <f t="shared" si="0"/>
        <v/>
      </c>
      <c r="F47" t="s">
        <v>1274</v>
      </c>
      <c r="G47" t="str">
        <f t="shared" si="1"/>
        <v>アトロピン硫酸塩注０．５ｍｇ「ニプロ」</v>
      </c>
    </row>
    <row r="48" spans="1:7">
      <c r="B48" t="str">
        <f t="shared" si="0"/>
        <v/>
      </c>
      <c r="F48" t="s">
        <v>4177</v>
      </c>
      <c r="G48" t="str">
        <f t="shared" si="1"/>
        <v>アナストロゾール錠１ｍｇ「ＮＫ」</v>
      </c>
    </row>
    <row r="49" spans="2:7">
      <c r="B49" t="str">
        <f t="shared" si="0"/>
        <v/>
      </c>
      <c r="F49" t="s">
        <v>1275</v>
      </c>
      <c r="G49" t="str">
        <f t="shared" si="1"/>
        <v>アナストロゾール錠１ｍｇ「サワイ」</v>
      </c>
    </row>
    <row r="50" spans="2:7">
      <c r="B50" t="str">
        <f t="shared" si="0"/>
        <v/>
      </c>
      <c r="F50" t="s">
        <v>4181</v>
      </c>
      <c r="G50" t="str">
        <f t="shared" si="1"/>
        <v>アナフラニール錠２５ｍｇ</v>
      </c>
    </row>
    <row r="51" spans="2:7">
      <c r="B51" t="str">
        <f t="shared" si="0"/>
        <v/>
      </c>
      <c r="F51" t="s">
        <v>1276</v>
      </c>
      <c r="G51" t="str">
        <f t="shared" si="1"/>
        <v>アナフラニール点滴静注液２５ｍｇ</v>
      </c>
    </row>
    <row r="52" spans="2:7">
      <c r="B52" t="str">
        <f t="shared" si="0"/>
        <v/>
      </c>
      <c r="F52" t="s">
        <v>1277</v>
      </c>
      <c r="G52" t="str">
        <f t="shared" si="1"/>
        <v>アネキセート注射液０．５ｍｇ</v>
      </c>
    </row>
    <row r="53" spans="2:7">
      <c r="B53" t="str">
        <f t="shared" si="0"/>
        <v/>
      </c>
      <c r="F53" t="s">
        <v>1278</v>
      </c>
      <c r="G53" t="str">
        <f t="shared" si="1"/>
        <v>アノーロエリプタ３０吸入用</v>
      </c>
    </row>
    <row r="54" spans="2:7">
      <c r="B54" t="str">
        <f t="shared" si="0"/>
        <v/>
      </c>
      <c r="F54" t="s">
        <v>4187</v>
      </c>
      <c r="G54" t="str">
        <f t="shared" si="1"/>
        <v>アフタッチ口腔用貼付剤２５μｇ</v>
      </c>
    </row>
    <row r="55" spans="2:7">
      <c r="B55" t="str">
        <f t="shared" si="0"/>
        <v/>
      </c>
      <c r="F55" t="s">
        <v>1279</v>
      </c>
      <c r="G55" t="str">
        <f t="shared" si="1"/>
        <v>アマンタジン塩酸塩錠５０ｍｇ「杏林」</v>
      </c>
    </row>
    <row r="56" spans="2:7">
      <c r="B56" t="str">
        <f t="shared" si="0"/>
        <v/>
      </c>
      <c r="F56" t="s">
        <v>1280</v>
      </c>
      <c r="G56" t="str">
        <f t="shared" si="1"/>
        <v>アミオダロン塩酸塩速崩錠５０ｍｇ「ＴＥ」</v>
      </c>
    </row>
    <row r="57" spans="2:7">
      <c r="B57" t="str">
        <f t="shared" si="0"/>
        <v/>
      </c>
      <c r="F57" t="s">
        <v>1281</v>
      </c>
      <c r="G57" t="str">
        <f t="shared" si="1"/>
        <v>アミティーザカプセル２４μｇ</v>
      </c>
    </row>
    <row r="58" spans="2:7">
      <c r="B58" t="str">
        <f t="shared" si="0"/>
        <v/>
      </c>
      <c r="F58" t="s">
        <v>1282</v>
      </c>
      <c r="G58" t="str">
        <f t="shared" si="1"/>
        <v>アミノレバンＥＮ配合散</v>
      </c>
    </row>
    <row r="59" spans="2:7">
      <c r="B59" t="str">
        <f t="shared" si="0"/>
        <v/>
      </c>
      <c r="F59" t="s">
        <v>1283</v>
      </c>
      <c r="G59" t="str">
        <f t="shared" si="1"/>
        <v>アミノレバン点滴静注（用時購入）</v>
      </c>
    </row>
    <row r="60" spans="2:7">
      <c r="B60" t="str">
        <f t="shared" si="0"/>
        <v/>
      </c>
      <c r="F60" t="s">
        <v>4191</v>
      </c>
      <c r="G60" t="str">
        <f t="shared" si="1"/>
        <v>アムロジピンＯＤ錠２．５ｍｇ「あすか」</v>
      </c>
    </row>
    <row r="61" spans="2:7">
      <c r="B61" t="str">
        <f t="shared" si="0"/>
        <v/>
      </c>
      <c r="F61" t="s">
        <v>1284</v>
      </c>
      <c r="G61" t="str">
        <f t="shared" si="1"/>
        <v>アムロジピンＯＤ錠２．５ｍｇ「明治」</v>
      </c>
    </row>
    <row r="62" spans="2:7">
      <c r="B62" t="str">
        <f t="shared" si="0"/>
        <v/>
      </c>
      <c r="F62" t="s">
        <v>4195</v>
      </c>
      <c r="G62" t="str">
        <f t="shared" si="1"/>
        <v>アラミスト点鼻液２７．５μｇ５６噴霧用</v>
      </c>
    </row>
    <row r="63" spans="2:7">
      <c r="B63" t="str">
        <f t="shared" si="0"/>
        <v/>
      </c>
      <c r="F63" t="s">
        <v>4199</v>
      </c>
      <c r="G63" t="str">
        <f t="shared" si="1"/>
        <v>アリセプトＤ錠５ｍｇ</v>
      </c>
    </row>
    <row r="64" spans="2:7">
      <c r="B64" t="str">
        <f t="shared" si="0"/>
        <v/>
      </c>
      <c r="F64" t="s">
        <v>1285</v>
      </c>
      <c r="G64" t="str">
        <f t="shared" si="1"/>
        <v>アリドネパッチ２７．５ｍｇ</v>
      </c>
    </row>
    <row r="65" spans="2:7">
      <c r="B65" t="str">
        <f t="shared" si="0"/>
        <v/>
      </c>
      <c r="F65" t="s">
        <v>1286</v>
      </c>
      <c r="G65" t="str">
        <f t="shared" si="1"/>
        <v>アリドネパッチ５５ｍｇ</v>
      </c>
    </row>
    <row r="66" spans="2:7">
      <c r="B66" t="str">
        <f t="shared" ref="B66:B129" si="2">DBCS(A66)</f>
        <v/>
      </c>
      <c r="F66" t="s">
        <v>1287</v>
      </c>
      <c r="G66" t="str">
        <f t="shared" ref="G66:G129" si="3">DBCS(F66)</f>
        <v>２５ｍｇアリナミンＦ糖衣錠</v>
      </c>
    </row>
    <row r="67" spans="2:7">
      <c r="B67" t="str">
        <f t="shared" si="2"/>
        <v/>
      </c>
      <c r="F67" t="s">
        <v>4203</v>
      </c>
      <c r="G67" t="str">
        <f t="shared" si="3"/>
        <v>アリピプラゾールＯＤ錠３ｍｇ「ヨシトミ」</v>
      </c>
    </row>
    <row r="68" spans="2:7">
      <c r="B68" t="str">
        <f t="shared" si="2"/>
        <v/>
      </c>
      <c r="F68" t="s">
        <v>4207</v>
      </c>
      <c r="G68" t="str">
        <f t="shared" si="3"/>
        <v>アリピプラゾール内用液分包３ｍｇ「ニプロ」</v>
      </c>
    </row>
    <row r="69" spans="2:7">
      <c r="B69" t="str">
        <f t="shared" si="2"/>
        <v/>
      </c>
      <c r="F69" t="s">
        <v>4211</v>
      </c>
      <c r="G69" t="str">
        <f t="shared" si="3"/>
        <v>アリピプラゾール内用液分包６ｍｇ「ニプロ」</v>
      </c>
    </row>
    <row r="70" spans="2:7">
      <c r="B70" t="str">
        <f t="shared" si="2"/>
        <v/>
      </c>
      <c r="F70" t="s">
        <v>4215</v>
      </c>
      <c r="G70" t="str">
        <f t="shared" si="3"/>
        <v>アリピプラゾールＯＤ錠６ｍｇ「ヨシトミ」</v>
      </c>
    </row>
    <row r="71" spans="2:7">
      <c r="B71" t="str">
        <f t="shared" si="2"/>
        <v/>
      </c>
      <c r="F71" t="s">
        <v>4219</v>
      </c>
      <c r="G71" t="str">
        <f t="shared" si="3"/>
        <v>アリピプラゾール散１％「ヨシトミ」</v>
      </c>
    </row>
    <row r="72" spans="2:7">
      <c r="B72" t="str">
        <f t="shared" si="2"/>
        <v/>
      </c>
      <c r="F72" t="s">
        <v>4223</v>
      </c>
      <c r="G72" t="str">
        <f t="shared" si="3"/>
        <v>アリピプラゾールＯＤ錠１２ｍｇ「ヨシトミ」</v>
      </c>
    </row>
    <row r="73" spans="2:7">
      <c r="B73" t="str">
        <f t="shared" si="2"/>
        <v/>
      </c>
      <c r="F73" t="s">
        <v>1288</v>
      </c>
      <c r="G73" t="str">
        <f t="shared" si="3"/>
        <v>アリピプラゾールＯＤ錠３ｍｇ「ニプロ」</v>
      </c>
    </row>
    <row r="74" spans="2:7">
      <c r="B74" t="str">
        <f t="shared" si="2"/>
        <v/>
      </c>
      <c r="F74" t="s">
        <v>1289</v>
      </c>
      <c r="G74" t="str">
        <f t="shared" si="3"/>
        <v>アリピプラゾールＯＤ錠１２ｍｇ「ニプロ」</v>
      </c>
    </row>
    <row r="75" spans="2:7">
      <c r="B75" t="str">
        <f t="shared" si="2"/>
        <v/>
      </c>
      <c r="F75" t="s">
        <v>1290</v>
      </c>
      <c r="G75" t="str">
        <f t="shared" si="3"/>
        <v>アリピプラゾールＯＤ錠６ｍｇ「ニプロ」</v>
      </c>
    </row>
    <row r="76" spans="2:7">
      <c r="B76" t="str">
        <f t="shared" si="2"/>
        <v/>
      </c>
      <c r="F76" t="s">
        <v>1291</v>
      </c>
      <c r="G76" t="str">
        <f t="shared" si="3"/>
        <v>アリピプラゾール散１％「ニプロ」</v>
      </c>
    </row>
    <row r="77" spans="2:7">
      <c r="B77" t="str">
        <f t="shared" si="2"/>
        <v/>
      </c>
      <c r="F77" t="s">
        <v>1292</v>
      </c>
      <c r="G77" t="str">
        <f t="shared" si="3"/>
        <v>アリピプラゾール錠１ｍｇ「サワイ」</v>
      </c>
    </row>
    <row r="78" spans="2:7">
      <c r="B78" t="str">
        <f t="shared" si="2"/>
        <v/>
      </c>
      <c r="F78" t="s">
        <v>4227</v>
      </c>
      <c r="G78" t="str">
        <f t="shared" si="3"/>
        <v>アルサルミン液</v>
      </c>
    </row>
    <row r="79" spans="2:7">
      <c r="B79" t="str">
        <f t="shared" si="2"/>
        <v/>
      </c>
      <c r="F79" t="s">
        <v>1293</v>
      </c>
      <c r="G79" t="str">
        <f t="shared" si="3"/>
        <v>アルダクトンＡ錠２５ｍｇ</v>
      </c>
    </row>
    <row r="80" spans="2:7">
      <c r="B80" t="str">
        <f t="shared" si="2"/>
        <v/>
      </c>
      <c r="F80" t="s">
        <v>4230</v>
      </c>
      <c r="G80" t="str">
        <f t="shared" si="3"/>
        <v>アルファカルシドールカプセル０．５μｇ「サワイ」</v>
      </c>
    </row>
    <row r="81" spans="2:7">
      <c r="B81" t="str">
        <f t="shared" si="2"/>
        <v/>
      </c>
      <c r="F81" t="s">
        <v>1294</v>
      </c>
      <c r="G81" t="str">
        <f t="shared" si="3"/>
        <v>アルブミナー２５％静注１２．５ｇ／５０ｍＬ</v>
      </c>
    </row>
    <row r="82" spans="2:7">
      <c r="B82" t="str">
        <f t="shared" si="2"/>
        <v/>
      </c>
      <c r="F82" t="s">
        <v>1295</v>
      </c>
      <c r="G82" t="str">
        <f t="shared" si="3"/>
        <v>アルファカルシドールカプセル０．５μｇ「フソー」</v>
      </c>
    </row>
    <row r="83" spans="2:7">
      <c r="B83" t="str">
        <f t="shared" si="2"/>
        <v/>
      </c>
      <c r="F83" t="s">
        <v>239</v>
      </c>
      <c r="G83" t="str">
        <f t="shared" si="3"/>
        <v>アルメタ軟膏</v>
      </c>
    </row>
    <row r="84" spans="2:7">
      <c r="B84" t="str">
        <f t="shared" si="2"/>
        <v/>
      </c>
      <c r="F84" t="s">
        <v>4068</v>
      </c>
      <c r="G84" t="str">
        <f t="shared" si="3"/>
        <v>アレギサール点眼液０．１％</v>
      </c>
    </row>
    <row r="85" spans="2:7">
      <c r="B85" t="str">
        <f t="shared" si="2"/>
        <v/>
      </c>
      <c r="F85" t="s">
        <v>245</v>
      </c>
      <c r="G85" t="str">
        <f t="shared" si="3"/>
        <v>アレビアチン散１０％</v>
      </c>
    </row>
    <row r="86" spans="2:7">
      <c r="B86" t="str">
        <f t="shared" si="2"/>
        <v/>
      </c>
      <c r="F86" t="s">
        <v>248</v>
      </c>
      <c r="G86" t="str">
        <f t="shared" si="3"/>
        <v>アレビアチン注２５０ｍｇ</v>
      </c>
    </row>
    <row r="87" spans="2:7">
      <c r="B87" t="str">
        <f t="shared" si="2"/>
        <v/>
      </c>
      <c r="F87" t="s">
        <v>4240</v>
      </c>
      <c r="G87" t="str">
        <f t="shared" si="3"/>
        <v>アレンドロン酸点滴静注バッグ９００μｇ「ＨＫ」</v>
      </c>
    </row>
    <row r="88" spans="2:7">
      <c r="B88" t="str">
        <f t="shared" si="2"/>
        <v/>
      </c>
      <c r="F88" t="s">
        <v>1296</v>
      </c>
      <c r="G88" t="str">
        <f t="shared" si="3"/>
        <v>アロプリノール錠１００ｍｇ「サワイ」</v>
      </c>
    </row>
    <row r="89" spans="2:7">
      <c r="B89" t="str">
        <f t="shared" si="2"/>
        <v/>
      </c>
      <c r="F89" t="s">
        <v>1297</v>
      </c>
      <c r="G89" t="str">
        <f t="shared" si="3"/>
        <v>アンテベート軟膏０．０５％</v>
      </c>
    </row>
    <row r="90" spans="2:7">
      <c r="B90" t="str">
        <f t="shared" si="2"/>
        <v/>
      </c>
      <c r="F90" t="s">
        <v>4247</v>
      </c>
      <c r="G90" t="str">
        <f t="shared" si="3"/>
        <v>アンヒバ坐剤小児用２００ｍｇ</v>
      </c>
    </row>
    <row r="91" spans="2:7">
      <c r="B91" t="str">
        <f t="shared" si="2"/>
        <v/>
      </c>
      <c r="F91" t="s">
        <v>4251</v>
      </c>
      <c r="G91" t="str">
        <f t="shared" si="3"/>
        <v>イグザレルト錠１０ｍｇ</v>
      </c>
    </row>
    <row r="92" spans="2:7">
      <c r="B92" t="str">
        <f t="shared" si="2"/>
        <v/>
      </c>
      <c r="F92" t="s">
        <v>4255</v>
      </c>
      <c r="G92" t="str">
        <f t="shared" si="3"/>
        <v>イグザレルトＯＤ錠１０ｍｇ</v>
      </c>
    </row>
    <row r="93" spans="2:7">
      <c r="B93" t="str">
        <f t="shared" si="2"/>
        <v/>
      </c>
      <c r="F93" t="s">
        <v>4258</v>
      </c>
      <c r="G93" t="str">
        <f t="shared" si="3"/>
        <v>イーケプラ錠２５０ｍｇ</v>
      </c>
    </row>
    <row r="94" spans="2:7">
      <c r="B94" t="str">
        <f t="shared" si="2"/>
        <v/>
      </c>
      <c r="F94" t="s">
        <v>4262</v>
      </c>
      <c r="G94" t="str">
        <f t="shared" si="3"/>
        <v>イーケプラドライシロップ５０％</v>
      </c>
    </row>
    <row r="95" spans="2:7">
      <c r="B95" t="str">
        <f t="shared" si="2"/>
        <v/>
      </c>
      <c r="F95" t="s">
        <v>4266</v>
      </c>
      <c r="G95" t="str">
        <f t="shared" si="3"/>
        <v>イーケプラ点滴静注５００ｍｇ</v>
      </c>
    </row>
    <row r="96" spans="2:7">
      <c r="B96" t="str">
        <f t="shared" si="2"/>
        <v/>
      </c>
      <c r="F96" t="s">
        <v>1298</v>
      </c>
      <c r="G96" t="str">
        <f t="shared" si="3"/>
        <v>イコサペント酸エチルカプセル３００ｍｇ「日医工」</v>
      </c>
    </row>
    <row r="97" spans="2:7">
      <c r="B97" t="str">
        <f t="shared" si="2"/>
        <v/>
      </c>
      <c r="F97" t="s">
        <v>1299</v>
      </c>
      <c r="G97" t="str">
        <f t="shared" si="3"/>
        <v>胃散（院内製剤）</v>
      </c>
    </row>
    <row r="98" spans="2:7">
      <c r="B98" t="str">
        <f t="shared" si="2"/>
        <v/>
      </c>
      <c r="F98" t="s">
        <v>4270</v>
      </c>
      <c r="G98" t="str">
        <f t="shared" si="3"/>
        <v>イスコチン錠１００ｍｇ</v>
      </c>
    </row>
    <row r="99" spans="2:7">
      <c r="B99" t="str">
        <f t="shared" si="2"/>
        <v/>
      </c>
      <c r="F99" t="s">
        <v>4274</v>
      </c>
      <c r="G99" t="str">
        <f t="shared" si="3"/>
        <v>イスコチン注１００ｍｇ</v>
      </c>
    </row>
    <row r="100" spans="2:7">
      <c r="B100" t="str">
        <f t="shared" si="2"/>
        <v/>
      </c>
      <c r="F100" t="s">
        <v>263</v>
      </c>
      <c r="G100" t="str">
        <f t="shared" si="3"/>
        <v>イノソリッド配合経腸用半固形剤</v>
      </c>
    </row>
    <row r="101" spans="2:7">
      <c r="B101" t="str">
        <f t="shared" si="2"/>
        <v/>
      </c>
      <c r="F101" t="s">
        <v>4278</v>
      </c>
      <c r="G101" t="str">
        <f t="shared" si="3"/>
        <v>イノラス配合経腸用液</v>
      </c>
    </row>
    <row r="102" spans="2:7">
      <c r="B102" t="str">
        <f t="shared" si="2"/>
        <v/>
      </c>
      <c r="F102" t="s">
        <v>1300</v>
      </c>
      <c r="G102" t="str">
        <f t="shared" si="3"/>
        <v>イバンドロン酸静注１ｍｇシリンジ「トーワ」</v>
      </c>
    </row>
    <row r="103" spans="2:7">
      <c r="B103" t="str">
        <f t="shared" si="2"/>
        <v/>
      </c>
      <c r="F103" t="s">
        <v>1301</v>
      </c>
      <c r="G103" t="str">
        <f t="shared" si="3"/>
        <v>ＥＰＬカプセル２５０ｍｇ</v>
      </c>
    </row>
    <row r="104" spans="2:7">
      <c r="B104" t="str">
        <f t="shared" si="2"/>
        <v/>
      </c>
      <c r="F104" t="s">
        <v>1302</v>
      </c>
      <c r="G104" t="str">
        <f t="shared" si="3"/>
        <v>イフェクサーＳＲカプセル３７．５ｍｇ</v>
      </c>
    </row>
    <row r="105" spans="2:7">
      <c r="B105" t="str">
        <f t="shared" si="2"/>
        <v/>
      </c>
      <c r="F105" t="s">
        <v>1303</v>
      </c>
      <c r="G105" t="str">
        <f t="shared" si="3"/>
        <v>イフェクサーＳＲカプセル７５ｍｇ</v>
      </c>
    </row>
    <row r="106" spans="2:7">
      <c r="B106" t="str">
        <f t="shared" si="2"/>
        <v/>
      </c>
      <c r="F106" t="s">
        <v>1304</v>
      </c>
      <c r="G106" t="str">
        <f t="shared" si="3"/>
        <v>イベニティ皮下注１０５ｍｇシリンジ</v>
      </c>
    </row>
    <row r="107" spans="2:7">
      <c r="B107" t="str">
        <f t="shared" si="2"/>
        <v/>
      </c>
      <c r="F107" t="s">
        <v>276</v>
      </c>
      <c r="G107" t="str">
        <f t="shared" si="3"/>
        <v>イリボー錠５μｇ</v>
      </c>
    </row>
    <row r="108" spans="2:7">
      <c r="B108" t="str">
        <f t="shared" si="2"/>
        <v/>
      </c>
      <c r="F108" t="s">
        <v>4281</v>
      </c>
      <c r="G108" t="str">
        <f t="shared" si="3"/>
        <v>イルベサルタン錠５０ｍｇ「ニプロ」</v>
      </c>
    </row>
    <row r="109" spans="2:7">
      <c r="B109" t="str">
        <f t="shared" si="2"/>
        <v/>
      </c>
      <c r="F109" t="s">
        <v>1305</v>
      </c>
      <c r="G109" t="str">
        <f t="shared" si="3"/>
        <v>イルベサルタン錠５０ｍｇ「サワイ」</v>
      </c>
    </row>
    <row r="110" spans="2:7">
      <c r="B110" t="str">
        <f t="shared" si="2"/>
        <v/>
      </c>
      <c r="F110" t="s">
        <v>278</v>
      </c>
      <c r="G110" t="str">
        <f t="shared" si="3"/>
        <v>インヴェガ錠３ｍｇ</v>
      </c>
    </row>
    <row r="111" spans="2:7">
      <c r="B111" t="str">
        <f t="shared" si="2"/>
        <v/>
      </c>
      <c r="F111" t="s">
        <v>280</v>
      </c>
      <c r="G111" t="str">
        <f t="shared" si="3"/>
        <v>インヴェガ錠６ｍｇ</v>
      </c>
    </row>
    <row r="112" spans="2:7">
      <c r="B112" t="str">
        <f t="shared" si="2"/>
        <v/>
      </c>
      <c r="F112" t="s">
        <v>1306</v>
      </c>
      <c r="G112" t="str">
        <f t="shared" si="3"/>
        <v>インチュニブ錠１ｍｇ</v>
      </c>
    </row>
    <row r="113" spans="2:7">
      <c r="B113" t="str">
        <f t="shared" si="2"/>
        <v/>
      </c>
      <c r="F113" t="s">
        <v>4285</v>
      </c>
      <c r="G113" t="str">
        <f t="shared" si="3"/>
        <v>インチュニブ錠３ｍｇ</v>
      </c>
    </row>
    <row r="114" spans="2:7">
      <c r="B114" t="str">
        <f t="shared" si="2"/>
        <v/>
      </c>
      <c r="F114" t="s">
        <v>4289</v>
      </c>
      <c r="G114" t="str">
        <f t="shared" si="3"/>
        <v>インテバン軟膏１％</v>
      </c>
    </row>
    <row r="115" spans="2:7">
      <c r="B115" t="str">
        <f t="shared" si="2"/>
        <v/>
      </c>
      <c r="F115" t="s">
        <v>1307</v>
      </c>
      <c r="G115" t="str">
        <f t="shared" si="3"/>
        <v>インテバン外用液１％</v>
      </c>
    </row>
    <row r="116" spans="2:7">
      <c r="B116" t="str">
        <f t="shared" si="2"/>
        <v/>
      </c>
      <c r="F116" t="s">
        <v>1308</v>
      </c>
      <c r="G116" t="str">
        <f t="shared" si="3"/>
        <v>インデラル錠１０ｍｇ</v>
      </c>
    </row>
    <row r="117" spans="2:7">
      <c r="B117" t="str">
        <f t="shared" si="2"/>
        <v/>
      </c>
      <c r="F117" t="s">
        <v>1309</v>
      </c>
      <c r="G117" t="str">
        <f t="shared" si="3"/>
        <v>インテバンクリーム１％</v>
      </c>
    </row>
    <row r="118" spans="2:7">
      <c r="B118" t="str">
        <f t="shared" si="2"/>
        <v/>
      </c>
      <c r="F118" t="s">
        <v>1310</v>
      </c>
      <c r="G118" t="str">
        <f t="shared" si="3"/>
        <v>イントラリポス輸液２０％</v>
      </c>
    </row>
    <row r="119" spans="2:7">
      <c r="B119" t="str">
        <f t="shared" si="2"/>
        <v/>
      </c>
      <c r="F119" t="s">
        <v>4293</v>
      </c>
      <c r="G119" t="str">
        <f t="shared" si="3"/>
        <v>ウインタミン細粒（１０％）</v>
      </c>
    </row>
    <row r="120" spans="2:7">
      <c r="B120" t="str">
        <f t="shared" si="2"/>
        <v/>
      </c>
      <c r="F120" t="s">
        <v>1311</v>
      </c>
      <c r="G120" t="str">
        <f t="shared" si="3"/>
        <v>ウルソデオキシコール酸錠１００ｍｇ「サワイ」</v>
      </c>
    </row>
    <row r="121" spans="2:7">
      <c r="B121" t="str">
        <f t="shared" si="2"/>
        <v/>
      </c>
      <c r="F121" t="s">
        <v>4297</v>
      </c>
      <c r="G121" t="str">
        <f t="shared" si="3"/>
        <v>ウレパールクリーム１０％</v>
      </c>
    </row>
    <row r="122" spans="2:7">
      <c r="B122" t="str">
        <f t="shared" si="2"/>
        <v/>
      </c>
      <c r="F122" t="s">
        <v>1312</v>
      </c>
      <c r="G122" t="str">
        <f t="shared" si="3"/>
        <v>エイゾプト懸濁性点眼液１％</v>
      </c>
    </row>
    <row r="123" spans="2:7">
      <c r="B123" t="str">
        <f t="shared" si="2"/>
        <v/>
      </c>
      <c r="F123" t="s">
        <v>4300</v>
      </c>
      <c r="G123" t="str">
        <f t="shared" si="3"/>
        <v>エサンブトール錠２５０ｍｇ</v>
      </c>
    </row>
    <row r="124" spans="2:7">
      <c r="B124" t="str">
        <f t="shared" si="2"/>
        <v/>
      </c>
      <c r="F124" t="s">
        <v>1313</v>
      </c>
      <c r="G124" t="str">
        <f t="shared" si="3"/>
        <v>エスシタロプラムＯＤ錠１０ｍｇ「トーワ」</v>
      </c>
    </row>
    <row r="125" spans="2:7">
      <c r="B125" t="str">
        <f t="shared" si="2"/>
        <v/>
      </c>
      <c r="F125" t="s">
        <v>1314</v>
      </c>
      <c r="G125" t="str">
        <f t="shared" si="3"/>
        <v>エスゾピクロン錠１ｍｇ「トーワ」</v>
      </c>
    </row>
    <row r="126" spans="2:7">
      <c r="B126" t="str">
        <f t="shared" si="2"/>
        <v/>
      </c>
      <c r="F126" t="s">
        <v>1315</v>
      </c>
      <c r="G126" t="str">
        <f t="shared" si="3"/>
        <v>ＳＰトローチ０．２５ｍｇ「明治」</v>
      </c>
    </row>
    <row r="127" spans="2:7">
      <c r="B127" t="str">
        <f t="shared" si="2"/>
        <v/>
      </c>
      <c r="F127" t="s">
        <v>1316</v>
      </c>
      <c r="G127" t="str">
        <f t="shared" si="3"/>
        <v>エゼチミブＯＤ錠１０ｍｇ「トーワ」</v>
      </c>
    </row>
    <row r="128" spans="2:7">
      <c r="B128" t="str">
        <f t="shared" si="2"/>
        <v/>
      </c>
      <c r="F128" t="s">
        <v>1317</v>
      </c>
      <c r="G128" t="str">
        <f t="shared" si="3"/>
        <v>エソメプラゾールカプセル２０ｍｇ「ニプロ」</v>
      </c>
    </row>
    <row r="129" spans="2:7">
      <c r="B129" t="str">
        <f t="shared" si="2"/>
        <v/>
      </c>
      <c r="F129" t="s">
        <v>1318</v>
      </c>
      <c r="G129" t="str">
        <f t="shared" si="3"/>
        <v>エチゾラム錠０．５ｍｇ「アメル」</v>
      </c>
    </row>
    <row r="130" spans="2:7">
      <c r="B130" t="str">
        <f t="shared" ref="B130:B193" si="4">DBCS(A130)</f>
        <v/>
      </c>
      <c r="F130" t="s">
        <v>1319</v>
      </c>
      <c r="G130" t="str">
        <f t="shared" ref="G130:G193" si="5">DBCS(F130)</f>
        <v>エチゾラム錠１ｍｇ「アメル」</v>
      </c>
    </row>
    <row r="131" spans="2:7">
      <c r="B131" t="str">
        <f t="shared" si="4"/>
        <v/>
      </c>
      <c r="F131" t="s">
        <v>4304</v>
      </c>
      <c r="G131" t="str">
        <f t="shared" si="5"/>
        <v>エチゾラム細粒１％「ＪＧ」</v>
      </c>
    </row>
    <row r="132" spans="2:7">
      <c r="B132" t="str">
        <f t="shared" si="4"/>
        <v/>
      </c>
      <c r="F132" t="s">
        <v>4308</v>
      </c>
      <c r="G132" t="str">
        <f t="shared" si="5"/>
        <v>エトドラク錠２００ｍｇ「タイヨー」</v>
      </c>
    </row>
    <row r="133" spans="2:7">
      <c r="B133" t="str">
        <f t="shared" si="4"/>
        <v/>
      </c>
      <c r="F133" t="s">
        <v>4312</v>
      </c>
      <c r="G133" t="str">
        <f t="shared" si="5"/>
        <v>エナラプリルマレイン酸塩錠５ｍｇ「日新」</v>
      </c>
    </row>
    <row r="134" spans="2:7">
      <c r="B134" t="str">
        <f t="shared" si="4"/>
        <v/>
      </c>
      <c r="F134" t="s">
        <v>1320</v>
      </c>
      <c r="G134" t="str">
        <f t="shared" si="5"/>
        <v>エナラプリルマレイン酸塩錠５ｍｇ「サワイ」</v>
      </c>
    </row>
    <row r="135" spans="2:7">
      <c r="B135" t="str">
        <f t="shared" si="4"/>
        <v/>
      </c>
      <c r="F135" t="s">
        <v>4316</v>
      </c>
      <c r="G135" t="str">
        <f t="shared" si="5"/>
        <v>エネフリード輸液</v>
      </c>
    </row>
    <row r="136" spans="2:7">
      <c r="B136" t="str">
        <f t="shared" si="4"/>
        <v/>
      </c>
      <c r="F136" t="s">
        <v>4320</v>
      </c>
      <c r="G136" t="str">
        <f t="shared" si="5"/>
        <v>エバステル錠５ｍｇ</v>
      </c>
    </row>
    <row r="137" spans="2:7">
      <c r="B137" t="str">
        <f t="shared" si="4"/>
        <v/>
      </c>
      <c r="F137" t="s">
        <v>4324</v>
      </c>
      <c r="G137" t="str">
        <f t="shared" si="5"/>
        <v>エバスチンＯＤ錠５ｍｇ「杏林」</v>
      </c>
    </row>
    <row r="138" spans="2:7">
      <c r="B138" t="str">
        <f t="shared" si="4"/>
        <v/>
      </c>
      <c r="F138" t="s">
        <v>1321</v>
      </c>
      <c r="G138" t="str">
        <f t="shared" si="5"/>
        <v>エバスチンＯＤ錠５ｍｇ「サワイ」</v>
      </c>
    </row>
    <row r="139" spans="2:7">
      <c r="B139" t="str">
        <f t="shared" si="4"/>
        <v/>
      </c>
      <c r="F139" t="s">
        <v>1322</v>
      </c>
      <c r="G139" t="str">
        <f t="shared" si="5"/>
        <v>エビスタ錠６０ｍｇ</v>
      </c>
    </row>
    <row r="140" spans="2:7">
      <c r="B140" t="str">
        <f t="shared" si="4"/>
        <v/>
      </c>
      <c r="F140" t="s">
        <v>4327</v>
      </c>
      <c r="G140" t="str">
        <f t="shared" si="5"/>
        <v>エピナスチン塩酸塩錠２０ｍｇ「ＪＧ」</v>
      </c>
    </row>
    <row r="141" spans="2:7">
      <c r="B141" t="str">
        <f t="shared" si="4"/>
        <v/>
      </c>
      <c r="F141" t="s">
        <v>1323</v>
      </c>
      <c r="G141" t="str">
        <f t="shared" si="5"/>
        <v>エピナスチン塩酸塩錠２０ｍｇ「トーワ」</v>
      </c>
    </row>
    <row r="142" spans="2:7">
      <c r="B142" t="str">
        <f t="shared" si="4"/>
        <v/>
      </c>
      <c r="F142" t="s">
        <v>4331</v>
      </c>
      <c r="G142" t="str">
        <f t="shared" si="5"/>
        <v>エビプロスタット配合錠ＤＢ</v>
      </c>
    </row>
    <row r="143" spans="2:7">
      <c r="B143" t="str">
        <f t="shared" si="4"/>
        <v/>
      </c>
      <c r="F143" t="s">
        <v>4335</v>
      </c>
      <c r="G143" t="str">
        <f t="shared" si="5"/>
        <v>エビリファイ錠１ｍｇ</v>
      </c>
    </row>
    <row r="144" spans="2:7">
      <c r="B144" t="str">
        <f t="shared" si="4"/>
        <v/>
      </c>
      <c r="F144" t="s">
        <v>4339</v>
      </c>
      <c r="G144" t="str">
        <f t="shared" si="5"/>
        <v>エビリファイ錠３ｍｇ</v>
      </c>
    </row>
    <row r="145" spans="2:7">
      <c r="B145" t="str">
        <f t="shared" si="4"/>
        <v/>
      </c>
      <c r="F145" t="s">
        <v>4343</v>
      </c>
      <c r="G145" t="str">
        <f t="shared" si="5"/>
        <v>エビリファイ錠６ｍｇ</v>
      </c>
    </row>
    <row r="146" spans="2:7">
      <c r="B146" t="str">
        <f t="shared" si="4"/>
        <v/>
      </c>
      <c r="F146" t="s">
        <v>4347</v>
      </c>
      <c r="G146" t="str">
        <f t="shared" si="5"/>
        <v>エビリファイ散１％</v>
      </c>
    </row>
    <row r="147" spans="2:7">
      <c r="B147" t="str">
        <f t="shared" si="4"/>
        <v/>
      </c>
      <c r="F147" t="s">
        <v>4351</v>
      </c>
      <c r="G147" t="str">
        <f t="shared" si="5"/>
        <v>エビリファイ錠１２ｍｇ</v>
      </c>
    </row>
    <row r="148" spans="2:7">
      <c r="B148" t="str">
        <f t="shared" si="4"/>
        <v/>
      </c>
      <c r="F148" t="s">
        <v>1324</v>
      </c>
      <c r="G148" t="str">
        <f t="shared" si="5"/>
        <v>エビリファイ持続性水懸筋注用３００ｍｇシリンジ</v>
      </c>
    </row>
    <row r="149" spans="2:7">
      <c r="B149" t="str">
        <f t="shared" si="4"/>
        <v/>
      </c>
      <c r="F149" t="s">
        <v>1325</v>
      </c>
      <c r="G149" t="str">
        <f t="shared" si="5"/>
        <v>エビリファイ持続性水懸筋注用４００ｍｇシリンジ外来用</v>
      </c>
    </row>
    <row r="150" spans="2:7">
      <c r="B150" t="str">
        <f t="shared" si="4"/>
        <v/>
      </c>
      <c r="F150" t="s">
        <v>1326</v>
      </c>
      <c r="G150" t="str">
        <f t="shared" si="5"/>
        <v>エビリファイ内用液０．１％　３ｍｌ</v>
      </c>
    </row>
    <row r="151" spans="2:7">
      <c r="B151" t="str">
        <f t="shared" si="4"/>
        <v/>
      </c>
      <c r="F151" t="s">
        <v>1327</v>
      </c>
      <c r="G151" t="str">
        <f t="shared" si="5"/>
        <v>エビリファイ内用液０．１％　６ｍｌ</v>
      </c>
    </row>
    <row r="152" spans="2:7">
      <c r="B152" t="str">
        <f t="shared" si="4"/>
        <v/>
      </c>
      <c r="F152" t="s">
        <v>1328</v>
      </c>
      <c r="G152" t="str">
        <f t="shared" si="5"/>
        <v>エフィエント錠２．５ｍｇ</v>
      </c>
    </row>
    <row r="153" spans="2:7">
      <c r="B153" t="str">
        <f t="shared" si="4"/>
        <v/>
      </c>
      <c r="F153" t="s">
        <v>1329</v>
      </c>
      <c r="G153" t="str">
        <f t="shared" si="5"/>
        <v>エフィナコナゾール爪外用液１０％「サワイ」</v>
      </c>
    </row>
    <row r="154" spans="2:7">
      <c r="B154" t="str">
        <f t="shared" si="4"/>
        <v/>
      </c>
      <c r="F154" t="s">
        <v>1330</v>
      </c>
      <c r="G154" t="str">
        <f t="shared" si="5"/>
        <v>エブランチルカプセル１５ｍｇ</v>
      </c>
    </row>
    <row r="155" spans="2:7">
      <c r="B155" t="str">
        <f t="shared" si="4"/>
        <v/>
      </c>
      <c r="F155" t="s">
        <v>1331</v>
      </c>
      <c r="G155" t="str">
        <f t="shared" si="5"/>
        <v>エペリゾン塩酸塩錠５０ｍｇ「日医工」</v>
      </c>
    </row>
    <row r="156" spans="2:7">
      <c r="B156" t="str">
        <f t="shared" si="4"/>
        <v/>
      </c>
      <c r="F156" t="s">
        <v>4358</v>
      </c>
      <c r="G156" t="str">
        <f t="shared" si="5"/>
        <v>エポジン注シリンジ３０００</v>
      </c>
    </row>
    <row r="157" spans="2:7">
      <c r="B157" t="str">
        <f t="shared" si="4"/>
        <v/>
      </c>
      <c r="F157" t="s">
        <v>1332</v>
      </c>
      <c r="G157" t="str">
        <f t="shared" si="5"/>
        <v>エホチール注１０ｍｇ</v>
      </c>
    </row>
    <row r="158" spans="2:7">
      <c r="B158" t="str">
        <f t="shared" si="4"/>
        <v/>
      </c>
      <c r="F158" t="s">
        <v>1333</v>
      </c>
      <c r="G158" t="str">
        <f t="shared" si="5"/>
        <v>エリキュース錠２．５ｍｇ</v>
      </c>
    </row>
    <row r="159" spans="2:7">
      <c r="B159" t="str">
        <f t="shared" si="4"/>
        <v/>
      </c>
      <c r="F159" t="s">
        <v>4362</v>
      </c>
      <c r="G159" t="str">
        <f t="shared" si="5"/>
        <v>エリスロシンドライシロップＷ２０％</v>
      </c>
    </row>
    <row r="160" spans="2:7">
      <c r="B160" t="str">
        <f t="shared" si="4"/>
        <v/>
      </c>
      <c r="F160" t="s">
        <v>1334</v>
      </c>
      <c r="G160" t="str">
        <f t="shared" si="5"/>
        <v>エリスロシン錠２００ｍｇ</v>
      </c>
    </row>
    <row r="161" spans="2:7">
      <c r="B161" t="str">
        <f t="shared" si="4"/>
        <v/>
      </c>
      <c r="F161" t="s">
        <v>1335</v>
      </c>
      <c r="G161" t="str">
        <f t="shared" si="5"/>
        <v>エルカルチンＦＦ錠２５０ｍｇ</v>
      </c>
    </row>
    <row r="162" spans="2:7">
      <c r="B162" t="str">
        <f t="shared" si="4"/>
        <v/>
      </c>
      <c r="F162" t="s">
        <v>1176</v>
      </c>
      <c r="G162" t="str">
        <f t="shared" si="5"/>
        <v>塩化カリウム</v>
      </c>
    </row>
    <row r="163" spans="2:7">
      <c r="B163" t="str">
        <f t="shared" si="4"/>
        <v/>
      </c>
      <c r="F163" t="s">
        <v>1177</v>
      </c>
      <c r="G163" t="str">
        <f t="shared" si="5"/>
        <v>塩化ナトリウム</v>
      </c>
    </row>
    <row r="164" spans="2:7">
      <c r="B164" t="str">
        <f t="shared" si="4"/>
        <v/>
      </c>
      <c r="F164" t="s">
        <v>1336</v>
      </c>
      <c r="G164" t="str">
        <f t="shared" si="5"/>
        <v>１０％塩化ナトリウム注射液</v>
      </c>
    </row>
    <row r="165" spans="2:7">
      <c r="B165" t="str">
        <f t="shared" si="4"/>
        <v/>
      </c>
      <c r="F165" t="s">
        <v>1337</v>
      </c>
      <c r="G165" t="str">
        <f t="shared" si="5"/>
        <v>塩酸メトクロプラミド注射液１０ｍｇ「タカタ」</v>
      </c>
    </row>
    <row r="166" spans="2:7">
      <c r="B166" t="str">
        <f t="shared" si="4"/>
        <v/>
      </c>
      <c r="F166" t="s">
        <v>1338</v>
      </c>
      <c r="G166" t="str">
        <f t="shared" si="5"/>
        <v>エンテカビルＯＤ錠０．５ｍｇ「サワイ」</v>
      </c>
    </row>
    <row r="167" spans="2:7">
      <c r="B167" t="str">
        <f t="shared" si="4"/>
        <v/>
      </c>
      <c r="F167" t="s">
        <v>1339</v>
      </c>
      <c r="G167" t="str">
        <f t="shared" si="5"/>
        <v>エンレスト錠１００ｍｇ</v>
      </c>
    </row>
    <row r="168" spans="2:7">
      <c r="B168" t="str">
        <f t="shared" si="4"/>
        <v/>
      </c>
      <c r="F168" t="s">
        <v>1340</v>
      </c>
      <c r="G168" t="str">
        <f t="shared" si="5"/>
        <v>オイラックスクリーム１０％</v>
      </c>
    </row>
    <row r="169" spans="2:7">
      <c r="B169" t="str">
        <f t="shared" si="4"/>
        <v/>
      </c>
      <c r="F169" t="s">
        <v>1341</v>
      </c>
      <c r="G169" t="str">
        <f t="shared" si="5"/>
        <v>オキサロール軟膏２５μｇ／ｇ</v>
      </c>
    </row>
    <row r="170" spans="2:7">
      <c r="B170" t="str">
        <f t="shared" si="4"/>
        <v/>
      </c>
      <c r="F170" t="s">
        <v>1342</v>
      </c>
      <c r="G170" t="str">
        <f t="shared" si="5"/>
        <v>オーグメンチン配合錠２５０ＲＳ</v>
      </c>
    </row>
    <row r="171" spans="2:7">
      <c r="B171" t="str">
        <f t="shared" si="4"/>
        <v/>
      </c>
      <c r="F171" t="s">
        <v>4370</v>
      </c>
      <c r="G171" t="str">
        <f t="shared" si="5"/>
        <v>オゼックス錠１５０</v>
      </c>
    </row>
    <row r="172" spans="2:7">
      <c r="B172" t="str">
        <f t="shared" si="4"/>
        <v/>
      </c>
      <c r="F172" t="s">
        <v>1343</v>
      </c>
      <c r="G172" t="str">
        <f t="shared" si="5"/>
        <v>オセルタミビルカプセル７５ｍｇ「サワイ」</v>
      </c>
    </row>
    <row r="173" spans="2:7">
      <c r="B173" t="str">
        <f t="shared" si="4"/>
        <v/>
      </c>
      <c r="F173" t="s">
        <v>4374</v>
      </c>
      <c r="G173" t="str">
        <f t="shared" si="5"/>
        <v>オテズラ錠１０ｍｇ</v>
      </c>
    </row>
    <row r="174" spans="2:7">
      <c r="B174" t="str">
        <f t="shared" si="4"/>
        <v/>
      </c>
      <c r="F174" t="s">
        <v>4378</v>
      </c>
      <c r="G174" t="str">
        <f t="shared" si="5"/>
        <v>オテズラ錠２０ｍｇ</v>
      </c>
    </row>
    <row r="175" spans="2:7">
      <c r="B175" t="str">
        <f t="shared" si="4"/>
        <v/>
      </c>
      <c r="F175" t="s">
        <v>1344</v>
      </c>
      <c r="G175" t="str">
        <f t="shared" si="5"/>
        <v>オテズラ錠３０ｍｇ</v>
      </c>
    </row>
    <row r="176" spans="2:7">
      <c r="B176" t="str">
        <f t="shared" si="4"/>
        <v/>
      </c>
      <c r="F176" t="s">
        <v>4382</v>
      </c>
      <c r="G176" t="str">
        <f t="shared" si="5"/>
        <v>オテズラ錠スターターパック</v>
      </c>
    </row>
    <row r="177" spans="2:7">
      <c r="B177" t="str">
        <f t="shared" si="4"/>
        <v/>
      </c>
      <c r="F177" t="s">
        <v>1345</v>
      </c>
      <c r="G177" t="str">
        <f t="shared" si="5"/>
        <v>オフロキサシン点眼液０．３％「ＪＧ」</v>
      </c>
    </row>
    <row r="178" spans="2:7">
      <c r="B178" t="str">
        <f t="shared" si="4"/>
        <v/>
      </c>
      <c r="F178" t="s">
        <v>4386</v>
      </c>
      <c r="G178" t="str">
        <f t="shared" si="5"/>
        <v>オランザピン錠２．５ｍｇ「ヨシトミ」</v>
      </c>
    </row>
    <row r="179" spans="2:7">
      <c r="B179" t="str">
        <f t="shared" si="4"/>
        <v/>
      </c>
      <c r="F179" t="s">
        <v>4390</v>
      </c>
      <c r="G179" t="str">
        <f t="shared" si="5"/>
        <v>オランザピンＯＤ錠５ｍｇ「ヨシトミ」</v>
      </c>
    </row>
    <row r="180" spans="2:7">
      <c r="B180" t="str">
        <f t="shared" si="4"/>
        <v/>
      </c>
      <c r="F180" t="s">
        <v>4394</v>
      </c>
      <c r="G180" t="str">
        <f t="shared" si="5"/>
        <v>オランザピンＯＤ錠１０ｍｇ「ヨシトミ」</v>
      </c>
    </row>
    <row r="181" spans="2:7">
      <c r="B181" t="str">
        <f t="shared" si="4"/>
        <v/>
      </c>
      <c r="F181" t="s">
        <v>4398</v>
      </c>
      <c r="G181" t="str">
        <f t="shared" si="5"/>
        <v>オランザピン細粒１％「ヨシトミ」</v>
      </c>
    </row>
    <row r="182" spans="2:7">
      <c r="B182" t="str">
        <f t="shared" si="4"/>
        <v/>
      </c>
      <c r="F182" t="s">
        <v>4402</v>
      </c>
      <c r="G182" t="str">
        <f t="shared" si="5"/>
        <v>オランザピンＯＤ錠１０ｍｇ「ＮＰ」</v>
      </c>
    </row>
    <row r="183" spans="2:7">
      <c r="B183" t="str">
        <f t="shared" si="4"/>
        <v/>
      </c>
      <c r="F183" t="s">
        <v>4405</v>
      </c>
      <c r="G183" t="str">
        <f t="shared" si="5"/>
        <v>オランザピンＯＤ錠５ｍｇ「ＮＰ」</v>
      </c>
    </row>
    <row r="184" spans="2:7">
      <c r="B184" t="str">
        <f t="shared" si="4"/>
        <v/>
      </c>
      <c r="F184" t="s">
        <v>4408</v>
      </c>
      <c r="G184" t="str">
        <f t="shared" si="5"/>
        <v>オランザピン錠２．５ｍｇ「ＮＰ」</v>
      </c>
    </row>
    <row r="185" spans="2:7">
      <c r="B185" t="str">
        <f t="shared" si="4"/>
        <v/>
      </c>
      <c r="F185" t="s">
        <v>4411</v>
      </c>
      <c r="G185" t="str">
        <f t="shared" si="5"/>
        <v>オランザピン細粒１％「ＮＰ」</v>
      </c>
    </row>
    <row r="186" spans="2:7">
      <c r="B186" t="str">
        <f t="shared" si="4"/>
        <v/>
      </c>
      <c r="F186" t="s">
        <v>4414</v>
      </c>
      <c r="G186" t="str">
        <f t="shared" si="5"/>
        <v>オランザピンＯＤ錠２．５ｍｇ「ニプロ」</v>
      </c>
    </row>
    <row r="187" spans="2:7">
      <c r="B187" t="str">
        <f t="shared" si="4"/>
        <v/>
      </c>
      <c r="F187" t="s">
        <v>1346</v>
      </c>
      <c r="G187" t="str">
        <f t="shared" si="5"/>
        <v>オランザピンＯＤ錠５ｍｇ「ニプロ」</v>
      </c>
    </row>
    <row r="188" spans="2:7">
      <c r="B188" t="str">
        <f t="shared" si="4"/>
        <v/>
      </c>
      <c r="F188" t="s">
        <v>1347</v>
      </c>
      <c r="G188" t="str">
        <f t="shared" si="5"/>
        <v>オランザピンＯＤ錠１０ｍｇ「ニプロ」</v>
      </c>
    </row>
    <row r="189" spans="2:7">
      <c r="B189" t="str">
        <f t="shared" si="4"/>
        <v/>
      </c>
      <c r="F189" t="s">
        <v>1348</v>
      </c>
      <c r="G189" t="str">
        <f t="shared" si="5"/>
        <v>オランザピン細粒１％「ニプロ」</v>
      </c>
    </row>
    <row r="190" spans="2:7">
      <c r="B190" t="str">
        <f t="shared" si="4"/>
        <v/>
      </c>
      <c r="F190" t="s">
        <v>1349</v>
      </c>
      <c r="G190" t="str">
        <f t="shared" si="5"/>
        <v>オランザピン錠２．５ｍｇ「ニプロ」</v>
      </c>
    </row>
    <row r="191" spans="2:7">
      <c r="B191" t="str">
        <f t="shared" si="4"/>
        <v/>
      </c>
      <c r="F191" t="s">
        <v>4417</v>
      </c>
      <c r="G191" t="str">
        <f t="shared" si="5"/>
        <v>オルセノン軟膏０．２５％</v>
      </c>
    </row>
    <row r="192" spans="2:7">
      <c r="B192" t="str">
        <f t="shared" si="4"/>
        <v/>
      </c>
      <c r="F192" t="s">
        <v>1350</v>
      </c>
      <c r="G192" t="str">
        <f t="shared" si="5"/>
        <v>オルメテックＯＤ錠１０ｍｇ</v>
      </c>
    </row>
    <row r="193" spans="2:7">
      <c r="B193" t="str">
        <f t="shared" si="4"/>
        <v/>
      </c>
      <c r="F193" t="s">
        <v>4421</v>
      </c>
      <c r="G193" t="str">
        <f t="shared" si="5"/>
        <v>オロパタジン塩酸塩錠５ｍｇ「トーワ」</v>
      </c>
    </row>
    <row r="194" spans="2:7">
      <c r="B194" t="str">
        <f t="shared" ref="B194:B257" si="6">DBCS(A194)</f>
        <v/>
      </c>
      <c r="F194" t="s">
        <v>1351</v>
      </c>
      <c r="G194" t="str">
        <f t="shared" ref="G194:G257" si="7">DBCS(F194)</f>
        <v>オロパタジン塩酸塩ＯＤ錠５ｍｇ「トーワ」</v>
      </c>
    </row>
    <row r="195" spans="2:7">
      <c r="B195" t="str">
        <f t="shared" si="6"/>
        <v/>
      </c>
      <c r="F195" t="s">
        <v>4425</v>
      </c>
      <c r="G195" t="str">
        <f t="shared" si="7"/>
        <v>オンジェンティス錠２５ｍｇ</v>
      </c>
    </row>
    <row r="196" spans="2:7">
      <c r="B196" t="str">
        <f t="shared" si="6"/>
        <v/>
      </c>
      <c r="F196" t="s">
        <v>4429</v>
      </c>
      <c r="G196" t="str">
        <f t="shared" si="7"/>
        <v>ガスコン錠４０ｍｇ</v>
      </c>
    </row>
    <row r="197" spans="2:7">
      <c r="B197" t="str">
        <f t="shared" si="6"/>
        <v/>
      </c>
      <c r="F197" t="s">
        <v>4432</v>
      </c>
      <c r="G197" t="str">
        <f t="shared" si="7"/>
        <v>ガスモチン散１％</v>
      </c>
    </row>
    <row r="198" spans="2:7">
      <c r="B198" t="str">
        <f t="shared" si="6"/>
        <v/>
      </c>
      <c r="F198" t="s">
        <v>1352</v>
      </c>
      <c r="G198" t="str">
        <f t="shared" si="7"/>
        <v>風邪Ⅲ（院内製剤）</v>
      </c>
    </row>
    <row r="199" spans="2:7">
      <c r="B199" t="str">
        <f t="shared" si="6"/>
        <v/>
      </c>
      <c r="F199" t="s">
        <v>1353</v>
      </c>
      <c r="G199" t="str">
        <f t="shared" si="7"/>
        <v>風邪Ⅱ（院内製剤）</v>
      </c>
    </row>
    <row r="200" spans="2:7">
      <c r="B200" t="str">
        <f t="shared" si="6"/>
        <v/>
      </c>
      <c r="F200" t="s">
        <v>4436</v>
      </c>
      <c r="G200" t="str">
        <f t="shared" si="7"/>
        <v>カタプレス錠７５μｇ</v>
      </c>
    </row>
    <row r="201" spans="2:7">
      <c r="B201" t="str">
        <f t="shared" si="6"/>
        <v/>
      </c>
      <c r="F201" t="s">
        <v>4440</v>
      </c>
      <c r="G201" t="str">
        <f t="shared" si="7"/>
        <v>ガバペン錠２００ｍｇ</v>
      </c>
    </row>
    <row r="202" spans="2:7">
      <c r="B202" t="str">
        <f t="shared" si="6"/>
        <v/>
      </c>
      <c r="F202" t="s">
        <v>1354</v>
      </c>
      <c r="G202" t="str">
        <f t="shared" si="7"/>
        <v>カモスタットメシル酸塩錠１００ｍｇ「サワイ」</v>
      </c>
    </row>
    <row r="203" spans="2:7">
      <c r="B203" t="str">
        <f t="shared" si="6"/>
        <v/>
      </c>
      <c r="F203" t="s">
        <v>1355</v>
      </c>
      <c r="G203" t="str">
        <f t="shared" si="7"/>
        <v>ガランタミンＯＤ錠４ｍｇ「日医工」</v>
      </c>
    </row>
    <row r="204" spans="2:7">
      <c r="B204" t="str">
        <f t="shared" si="6"/>
        <v/>
      </c>
      <c r="F204" t="s">
        <v>4444</v>
      </c>
      <c r="G204" t="str">
        <f t="shared" si="7"/>
        <v>ガランタミンＯＤ錠４ｍｇ「アメル」</v>
      </c>
    </row>
    <row r="205" spans="2:7">
      <c r="B205" t="str">
        <f t="shared" si="6"/>
        <v/>
      </c>
      <c r="F205" t="s">
        <v>4448</v>
      </c>
      <c r="G205" t="str">
        <f t="shared" si="7"/>
        <v>ガランタミンＯＤ錠１２ｍｇ「アメル」</v>
      </c>
    </row>
    <row r="206" spans="2:7">
      <c r="B206" t="str">
        <f t="shared" si="6"/>
        <v/>
      </c>
      <c r="F206" t="s">
        <v>1356</v>
      </c>
      <c r="G206" t="str">
        <f t="shared" si="7"/>
        <v>ガランタミンＯＤ錠１２ｍｇ「日医工」</v>
      </c>
    </row>
    <row r="207" spans="2:7">
      <c r="B207" t="str">
        <f t="shared" si="6"/>
        <v/>
      </c>
      <c r="F207" t="s">
        <v>1357</v>
      </c>
      <c r="G207" t="str">
        <f t="shared" si="7"/>
        <v>カリメートドライシロップ９２．５９％</v>
      </c>
    </row>
    <row r="208" spans="2:7">
      <c r="B208" t="str">
        <f t="shared" si="6"/>
        <v/>
      </c>
      <c r="F208" t="s">
        <v>1358</v>
      </c>
      <c r="G208" t="str">
        <f t="shared" si="7"/>
        <v>カルバマゼピン錠１００ｍｇ「アメル」</v>
      </c>
    </row>
    <row r="209" spans="2:7">
      <c r="B209" t="str">
        <f t="shared" si="6"/>
        <v/>
      </c>
      <c r="F209" t="s">
        <v>1359</v>
      </c>
      <c r="G209" t="str">
        <f t="shared" si="7"/>
        <v>カルバマゼピン錠２００ｍｇ「アメル」</v>
      </c>
    </row>
    <row r="210" spans="2:7">
      <c r="B210" t="str">
        <f t="shared" si="6"/>
        <v/>
      </c>
      <c r="F210" t="s">
        <v>1360</v>
      </c>
      <c r="G210" t="str">
        <f t="shared" si="7"/>
        <v>カルバマゼピン細粒５０％「アメル」</v>
      </c>
    </row>
    <row r="211" spans="2:7">
      <c r="B211" t="str">
        <f t="shared" si="6"/>
        <v/>
      </c>
      <c r="F211" t="s">
        <v>4452</v>
      </c>
      <c r="G211" t="str">
        <f t="shared" si="7"/>
        <v>カルビスケン錠５ｍｇ</v>
      </c>
    </row>
    <row r="212" spans="2:7">
      <c r="B212" t="str">
        <f t="shared" si="6"/>
        <v/>
      </c>
      <c r="F212" t="s">
        <v>4456</v>
      </c>
      <c r="G212" t="str">
        <f t="shared" si="7"/>
        <v>カルベジロール錠１０ｍｇ「サワイ」</v>
      </c>
    </row>
    <row r="213" spans="2:7">
      <c r="B213" t="str">
        <f t="shared" si="6"/>
        <v/>
      </c>
      <c r="F213" t="s">
        <v>1361</v>
      </c>
      <c r="G213" t="str">
        <f t="shared" si="7"/>
        <v>カルベジロール錠１０ｍｇ「ＤＳＥＰ」</v>
      </c>
    </row>
    <row r="214" spans="2:7">
      <c r="B214" t="str">
        <f t="shared" si="6"/>
        <v/>
      </c>
      <c r="F214" t="s">
        <v>1362</v>
      </c>
      <c r="G214" t="str">
        <f t="shared" si="7"/>
        <v>カルボシステイン錠２５０ｍｇ「トーワ」</v>
      </c>
    </row>
    <row r="215" spans="2:7">
      <c r="B215" t="str">
        <f t="shared" si="6"/>
        <v/>
      </c>
      <c r="F215" t="s">
        <v>1363</v>
      </c>
      <c r="G215" t="str">
        <f t="shared" si="7"/>
        <v>カロナール細粒２０％</v>
      </c>
    </row>
    <row r="216" spans="2:7">
      <c r="B216" t="str">
        <f t="shared" si="6"/>
        <v/>
      </c>
      <c r="F216" t="s">
        <v>1364</v>
      </c>
      <c r="G216" t="str">
        <f t="shared" si="7"/>
        <v>カロナール錠２００</v>
      </c>
    </row>
    <row r="217" spans="2:7">
      <c r="B217" t="str">
        <f t="shared" si="6"/>
        <v/>
      </c>
      <c r="F217" t="s">
        <v>1365</v>
      </c>
      <c r="G217" t="str">
        <f t="shared" si="7"/>
        <v>カロナール坐剤２００</v>
      </c>
    </row>
    <row r="218" spans="2:7">
      <c r="B218" t="str">
        <f t="shared" si="6"/>
        <v/>
      </c>
      <c r="F218" t="s">
        <v>4460</v>
      </c>
      <c r="G218" t="str">
        <f t="shared" si="7"/>
        <v>キシロカインビスカス２％</v>
      </c>
    </row>
    <row r="219" spans="2:7">
      <c r="B219" t="str">
        <f t="shared" si="6"/>
        <v/>
      </c>
      <c r="F219" t="s">
        <v>1366</v>
      </c>
      <c r="G219" t="str">
        <f t="shared" si="7"/>
        <v>キシロカイン注シリンジ０．５％</v>
      </c>
    </row>
    <row r="220" spans="2:7">
      <c r="B220" t="str">
        <f t="shared" si="6"/>
        <v/>
      </c>
      <c r="F220" t="s">
        <v>1198</v>
      </c>
      <c r="G220" t="str">
        <f t="shared" si="7"/>
        <v>静注用キシロカイン２％</v>
      </c>
    </row>
    <row r="221" spans="2:7">
      <c r="B221" t="str">
        <f t="shared" si="6"/>
        <v/>
      </c>
      <c r="F221" t="s">
        <v>1367</v>
      </c>
      <c r="G221" t="str">
        <f t="shared" si="7"/>
        <v>キシロカインポンプスプレー８％</v>
      </c>
    </row>
    <row r="222" spans="2:7">
      <c r="B222" t="str">
        <f t="shared" si="6"/>
        <v/>
      </c>
      <c r="F222" t="s">
        <v>4467</v>
      </c>
      <c r="G222" t="str">
        <f t="shared" si="7"/>
        <v>球形吸着炭細粒「マイラン」</v>
      </c>
    </row>
    <row r="223" spans="2:7">
      <c r="B223" t="str">
        <f t="shared" si="6"/>
        <v/>
      </c>
      <c r="F223" t="s">
        <v>1368</v>
      </c>
      <c r="G223" t="str">
        <f t="shared" si="7"/>
        <v>キュバール１００エアゾール</v>
      </c>
    </row>
    <row r="224" spans="2:7">
      <c r="B224" t="str">
        <f t="shared" si="6"/>
        <v/>
      </c>
      <c r="F224" t="s">
        <v>1369</v>
      </c>
      <c r="G224" t="str">
        <f t="shared" si="7"/>
        <v>クアゼパム錠１５ｍｇ「アメル」</v>
      </c>
    </row>
    <row r="225" spans="2:7">
      <c r="B225" t="str">
        <f t="shared" si="6"/>
        <v/>
      </c>
      <c r="F225" t="s">
        <v>4471</v>
      </c>
      <c r="G225" t="str">
        <f t="shared" si="7"/>
        <v>空包</v>
      </c>
    </row>
    <row r="226" spans="2:7">
      <c r="B226" t="str">
        <f t="shared" si="6"/>
        <v/>
      </c>
      <c r="F226" t="s">
        <v>1370</v>
      </c>
      <c r="G226" t="str">
        <f t="shared" si="7"/>
        <v>クエチアピン錠１２．５ｍｇ「アメル」</v>
      </c>
    </row>
    <row r="227" spans="2:7">
      <c r="B227" t="str">
        <f t="shared" si="6"/>
        <v/>
      </c>
      <c r="F227" t="s">
        <v>1371</v>
      </c>
      <c r="G227" t="str">
        <f t="shared" si="7"/>
        <v>クエチアピン錠２５ｍｇ「アメル」</v>
      </c>
    </row>
    <row r="228" spans="2:7">
      <c r="B228" t="str">
        <f t="shared" si="6"/>
        <v/>
      </c>
      <c r="F228" t="s">
        <v>1372</v>
      </c>
      <c r="G228" t="str">
        <f t="shared" si="7"/>
        <v>クエチアピン錠１００ｍｇ「アメル」</v>
      </c>
    </row>
    <row r="229" spans="2:7">
      <c r="B229" t="str">
        <f t="shared" si="6"/>
        <v/>
      </c>
      <c r="F229" t="s">
        <v>1373</v>
      </c>
      <c r="G229" t="str">
        <f t="shared" si="7"/>
        <v>クエチアピン錠２００ｍｇ「アメル」</v>
      </c>
    </row>
    <row r="230" spans="2:7">
      <c r="B230" t="str">
        <f t="shared" si="6"/>
        <v/>
      </c>
      <c r="F230" t="s">
        <v>1374</v>
      </c>
      <c r="G230" t="str">
        <f t="shared" si="7"/>
        <v>クエチアピン細粒５０％「アメル」</v>
      </c>
    </row>
    <row r="231" spans="2:7">
      <c r="B231" t="str">
        <f t="shared" si="6"/>
        <v/>
      </c>
      <c r="F231" t="s">
        <v>1375</v>
      </c>
      <c r="G231" t="str">
        <f t="shared" si="7"/>
        <v>クービビック錠５０ｍｇ</v>
      </c>
    </row>
    <row r="232" spans="2:7">
      <c r="B232" t="str">
        <f t="shared" si="6"/>
        <v/>
      </c>
      <c r="F232" t="s">
        <v>1376</v>
      </c>
      <c r="G232" t="str">
        <f t="shared" si="7"/>
        <v>クービビック錠２５ｍｇ</v>
      </c>
    </row>
    <row r="233" spans="2:7">
      <c r="B233" t="str">
        <f t="shared" si="6"/>
        <v/>
      </c>
      <c r="F233" t="s">
        <v>1377</v>
      </c>
      <c r="G233" t="str">
        <f t="shared" si="7"/>
        <v>グーフィス錠５ｍｇ</v>
      </c>
    </row>
    <row r="234" spans="2:7">
      <c r="B234" t="str">
        <f t="shared" si="6"/>
        <v/>
      </c>
      <c r="F234" t="s">
        <v>404</v>
      </c>
      <c r="G234" t="str">
        <f t="shared" si="7"/>
        <v>グラアルファ配合点眼液</v>
      </c>
    </row>
    <row r="235" spans="2:7">
      <c r="B235" t="str">
        <f t="shared" si="6"/>
        <v/>
      </c>
      <c r="F235" t="s">
        <v>1378</v>
      </c>
      <c r="G235" t="str">
        <f t="shared" si="7"/>
        <v>グラクティブ錠５０ｍｇ</v>
      </c>
    </row>
    <row r="236" spans="2:7">
      <c r="B236" t="str">
        <f t="shared" si="6"/>
        <v/>
      </c>
      <c r="F236" t="s">
        <v>1379</v>
      </c>
      <c r="G236" t="str">
        <f t="shared" si="7"/>
        <v>クラシエ葛根湯エキス細粒</v>
      </c>
    </row>
    <row r="237" spans="2:7">
      <c r="B237" t="str">
        <f t="shared" si="6"/>
        <v/>
      </c>
      <c r="F237" t="s">
        <v>1380</v>
      </c>
      <c r="G237" t="str">
        <f t="shared" si="7"/>
        <v>クラシエ黄連解毒湯エキス細粒</v>
      </c>
    </row>
    <row r="238" spans="2:7">
      <c r="B238" t="str">
        <f t="shared" si="6"/>
        <v/>
      </c>
      <c r="F238" t="s">
        <v>4066</v>
      </c>
      <c r="G238" t="str">
        <f t="shared" si="7"/>
        <v>クラシエ小青竜湯エキス細粒</v>
      </c>
    </row>
    <row r="239" spans="2:7">
      <c r="B239" t="str">
        <f t="shared" si="6"/>
        <v/>
      </c>
      <c r="F239" t="s">
        <v>1381</v>
      </c>
      <c r="G239" t="str">
        <f t="shared" si="7"/>
        <v>クラシエ加味逍遙散料エキス細粒</v>
      </c>
    </row>
    <row r="240" spans="2:7">
      <c r="B240" t="str">
        <f t="shared" si="6"/>
        <v/>
      </c>
      <c r="F240" t="s">
        <v>1382</v>
      </c>
      <c r="G240" t="str">
        <f t="shared" si="7"/>
        <v>クラシエ猪苓湯エキス細粒</v>
      </c>
    </row>
    <row r="241" spans="2:7">
      <c r="B241" t="str">
        <f t="shared" si="6"/>
        <v/>
      </c>
      <c r="F241" t="s">
        <v>1383</v>
      </c>
      <c r="G241" t="str">
        <f t="shared" si="7"/>
        <v>クラシエ補中益気湯エキス細粒</v>
      </c>
    </row>
    <row r="242" spans="2:7">
      <c r="B242" t="str">
        <f t="shared" si="6"/>
        <v/>
      </c>
      <c r="F242" t="s">
        <v>4480</v>
      </c>
      <c r="G242" t="str">
        <f t="shared" si="7"/>
        <v>クラシエ加味帰脾湯エキス細粒</v>
      </c>
    </row>
    <row r="243" spans="2:7">
      <c r="B243" t="str">
        <f t="shared" si="6"/>
        <v/>
      </c>
      <c r="F243" t="s">
        <v>4484</v>
      </c>
      <c r="G243" t="str">
        <f t="shared" si="7"/>
        <v>クラシエ人参養栄湯エキス細粒</v>
      </c>
    </row>
    <row r="244" spans="2:7">
      <c r="B244" t="str">
        <f t="shared" si="6"/>
        <v/>
      </c>
      <c r="F244" t="s">
        <v>1384</v>
      </c>
      <c r="G244" t="str">
        <f t="shared" si="7"/>
        <v>クラシエ柴苓湯エキス細粒</v>
      </c>
    </row>
    <row r="245" spans="2:7">
      <c r="B245" t="str">
        <f t="shared" si="6"/>
        <v/>
      </c>
      <c r="F245" t="s">
        <v>1385</v>
      </c>
      <c r="G245" t="str">
        <f t="shared" si="7"/>
        <v>グラナテック点眼液０．４％</v>
      </c>
    </row>
    <row r="246" spans="2:7">
      <c r="B246" t="str">
        <f t="shared" si="6"/>
        <v/>
      </c>
      <c r="F246" t="s">
        <v>1386</v>
      </c>
      <c r="G246" t="str">
        <f t="shared" si="7"/>
        <v>グラマリール錠２５ｍｇ</v>
      </c>
    </row>
    <row r="247" spans="2:7">
      <c r="B247" t="str">
        <f t="shared" si="6"/>
        <v/>
      </c>
      <c r="F247" t="s">
        <v>1387</v>
      </c>
      <c r="G247" t="str">
        <f t="shared" si="7"/>
        <v>グラマリール錠５０ｍｇ</v>
      </c>
    </row>
    <row r="248" spans="2:7">
      <c r="B248" t="str">
        <f t="shared" si="6"/>
        <v/>
      </c>
      <c r="F248" t="s">
        <v>1388</v>
      </c>
      <c r="G248" t="str">
        <f t="shared" si="7"/>
        <v>グラマリール細粒１０％</v>
      </c>
    </row>
    <row r="249" spans="2:7">
      <c r="B249" t="str">
        <f t="shared" si="6"/>
        <v/>
      </c>
      <c r="F249" t="s">
        <v>1389</v>
      </c>
      <c r="G249" t="str">
        <f t="shared" si="7"/>
        <v>クラリチン錠１０ｍｇ</v>
      </c>
    </row>
    <row r="250" spans="2:7">
      <c r="B250" t="str">
        <f t="shared" si="6"/>
        <v/>
      </c>
      <c r="F250" t="s">
        <v>1390</v>
      </c>
      <c r="G250" t="str">
        <f t="shared" si="7"/>
        <v>クラリシッド錠２００ｍｇ</v>
      </c>
    </row>
    <row r="251" spans="2:7">
      <c r="B251" t="str">
        <f t="shared" si="6"/>
        <v/>
      </c>
      <c r="F251" t="s">
        <v>1391</v>
      </c>
      <c r="G251" t="str">
        <f t="shared" si="7"/>
        <v>グランダキシン錠５０</v>
      </c>
    </row>
    <row r="252" spans="2:7">
      <c r="B252" t="str">
        <f t="shared" si="6"/>
        <v/>
      </c>
      <c r="F252" t="s">
        <v>416</v>
      </c>
      <c r="G252" t="str">
        <f t="shared" si="7"/>
        <v>グリセオール注</v>
      </c>
    </row>
    <row r="253" spans="2:7">
      <c r="B253" t="str">
        <f t="shared" si="6"/>
        <v/>
      </c>
      <c r="F253" t="s">
        <v>1392</v>
      </c>
      <c r="G253" t="str">
        <f t="shared" si="7"/>
        <v>グリセリン浣腸液５０％「ムネ」６０ｍＬ</v>
      </c>
    </row>
    <row r="254" spans="2:7">
      <c r="B254" t="str">
        <f t="shared" si="6"/>
        <v/>
      </c>
      <c r="F254" t="s">
        <v>421</v>
      </c>
      <c r="G254" t="str">
        <f t="shared" si="7"/>
        <v>グリチロン配合錠</v>
      </c>
    </row>
    <row r="255" spans="2:7">
      <c r="B255" t="str">
        <f t="shared" si="6"/>
        <v/>
      </c>
      <c r="F255" t="s">
        <v>4490</v>
      </c>
      <c r="G255" t="str">
        <f t="shared" si="7"/>
        <v>グリファーゲン静注２０ｍＬ</v>
      </c>
    </row>
    <row r="256" spans="2:7">
      <c r="B256" t="str">
        <f t="shared" si="6"/>
        <v/>
      </c>
      <c r="F256" t="s">
        <v>4494</v>
      </c>
      <c r="G256" t="str">
        <f t="shared" si="7"/>
        <v>グリメピリド錠１ｍｇ「トーワ」</v>
      </c>
    </row>
    <row r="257" spans="2:7">
      <c r="B257" t="str">
        <f t="shared" si="6"/>
        <v/>
      </c>
      <c r="F257" t="s">
        <v>1393</v>
      </c>
      <c r="G257" t="str">
        <f t="shared" si="7"/>
        <v>グリメピリドＯＤ錠１ｍｇ「トーワ」</v>
      </c>
    </row>
    <row r="258" spans="2:7">
      <c r="B258" t="str">
        <f t="shared" ref="B258:B321" si="8">DBCS(A258)</f>
        <v/>
      </c>
      <c r="F258" t="s">
        <v>4498</v>
      </c>
      <c r="G258" t="str">
        <f t="shared" ref="G258:G321" si="9">DBCS(F258)</f>
        <v>クリンダマイシンリン酸エステル注３００ｍｇ「トーワ」</v>
      </c>
    </row>
    <row r="259" spans="2:7">
      <c r="B259" t="str">
        <f t="shared" si="8"/>
        <v/>
      </c>
      <c r="F259" t="s">
        <v>1394</v>
      </c>
      <c r="G259" t="str">
        <f t="shared" si="9"/>
        <v>クリンダマイシンリン酸エステル６００ｍｇ注射液</v>
      </c>
    </row>
    <row r="260" spans="2:7">
      <c r="B260" t="str">
        <f t="shared" si="8"/>
        <v/>
      </c>
      <c r="F260" t="s">
        <v>4501</v>
      </c>
      <c r="G260" t="str">
        <f t="shared" si="9"/>
        <v>クリンダマイシンリン酸エステル注射液６００ｍｇ「サワイ」</v>
      </c>
    </row>
    <row r="261" spans="2:7">
      <c r="B261" t="str">
        <f t="shared" si="8"/>
        <v/>
      </c>
      <c r="F261" t="s">
        <v>4070</v>
      </c>
      <c r="G261" t="str">
        <f t="shared" si="9"/>
        <v>クレナフィン爪外用液１０％</v>
      </c>
    </row>
    <row r="262" spans="2:7">
      <c r="B262" t="str">
        <f t="shared" si="8"/>
        <v/>
      </c>
      <c r="F262" t="s">
        <v>4507</v>
      </c>
      <c r="G262" t="str">
        <f t="shared" si="9"/>
        <v>クレミン錠２５ｍｇ</v>
      </c>
    </row>
    <row r="263" spans="2:7">
      <c r="B263" t="str">
        <f t="shared" si="8"/>
        <v/>
      </c>
      <c r="F263" t="s">
        <v>1395</v>
      </c>
      <c r="G263" t="str">
        <f t="shared" si="9"/>
        <v>クレメジン細粒分包２ｇ</v>
      </c>
    </row>
    <row r="264" spans="2:7">
      <c r="B264" t="str">
        <f t="shared" si="8"/>
        <v/>
      </c>
      <c r="F264" t="s">
        <v>4511</v>
      </c>
      <c r="G264" t="str">
        <f t="shared" si="9"/>
        <v>クロピドグレル錠２５ｍｇ「トーワ」</v>
      </c>
    </row>
    <row r="265" spans="2:7">
      <c r="B265" t="str">
        <f t="shared" si="8"/>
        <v/>
      </c>
      <c r="F265" t="s">
        <v>4515</v>
      </c>
      <c r="G265" t="str">
        <f t="shared" si="9"/>
        <v>クロピドグレル錠７５ｍｇ「トーワ」</v>
      </c>
    </row>
    <row r="266" spans="2:7">
      <c r="B266" t="str">
        <f t="shared" si="8"/>
        <v/>
      </c>
      <c r="F266" t="s">
        <v>1396</v>
      </c>
      <c r="G266" t="str">
        <f t="shared" si="9"/>
        <v>クロピドグレル錠２５ｍｇ「ＪＧ」</v>
      </c>
    </row>
    <row r="267" spans="2:7">
      <c r="B267" t="str">
        <f t="shared" si="8"/>
        <v/>
      </c>
      <c r="F267" t="s">
        <v>1397</v>
      </c>
      <c r="G267" t="str">
        <f t="shared" si="9"/>
        <v>クロピドグレル錠７５ｍｇ「ＪＧ」</v>
      </c>
    </row>
    <row r="268" spans="2:7">
      <c r="B268" t="str">
        <f t="shared" si="8"/>
        <v/>
      </c>
      <c r="F268" t="s">
        <v>1398</v>
      </c>
      <c r="G268" t="str">
        <f t="shared" si="9"/>
        <v>クロフェクトン錠２５ｍｇ</v>
      </c>
    </row>
    <row r="269" spans="2:7">
      <c r="B269" t="str">
        <f t="shared" si="8"/>
        <v/>
      </c>
      <c r="F269" t="s">
        <v>1399</v>
      </c>
      <c r="G269" t="str">
        <f t="shared" si="9"/>
        <v>クロベタゾールプロピオン酸エステル軟膏０．０５％「イワキ」</v>
      </c>
    </row>
    <row r="270" spans="2:7">
      <c r="B270" t="str">
        <f t="shared" si="8"/>
        <v/>
      </c>
      <c r="F270" t="s">
        <v>1400</v>
      </c>
      <c r="G270" t="str">
        <f t="shared" si="9"/>
        <v>クロマイ腟錠１００ｍｇ</v>
      </c>
    </row>
    <row r="271" spans="2:7">
      <c r="B271" t="str">
        <f t="shared" si="8"/>
        <v/>
      </c>
      <c r="F271" t="s">
        <v>4519</v>
      </c>
      <c r="G271" t="str">
        <f t="shared" si="9"/>
        <v>クロモグリク酸Ｎａ点眼液２％「トーワ」</v>
      </c>
    </row>
    <row r="272" spans="2:7">
      <c r="B272" t="str">
        <f t="shared" si="8"/>
        <v/>
      </c>
      <c r="F272" t="s">
        <v>4523</v>
      </c>
      <c r="G272" t="str">
        <f t="shared" si="9"/>
        <v>クロモグリク酸Ｎａ点眼液２％「ニッテン」</v>
      </c>
    </row>
    <row r="273" spans="2:7">
      <c r="B273" t="str">
        <f t="shared" si="8"/>
        <v/>
      </c>
      <c r="F273" t="s">
        <v>4527</v>
      </c>
      <c r="G273" t="str">
        <f t="shared" si="9"/>
        <v>クロモグリク酸Ｎａ点鼻液２％「トーワ」</v>
      </c>
    </row>
    <row r="274" spans="2:7">
      <c r="B274" t="str">
        <f t="shared" si="8"/>
        <v/>
      </c>
      <c r="F274" t="s">
        <v>1401</v>
      </c>
      <c r="G274" t="str">
        <f t="shared" si="9"/>
        <v>クロモグリク酸Ｎａ点眼液２％「ニットー」</v>
      </c>
    </row>
    <row r="275" spans="2:7">
      <c r="B275" t="str">
        <f t="shared" si="8"/>
        <v/>
      </c>
      <c r="F275" t="s">
        <v>1402</v>
      </c>
      <c r="G275" t="str">
        <f t="shared" si="9"/>
        <v>ｄ－クロルフェニラミンマレイン酸塩徐放錠６ｍｇ「武田テバ」</v>
      </c>
    </row>
    <row r="276" spans="2:7">
      <c r="B276" t="str">
        <f t="shared" si="8"/>
        <v/>
      </c>
      <c r="F276" t="s">
        <v>445</v>
      </c>
      <c r="G276" t="str">
        <f t="shared" si="9"/>
        <v>ケイツーＮ静注１０ｍｇ</v>
      </c>
    </row>
    <row r="277" spans="2:7">
      <c r="B277" t="str">
        <f t="shared" si="8"/>
        <v/>
      </c>
      <c r="F277" t="s">
        <v>1403</v>
      </c>
      <c r="G277" t="str">
        <f t="shared" si="9"/>
        <v>ケトチフェン点鼻液０．０５％「サワイ」</v>
      </c>
    </row>
    <row r="278" spans="2:7">
      <c r="B278" t="str">
        <f t="shared" si="8"/>
        <v/>
      </c>
      <c r="F278" t="s">
        <v>1404</v>
      </c>
      <c r="G278" t="str">
        <f t="shared" si="9"/>
        <v>ケトプロフェンパップ３０ｍｇ「三和」</v>
      </c>
    </row>
    <row r="279" spans="2:7">
      <c r="B279" t="str">
        <f t="shared" si="8"/>
        <v/>
      </c>
      <c r="F279" t="s">
        <v>1405</v>
      </c>
      <c r="G279" t="str">
        <f t="shared" si="9"/>
        <v>ケフラールカプセル２５０ｍｇ</v>
      </c>
    </row>
    <row r="280" spans="2:7">
      <c r="B280" t="str">
        <f t="shared" si="8"/>
        <v/>
      </c>
      <c r="F280" t="s">
        <v>1406</v>
      </c>
      <c r="G280" t="str">
        <f t="shared" si="9"/>
        <v>ケフレックスカプセル２５０ｍｇ</v>
      </c>
    </row>
    <row r="281" spans="2:7">
      <c r="B281" t="str">
        <f t="shared" si="8"/>
        <v/>
      </c>
      <c r="F281" t="s">
        <v>1407</v>
      </c>
      <c r="G281" t="str">
        <f t="shared" si="9"/>
        <v>ゲーベンクリーム１％</v>
      </c>
    </row>
    <row r="282" spans="2:7">
      <c r="B282" t="str">
        <f t="shared" si="8"/>
        <v/>
      </c>
      <c r="F282" t="s">
        <v>459</v>
      </c>
      <c r="G282" t="str">
        <f t="shared" si="9"/>
        <v>ケルロング錠１０ｍｇ</v>
      </c>
    </row>
    <row r="283" spans="2:7">
      <c r="B283" t="str">
        <f t="shared" si="8"/>
        <v/>
      </c>
      <c r="F283" t="s">
        <v>1408</v>
      </c>
      <c r="G283" t="str">
        <f t="shared" si="9"/>
        <v>ゲンタマイシン硫酸塩軟膏０．１％「イワキ」</v>
      </c>
    </row>
    <row r="284" spans="2:7">
      <c r="B284" t="str">
        <f t="shared" si="8"/>
        <v/>
      </c>
      <c r="F284" t="s">
        <v>1409</v>
      </c>
      <c r="G284" t="str">
        <f t="shared" si="9"/>
        <v>アイトロール錠１０ｍｇ</v>
      </c>
    </row>
    <row r="285" spans="2:7">
      <c r="B285" t="str">
        <f t="shared" si="8"/>
        <v/>
      </c>
      <c r="F285" t="s">
        <v>1410</v>
      </c>
      <c r="G285" t="str">
        <f t="shared" si="9"/>
        <v>塩化リゾチーム１０ｍｇ錠</v>
      </c>
    </row>
    <row r="286" spans="2:7">
      <c r="B286" t="str">
        <f t="shared" si="8"/>
        <v/>
      </c>
      <c r="F286" t="s">
        <v>1411</v>
      </c>
      <c r="G286" t="str">
        <f t="shared" si="9"/>
        <v>コートリル錠１０ｍｇ</v>
      </c>
    </row>
    <row r="287" spans="2:7">
      <c r="B287" t="str">
        <f t="shared" si="8"/>
        <v/>
      </c>
      <c r="F287" t="s">
        <v>467</v>
      </c>
      <c r="G287" t="str">
        <f t="shared" si="9"/>
        <v>コソプト配合点眼液</v>
      </c>
    </row>
    <row r="288" spans="2:7">
      <c r="B288" t="str">
        <f t="shared" si="8"/>
        <v/>
      </c>
      <c r="F288" t="s">
        <v>4537</v>
      </c>
      <c r="G288" t="str">
        <f t="shared" si="9"/>
        <v>コタロー消風散エキス細粒</v>
      </c>
    </row>
    <row r="289" spans="2:7">
      <c r="B289" t="str">
        <f t="shared" si="8"/>
        <v/>
      </c>
      <c r="F289" t="s">
        <v>4541</v>
      </c>
      <c r="G289" t="str">
        <f t="shared" si="9"/>
        <v>コデインリン酸塩散１％「フソー」</v>
      </c>
    </row>
    <row r="290" spans="2:7">
      <c r="B290" t="str">
        <f t="shared" si="8"/>
        <v/>
      </c>
      <c r="F290" t="s">
        <v>4545</v>
      </c>
      <c r="G290" t="str">
        <f t="shared" si="9"/>
        <v>ゴナックス皮下注用８０ｍｇ</v>
      </c>
    </row>
    <row r="291" spans="2:7">
      <c r="B291" t="str">
        <f t="shared" si="8"/>
        <v/>
      </c>
      <c r="F291" t="s">
        <v>4549</v>
      </c>
      <c r="G291" t="str">
        <f t="shared" si="9"/>
        <v>コムタン錠１００ｍｇ</v>
      </c>
    </row>
    <row r="292" spans="2:7">
      <c r="B292" t="str">
        <f t="shared" si="8"/>
        <v/>
      </c>
      <c r="F292" t="s">
        <v>464</v>
      </c>
      <c r="G292" t="str">
        <f t="shared" si="9"/>
        <v>コールタイジン点鼻液</v>
      </c>
    </row>
    <row r="293" spans="2:7">
      <c r="B293" t="str">
        <f t="shared" si="8"/>
        <v/>
      </c>
      <c r="F293" t="s">
        <v>1412</v>
      </c>
      <c r="G293" t="str">
        <f t="shared" si="9"/>
        <v>コンサータ錠１８ｍｇ</v>
      </c>
    </row>
    <row r="294" spans="2:7">
      <c r="B294" t="str">
        <f t="shared" si="8"/>
        <v/>
      </c>
      <c r="F294" t="s">
        <v>474</v>
      </c>
      <c r="G294" t="str">
        <f t="shared" si="9"/>
        <v>コントミン糖衣錠２５ｍｇ</v>
      </c>
    </row>
    <row r="295" spans="2:7">
      <c r="B295" t="str">
        <f t="shared" si="8"/>
        <v/>
      </c>
      <c r="F295" t="s">
        <v>475</v>
      </c>
      <c r="G295" t="str">
        <f t="shared" si="9"/>
        <v>コントミン糖衣錠５０ｍｇ</v>
      </c>
    </row>
    <row r="296" spans="2:7">
      <c r="B296" t="str">
        <f t="shared" si="8"/>
        <v/>
      </c>
      <c r="F296" t="s">
        <v>473</v>
      </c>
      <c r="G296" t="str">
        <f t="shared" si="9"/>
        <v>コントミン糖衣錠１００ｍｇ</v>
      </c>
    </row>
    <row r="297" spans="2:7">
      <c r="B297" t="str">
        <f t="shared" si="8"/>
        <v/>
      </c>
      <c r="F297" t="s">
        <v>4553</v>
      </c>
      <c r="G297" t="str">
        <f t="shared" si="9"/>
        <v>サアミオン錠５ｍｇ</v>
      </c>
    </row>
    <row r="298" spans="2:7">
      <c r="B298" t="str">
        <f t="shared" si="8"/>
        <v/>
      </c>
      <c r="F298" t="s">
        <v>4557</v>
      </c>
      <c r="G298" t="str">
        <f t="shared" si="9"/>
        <v>サノレックス錠０．５ｍｇ</v>
      </c>
    </row>
    <row r="299" spans="2:7">
      <c r="B299" t="str">
        <f t="shared" si="8"/>
        <v/>
      </c>
      <c r="F299" t="s">
        <v>1413</v>
      </c>
      <c r="G299" t="str">
        <f t="shared" si="9"/>
        <v>５％サリチル酸ワセリン軟膏東豊</v>
      </c>
    </row>
    <row r="300" spans="2:7">
      <c r="B300" t="str">
        <f t="shared" si="8"/>
        <v/>
      </c>
      <c r="F300" t="s">
        <v>476</v>
      </c>
      <c r="G300" t="str">
        <f t="shared" si="9"/>
        <v>サリベートエアゾール</v>
      </c>
    </row>
    <row r="301" spans="2:7">
      <c r="B301" t="str">
        <f t="shared" si="8"/>
        <v/>
      </c>
      <c r="F301" t="s">
        <v>479</v>
      </c>
      <c r="G301" t="str">
        <f t="shared" si="9"/>
        <v>サワシリン錠２５０</v>
      </c>
    </row>
    <row r="302" spans="2:7">
      <c r="B302" t="str">
        <f t="shared" si="8"/>
        <v/>
      </c>
      <c r="F302" t="s">
        <v>1414</v>
      </c>
      <c r="G302" t="str">
        <f t="shared" si="9"/>
        <v>酸化マグネシウム</v>
      </c>
    </row>
    <row r="303" spans="2:7">
      <c r="B303" t="str">
        <f t="shared" si="8"/>
        <v/>
      </c>
      <c r="F303" t="s">
        <v>1415</v>
      </c>
      <c r="G303" t="str">
        <f t="shared" si="9"/>
        <v>サンリズムカプセル２５ｍｇ</v>
      </c>
    </row>
    <row r="304" spans="2:7">
      <c r="B304" t="str">
        <f t="shared" si="8"/>
        <v/>
      </c>
      <c r="F304" t="s">
        <v>483</v>
      </c>
      <c r="G304" t="str">
        <f t="shared" si="9"/>
        <v>ジアゼパム錠２ｍｇ「アメル」</v>
      </c>
    </row>
    <row r="305" spans="2:7">
      <c r="B305" t="str">
        <f t="shared" si="8"/>
        <v/>
      </c>
      <c r="F305" t="s">
        <v>484</v>
      </c>
      <c r="G305" t="str">
        <f t="shared" si="9"/>
        <v>ジアゼパム錠５ｍｇ「アメル」</v>
      </c>
    </row>
    <row r="306" spans="2:7">
      <c r="B306" t="str">
        <f t="shared" si="8"/>
        <v/>
      </c>
      <c r="F306" t="s">
        <v>1416</v>
      </c>
      <c r="G306" t="str">
        <f t="shared" si="9"/>
        <v>ジアゼパム注射液５ｍｇ「ＮＩＧ」</v>
      </c>
    </row>
    <row r="307" spans="2:7">
      <c r="B307" t="str">
        <f t="shared" si="8"/>
        <v/>
      </c>
      <c r="F307" t="s">
        <v>1417</v>
      </c>
      <c r="G307" t="str">
        <f t="shared" si="9"/>
        <v>シアナマイド内用液１％「タナベ」</v>
      </c>
    </row>
    <row r="308" spans="2:7">
      <c r="B308" t="str">
        <f t="shared" si="8"/>
        <v/>
      </c>
      <c r="F308" t="s">
        <v>1418</v>
      </c>
      <c r="G308" t="str">
        <f t="shared" si="9"/>
        <v>シアノコバラミン点眼液０．０２％「日点」</v>
      </c>
    </row>
    <row r="309" spans="2:7">
      <c r="B309" t="str">
        <f t="shared" si="8"/>
        <v/>
      </c>
      <c r="F309" t="s">
        <v>4563</v>
      </c>
      <c r="G309" t="str">
        <f t="shared" si="9"/>
        <v>ジェイゾロフト錠２５ｍｇ</v>
      </c>
    </row>
    <row r="310" spans="2:7">
      <c r="B310" t="str">
        <f t="shared" si="8"/>
        <v/>
      </c>
      <c r="F310" t="s">
        <v>1419</v>
      </c>
      <c r="G310" t="str">
        <f t="shared" si="9"/>
        <v>ジェニナック錠２００ｍｇ</v>
      </c>
    </row>
    <row r="311" spans="2:7">
      <c r="B311" t="str">
        <f t="shared" si="8"/>
        <v/>
      </c>
      <c r="F311" t="s">
        <v>1420</v>
      </c>
      <c r="G311" t="str">
        <f t="shared" si="9"/>
        <v>ジギラノゲン注０．４ｍｇ</v>
      </c>
    </row>
    <row r="312" spans="2:7">
      <c r="B312" t="str">
        <f t="shared" si="8"/>
        <v/>
      </c>
      <c r="F312" t="s">
        <v>1421</v>
      </c>
      <c r="G312" t="str">
        <f t="shared" si="9"/>
        <v>ジクアス点眼液３％</v>
      </c>
    </row>
    <row r="313" spans="2:7">
      <c r="B313" t="str">
        <f t="shared" si="8"/>
        <v/>
      </c>
      <c r="F313" t="s">
        <v>1422</v>
      </c>
      <c r="G313" t="str">
        <f t="shared" si="9"/>
        <v>シクレスト舌下錠５ｍｇ</v>
      </c>
    </row>
    <row r="314" spans="2:7">
      <c r="B314" t="str">
        <f t="shared" si="8"/>
        <v/>
      </c>
      <c r="F314" t="s">
        <v>1423</v>
      </c>
      <c r="G314" t="str">
        <f t="shared" si="9"/>
        <v>シクレスト舌下錠１０ｍｇ</v>
      </c>
    </row>
    <row r="315" spans="2:7">
      <c r="B315" t="str">
        <f t="shared" si="8"/>
        <v/>
      </c>
      <c r="F315" t="s">
        <v>1424</v>
      </c>
      <c r="G315" t="str">
        <f t="shared" si="9"/>
        <v>ジクロフェナクナトリウム坐剤２５ｍｇ「ＪＧ」</v>
      </c>
    </row>
    <row r="316" spans="2:7">
      <c r="B316" t="str">
        <f t="shared" si="8"/>
        <v/>
      </c>
      <c r="F316" t="s">
        <v>1425</v>
      </c>
      <c r="G316" t="str">
        <f t="shared" si="9"/>
        <v>シクロスポリンカプセル５０ｍｇ「トーワ」</v>
      </c>
    </row>
    <row r="317" spans="2:7">
      <c r="B317" t="str">
        <f t="shared" si="8"/>
        <v/>
      </c>
      <c r="F317" t="s">
        <v>1426</v>
      </c>
      <c r="G317" t="str">
        <f t="shared" si="9"/>
        <v>ジスチグミン臭化物錠５ｍｇ「ＮＩＧ」</v>
      </c>
    </row>
    <row r="318" spans="2:7">
      <c r="B318" t="str">
        <f t="shared" si="8"/>
        <v/>
      </c>
      <c r="F318" t="s">
        <v>1427</v>
      </c>
      <c r="G318" t="str">
        <f t="shared" si="9"/>
        <v>ジスバルカプセル４０ｍｇ</v>
      </c>
    </row>
    <row r="319" spans="2:7">
      <c r="B319" t="str">
        <f t="shared" si="8"/>
        <v/>
      </c>
      <c r="F319" t="s">
        <v>492</v>
      </c>
      <c r="G319" t="str">
        <f t="shared" si="9"/>
        <v>シーピー配合顆粒</v>
      </c>
    </row>
    <row r="320" spans="2:7">
      <c r="B320" t="str">
        <f t="shared" si="8"/>
        <v/>
      </c>
      <c r="F320" t="s">
        <v>1428</v>
      </c>
      <c r="G320" t="str">
        <f t="shared" si="9"/>
        <v>ジフェニドール塩酸塩錠２５ｍｇ「ＮＩＧ」</v>
      </c>
    </row>
    <row r="321" spans="2:7">
      <c r="B321" t="str">
        <f t="shared" si="8"/>
        <v/>
      </c>
      <c r="F321" t="s">
        <v>4569</v>
      </c>
      <c r="G321" t="str">
        <f t="shared" si="9"/>
        <v>ジフルカン静注液５０ｍｇ</v>
      </c>
    </row>
    <row r="322" spans="2:7">
      <c r="B322" t="str">
        <f t="shared" ref="B322:B349" si="10">DBCS(A322)</f>
        <v/>
      </c>
      <c r="F322" t="s">
        <v>4573</v>
      </c>
      <c r="G322" t="str">
        <f t="shared" ref="G322:G385" si="11">DBCS(F322)</f>
        <v>ジフルカン静注液１００ｍｇ</v>
      </c>
    </row>
    <row r="323" spans="2:7">
      <c r="B323" t="str">
        <f t="shared" si="10"/>
        <v/>
      </c>
      <c r="F323" t="s">
        <v>1429</v>
      </c>
      <c r="G323" t="str">
        <f t="shared" si="11"/>
        <v>ジプレキサザイディス錠２．５ｍｇ</v>
      </c>
    </row>
    <row r="324" spans="2:7">
      <c r="B324" t="str">
        <f t="shared" si="10"/>
        <v/>
      </c>
      <c r="F324" t="s">
        <v>1430</v>
      </c>
      <c r="G324" t="str">
        <f t="shared" si="11"/>
        <v>ジプレキサザイディス錠５ｍｇ</v>
      </c>
    </row>
    <row r="325" spans="2:7">
      <c r="B325" t="str">
        <f t="shared" si="10"/>
        <v/>
      </c>
      <c r="F325" t="s">
        <v>1431</v>
      </c>
      <c r="G325" t="str">
        <f t="shared" si="11"/>
        <v>ジプレキサザイディス錠１０ｍｇ</v>
      </c>
    </row>
    <row r="326" spans="2:7">
      <c r="B326" t="str">
        <f t="shared" si="10"/>
        <v/>
      </c>
      <c r="F326" t="s">
        <v>1432</v>
      </c>
      <c r="G326" t="str">
        <f t="shared" si="11"/>
        <v>ジプレキサ筋注用１０ｍｇ</v>
      </c>
    </row>
    <row r="327" spans="2:7">
      <c r="B327" t="str">
        <f t="shared" si="10"/>
        <v/>
      </c>
      <c r="F327" t="s">
        <v>4577</v>
      </c>
      <c r="G327" t="str">
        <f t="shared" si="11"/>
        <v>シプロフロキサシン点滴静注２００ｍｇ／１００ｍＬ「明治」</v>
      </c>
    </row>
    <row r="328" spans="2:7">
      <c r="B328" t="str">
        <f t="shared" si="10"/>
        <v/>
      </c>
      <c r="F328" t="s">
        <v>1433</v>
      </c>
      <c r="G328" t="str">
        <f t="shared" si="11"/>
        <v>シベンゾリンコハク酸塩錠１００ｍｇ「サワイ」</v>
      </c>
    </row>
    <row r="329" spans="2:7">
      <c r="B329" t="str">
        <f t="shared" si="10"/>
        <v/>
      </c>
      <c r="F329" t="s">
        <v>1434</v>
      </c>
      <c r="G329" t="str">
        <f t="shared" si="11"/>
        <v>ジメチコン錠４０ｍｇ「ＹＤ」</v>
      </c>
    </row>
    <row r="330" spans="2:7">
      <c r="B330" t="str">
        <f t="shared" si="10"/>
        <v/>
      </c>
      <c r="F330" t="s">
        <v>1435</v>
      </c>
      <c r="G330" t="str">
        <f t="shared" si="11"/>
        <v>硝酸イソソルビド徐放カプセル２０ｍｇ「Ｓｔ」</v>
      </c>
    </row>
    <row r="331" spans="2:7">
      <c r="B331" t="str">
        <f t="shared" si="10"/>
        <v/>
      </c>
      <c r="F331" t="s">
        <v>1436</v>
      </c>
      <c r="G331" t="str">
        <f t="shared" si="11"/>
        <v>照射赤血球液－ＬＲ「日赤」</v>
      </c>
    </row>
    <row r="332" spans="2:7">
      <c r="B332" t="str">
        <f t="shared" si="10"/>
        <v/>
      </c>
      <c r="F332" t="s">
        <v>4581</v>
      </c>
      <c r="G332" t="str">
        <f t="shared" si="11"/>
        <v>ジルチアゼム塩酸塩静注用５０ｍｇ「日医工」</v>
      </c>
    </row>
    <row r="333" spans="2:7">
      <c r="B333" t="str">
        <f t="shared" si="10"/>
        <v/>
      </c>
      <c r="F333" t="s">
        <v>4585</v>
      </c>
      <c r="G333" t="str">
        <f t="shared" si="11"/>
        <v>シロスタゾール錠１００ｍｇ「トーワ」</v>
      </c>
    </row>
    <row r="334" spans="2:7">
      <c r="B334" t="str">
        <f t="shared" si="10"/>
        <v/>
      </c>
      <c r="F334" t="s">
        <v>4589</v>
      </c>
      <c r="G334" t="str">
        <f t="shared" si="11"/>
        <v>シロスタゾールＯＤ錠１００ｍｇ「トーワ」</v>
      </c>
    </row>
    <row r="335" spans="2:7">
      <c r="B335" t="str">
        <f t="shared" si="10"/>
        <v/>
      </c>
      <c r="F335" t="s">
        <v>1437</v>
      </c>
      <c r="G335" t="str">
        <f t="shared" si="11"/>
        <v>シロスタゾールＯＤ錠１００ｍｇ「タカタ」</v>
      </c>
    </row>
    <row r="336" spans="2:7">
      <c r="B336" t="str">
        <f t="shared" si="10"/>
        <v/>
      </c>
      <c r="F336" t="s">
        <v>1438</v>
      </c>
      <c r="G336" t="str">
        <f t="shared" si="11"/>
        <v>シロドシンＯＤ錠４ｍｇ「ＫＭＰ」</v>
      </c>
    </row>
    <row r="337" spans="2:7">
      <c r="B337" t="str">
        <f t="shared" si="10"/>
        <v/>
      </c>
      <c r="F337" t="s">
        <v>526</v>
      </c>
      <c r="G337" t="str">
        <f t="shared" si="11"/>
        <v>シングレア錠１０ｍｇ</v>
      </c>
    </row>
    <row r="338" spans="2:7">
      <c r="B338" t="str">
        <f t="shared" si="10"/>
        <v/>
      </c>
      <c r="F338" t="s">
        <v>1439</v>
      </c>
      <c r="G338" t="str">
        <f t="shared" si="11"/>
        <v>新レシカルボン坐剤</v>
      </c>
    </row>
    <row r="339" spans="2:7">
      <c r="B339" t="str">
        <f t="shared" si="10"/>
        <v/>
      </c>
      <c r="F339" t="s">
        <v>1440</v>
      </c>
      <c r="G339" t="str">
        <f t="shared" si="11"/>
        <v>水溶性ハイドロコートン注射液１００ｍｇ</v>
      </c>
    </row>
    <row r="340" spans="2:7">
      <c r="B340" t="str">
        <f t="shared" si="10"/>
        <v/>
      </c>
      <c r="F340" t="s">
        <v>528</v>
      </c>
      <c r="G340" t="str">
        <f t="shared" si="11"/>
        <v>スクロードパスタ</v>
      </c>
    </row>
    <row r="341" spans="2:7">
      <c r="B341" t="str">
        <f t="shared" si="10"/>
        <v/>
      </c>
      <c r="F341" t="s">
        <v>1441</v>
      </c>
      <c r="G341" t="str">
        <f t="shared" si="11"/>
        <v>スタデルムクリーム５％</v>
      </c>
    </row>
    <row r="342" spans="2:7">
      <c r="B342" t="str">
        <f t="shared" si="10"/>
        <v/>
      </c>
      <c r="F342" t="s">
        <v>1442</v>
      </c>
      <c r="G342" t="str">
        <f t="shared" si="11"/>
        <v>ストロメクトール錠３ｍｇ</v>
      </c>
    </row>
    <row r="343" spans="2:7">
      <c r="B343" t="str">
        <f t="shared" si="10"/>
        <v/>
      </c>
      <c r="F343" t="s">
        <v>1443</v>
      </c>
      <c r="G343" t="str">
        <f t="shared" si="11"/>
        <v>スピリーバ２．５μｇレスピマット６０吸入</v>
      </c>
    </row>
    <row r="344" spans="2:7">
      <c r="B344" t="str">
        <f t="shared" si="10"/>
        <v/>
      </c>
      <c r="F344" t="s">
        <v>1444</v>
      </c>
      <c r="G344" t="str">
        <f t="shared" si="11"/>
        <v>スピール膏Ｍ</v>
      </c>
    </row>
    <row r="345" spans="2:7">
      <c r="B345" t="str">
        <f t="shared" si="10"/>
        <v/>
      </c>
      <c r="F345" t="s">
        <v>4595</v>
      </c>
      <c r="G345" t="str">
        <f t="shared" si="11"/>
        <v>スピロノラクトン錠２５ｍｇ「トーワ」</v>
      </c>
    </row>
    <row r="346" spans="2:7">
      <c r="B346" t="str">
        <f t="shared" si="10"/>
        <v/>
      </c>
      <c r="F346" t="s">
        <v>1445</v>
      </c>
      <c r="G346" t="str">
        <f t="shared" si="11"/>
        <v>スピロペント錠１０μｇ</v>
      </c>
    </row>
    <row r="347" spans="2:7">
      <c r="B347" t="str">
        <f t="shared" si="10"/>
        <v/>
      </c>
      <c r="F347" t="s">
        <v>1446</v>
      </c>
      <c r="G347" t="str">
        <f t="shared" si="11"/>
        <v>スミスリンローション５％</v>
      </c>
    </row>
    <row r="348" spans="2:7">
      <c r="B348" t="str">
        <f t="shared" si="10"/>
        <v/>
      </c>
      <c r="F348" t="s">
        <v>1447</v>
      </c>
      <c r="G348" t="str">
        <f t="shared" si="11"/>
        <v>スルバシリン静注用１．５ｇ</v>
      </c>
    </row>
    <row r="349" spans="2:7">
      <c r="B349" t="str">
        <f t="shared" si="10"/>
        <v/>
      </c>
      <c r="F349" t="s">
        <v>1448</v>
      </c>
      <c r="G349" t="str">
        <f t="shared" si="11"/>
        <v>スルピリド錠１００ｍｇ「アメル」</v>
      </c>
    </row>
    <row r="350" spans="2:7">
      <c r="F350" t="s">
        <v>1449</v>
      </c>
      <c r="G350" t="str">
        <f t="shared" si="11"/>
        <v>スルピリド錠２００ｍｇ「アメル」</v>
      </c>
    </row>
    <row r="351" spans="2:7">
      <c r="F351" t="s">
        <v>1450</v>
      </c>
      <c r="G351" t="str">
        <f t="shared" si="11"/>
        <v>スルピリド錠５０ｍｇ「アメル」</v>
      </c>
    </row>
    <row r="352" spans="2:7">
      <c r="F352" t="s">
        <v>4599</v>
      </c>
      <c r="G352" t="str">
        <f t="shared" si="11"/>
        <v>スルピリド細粒５０％「アメル」</v>
      </c>
    </row>
    <row r="353" spans="6:7">
      <c r="F353" t="s">
        <v>1451</v>
      </c>
      <c r="G353" t="str">
        <f t="shared" si="11"/>
        <v>大塚生食注</v>
      </c>
    </row>
    <row r="354" spans="6:7">
      <c r="F354" t="s">
        <v>1451</v>
      </c>
      <c r="G354" t="str">
        <f t="shared" si="11"/>
        <v>大塚生食注</v>
      </c>
    </row>
    <row r="355" spans="6:7">
      <c r="F355" t="s">
        <v>1452</v>
      </c>
      <c r="G355" t="str">
        <f t="shared" si="11"/>
        <v>生食溶解液キットＨ</v>
      </c>
    </row>
    <row r="356" spans="6:7">
      <c r="F356" t="s">
        <v>4603</v>
      </c>
      <c r="G356" t="str">
        <f t="shared" si="11"/>
        <v>生食注シリンジ「オーツカ」１０ｍＬ</v>
      </c>
    </row>
    <row r="357" spans="6:7">
      <c r="F357" t="s">
        <v>1453</v>
      </c>
      <c r="G357" t="str">
        <f t="shared" si="11"/>
        <v>生食注シリンジ「ＮＰ」</v>
      </c>
    </row>
    <row r="358" spans="6:7">
      <c r="F358" t="s">
        <v>1454</v>
      </c>
      <c r="G358" t="str">
        <f t="shared" si="11"/>
        <v>生理食塩液「ＶＴＲＳ」</v>
      </c>
    </row>
    <row r="359" spans="6:7">
      <c r="F359" t="s">
        <v>1454</v>
      </c>
      <c r="G359" t="str">
        <f t="shared" si="11"/>
        <v>生理食塩液「ＶＴＲＳ」</v>
      </c>
    </row>
    <row r="360" spans="6:7">
      <c r="F360" t="s">
        <v>4607</v>
      </c>
      <c r="G360" t="str">
        <f t="shared" si="11"/>
        <v>ゼチーア錠１０ｍｇ</v>
      </c>
    </row>
    <row r="361" spans="6:7">
      <c r="F361" t="s">
        <v>1455</v>
      </c>
      <c r="G361" t="str">
        <f t="shared" si="11"/>
        <v>セディール錠１０ｍｇ</v>
      </c>
    </row>
    <row r="362" spans="6:7">
      <c r="F362" t="s">
        <v>557</v>
      </c>
      <c r="G362" t="str">
        <f t="shared" si="11"/>
        <v>セパゾン錠１</v>
      </c>
    </row>
    <row r="363" spans="6:7">
      <c r="F363" t="s">
        <v>558</v>
      </c>
      <c r="G363" t="str">
        <f t="shared" si="11"/>
        <v>セパゾン錠２</v>
      </c>
    </row>
    <row r="364" spans="6:7">
      <c r="F364" t="s">
        <v>1456</v>
      </c>
      <c r="G364" t="str">
        <f t="shared" si="11"/>
        <v>セパミット細粒１％</v>
      </c>
    </row>
    <row r="365" spans="6:7">
      <c r="F365" t="s">
        <v>4611</v>
      </c>
      <c r="G365" t="str">
        <f t="shared" si="11"/>
        <v>ゼビュディ点滴静注液５００ｍｇ</v>
      </c>
    </row>
    <row r="366" spans="6:7">
      <c r="F366" t="s">
        <v>4615</v>
      </c>
      <c r="G366" t="str">
        <f t="shared" si="11"/>
        <v>セファゾリンナトリウム注射用１ｇ「日医工」</v>
      </c>
    </row>
    <row r="367" spans="6:7">
      <c r="F367" t="s">
        <v>1457</v>
      </c>
      <c r="G367" t="str">
        <f t="shared" si="11"/>
        <v>セフェピム塩酸塩静注用１ｇ「サンド」</v>
      </c>
    </row>
    <row r="368" spans="6:7">
      <c r="F368" t="s">
        <v>4619</v>
      </c>
      <c r="G368" t="str">
        <f t="shared" si="11"/>
        <v>セフタジジム静注用１ｇ「日医工」</v>
      </c>
    </row>
    <row r="369" spans="6:7">
      <c r="F369" t="s">
        <v>1458</v>
      </c>
      <c r="G369" t="str">
        <f t="shared" si="11"/>
        <v>セフタジジム静注用１ｇ「ＶＴＲＳ」</v>
      </c>
    </row>
    <row r="370" spans="6:7">
      <c r="F370" t="s">
        <v>1459</v>
      </c>
      <c r="G370" t="str">
        <f t="shared" si="11"/>
        <v>セフトリアキソンナトリウム静注用１ｇ「日医工」</v>
      </c>
    </row>
    <row r="371" spans="6:7">
      <c r="F371" t="s">
        <v>1460</v>
      </c>
      <c r="G371" t="str">
        <f t="shared" si="11"/>
        <v>ゼプリオン水懸筋注２５ｍｇシリンジ</v>
      </c>
    </row>
    <row r="372" spans="6:7">
      <c r="F372" t="s">
        <v>1461</v>
      </c>
      <c r="G372" t="str">
        <f t="shared" si="11"/>
        <v>ゼプリオン水懸筋注５０ｍｇシリンジ</v>
      </c>
    </row>
    <row r="373" spans="6:7">
      <c r="F373" t="s">
        <v>1462</v>
      </c>
      <c r="G373" t="str">
        <f t="shared" si="11"/>
        <v>ゼプリオン水懸筋注７５ｍｇシリンジ</v>
      </c>
    </row>
    <row r="374" spans="6:7">
      <c r="F374" t="s">
        <v>1463</v>
      </c>
      <c r="G374" t="str">
        <f t="shared" si="11"/>
        <v>ゼプリオン水懸筋注１００ｍｇシリンジ</v>
      </c>
    </row>
    <row r="375" spans="6:7">
      <c r="F375" t="s">
        <v>1464</v>
      </c>
      <c r="G375" t="str">
        <f t="shared" si="11"/>
        <v>ゼプリオン水懸筋注１５０ｍｇシリンジ</v>
      </c>
    </row>
    <row r="376" spans="6:7">
      <c r="F376" t="s">
        <v>1465</v>
      </c>
      <c r="G376" t="str">
        <f t="shared" si="11"/>
        <v>セララ錠５０ｍｇ</v>
      </c>
    </row>
    <row r="377" spans="6:7">
      <c r="F377" t="s">
        <v>4623</v>
      </c>
      <c r="G377" t="str">
        <f t="shared" si="11"/>
        <v>セリンクロ錠１０ｍｇ</v>
      </c>
    </row>
    <row r="378" spans="6:7">
      <c r="F378" t="s">
        <v>4627</v>
      </c>
      <c r="G378" t="str">
        <f t="shared" si="11"/>
        <v>２ｍｇセルシン錠</v>
      </c>
    </row>
    <row r="379" spans="6:7">
      <c r="F379" t="s">
        <v>4631</v>
      </c>
      <c r="G379" t="str">
        <f t="shared" si="11"/>
        <v>５ｍｇセルシン錠</v>
      </c>
    </row>
    <row r="380" spans="6:7">
      <c r="F380" t="s">
        <v>4635</v>
      </c>
      <c r="G380" t="str">
        <f t="shared" si="11"/>
        <v>セルシン注射液１０ｍｇ</v>
      </c>
    </row>
    <row r="381" spans="6:7">
      <c r="F381" t="s">
        <v>1466</v>
      </c>
      <c r="G381" t="str">
        <f t="shared" si="11"/>
        <v>セルトラリン錠２５ｍｇ「明治」</v>
      </c>
    </row>
    <row r="382" spans="6:7">
      <c r="F382" t="s">
        <v>1467</v>
      </c>
      <c r="G382" t="str">
        <f t="shared" si="11"/>
        <v>セレコキシブ錠１００ｍｇ「ＤＳＥＰ」</v>
      </c>
    </row>
    <row r="383" spans="6:7">
      <c r="F383" t="s">
        <v>4639</v>
      </c>
      <c r="G383" t="str">
        <f t="shared" si="11"/>
        <v>セレジストＯＤ錠５ｍｇ</v>
      </c>
    </row>
    <row r="384" spans="6:7">
      <c r="F384" t="s">
        <v>575</v>
      </c>
      <c r="G384" t="str">
        <f t="shared" si="11"/>
        <v>セレスタミン配合錠</v>
      </c>
    </row>
    <row r="385" spans="6:7">
      <c r="F385" t="s">
        <v>1468</v>
      </c>
      <c r="G385" t="str">
        <f t="shared" si="11"/>
        <v>セレニカＲ顆粒４０％</v>
      </c>
    </row>
    <row r="386" spans="6:7">
      <c r="F386" t="s">
        <v>578</v>
      </c>
      <c r="G386" t="str">
        <f t="shared" ref="G386:G449" si="12">DBCS(F386)</f>
        <v>セレネース注５ｍｇ</v>
      </c>
    </row>
    <row r="387" spans="6:7">
      <c r="F387" t="s">
        <v>580</v>
      </c>
      <c r="G387" t="str">
        <f t="shared" si="12"/>
        <v>セレネース内服液０．２％</v>
      </c>
    </row>
    <row r="388" spans="6:7">
      <c r="F388" t="s">
        <v>4643</v>
      </c>
      <c r="G388" t="str">
        <f t="shared" si="12"/>
        <v>センノシド錠１２ｍｇ「トーワ」</v>
      </c>
    </row>
    <row r="389" spans="6:7">
      <c r="F389" t="s">
        <v>4647</v>
      </c>
      <c r="G389" t="str">
        <f t="shared" si="12"/>
        <v>センノシド顆粒８％「日医工」</v>
      </c>
    </row>
    <row r="390" spans="6:7">
      <c r="F390" t="s">
        <v>1469</v>
      </c>
      <c r="G390" t="str">
        <f t="shared" si="12"/>
        <v>センノシド錠１２ｍｇ「クニヒロ」</v>
      </c>
    </row>
    <row r="391" spans="6:7">
      <c r="F391" t="s">
        <v>1470</v>
      </c>
      <c r="G391" t="str">
        <f t="shared" si="12"/>
        <v>センブリ・重曹散「ヨシダ」</v>
      </c>
    </row>
    <row r="392" spans="6:7">
      <c r="F392" t="s">
        <v>1471</v>
      </c>
      <c r="G392" t="str">
        <f t="shared" si="12"/>
        <v>ゾシン静注用４．５</v>
      </c>
    </row>
    <row r="393" spans="6:7">
      <c r="F393" t="s">
        <v>4651</v>
      </c>
      <c r="G393" t="str">
        <f t="shared" si="12"/>
        <v>ソタコール錠８０ｍｇ</v>
      </c>
    </row>
    <row r="394" spans="6:7">
      <c r="F394" t="s">
        <v>1472</v>
      </c>
      <c r="G394" t="str">
        <f t="shared" si="12"/>
        <v>ソタロール塩酸塩錠８０ｍｇ「ＴＥ」</v>
      </c>
    </row>
    <row r="395" spans="6:7">
      <c r="F395" t="s">
        <v>4655</v>
      </c>
      <c r="G395" t="str">
        <f t="shared" si="12"/>
        <v>ゾテピン錠２５ｍｇ「ヨシトミ」</v>
      </c>
    </row>
    <row r="396" spans="6:7">
      <c r="F396" t="s">
        <v>4659</v>
      </c>
      <c r="G396" t="str">
        <f t="shared" si="12"/>
        <v>ゾテピン錠５０ｍｇ「ヨシトミ」</v>
      </c>
    </row>
    <row r="397" spans="6:7">
      <c r="F397" t="s">
        <v>4663</v>
      </c>
      <c r="G397" t="str">
        <f t="shared" si="12"/>
        <v>ゾテピン細粒５０％「ヨシトミ」</v>
      </c>
    </row>
    <row r="398" spans="6:7">
      <c r="F398" t="s">
        <v>1473</v>
      </c>
      <c r="G398" t="str">
        <f t="shared" si="12"/>
        <v>ゾニサミド錠１００ｍｇ「アメル」</v>
      </c>
    </row>
    <row r="399" spans="6:7">
      <c r="F399" t="s">
        <v>1474</v>
      </c>
      <c r="G399" t="str">
        <f t="shared" si="12"/>
        <v>ゾニサミドＯＤ錠２５ｍｇＴＲＥ「ＤＳＥＰ」</v>
      </c>
    </row>
    <row r="400" spans="6:7">
      <c r="F400" t="s">
        <v>594</v>
      </c>
      <c r="G400" t="str">
        <f t="shared" si="12"/>
        <v>ゾピクロン錠７．５ｍｇ「トーワ」</v>
      </c>
    </row>
    <row r="401" spans="6:7">
      <c r="F401" t="s">
        <v>4667</v>
      </c>
      <c r="G401" t="str">
        <f t="shared" si="12"/>
        <v>ソフラチュール貼付剤１０ｃｍ</v>
      </c>
    </row>
    <row r="402" spans="6:7">
      <c r="F402" t="s">
        <v>1475</v>
      </c>
      <c r="G402" t="str">
        <f t="shared" si="12"/>
        <v>ゾフルーザ錠２０ｍｇ</v>
      </c>
    </row>
    <row r="403" spans="6:7">
      <c r="F403" t="s">
        <v>1476</v>
      </c>
      <c r="G403" t="str">
        <f t="shared" si="12"/>
        <v>ソラナックス０．４ｍｇ錠</v>
      </c>
    </row>
    <row r="404" spans="6:7">
      <c r="F404" t="s">
        <v>1477</v>
      </c>
      <c r="G404" t="str">
        <f t="shared" si="12"/>
        <v>ソラナックス０．８ｍｇ錠</v>
      </c>
    </row>
    <row r="405" spans="6:7">
      <c r="F405" t="s">
        <v>1478</v>
      </c>
      <c r="G405" t="str">
        <f t="shared" si="12"/>
        <v>ソリフェナシンコハク酸塩ＯＤ錠５ｍｇ「トーワ」</v>
      </c>
    </row>
    <row r="406" spans="6:7">
      <c r="F406" t="s">
        <v>1479</v>
      </c>
      <c r="G406" t="str">
        <f t="shared" si="12"/>
        <v>ソルダクトン静注用１００ｍｇ</v>
      </c>
    </row>
    <row r="407" spans="6:7">
      <c r="F407" t="s">
        <v>1480</v>
      </c>
      <c r="G407" t="str">
        <f t="shared" si="12"/>
        <v>ソルデム１輸液</v>
      </c>
    </row>
    <row r="408" spans="6:7">
      <c r="F408" t="s">
        <v>1480</v>
      </c>
      <c r="G408" t="str">
        <f t="shared" si="12"/>
        <v>ソルデム１輸液</v>
      </c>
    </row>
    <row r="409" spans="6:7">
      <c r="F409" t="s">
        <v>4671</v>
      </c>
      <c r="G409" t="str">
        <f t="shared" si="12"/>
        <v>ソル・メドロール静注用５００ｍｇ</v>
      </c>
    </row>
    <row r="410" spans="6:7">
      <c r="F410" t="s">
        <v>607</v>
      </c>
      <c r="G410" t="str">
        <f t="shared" si="12"/>
        <v>ダイアップ坐剤４</v>
      </c>
    </row>
    <row r="411" spans="6:7">
      <c r="F411" t="s">
        <v>4675</v>
      </c>
      <c r="G411" t="str">
        <f t="shared" si="12"/>
        <v>ダイアモックス錠２５０ｍｇ</v>
      </c>
    </row>
    <row r="412" spans="6:7">
      <c r="F412" t="s">
        <v>609</v>
      </c>
      <c r="G412" t="str">
        <f t="shared" si="12"/>
        <v>ダイビタミックス注</v>
      </c>
    </row>
    <row r="413" spans="6:7">
      <c r="F413" t="s">
        <v>612</v>
      </c>
      <c r="G413" t="str">
        <f t="shared" si="12"/>
        <v>ダイフェン配合錠</v>
      </c>
    </row>
    <row r="414" spans="6:7">
      <c r="F414" t="s">
        <v>1481</v>
      </c>
      <c r="G414" t="str">
        <f t="shared" si="12"/>
        <v>タクロリムスカプセル１ｍｇ「ニプロ」</v>
      </c>
    </row>
    <row r="415" spans="6:7">
      <c r="F415" t="s">
        <v>4679</v>
      </c>
      <c r="G415" t="str">
        <f t="shared" si="12"/>
        <v>タケキャブ錠１０ｍｇ</v>
      </c>
    </row>
    <row r="416" spans="6:7">
      <c r="F416" t="s">
        <v>4683</v>
      </c>
      <c r="G416" t="str">
        <f t="shared" si="12"/>
        <v>タケキャブ錠２０ｍｇ</v>
      </c>
    </row>
    <row r="417" spans="6:7">
      <c r="F417" t="s">
        <v>1482</v>
      </c>
      <c r="G417" t="str">
        <f t="shared" si="12"/>
        <v>タケキャブＯＤ錠１０ｍｇ</v>
      </c>
    </row>
    <row r="418" spans="6:7">
      <c r="F418" t="s">
        <v>1483</v>
      </c>
      <c r="G418" t="str">
        <f t="shared" si="12"/>
        <v>タケキャブＯＤ錠２０ｍｇ</v>
      </c>
    </row>
    <row r="419" spans="6:7">
      <c r="F419" t="s">
        <v>1484</v>
      </c>
      <c r="G419" t="str">
        <f t="shared" si="12"/>
        <v>タケプロン静注用３０ｍｇ</v>
      </c>
    </row>
    <row r="420" spans="6:7">
      <c r="F420" t="s">
        <v>1485</v>
      </c>
      <c r="G420" t="str">
        <f t="shared" si="12"/>
        <v>タチオン錠５０ｍｇ</v>
      </c>
    </row>
    <row r="421" spans="6:7">
      <c r="F421" t="s">
        <v>4687</v>
      </c>
      <c r="G421" t="str">
        <f t="shared" si="12"/>
        <v>ダプトマイシン静注用３５０ｍｇ「サワイ」</v>
      </c>
    </row>
    <row r="422" spans="6:7">
      <c r="F422" t="s">
        <v>4690</v>
      </c>
      <c r="G422" t="str">
        <f t="shared" si="12"/>
        <v>タフマックＥ配合カプセル</v>
      </c>
    </row>
    <row r="423" spans="6:7">
      <c r="F423" t="s">
        <v>4694</v>
      </c>
      <c r="G423" t="str">
        <f t="shared" si="12"/>
        <v>タフマックＥ配合顆粒</v>
      </c>
    </row>
    <row r="424" spans="6:7">
      <c r="F424" t="s">
        <v>1486</v>
      </c>
      <c r="G424" t="str">
        <f t="shared" si="12"/>
        <v>タプロス点眼液０．００１５％</v>
      </c>
    </row>
    <row r="425" spans="6:7">
      <c r="F425" t="s">
        <v>1487</v>
      </c>
      <c r="G425" t="str">
        <f t="shared" si="12"/>
        <v>ダーブロック錠２ｍｇ</v>
      </c>
    </row>
    <row r="426" spans="6:7">
      <c r="F426" t="s">
        <v>4697</v>
      </c>
      <c r="G426" t="str">
        <f t="shared" si="12"/>
        <v>ダミー薬品（散薬）</v>
      </c>
    </row>
    <row r="427" spans="6:7">
      <c r="F427" t="s">
        <v>4701</v>
      </c>
      <c r="G427" t="str">
        <f t="shared" si="12"/>
        <v>ダミー薬品（錠剤）</v>
      </c>
    </row>
    <row r="428" spans="6:7">
      <c r="F428" t="s">
        <v>1488</v>
      </c>
      <c r="G428" t="str">
        <f t="shared" si="12"/>
        <v>タムスロシン塩酸塩ＯＤ錠０．２ｍｇ「サワイ」</v>
      </c>
    </row>
    <row r="429" spans="6:7">
      <c r="F429" t="s">
        <v>4705</v>
      </c>
      <c r="G429" t="str">
        <f t="shared" si="12"/>
        <v>タモキシフェン錠２０ｍｇ「サワイ」</v>
      </c>
    </row>
    <row r="430" spans="6:7">
      <c r="F430" t="s">
        <v>1489</v>
      </c>
      <c r="G430" t="str">
        <f t="shared" si="12"/>
        <v>ダラシンカプセル１５０ｍｇ</v>
      </c>
    </row>
    <row r="431" spans="6:7">
      <c r="F431" t="s">
        <v>1490</v>
      </c>
      <c r="G431" t="str">
        <f t="shared" si="12"/>
        <v>タリージェ錠５ｍｇ</v>
      </c>
    </row>
    <row r="432" spans="6:7">
      <c r="F432" t="s">
        <v>1491</v>
      </c>
      <c r="G432" t="str">
        <f t="shared" si="12"/>
        <v>タリビッド眼軟膏０．３％</v>
      </c>
    </row>
    <row r="433" spans="6:7">
      <c r="F433" t="s">
        <v>1492</v>
      </c>
      <c r="G433" t="str">
        <f t="shared" si="12"/>
        <v>タリビッド耳科用液０．３％</v>
      </c>
    </row>
    <row r="434" spans="6:7">
      <c r="F434" t="s">
        <v>1493</v>
      </c>
      <c r="G434" t="str">
        <f t="shared" si="12"/>
        <v>ダルベポエチン　アルファＢＳ注１２０μｇシリンジ「三和」</v>
      </c>
    </row>
    <row r="435" spans="6:7">
      <c r="F435" t="s">
        <v>1494</v>
      </c>
      <c r="G435" t="str">
        <f t="shared" si="12"/>
        <v>ダルベポエチン　アルファＢＳ注３０μｇシリンジ「三和」</v>
      </c>
    </row>
    <row r="436" spans="6:7">
      <c r="F436" t="s">
        <v>1495</v>
      </c>
      <c r="G436" t="str">
        <f t="shared" si="12"/>
        <v>ダルベポエチン　アルファＢＳ注６０μｇシリンジ「三和」</v>
      </c>
    </row>
    <row r="437" spans="6:7">
      <c r="F437" t="s">
        <v>1496</v>
      </c>
      <c r="G437" t="str">
        <f t="shared" si="12"/>
        <v>ダルベポエチン　アルファＢＳ注１５μｇシリンジ「三和」</v>
      </c>
    </row>
    <row r="438" spans="6:7">
      <c r="F438" t="s">
        <v>4709</v>
      </c>
      <c r="G438" t="str">
        <f t="shared" si="12"/>
        <v>炭酸リチウム錠１００ｍｇ「アメル」</v>
      </c>
    </row>
    <row r="439" spans="6:7">
      <c r="F439" t="s">
        <v>4713</v>
      </c>
      <c r="G439" t="str">
        <f t="shared" si="12"/>
        <v>炭酸リチウム錠２００ｍｇ「アメル」</v>
      </c>
    </row>
    <row r="440" spans="6:7">
      <c r="F440" t="s">
        <v>1497</v>
      </c>
      <c r="G440" t="str">
        <f t="shared" si="12"/>
        <v>炭酸水素ナトリウム</v>
      </c>
    </row>
    <row r="441" spans="6:7">
      <c r="F441" t="s">
        <v>1498</v>
      </c>
      <c r="G441" t="str">
        <f t="shared" si="12"/>
        <v>炭酸リチウム錠２００ｍｇ「大正」</v>
      </c>
    </row>
    <row r="442" spans="6:7">
      <c r="F442" t="s">
        <v>1499</v>
      </c>
      <c r="G442" t="str">
        <f t="shared" si="12"/>
        <v>炭酸リチウム錠１００ｍｇ「大正」</v>
      </c>
    </row>
    <row r="443" spans="6:7">
      <c r="F443" t="s">
        <v>4717</v>
      </c>
      <c r="G443" t="str">
        <f t="shared" si="12"/>
        <v>単シロップ</v>
      </c>
    </row>
    <row r="444" spans="6:7">
      <c r="F444" t="s">
        <v>1500</v>
      </c>
      <c r="G444" t="str">
        <f t="shared" si="12"/>
        <v>ダントリウムカプセル２５ｍｇ</v>
      </c>
    </row>
    <row r="445" spans="6:7">
      <c r="F445" t="s">
        <v>1501</v>
      </c>
      <c r="G445" t="str">
        <f t="shared" si="12"/>
        <v>ダントリウム静注用２０ｍｇ</v>
      </c>
    </row>
    <row r="446" spans="6:7">
      <c r="F446" t="s">
        <v>1502</v>
      </c>
      <c r="G446" t="str">
        <f t="shared" si="12"/>
        <v>タンニン酸アルブミン「ＶＴＲＳ」原末</v>
      </c>
    </row>
    <row r="447" spans="6:7">
      <c r="F447" t="s">
        <v>1503</v>
      </c>
      <c r="G447" t="str">
        <f t="shared" si="12"/>
        <v>タンボコール錠５０ｍｇ</v>
      </c>
    </row>
    <row r="448" spans="6:7">
      <c r="F448" t="s">
        <v>4721</v>
      </c>
      <c r="G448" t="str">
        <f t="shared" si="12"/>
        <v>チアプリド錠２５ｍｇ「ＪＧ」</v>
      </c>
    </row>
    <row r="449" spans="6:7">
      <c r="F449" t="s">
        <v>4725</v>
      </c>
      <c r="G449" t="str">
        <f t="shared" si="12"/>
        <v>チアプリド錠５０ｍｇ「ＪＧ」</v>
      </c>
    </row>
    <row r="450" spans="6:7">
      <c r="F450" t="s">
        <v>4729</v>
      </c>
      <c r="G450" t="str">
        <f t="shared" ref="G450:G513" si="13">DBCS(F450)</f>
        <v>チアプリド細粒１０％「ＪＧ」</v>
      </c>
    </row>
    <row r="451" spans="6:7">
      <c r="F451" t="s">
        <v>1504</v>
      </c>
      <c r="G451" t="str">
        <f t="shared" si="13"/>
        <v>チエナム点滴静注用０．５ｇ</v>
      </c>
    </row>
    <row r="452" spans="6:7">
      <c r="F452" t="s">
        <v>4733</v>
      </c>
      <c r="G452" t="str">
        <f t="shared" si="13"/>
        <v>チクロピジン塩酸塩錠１００ｍｇ「日医工」</v>
      </c>
    </row>
    <row r="453" spans="6:7">
      <c r="F453" t="s">
        <v>1505</v>
      </c>
      <c r="G453" t="str">
        <f t="shared" si="13"/>
        <v>チザニジン錠１ｍｇ「トーワ」</v>
      </c>
    </row>
    <row r="454" spans="6:7">
      <c r="F454" t="s">
        <v>4737</v>
      </c>
      <c r="G454" t="str">
        <f t="shared" si="13"/>
        <v>チミペロン錠１ｍｇ「アメル」</v>
      </c>
    </row>
    <row r="455" spans="6:7">
      <c r="F455" t="s">
        <v>4741</v>
      </c>
      <c r="G455" t="str">
        <f t="shared" si="13"/>
        <v>チミペロン錠３ｍｇ「アメル」</v>
      </c>
    </row>
    <row r="456" spans="6:7">
      <c r="F456" t="s">
        <v>4745</v>
      </c>
      <c r="G456" t="str">
        <f t="shared" si="13"/>
        <v>チミペロン細粒１％「アメル」</v>
      </c>
    </row>
    <row r="457" spans="6:7">
      <c r="F457" t="s">
        <v>1506</v>
      </c>
      <c r="G457" t="str">
        <f t="shared" si="13"/>
        <v>チモロール点眼液０．５％「ニッテン」</v>
      </c>
    </row>
    <row r="458" spans="6:7">
      <c r="F458" t="s">
        <v>1507</v>
      </c>
      <c r="G458" t="str">
        <f t="shared" si="13"/>
        <v>注射用水ＰＬ「フソー」</v>
      </c>
    </row>
    <row r="459" spans="6:7">
      <c r="F459" t="s">
        <v>1507</v>
      </c>
      <c r="G459" t="str">
        <f t="shared" si="13"/>
        <v>注射用水ＰＬ「フソー」</v>
      </c>
    </row>
    <row r="460" spans="6:7">
      <c r="F460" t="s">
        <v>1508</v>
      </c>
      <c r="G460" t="str">
        <f t="shared" si="13"/>
        <v>腸散Ⅱ（院内製剤）</v>
      </c>
    </row>
    <row r="461" spans="6:7">
      <c r="F461" t="s">
        <v>1509</v>
      </c>
      <c r="G461" t="str">
        <f t="shared" si="13"/>
        <v>チラーヂンＳ錠２５μｇ</v>
      </c>
    </row>
    <row r="462" spans="6:7">
      <c r="F462" t="s">
        <v>1510</v>
      </c>
      <c r="G462" t="str">
        <f t="shared" si="13"/>
        <v>チラーヂンＳ錠５０μｇ</v>
      </c>
    </row>
    <row r="463" spans="6:7">
      <c r="F463" t="s">
        <v>1511</v>
      </c>
      <c r="G463" t="str">
        <f t="shared" si="13"/>
        <v>チラーヂンＳ静注液２００μｇ</v>
      </c>
    </row>
    <row r="464" spans="6:7">
      <c r="F464" t="s">
        <v>1512</v>
      </c>
      <c r="G464" t="str">
        <f t="shared" si="13"/>
        <v>ツイミーグ錠５００ｍｇ</v>
      </c>
    </row>
    <row r="465" spans="6:7">
      <c r="F465" t="s">
        <v>1513</v>
      </c>
      <c r="G465" t="str">
        <f t="shared" si="13"/>
        <v>ツムラ八味地黄丸エキス顆粒（医療用）</v>
      </c>
    </row>
    <row r="466" spans="6:7">
      <c r="F466" t="s">
        <v>1514</v>
      </c>
      <c r="G466" t="str">
        <f t="shared" si="13"/>
        <v>ツムラ柴胡加竜骨牡蛎湯エキス顆粒（医療用）</v>
      </c>
    </row>
    <row r="467" spans="6:7">
      <c r="F467" t="s">
        <v>4749</v>
      </c>
      <c r="G467" t="str">
        <f t="shared" si="13"/>
        <v>ツムラ半夏瀉心湯エキス顆粒（医療用）</v>
      </c>
    </row>
    <row r="468" spans="6:7">
      <c r="F468" t="s">
        <v>1515</v>
      </c>
      <c r="G468" t="str">
        <f t="shared" si="13"/>
        <v>ツムラ半夏厚朴湯エキス顆粒（医療用）</v>
      </c>
    </row>
    <row r="469" spans="6:7">
      <c r="F469" t="s">
        <v>1516</v>
      </c>
      <c r="G469" t="str">
        <f t="shared" si="13"/>
        <v>ツムラ五苓散エキス顆粒（医療用）</v>
      </c>
    </row>
    <row r="470" spans="6:7">
      <c r="F470" t="s">
        <v>1517</v>
      </c>
      <c r="G470" t="str">
        <f t="shared" si="13"/>
        <v>ツムラ小青竜湯エキス顆粒（医療用）</v>
      </c>
    </row>
    <row r="471" spans="6:7">
      <c r="F471" t="s">
        <v>4753</v>
      </c>
      <c r="G471" t="str">
        <f t="shared" si="13"/>
        <v>ツムラ防已黄耆湯エキス顆粒（医療用）</v>
      </c>
    </row>
    <row r="472" spans="6:7">
      <c r="F472" t="s">
        <v>1518</v>
      </c>
      <c r="G472" t="str">
        <f t="shared" si="13"/>
        <v>ツムラ当帰芍薬散エキス顆粒（医療用）</v>
      </c>
    </row>
    <row r="473" spans="6:7">
      <c r="F473" t="s">
        <v>1519</v>
      </c>
      <c r="G473" t="str">
        <f t="shared" si="13"/>
        <v>ツムラ六君子湯エキス顆粒（医療用）</v>
      </c>
    </row>
    <row r="474" spans="6:7">
      <c r="F474" t="s">
        <v>4757</v>
      </c>
      <c r="G474" t="str">
        <f t="shared" si="13"/>
        <v>ツムラ十全大補湯エキス顆粒（医療用）</v>
      </c>
    </row>
    <row r="475" spans="6:7">
      <c r="F475" t="s">
        <v>4761</v>
      </c>
      <c r="G475" t="str">
        <f t="shared" si="13"/>
        <v>ツムラ潤腸湯エキス顆粒（医療用）</v>
      </c>
    </row>
    <row r="476" spans="6:7">
      <c r="F476" t="s">
        <v>1520</v>
      </c>
      <c r="G476" t="str">
        <f t="shared" si="13"/>
        <v>ツムラ抑肝散エキス顆粒（医療用）</v>
      </c>
    </row>
    <row r="477" spans="6:7">
      <c r="F477" t="s">
        <v>1521</v>
      </c>
      <c r="G477" t="str">
        <f t="shared" si="13"/>
        <v>ツムラ防風通聖散エキス顆粒（医療用）</v>
      </c>
    </row>
    <row r="478" spans="6:7">
      <c r="F478" t="s">
        <v>1522</v>
      </c>
      <c r="G478" t="str">
        <f t="shared" si="13"/>
        <v>ツムラ芍薬甘草湯エキス顆粒（医療用）</v>
      </c>
    </row>
    <row r="479" spans="6:7">
      <c r="F479" t="s">
        <v>1523</v>
      </c>
      <c r="G479" t="str">
        <f t="shared" si="13"/>
        <v>ツムラ抑肝散加陳皮半夏エキス顆粒（医療用）</v>
      </c>
    </row>
    <row r="480" spans="6:7">
      <c r="F480" t="s">
        <v>1524</v>
      </c>
      <c r="G480" t="str">
        <f t="shared" si="13"/>
        <v>ツムラ大建中湯エキス顆粒（医療用）</v>
      </c>
    </row>
    <row r="481" spans="6:7">
      <c r="F481" t="s">
        <v>4765</v>
      </c>
      <c r="G481" t="str">
        <f t="shared" si="13"/>
        <v>ツムラ酸棗仁湯エキス顆粒（医療用）</v>
      </c>
    </row>
    <row r="482" spans="6:7">
      <c r="F482" t="s">
        <v>1525</v>
      </c>
      <c r="G482" t="str">
        <f t="shared" si="13"/>
        <v>ツムラ人参養栄湯エキス顆粒（医療用）</v>
      </c>
    </row>
    <row r="483" spans="6:7">
      <c r="F483" t="s">
        <v>1526</v>
      </c>
      <c r="G483" t="str">
        <f t="shared" si="13"/>
        <v>ツムラ猪苓湯合四物湯エキス顆粒（医療用）</v>
      </c>
    </row>
    <row r="484" spans="6:7">
      <c r="F484" t="s">
        <v>4769</v>
      </c>
      <c r="G484" t="str">
        <f t="shared" si="13"/>
        <v>ツムラ大承気湯エキス顆粒（医療用）</v>
      </c>
    </row>
    <row r="485" spans="6:7">
      <c r="F485" t="s">
        <v>1527</v>
      </c>
      <c r="G485" t="str">
        <f t="shared" si="13"/>
        <v>ツロブテロールテープ１ｍｇ「サワイ」</v>
      </c>
    </row>
    <row r="486" spans="6:7">
      <c r="F486" t="s">
        <v>4773</v>
      </c>
      <c r="G486" t="str">
        <f t="shared" si="13"/>
        <v>ティーエスワン配合カプセルＴ２０</v>
      </c>
    </row>
    <row r="487" spans="6:7">
      <c r="F487" t="s">
        <v>1402</v>
      </c>
      <c r="G487" t="str">
        <f t="shared" si="13"/>
        <v>ｄ－クロルフェニラミンマレイン酸塩徐放錠６ｍｇ「武田テバ」</v>
      </c>
    </row>
    <row r="488" spans="6:7">
      <c r="F488" t="s">
        <v>1528</v>
      </c>
      <c r="G488" t="str">
        <f t="shared" si="13"/>
        <v>デエビゴ錠２．５ｍｇ</v>
      </c>
    </row>
    <row r="489" spans="6:7">
      <c r="F489" t="s">
        <v>1529</v>
      </c>
      <c r="G489" t="str">
        <f t="shared" si="13"/>
        <v>デエビゴ錠５ｍｇ</v>
      </c>
    </row>
    <row r="490" spans="6:7">
      <c r="F490" t="s">
        <v>1530</v>
      </c>
      <c r="G490" t="str">
        <f t="shared" si="13"/>
        <v>テオフィリン徐放Ｕ錠２００ｍｇ「トーワ」</v>
      </c>
    </row>
    <row r="491" spans="6:7">
      <c r="F491" t="s">
        <v>1531</v>
      </c>
      <c r="G491" t="str">
        <f t="shared" si="13"/>
        <v>デカドロン注射液３．３ｍｇ</v>
      </c>
    </row>
    <row r="492" spans="6:7">
      <c r="F492" t="s">
        <v>1532</v>
      </c>
      <c r="G492" t="str">
        <f t="shared" si="13"/>
        <v>デキサメタゾン口腔用軟膏０．１％「日医工」</v>
      </c>
    </row>
    <row r="493" spans="6:7">
      <c r="F493" t="s">
        <v>1533</v>
      </c>
      <c r="G493" t="str">
        <f t="shared" si="13"/>
        <v>デキストロメトルファン臭化水素酸塩錠１５ｍｇ「トーワ」</v>
      </c>
    </row>
    <row r="494" spans="6:7">
      <c r="F494" t="s">
        <v>1534</v>
      </c>
      <c r="G494" t="str">
        <f t="shared" si="13"/>
        <v>テクスメテン　ユニバーサル　クリーム０．１％</v>
      </c>
    </row>
    <row r="495" spans="6:7">
      <c r="F495" t="s">
        <v>1535</v>
      </c>
      <c r="G495" t="str">
        <f t="shared" si="13"/>
        <v>テストヤクヒン９９９９９９９９９９９９９９９９９９９</v>
      </c>
    </row>
    <row r="496" spans="6:7">
      <c r="F496" t="s">
        <v>1409</v>
      </c>
      <c r="G496" t="str">
        <f t="shared" si="13"/>
        <v>アイトロール錠１０ｍｇ</v>
      </c>
    </row>
    <row r="497" spans="6:7">
      <c r="F497" t="s">
        <v>4777</v>
      </c>
      <c r="G497" t="str">
        <f t="shared" si="13"/>
        <v>デタントール０．０１％点眼液</v>
      </c>
    </row>
    <row r="498" spans="6:7">
      <c r="F498" t="s">
        <v>665</v>
      </c>
      <c r="G498" t="str">
        <f t="shared" si="13"/>
        <v>テトラミド錠１０ｍｇ</v>
      </c>
    </row>
    <row r="499" spans="6:7">
      <c r="F499" t="s">
        <v>1536</v>
      </c>
      <c r="G499" t="str">
        <f t="shared" si="13"/>
        <v>テトラミド錠３０ｍｇ</v>
      </c>
    </row>
    <row r="500" spans="6:7">
      <c r="F500" t="s">
        <v>668</v>
      </c>
      <c r="G500" t="str">
        <f t="shared" si="13"/>
        <v>デノタスチュアブル配合錠</v>
      </c>
    </row>
    <row r="501" spans="6:7">
      <c r="F501" t="s">
        <v>4784</v>
      </c>
      <c r="G501" t="str">
        <f t="shared" si="13"/>
        <v>デパケンシロップ５％</v>
      </c>
    </row>
    <row r="502" spans="6:7">
      <c r="F502" t="s">
        <v>670</v>
      </c>
      <c r="G502" t="str">
        <f t="shared" si="13"/>
        <v>デパケンＲ錠２００ｍｇ</v>
      </c>
    </row>
    <row r="503" spans="6:7">
      <c r="F503" t="s">
        <v>4788</v>
      </c>
      <c r="G503" t="str">
        <f t="shared" si="13"/>
        <v>デパス錠０．５ｍｇ</v>
      </c>
    </row>
    <row r="504" spans="6:7">
      <c r="F504" t="s">
        <v>4792</v>
      </c>
      <c r="G504" t="str">
        <f t="shared" si="13"/>
        <v>デパス錠１ｍｇ</v>
      </c>
    </row>
    <row r="505" spans="6:7">
      <c r="F505" t="s">
        <v>1537</v>
      </c>
      <c r="G505" t="str">
        <f t="shared" si="13"/>
        <v>デパス細粒１％</v>
      </c>
    </row>
    <row r="506" spans="6:7">
      <c r="F506" t="s">
        <v>4796</v>
      </c>
      <c r="G506" t="str">
        <f t="shared" si="13"/>
        <v>テプレノンカプセル５０ｍｇ「日医工Ｐ」</v>
      </c>
    </row>
    <row r="507" spans="6:7">
      <c r="F507" t="s">
        <v>1538</v>
      </c>
      <c r="G507" t="str">
        <f t="shared" si="13"/>
        <v>テプレノン細粒１０％「ＹＤ」</v>
      </c>
    </row>
    <row r="508" spans="6:7">
      <c r="F508" t="s">
        <v>1539</v>
      </c>
      <c r="G508" t="str">
        <f t="shared" si="13"/>
        <v>テプレノンカプセル５０ｍｇ「ＹＤ」</v>
      </c>
    </row>
    <row r="509" spans="6:7">
      <c r="F509" t="s">
        <v>1540</v>
      </c>
      <c r="G509" t="str">
        <f t="shared" si="13"/>
        <v>デプロメール錠２５</v>
      </c>
    </row>
    <row r="510" spans="6:7">
      <c r="F510" t="s">
        <v>4800</v>
      </c>
      <c r="G510" t="str">
        <f t="shared" si="13"/>
        <v>デュオトラバ配合点眼液</v>
      </c>
    </row>
    <row r="511" spans="6:7">
      <c r="F511" t="s">
        <v>1541</v>
      </c>
      <c r="G511" t="str">
        <f t="shared" si="13"/>
        <v>デュタステリドカプセル０．５ｍｇＡＶ「サワイ」</v>
      </c>
    </row>
    <row r="512" spans="6:7">
      <c r="F512" t="s">
        <v>1542</v>
      </c>
      <c r="G512" t="str">
        <f t="shared" si="13"/>
        <v>デュロキセチンカプセル２０ｍｇ「ＤＳＥＰ」</v>
      </c>
    </row>
    <row r="513" spans="6:7">
      <c r="F513" t="s">
        <v>1543</v>
      </c>
      <c r="G513" t="str">
        <f t="shared" si="13"/>
        <v>テリボン皮下注用５６．５μｇ</v>
      </c>
    </row>
    <row r="514" spans="6:7">
      <c r="F514" t="s">
        <v>4804</v>
      </c>
      <c r="G514" t="str">
        <f t="shared" ref="G514:G577" si="14">DBCS(F514)</f>
        <v>テルビナフィン塩酸塩クリーム１％「イワキ」</v>
      </c>
    </row>
    <row r="515" spans="6:7">
      <c r="F515" t="s">
        <v>4808</v>
      </c>
      <c r="G515" t="str">
        <f t="shared" si="14"/>
        <v>テルビナフィン塩酸塩外用液１％「イワキ」</v>
      </c>
    </row>
    <row r="516" spans="6:7">
      <c r="F516" t="s">
        <v>4812</v>
      </c>
      <c r="G516" t="str">
        <f t="shared" si="14"/>
        <v>テルビナフィン塩酸塩外用液１％「Ｆ」</v>
      </c>
    </row>
    <row r="517" spans="6:7">
      <c r="F517" t="s">
        <v>1544</v>
      </c>
      <c r="G517" t="str">
        <f t="shared" si="14"/>
        <v>テルビナフィン塩酸塩クリーム１％「サワイ」</v>
      </c>
    </row>
    <row r="518" spans="6:7">
      <c r="F518" t="s">
        <v>1545</v>
      </c>
      <c r="G518" t="str">
        <f t="shared" si="14"/>
        <v>テルビナフィン塩酸塩外用液１％「サワイ」</v>
      </c>
    </row>
    <row r="519" spans="6:7">
      <c r="F519" t="s">
        <v>4815</v>
      </c>
      <c r="G519" t="str">
        <f t="shared" si="14"/>
        <v>テルミサルタン錠２０ｍｇ「杏林」</v>
      </c>
    </row>
    <row r="520" spans="6:7">
      <c r="F520" t="s">
        <v>1546</v>
      </c>
      <c r="G520" t="str">
        <f t="shared" si="14"/>
        <v>テルミサルタンＯＤ錠２０ｍｇ「トーワ」</v>
      </c>
    </row>
    <row r="521" spans="6:7">
      <c r="F521" t="s">
        <v>1547</v>
      </c>
      <c r="G521" t="str">
        <f t="shared" si="14"/>
        <v>デルモベート軟膏０．０５％</v>
      </c>
    </row>
    <row r="522" spans="6:7">
      <c r="F522" t="s">
        <v>1548</v>
      </c>
      <c r="G522" t="str">
        <f t="shared" si="14"/>
        <v>デルモゾールＧ軟膏</v>
      </c>
    </row>
    <row r="523" spans="6:7">
      <c r="F523" t="s">
        <v>4822</v>
      </c>
      <c r="G523" t="str">
        <f t="shared" si="14"/>
        <v>デルモゾールＧクリーム</v>
      </c>
    </row>
    <row r="524" spans="6:7">
      <c r="F524" t="s">
        <v>690</v>
      </c>
      <c r="G524" t="str">
        <f t="shared" si="14"/>
        <v>トアラセット配合錠「オーハラ」</v>
      </c>
    </row>
    <row r="525" spans="6:7">
      <c r="F525" t="s">
        <v>4826</v>
      </c>
      <c r="G525" t="str">
        <f t="shared" si="14"/>
        <v>５％糖液キットＨ</v>
      </c>
    </row>
    <row r="526" spans="6:7">
      <c r="F526" t="s">
        <v>1549</v>
      </c>
      <c r="G526" t="str">
        <f t="shared" si="14"/>
        <v>大塚糖液５％</v>
      </c>
    </row>
    <row r="527" spans="6:7">
      <c r="F527" t="s">
        <v>4830</v>
      </c>
      <c r="G527" t="str">
        <f t="shared" si="14"/>
        <v>ドグマチール細粒５０％</v>
      </c>
    </row>
    <row r="528" spans="6:7">
      <c r="F528" t="s">
        <v>1550</v>
      </c>
      <c r="G528" t="str">
        <f t="shared" si="14"/>
        <v>トスキサシン錠１５０ｍｇ</v>
      </c>
    </row>
    <row r="529" spans="6:7">
      <c r="F529" t="s">
        <v>4834</v>
      </c>
      <c r="G529" t="str">
        <f t="shared" si="14"/>
        <v>ドネペジル塩酸塩ＯＤ錠３ｍｇ「明治」</v>
      </c>
    </row>
    <row r="530" spans="6:7">
      <c r="F530" t="s">
        <v>4838</v>
      </c>
      <c r="G530" t="str">
        <f t="shared" si="14"/>
        <v>ドネペジル塩酸塩ＯＤ錠３ｍｇ「オーハラ」</v>
      </c>
    </row>
    <row r="531" spans="6:7">
      <c r="F531" t="s">
        <v>4842</v>
      </c>
      <c r="G531" t="str">
        <f t="shared" si="14"/>
        <v>ドネペジル塩酸塩ＯＤ錠５ｍｇ「明治」</v>
      </c>
    </row>
    <row r="532" spans="6:7">
      <c r="F532" t="s">
        <v>4846</v>
      </c>
      <c r="G532" t="str">
        <f t="shared" si="14"/>
        <v>ドネペジル塩酸塩ＯＤ錠５ｍｇ「オーハラ」</v>
      </c>
    </row>
    <row r="533" spans="6:7">
      <c r="F533" t="s">
        <v>4850</v>
      </c>
      <c r="G533" t="str">
        <f t="shared" si="14"/>
        <v>ドネペジル塩酸塩細粒０．５％「日医工」</v>
      </c>
    </row>
    <row r="534" spans="6:7">
      <c r="F534" t="s">
        <v>4854</v>
      </c>
      <c r="G534" t="str">
        <f t="shared" si="14"/>
        <v>ドネペジル塩酸塩ＯＤ錠１０ｍｇ「明治」</v>
      </c>
    </row>
    <row r="535" spans="6:7">
      <c r="F535" t="s">
        <v>4858</v>
      </c>
      <c r="G535" t="str">
        <f t="shared" si="14"/>
        <v>ドネペジル塩酸塩ＯＤ錠１０ｍｇ「オーハラ」</v>
      </c>
    </row>
    <row r="536" spans="6:7">
      <c r="F536" t="s">
        <v>1551</v>
      </c>
      <c r="G536" t="str">
        <f t="shared" si="14"/>
        <v>ドネペジル塩酸塩ＯＤ錠３ｍｇ「トーワ」</v>
      </c>
    </row>
    <row r="537" spans="6:7">
      <c r="F537" t="s">
        <v>1552</v>
      </c>
      <c r="G537" t="str">
        <f t="shared" si="14"/>
        <v>ドネペジル塩酸塩ＯＤ錠５ｍｇ「トーワ」</v>
      </c>
    </row>
    <row r="538" spans="6:7">
      <c r="F538" t="s">
        <v>1553</v>
      </c>
      <c r="G538" t="str">
        <f t="shared" si="14"/>
        <v>ドネペジル塩酸塩ＯＤ錠１０ｍｇ「トーワ」</v>
      </c>
    </row>
    <row r="539" spans="6:7">
      <c r="F539" t="s">
        <v>1554</v>
      </c>
      <c r="G539" t="str">
        <f t="shared" si="14"/>
        <v>ドパストン静注５０ｍｇ</v>
      </c>
    </row>
    <row r="540" spans="6:7">
      <c r="F540" t="s">
        <v>1555</v>
      </c>
      <c r="G540" t="str">
        <f t="shared" si="14"/>
        <v>ドパミン塩酸塩点滴静注１００ｍｇ「ＮＰ」</v>
      </c>
    </row>
    <row r="541" spans="6:7">
      <c r="F541" t="s">
        <v>4862</v>
      </c>
      <c r="G541" t="str">
        <f t="shared" si="14"/>
        <v>トピナ錠５０ｍｇ</v>
      </c>
    </row>
    <row r="542" spans="6:7">
      <c r="F542" t="s">
        <v>1556</v>
      </c>
      <c r="G542" t="str">
        <f t="shared" si="14"/>
        <v>トピロリック錠４０ｍｇ</v>
      </c>
    </row>
    <row r="543" spans="6:7">
      <c r="F543" t="s">
        <v>1557</v>
      </c>
      <c r="G543" t="str">
        <f t="shared" si="14"/>
        <v>ドプスＯＤ錠１００ｍｇ</v>
      </c>
    </row>
    <row r="544" spans="6:7">
      <c r="F544" t="s">
        <v>707</v>
      </c>
      <c r="G544" t="str">
        <f t="shared" si="14"/>
        <v>トフラニール錠１０ｍｇ</v>
      </c>
    </row>
    <row r="545" spans="6:7">
      <c r="F545" t="s">
        <v>4866</v>
      </c>
      <c r="G545" t="str">
        <f t="shared" si="14"/>
        <v>ドボネックス軟膏５０μｇ／ｇ</v>
      </c>
    </row>
    <row r="546" spans="6:7">
      <c r="F546" t="s">
        <v>1558</v>
      </c>
      <c r="G546" t="str">
        <f t="shared" si="14"/>
        <v>トラゼンタ錠５ｍｇ</v>
      </c>
    </row>
    <row r="547" spans="6:7">
      <c r="F547" t="s">
        <v>1559</v>
      </c>
      <c r="G547" t="str">
        <f t="shared" si="14"/>
        <v>トラセミド錠４ｍｇ「ＫＯ」</v>
      </c>
    </row>
    <row r="548" spans="6:7">
      <c r="F548" t="s">
        <v>1560</v>
      </c>
      <c r="G548" t="str">
        <f t="shared" si="14"/>
        <v>トラゾドン塩酸塩錠２５ｍｇ「アメル」</v>
      </c>
    </row>
    <row r="549" spans="6:7">
      <c r="F549" t="s">
        <v>4870</v>
      </c>
      <c r="G549" t="str">
        <f t="shared" si="14"/>
        <v>トラマールＯＤ錠５０ｍｇ</v>
      </c>
    </row>
    <row r="550" spans="6:7">
      <c r="F550" t="s">
        <v>1561</v>
      </c>
      <c r="G550" t="str">
        <f t="shared" si="14"/>
        <v>トラマールＯＤ錠２５ｍｇ</v>
      </c>
    </row>
    <row r="551" spans="6:7">
      <c r="F551" t="s">
        <v>4874</v>
      </c>
      <c r="G551" t="str">
        <f t="shared" si="14"/>
        <v>トラムセット配合錠</v>
      </c>
    </row>
    <row r="552" spans="6:7">
      <c r="F552" t="s">
        <v>1562</v>
      </c>
      <c r="G552" t="str">
        <f t="shared" si="14"/>
        <v>トランサミンカプセル２５０ｍｇ</v>
      </c>
    </row>
    <row r="553" spans="6:7">
      <c r="F553" t="s">
        <v>1563</v>
      </c>
      <c r="G553" t="str">
        <f t="shared" si="14"/>
        <v>トランサミン注５％</v>
      </c>
    </row>
    <row r="554" spans="6:7">
      <c r="F554" t="s">
        <v>1564</v>
      </c>
      <c r="G554" t="str">
        <f t="shared" si="14"/>
        <v>トリアゾラム錠０．２５ｍｇ「日医工」</v>
      </c>
    </row>
    <row r="555" spans="6:7">
      <c r="F555" t="s">
        <v>4878</v>
      </c>
      <c r="G555" t="str">
        <f t="shared" si="14"/>
        <v>トリアゾラム錠０．２５ｍｇ「テバ」</v>
      </c>
    </row>
    <row r="556" spans="6:7">
      <c r="F556" t="s">
        <v>4882</v>
      </c>
      <c r="G556" t="str">
        <f t="shared" si="14"/>
        <v>トリアゾラム錠０．２５ｍｇ「ＣＨ」</v>
      </c>
    </row>
    <row r="557" spans="6:7">
      <c r="F557" t="s">
        <v>719</v>
      </c>
      <c r="G557" t="str">
        <f t="shared" si="14"/>
        <v>トリプタノール錠２５</v>
      </c>
    </row>
    <row r="558" spans="6:7">
      <c r="F558" t="s">
        <v>1565</v>
      </c>
      <c r="G558" t="str">
        <f t="shared" si="14"/>
        <v>トリフリード輸液</v>
      </c>
    </row>
    <row r="559" spans="6:7">
      <c r="F559" t="s">
        <v>4885</v>
      </c>
      <c r="G559" t="str">
        <f t="shared" si="14"/>
        <v>トリヘキシフェニジル塩酸塩錠２ｍｇ「タカタ」</v>
      </c>
    </row>
    <row r="560" spans="6:7">
      <c r="F560" t="s">
        <v>1566</v>
      </c>
      <c r="G560" t="str">
        <f t="shared" si="14"/>
        <v>トリヘキシフェニジル塩酸塩錠２ｍｇ「ＮＩＧ」</v>
      </c>
    </row>
    <row r="561" spans="6:7">
      <c r="F561" t="s">
        <v>1567</v>
      </c>
      <c r="G561" t="str">
        <f t="shared" si="14"/>
        <v>トリメブチンマレイン酸塩錠１００ｍｇ「トーワ」</v>
      </c>
    </row>
    <row r="562" spans="6:7">
      <c r="F562" t="s">
        <v>1568</v>
      </c>
      <c r="G562" t="str">
        <f t="shared" si="14"/>
        <v>トリンテリックス錠１０ｍｇ</v>
      </c>
    </row>
    <row r="563" spans="6:7">
      <c r="F563" t="s">
        <v>1569</v>
      </c>
      <c r="G563" t="str">
        <f t="shared" si="14"/>
        <v>トルソプト点眼液１％</v>
      </c>
    </row>
    <row r="564" spans="6:7">
      <c r="F564" t="s">
        <v>1570</v>
      </c>
      <c r="G564" t="str">
        <f t="shared" si="14"/>
        <v>トルバプタンＯＤ錠７．５ｍｇ「ＴＥ」</v>
      </c>
    </row>
    <row r="565" spans="6:7">
      <c r="F565" t="s">
        <v>1571</v>
      </c>
      <c r="G565" t="str">
        <f t="shared" si="14"/>
        <v>ドルミカム注射液１０ｍｇ</v>
      </c>
    </row>
    <row r="566" spans="6:7">
      <c r="F566" t="s">
        <v>1572</v>
      </c>
      <c r="G566" t="str">
        <f t="shared" si="14"/>
        <v>トルリシティ皮下注０．７５ｍｇアテオス</v>
      </c>
    </row>
    <row r="567" spans="6:7">
      <c r="F567" t="s">
        <v>1573</v>
      </c>
      <c r="G567" t="str">
        <f t="shared" si="14"/>
        <v>トレシーバ注　フレックスタッチ</v>
      </c>
    </row>
    <row r="568" spans="6:7">
      <c r="F568" t="s">
        <v>1574</v>
      </c>
      <c r="G568" t="str">
        <f t="shared" si="14"/>
        <v>トレドミン錠１５ｍｇ</v>
      </c>
    </row>
    <row r="569" spans="6:7">
      <c r="F569" t="s">
        <v>1575</v>
      </c>
      <c r="G569" t="str">
        <f t="shared" si="14"/>
        <v>トレドミン錠２５ｍｇ</v>
      </c>
    </row>
    <row r="570" spans="6:7">
      <c r="F570" t="s">
        <v>4889</v>
      </c>
      <c r="G570" t="str">
        <f t="shared" si="14"/>
        <v>トレーランＧ液７５ｇ</v>
      </c>
    </row>
    <row r="571" spans="6:7">
      <c r="F571" t="s">
        <v>4893</v>
      </c>
      <c r="G571" t="str">
        <f t="shared" si="14"/>
        <v>トレリーフＯＤ錠２５ｍｇ</v>
      </c>
    </row>
    <row r="572" spans="6:7">
      <c r="F572" t="s">
        <v>1576</v>
      </c>
      <c r="G572" t="str">
        <f t="shared" si="14"/>
        <v>ドロキシドパカプセル１００ｍｇ「アメル」</v>
      </c>
    </row>
    <row r="573" spans="6:7">
      <c r="F573" t="s">
        <v>4900</v>
      </c>
      <c r="G573" t="str">
        <f t="shared" si="14"/>
        <v>トロペロン錠１ｍｇ</v>
      </c>
    </row>
    <row r="574" spans="6:7">
      <c r="F574" t="s">
        <v>4904</v>
      </c>
      <c r="G574" t="str">
        <f t="shared" si="14"/>
        <v>トロペロン錠３ｍｇ</v>
      </c>
    </row>
    <row r="575" spans="6:7">
      <c r="F575" t="s">
        <v>4908</v>
      </c>
      <c r="G575" t="str">
        <f t="shared" si="14"/>
        <v>トロペロン細粒１％</v>
      </c>
    </row>
    <row r="576" spans="6:7">
      <c r="F576" t="s">
        <v>1577</v>
      </c>
      <c r="G576" t="str">
        <f t="shared" si="14"/>
        <v>トロペロン注４ｍｇ</v>
      </c>
    </row>
    <row r="577" spans="6:7">
      <c r="F577" t="s">
        <v>4912</v>
      </c>
      <c r="G577" t="str">
        <f t="shared" si="14"/>
        <v>トロンビン液モチダ　ソフトボトル１万</v>
      </c>
    </row>
    <row r="578" spans="6:7">
      <c r="F578" t="s">
        <v>692</v>
      </c>
      <c r="G578" t="str">
        <f t="shared" ref="G578:G641" si="15">DBCS(F578)</f>
        <v>トーワチーム配合顆粒</v>
      </c>
    </row>
    <row r="579" spans="6:7">
      <c r="F579" t="s">
        <v>4916</v>
      </c>
      <c r="G579" t="str">
        <f t="shared" si="15"/>
        <v>ドンペリドン錠１０ｍｇ「トーワ」</v>
      </c>
    </row>
    <row r="580" spans="6:7">
      <c r="F580" t="s">
        <v>1578</v>
      </c>
      <c r="G580" t="str">
        <f t="shared" si="15"/>
        <v>ドンペリドン錠１０ｍｇ「ＪＧ」</v>
      </c>
    </row>
    <row r="581" spans="6:7">
      <c r="F581" t="s">
        <v>4920</v>
      </c>
      <c r="G581" t="str">
        <f t="shared" si="15"/>
        <v>ナイロジン注</v>
      </c>
    </row>
    <row r="582" spans="6:7">
      <c r="F582" t="s">
        <v>1579</v>
      </c>
      <c r="G582" t="str">
        <f t="shared" si="15"/>
        <v>ナウゼリン坐剤６０</v>
      </c>
    </row>
    <row r="583" spans="6:7">
      <c r="F583" t="s">
        <v>739</v>
      </c>
      <c r="G583" t="str">
        <f t="shared" si="15"/>
        <v>ナトリックス錠１</v>
      </c>
    </row>
    <row r="584" spans="6:7">
      <c r="F584" t="s">
        <v>4924</v>
      </c>
      <c r="G584" t="str">
        <f t="shared" si="15"/>
        <v>ナファモスタットメシル酸塩５０ｍｇ注射用</v>
      </c>
    </row>
    <row r="585" spans="6:7">
      <c r="F585" t="s">
        <v>1580</v>
      </c>
      <c r="G585" t="str">
        <f t="shared" si="15"/>
        <v>ニコチン酸アミド散１０％「ゾンネ」</v>
      </c>
    </row>
    <row r="586" spans="6:7">
      <c r="F586" t="s">
        <v>1581</v>
      </c>
      <c r="G586" t="str">
        <f t="shared" si="15"/>
        <v>ニコランジル錠５ｍｇ「トーワ」</v>
      </c>
    </row>
    <row r="587" spans="6:7">
      <c r="F587" t="s">
        <v>4928</v>
      </c>
      <c r="G587" t="str">
        <f t="shared" si="15"/>
        <v>ニコランジル錠５ｍｇ「サワイ」</v>
      </c>
    </row>
    <row r="588" spans="6:7">
      <c r="F588" t="s">
        <v>1582</v>
      </c>
      <c r="G588" t="str">
        <f t="shared" si="15"/>
        <v>ニセルゴリン錠５ｍｇ「トーワ」</v>
      </c>
    </row>
    <row r="589" spans="6:7">
      <c r="F589" t="s">
        <v>1583</v>
      </c>
      <c r="G589" t="str">
        <f t="shared" si="15"/>
        <v>ニゾラールクリーム２％</v>
      </c>
    </row>
    <row r="590" spans="6:7">
      <c r="F590" t="s">
        <v>744</v>
      </c>
      <c r="G590" t="str">
        <f t="shared" si="15"/>
        <v>ニゾラールローション２％</v>
      </c>
    </row>
    <row r="591" spans="6:7">
      <c r="F591" t="s">
        <v>4931</v>
      </c>
      <c r="G591" t="str">
        <f t="shared" si="15"/>
        <v>ニトラゼパム細粒１％「ＴＣＫ」</v>
      </c>
    </row>
    <row r="592" spans="6:7">
      <c r="F592" t="s">
        <v>1584</v>
      </c>
      <c r="G592" t="str">
        <f t="shared" si="15"/>
        <v>ニトロペン舌下錠０．３ｍｇ</v>
      </c>
    </row>
    <row r="593" spans="6:7">
      <c r="F593" t="s">
        <v>1585</v>
      </c>
      <c r="G593" t="str">
        <f t="shared" si="15"/>
        <v>ニフェジピンカプセル１０ｍｇ「サワイ」</v>
      </c>
    </row>
    <row r="594" spans="6:7">
      <c r="F594" t="s">
        <v>4935</v>
      </c>
      <c r="G594" t="str">
        <f t="shared" si="15"/>
        <v>ニプラジロールＰＦ点眼液０．２５％「日点」</v>
      </c>
    </row>
    <row r="595" spans="6:7">
      <c r="F595" t="s">
        <v>1586</v>
      </c>
      <c r="G595" t="str">
        <f t="shared" si="15"/>
        <v>乳糖水和物</v>
      </c>
    </row>
    <row r="596" spans="6:7">
      <c r="F596" t="s">
        <v>4939</v>
      </c>
      <c r="G596" t="str">
        <f t="shared" si="15"/>
        <v>ニュープロパッチ９ｍｇ</v>
      </c>
    </row>
    <row r="597" spans="6:7">
      <c r="F597" t="s">
        <v>1587</v>
      </c>
      <c r="G597" t="str">
        <f t="shared" si="15"/>
        <v>ニュープロパッチ４．５ｍｇ</v>
      </c>
    </row>
    <row r="598" spans="6:7">
      <c r="F598" t="s">
        <v>1588</v>
      </c>
      <c r="G598" t="str">
        <f t="shared" si="15"/>
        <v>ニューモバックスＮＰシリンジ（用時購入）</v>
      </c>
    </row>
    <row r="599" spans="6:7">
      <c r="F599" t="s">
        <v>1589</v>
      </c>
      <c r="G599" t="str">
        <f t="shared" si="15"/>
        <v>ニューレプチル錠５ｍｇ</v>
      </c>
    </row>
    <row r="600" spans="6:7">
      <c r="F600" t="s">
        <v>1590</v>
      </c>
      <c r="G600" t="str">
        <f t="shared" si="15"/>
        <v>ニューレプチル錠１０ｍｇ</v>
      </c>
    </row>
    <row r="601" spans="6:7">
      <c r="F601" t="s">
        <v>1591</v>
      </c>
      <c r="G601" t="str">
        <f t="shared" si="15"/>
        <v>尿素クリーム１０％「日医工」</v>
      </c>
    </row>
    <row r="602" spans="6:7">
      <c r="F602" t="s">
        <v>753</v>
      </c>
      <c r="G602" t="str">
        <f t="shared" si="15"/>
        <v>ニルバジピン錠２ｍｇ「サワイ」</v>
      </c>
    </row>
    <row r="603" spans="6:7">
      <c r="F603" t="s">
        <v>1592</v>
      </c>
      <c r="G603" t="str">
        <f t="shared" si="15"/>
        <v>ニルバジピン錠４ｍｇ「サワイ」</v>
      </c>
    </row>
    <row r="604" spans="6:7">
      <c r="F604" t="s">
        <v>1593</v>
      </c>
      <c r="G604" t="str">
        <f t="shared" si="15"/>
        <v>ネイリンカプセル１００ｍｇ（用時購入）</v>
      </c>
    </row>
    <row r="605" spans="6:7">
      <c r="F605" t="s">
        <v>757</v>
      </c>
      <c r="G605" t="str">
        <f t="shared" si="15"/>
        <v>ネオドパストン配合錠Ｌ１００</v>
      </c>
    </row>
    <row r="606" spans="6:7">
      <c r="F606" t="s">
        <v>1594</v>
      </c>
      <c r="G606" t="str">
        <f t="shared" si="15"/>
        <v>ネオフィリン注２５０ｍｇ</v>
      </c>
    </row>
    <row r="607" spans="6:7">
      <c r="F607" t="s">
        <v>1595</v>
      </c>
      <c r="G607" t="str">
        <f t="shared" si="15"/>
        <v>ネオファーゲン静注２０ｍＬ</v>
      </c>
    </row>
    <row r="608" spans="6:7">
      <c r="F608" t="s">
        <v>1596</v>
      </c>
      <c r="G608" t="str">
        <f t="shared" si="15"/>
        <v>ネオメドロールＥＥ軟膏</v>
      </c>
    </row>
    <row r="609" spans="6:7">
      <c r="F609" t="s">
        <v>4946</v>
      </c>
      <c r="G609" t="str">
        <f t="shared" si="15"/>
        <v>ネオーラル５０ｍｇカプセル</v>
      </c>
    </row>
    <row r="610" spans="6:7">
      <c r="F610" t="s">
        <v>4950</v>
      </c>
      <c r="G610" t="str">
        <f t="shared" si="15"/>
        <v>ネスプ注射液４０μｇプラシリンジ</v>
      </c>
    </row>
    <row r="611" spans="6:7">
      <c r="F611" t="s">
        <v>4954</v>
      </c>
      <c r="G611" t="str">
        <f t="shared" si="15"/>
        <v>ネスプ注射液１２０μｇプラシリンジ</v>
      </c>
    </row>
    <row r="612" spans="6:7">
      <c r="F612" t="s">
        <v>4958</v>
      </c>
      <c r="G612" t="str">
        <f t="shared" si="15"/>
        <v>ネリゾナユニバーサルクリーム０．１％</v>
      </c>
    </row>
    <row r="613" spans="6:7">
      <c r="F613" t="s">
        <v>1597</v>
      </c>
      <c r="G613" t="str">
        <f t="shared" si="15"/>
        <v>ノイロトロピン錠４単位</v>
      </c>
    </row>
    <row r="614" spans="6:7">
      <c r="F614" t="s">
        <v>765</v>
      </c>
      <c r="G614" t="str">
        <f t="shared" si="15"/>
        <v>ノイロビタン配合錠</v>
      </c>
    </row>
    <row r="615" spans="6:7">
      <c r="F615" t="s">
        <v>1598</v>
      </c>
      <c r="G615" t="str">
        <f t="shared" si="15"/>
        <v>ノウリアスト錠２０ｍｇ</v>
      </c>
    </row>
    <row r="616" spans="6:7">
      <c r="F616" t="s">
        <v>1599</v>
      </c>
      <c r="G616" t="str">
        <f t="shared" si="15"/>
        <v>ノベルジン錠２５ｍｇ</v>
      </c>
    </row>
    <row r="617" spans="6:7">
      <c r="F617" t="s">
        <v>4964</v>
      </c>
      <c r="G617" t="str">
        <f t="shared" si="15"/>
        <v>ノボラピッド注　フレックスペン</v>
      </c>
    </row>
    <row r="618" spans="6:7">
      <c r="F618" t="s">
        <v>4968</v>
      </c>
      <c r="G618" t="str">
        <f t="shared" si="15"/>
        <v>ノボリンＮ注フレックスペン</v>
      </c>
    </row>
    <row r="619" spans="6:7">
      <c r="F619" t="s">
        <v>1600</v>
      </c>
      <c r="G619" t="str">
        <f t="shared" si="15"/>
        <v>ノルアドレナリン注射液</v>
      </c>
    </row>
    <row r="620" spans="6:7">
      <c r="F620" t="s">
        <v>4972</v>
      </c>
      <c r="G620" t="str">
        <f t="shared" si="15"/>
        <v>ハイパジールコーワ点眼液０．２５％</v>
      </c>
    </row>
    <row r="621" spans="6:7">
      <c r="F621" t="s">
        <v>1601</v>
      </c>
      <c r="G621" t="str">
        <f t="shared" si="15"/>
        <v>ハイペン錠２００ｍｇ</v>
      </c>
    </row>
    <row r="622" spans="6:7">
      <c r="F622" t="s">
        <v>4976</v>
      </c>
      <c r="G622" t="str">
        <f t="shared" si="15"/>
        <v>パキシル錠１０ｍｇ</v>
      </c>
    </row>
    <row r="623" spans="6:7">
      <c r="F623" t="s">
        <v>1602</v>
      </c>
      <c r="G623" t="str">
        <f t="shared" si="15"/>
        <v>パキシルＣＲ錠１２．５ｍｇ</v>
      </c>
    </row>
    <row r="624" spans="6:7">
      <c r="F624" t="s">
        <v>1603</v>
      </c>
      <c r="G624" t="str">
        <f t="shared" si="15"/>
        <v>パキロビッドパック３００</v>
      </c>
    </row>
    <row r="625" spans="6:7">
      <c r="F625" t="s">
        <v>1604</v>
      </c>
      <c r="G625" t="str">
        <f t="shared" si="15"/>
        <v>パキロビッドパック６００</v>
      </c>
    </row>
    <row r="626" spans="6:7">
      <c r="F626" t="s">
        <v>1605</v>
      </c>
      <c r="G626" t="str">
        <f t="shared" si="15"/>
        <v>白色ワセリン</v>
      </c>
    </row>
    <row r="627" spans="6:7">
      <c r="F627" t="s">
        <v>1606</v>
      </c>
      <c r="G627" t="str">
        <f t="shared" si="15"/>
        <v>バッサミン配合錠Ａ８１</v>
      </c>
    </row>
    <row r="628" spans="6:7">
      <c r="F628" t="s">
        <v>1607</v>
      </c>
      <c r="G628" t="str">
        <f t="shared" si="15"/>
        <v>バナン錠１００ｍｇ</v>
      </c>
    </row>
    <row r="629" spans="6:7">
      <c r="F629" t="s">
        <v>1608</v>
      </c>
      <c r="G629" t="str">
        <f t="shared" si="15"/>
        <v>ハーフジゴキシンＫＹ錠０．１２５</v>
      </c>
    </row>
    <row r="630" spans="6:7">
      <c r="F630" t="s">
        <v>1609</v>
      </c>
      <c r="G630" t="str">
        <f t="shared" si="15"/>
        <v>ハベカシン注射液７５ｍｇ</v>
      </c>
    </row>
    <row r="631" spans="6:7">
      <c r="F631" t="s">
        <v>4980</v>
      </c>
      <c r="G631" t="str">
        <f t="shared" si="15"/>
        <v>バラクルード錠０．５ｍｇ</v>
      </c>
    </row>
    <row r="632" spans="6:7">
      <c r="F632" t="s">
        <v>4984</v>
      </c>
      <c r="G632" t="str">
        <f t="shared" si="15"/>
        <v>バラシクロビル錠５００ｍｇ「ＮＰ」</v>
      </c>
    </row>
    <row r="633" spans="6:7">
      <c r="F633" t="s">
        <v>1610</v>
      </c>
      <c r="G633" t="str">
        <f t="shared" si="15"/>
        <v>バラシクロビル錠５００ｍｇ「ＳＰＫＫ」</v>
      </c>
    </row>
    <row r="634" spans="6:7">
      <c r="F634" t="s">
        <v>1611</v>
      </c>
      <c r="G634" t="str">
        <f t="shared" si="15"/>
        <v>バルプロ酸ナトリウム錠２００ｍｇ「ＤＳＰ」</v>
      </c>
    </row>
    <row r="635" spans="6:7">
      <c r="F635" t="s">
        <v>4988</v>
      </c>
      <c r="G635" t="str">
        <f t="shared" si="15"/>
        <v>バルプロ酸Ｎａ徐放顆粒４０％「フジナガ」</v>
      </c>
    </row>
    <row r="636" spans="6:7">
      <c r="F636" t="s">
        <v>782</v>
      </c>
      <c r="G636" t="str">
        <f t="shared" si="15"/>
        <v>バルプロ酸ナトリウムシロップ５％「ＤＳＰ」</v>
      </c>
    </row>
    <row r="637" spans="6:7">
      <c r="F637" t="s">
        <v>4992</v>
      </c>
      <c r="G637" t="str">
        <f t="shared" si="15"/>
        <v>パルモディアＸＲ錠０．２ｍｇ</v>
      </c>
    </row>
    <row r="638" spans="6:7">
      <c r="F638" t="s">
        <v>785</v>
      </c>
      <c r="G638" t="str">
        <f t="shared" si="15"/>
        <v>パレプラス輸液</v>
      </c>
    </row>
    <row r="639" spans="6:7">
      <c r="F639" t="s">
        <v>1612</v>
      </c>
      <c r="G639" t="str">
        <f t="shared" si="15"/>
        <v>パロキセチンＯＤ錠１０ｍｇ「トーワ」</v>
      </c>
    </row>
    <row r="640" spans="6:7">
      <c r="F640" t="s">
        <v>1613</v>
      </c>
      <c r="G640" t="str">
        <f t="shared" si="15"/>
        <v>ハロペリドール錠０．７５ｍｇ「アメル」</v>
      </c>
    </row>
    <row r="641" spans="6:7">
      <c r="F641" t="s">
        <v>1614</v>
      </c>
      <c r="G641" t="str">
        <f t="shared" si="15"/>
        <v>ハロペリドール錠１ｍｇ「アメル」</v>
      </c>
    </row>
    <row r="642" spans="6:7">
      <c r="F642" t="s">
        <v>4995</v>
      </c>
      <c r="G642" t="str">
        <f t="shared" ref="G642:G705" si="16">DBCS(F642)</f>
        <v>ハロペリドール錠１ｍｇ「タカタ」</v>
      </c>
    </row>
    <row r="643" spans="6:7">
      <c r="F643" t="s">
        <v>1615</v>
      </c>
      <c r="G643" t="str">
        <f t="shared" si="16"/>
        <v>ハロペリドール錠１．５ｍｇ「アメル」</v>
      </c>
    </row>
    <row r="644" spans="6:7">
      <c r="F644" t="s">
        <v>1616</v>
      </c>
      <c r="G644" t="str">
        <f t="shared" si="16"/>
        <v>ハロペリドール錠３ｍｇ「アメル」</v>
      </c>
    </row>
    <row r="645" spans="6:7">
      <c r="F645" t="s">
        <v>4999</v>
      </c>
      <c r="G645" t="str">
        <f t="shared" si="16"/>
        <v>ハロペリドール細粒１％「アメル」</v>
      </c>
    </row>
    <row r="646" spans="6:7">
      <c r="F646" t="s">
        <v>1617</v>
      </c>
      <c r="G646" t="str">
        <f t="shared" si="16"/>
        <v>ハロペリドール細粒１％「ヨシトミ」</v>
      </c>
    </row>
    <row r="647" spans="6:7">
      <c r="F647" t="s">
        <v>1618</v>
      </c>
      <c r="G647" t="str">
        <f t="shared" si="16"/>
        <v>ハロマンス注５０ｍｇ</v>
      </c>
    </row>
    <row r="648" spans="6:7">
      <c r="F648" t="s">
        <v>1619</v>
      </c>
      <c r="G648" t="str">
        <f t="shared" si="16"/>
        <v>ハロマンス注１００ｍｇ</v>
      </c>
    </row>
    <row r="649" spans="6:7">
      <c r="F649" t="s">
        <v>1620</v>
      </c>
      <c r="G649" t="str">
        <f t="shared" si="16"/>
        <v>バンコマイシン塩酸塩点滴静注用０．５ｇ「ＶＴＲＳ」</v>
      </c>
    </row>
    <row r="650" spans="6:7">
      <c r="F650" t="s">
        <v>1621</v>
      </c>
      <c r="G650" t="str">
        <f t="shared" si="16"/>
        <v>パントシン散２０％</v>
      </c>
    </row>
    <row r="651" spans="6:7">
      <c r="F651" t="s">
        <v>1622</v>
      </c>
      <c r="G651" t="str">
        <f t="shared" si="16"/>
        <v>パントシン錠２００</v>
      </c>
    </row>
    <row r="652" spans="6:7">
      <c r="F652" t="s">
        <v>1623</v>
      </c>
      <c r="G652" t="str">
        <f t="shared" si="16"/>
        <v>パントール注射液５００ｍｇ</v>
      </c>
    </row>
    <row r="653" spans="6:7">
      <c r="F653" t="s">
        <v>1624</v>
      </c>
      <c r="G653" t="str">
        <f t="shared" si="16"/>
        <v>ヒアルロン酸Ｎａ点眼液０．１％「ニットー」</v>
      </c>
    </row>
    <row r="654" spans="6:7">
      <c r="F654" t="s">
        <v>5003</v>
      </c>
      <c r="G654" t="str">
        <f t="shared" si="16"/>
        <v>ピオグリタゾンＯＤ錠１５ｍｇ「トーワ」</v>
      </c>
    </row>
    <row r="655" spans="6:7">
      <c r="F655" t="s">
        <v>809</v>
      </c>
      <c r="G655" t="str">
        <f t="shared" si="16"/>
        <v>ビオフェルミン配合散</v>
      </c>
    </row>
    <row r="656" spans="6:7">
      <c r="F656" t="s">
        <v>806</v>
      </c>
      <c r="G656" t="str">
        <f t="shared" si="16"/>
        <v>ビオフェルミン錠剤</v>
      </c>
    </row>
    <row r="657" spans="6:7">
      <c r="F657" t="s">
        <v>5006</v>
      </c>
      <c r="G657" t="str">
        <f t="shared" si="16"/>
        <v>ビカルタミド錠８０ｍｇ「ＶＴＲＳ」</v>
      </c>
    </row>
    <row r="658" spans="6:7">
      <c r="F658" t="s">
        <v>1625</v>
      </c>
      <c r="G658" t="str">
        <f t="shared" si="16"/>
        <v>ビカルタミド錠８０ｍｇ「オーハラ」</v>
      </c>
    </row>
    <row r="659" spans="6:7">
      <c r="F659" t="s">
        <v>5010</v>
      </c>
      <c r="G659" t="str">
        <f t="shared" si="16"/>
        <v>ビクトーザ皮下注１８ｍｇ</v>
      </c>
    </row>
    <row r="660" spans="6:7">
      <c r="F660" t="s">
        <v>1626</v>
      </c>
      <c r="G660" t="str">
        <f t="shared" si="16"/>
        <v>ピコスルファートナトリウム錠２．５ｍｇ「イワキ」</v>
      </c>
    </row>
    <row r="661" spans="6:7">
      <c r="F661" t="s">
        <v>1627</v>
      </c>
      <c r="G661" t="str">
        <f t="shared" si="16"/>
        <v>ピコスルファートナトリウム内用液０．７５％「イワキ」</v>
      </c>
    </row>
    <row r="662" spans="6:7">
      <c r="F662" t="s">
        <v>1628</v>
      </c>
      <c r="G662" t="str">
        <f t="shared" si="16"/>
        <v>ビ・シフロール錠０．１２５ｍｇ</v>
      </c>
    </row>
    <row r="663" spans="6:7">
      <c r="F663" t="s">
        <v>804</v>
      </c>
      <c r="G663" t="str">
        <f t="shared" si="16"/>
        <v>ピーゼットシー糖衣錠４ｍｇ</v>
      </c>
    </row>
    <row r="664" spans="6:7">
      <c r="F664" t="s">
        <v>1629</v>
      </c>
      <c r="G664" t="str">
        <f t="shared" si="16"/>
        <v>ビソノテープ４ｍｇ</v>
      </c>
    </row>
    <row r="665" spans="6:7">
      <c r="F665" t="s">
        <v>817</v>
      </c>
      <c r="G665" t="str">
        <f t="shared" si="16"/>
        <v>ビソノテープ２ｍｇ</v>
      </c>
    </row>
    <row r="666" spans="6:7">
      <c r="F666" t="s">
        <v>5014</v>
      </c>
      <c r="G666" t="str">
        <f t="shared" si="16"/>
        <v>ビソプロロールフマル酸塩錠０．６２５ｍｇ「テバ」</v>
      </c>
    </row>
    <row r="667" spans="6:7">
      <c r="F667" t="s">
        <v>5018</v>
      </c>
      <c r="G667" t="str">
        <f t="shared" si="16"/>
        <v>ビソプロロールフマル酸塩錠２．５ｍｇ「テバ」</v>
      </c>
    </row>
    <row r="668" spans="6:7">
      <c r="F668" t="s">
        <v>1630</v>
      </c>
      <c r="G668" t="str">
        <f t="shared" si="16"/>
        <v>ビソプロロールフマル酸塩錠２．５ｍｇ「トーワ」</v>
      </c>
    </row>
    <row r="669" spans="6:7">
      <c r="F669" t="s">
        <v>1631</v>
      </c>
      <c r="G669" t="str">
        <f t="shared" si="16"/>
        <v>ビソプロロールフマル酸塩錠０．６２５ｍｇ「トーワ」</v>
      </c>
    </row>
    <row r="670" spans="6:7">
      <c r="F670" t="s">
        <v>5022</v>
      </c>
      <c r="G670" t="str">
        <f t="shared" si="16"/>
        <v>ビソルボン注４ｍｇ</v>
      </c>
    </row>
    <row r="671" spans="6:7">
      <c r="F671" t="s">
        <v>5026</v>
      </c>
      <c r="G671" t="str">
        <f t="shared" si="16"/>
        <v>ビソルボン吸入液０．２％</v>
      </c>
    </row>
    <row r="672" spans="6:7">
      <c r="F672" t="s">
        <v>5030</v>
      </c>
      <c r="G672" t="str">
        <f t="shared" si="16"/>
        <v>ビタノイリンカプセル５０</v>
      </c>
    </row>
    <row r="673" spans="6:7">
      <c r="F673" t="s">
        <v>1632</v>
      </c>
      <c r="G673" t="str">
        <f t="shared" si="16"/>
        <v>ビダラビン軟膏３％「ＳＷ」</v>
      </c>
    </row>
    <row r="674" spans="6:7">
      <c r="F674" t="s">
        <v>1633</v>
      </c>
      <c r="G674" t="str">
        <f t="shared" si="16"/>
        <v>ビブラマイシン錠５０ｍｇ</v>
      </c>
    </row>
    <row r="675" spans="6:7">
      <c r="F675" t="s">
        <v>1634</v>
      </c>
      <c r="G675" t="str">
        <f t="shared" si="16"/>
        <v>ビプレッソ徐放錠５０ｍｇ</v>
      </c>
    </row>
    <row r="676" spans="6:7">
      <c r="F676" t="s">
        <v>1635</v>
      </c>
      <c r="G676" t="str">
        <f t="shared" si="16"/>
        <v>ビプレッソ徐放錠１５０ｍｇ</v>
      </c>
    </row>
    <row r="677" spans="6:7">
      <c r="F677" t="s">
        <v>1636</v>
      </c>
      <c r="G677" t="str">
        <f t="shared" si="16"/>
        <v>ビペリデン塩酸塩錠１ｍｇ「アメル」</v>
      </c>
    </row>
    <row r="678" spans="6:7">
      <c r="F678" t="s">
        <v>1637</v>
      </c>
      <c r="G678" t="str">
        <f t="shared" si="16"/>
        <v>ビペリデン塩酸塩細粒１％「アメル」</v>
      </c>
    </row>
    <row r="679" spans="6:7">
      <c r="F679" t="s">
        <v>5034</v>
      </c>
      <c r="G679" t="str">
        <f t="shared" si="16"/>
        <v>ヒベルナ糖衣錠５ｍｇ</v>
      </c>
    </row>
    <row r="680" spans="6:7">
      <c r="F680" t="s">
        <v>831</v>
      </c>
      <c r="G680" t="str">
        <f t="shared" si="16"/>
        <v>ヒベルナ糖衣錠２５ｍｇ</v>
      </c>
    </row>
    <row r="681" spans="6:7">
      <c r="F681" t="s">
        <v>5038</v>
      </c>
      <c r="G681" t="str">
        <f t="shared" si="16"/>
        <v>ヒベルナ散１０％</v>
      </c>
    </row>
    <row r="682" spans="6:7">
      <c r="F682" t="s">
        <v>1638</v>
      </c>
      <c r="G682" t="str">
        <f t="shared" si="16"/>
        <v>ヒベルナ注２５ｍｇ</v>
      </c>
    </row>
    <row r="683" spans="6:7">
      <c r="F683" t="s">
        <v>4071</v>
      </c>
      <c r="G683" t="str">
        <f t="shared" si="16"/>
        <v>ビムパット錠５０ｍｇ</v>
      </c>
    </row>
    <row r="684" spans="6:7">
      <c r="F684" t="s">
        <v>1639</v>
      </c>
      <c r="G684" t="str">
        <f t="shared" si="16"/>
        <v>ビムパット錠１００ｍｇ</v>
      </c>
    </row>
    <row r="685" spans="6:7">
      <c r="F685" t="s">
        <v>5051</v>
      </c>
      <c r="G685" t="str">
        <f t="shared" si="16"/>
        <v>ビムパット点滴静注２００ｍｇ</v>
      </c>
    </row>
    <row r="686" spans="6:7">
      <c r="F686" t="s">
        <v>1640</v>
      </c>
      <c r="G686" t="str">
        <f t="shared" si="16"/>
        <v>ピメノールカプセル５０ｍｇ</v>
      </c>
    </row>
    <row r="687" spans="6:7">
      <c r="F687" t="s">
        <v>1641</v>
      </c>
      <c r="G687" t="str">
        <f t="shared" si="16"/>
        <v>ピモベンダン錠１．２５ｍｇ「ＴＥ」</v>
      </c>
    </row>
    <row r="688" spans="6:7">
      <c r="F688" t="s">
        <v>1642</v>
      </c>
      <c r="G688" t="str">
        <f t="shared" si="16"/>
        <v>ヒューマリンＲ注１００単位／ｍＬ</v>
      </c>
    </row>
    <row r="689" spans="6:7">
      <c r="F689" t="s">
        <v>4072</v>
      </c>
      <c r="G689" t="str">
        <f t="shared" si="16"/>
        <v>ヒューマリンＲ注ミリオペン</v>
      </c>
    </row>
    <row r="690" spans="6:7">
      <c r="F690" t="s">
        <v>5058</v>
      </c>
      <c r="G690" t="str">
        <f t="shared" si="16"/>
        <v>ヒューマログミックス２５注ミリオペン</v>
      </c>
    </row>
    <row r="691" spans="6:7">
      <c r="F691" t="s">
        <v>1643</v>
      </c>
      <c r="G691" t="str">
        <f t="shared" si="16"/>
        <v>ヒューマログミックス５０注ミリオペン</v>
      </c>
    </row>
    <row r="692" spans="6:7">
      <c r="F692" t="s">
        <v>5062</v>
      </c>
      <c r="G692" t="str">
        <f t="shared" si="16"/>
        <v>ビラノア錠２０ｍｇ</v>
      </c>
    </row>
    <row r="693" spans="6:7">
      <c r="F693" t="s">
        <v>1644</v>
      </c>
      <c r="G693" t="str">
        <f t="shared" si="16"/>
        <v>ビラノアＯＤ錠２０ｍｇ</v>
      </c>
    </row>
    <row r="694" spans="6:7">
      <c r="F694" t="s">
        <v>5066</v>
      </c>
      <c r="G694" t="str">
        <f t="shared" si="16"/>
        <v>ピラマイド原末</v>
      </c>
    </row>
    <row r="695" spans="6:7">
      <c r="F695" t="s">
        <v>5070</v>
      </c>
      <c r="G695" t="str">
        <f t="shared" si="16"/>
        <v>ピルシカイニド塩酸塩カプセル５０ｍｇ「日医工」</v>
      </c>
    </row>
    <row r="696" spans="6:7">
      <c r="F696" t="s">
        <v>1645</v>
      </c>
      <c r="G696" t="str">
        <f t="shared" si="16"/>
        <v>ヒルドイドソフト軟膏０．３％</v>
      </c>
    </row>
    <row r="697" spans="6:7">
      <c r="F697" t="s">
        <v>1646</v>
      </c>
      <c r="G697" t="str">
        <f t="shared" si="16"/>
        <v>ヒルナミン錠（５ｍｇ）</v>
      </c>
    </row>
    <row r="698" spans="6:7">
      <c r="F698" t="s">
        <v>1647</v>
      </c>
      <c r="G698" t="str">
        <f t="shared" si="16"/>
        <v>ヒルナミン錠（２５ｍｇ）</v>
      </c>
    </row>
    <row r="699" spans="6:7">
      <c r="F699" t="s">
        <v>1648</v>
      </c>
      <c r="G699" t="str">
        <f t="shared" si="16"/>
        <v>ヒルナミン錠（５０ｍｇ）</v>
      </c>
    </row>
    <row r="700" spans="6:7">
      <c r="F700" t="s">
        <v>1649</v>
      </c>
      <c r="G700" t="str">
        <f t="shared" si="16"/>
        <v>ヒルナミン細粒１０％</v>
      </c>
    </row>
    <row r="701" spans="6:7">
      <c r="F701" t="s">
        <v>1650</v>
      </c>
      <c r="G701" t="str">
        <f t="shared" si="16"/>
        <v>ピレノキシン懸濁性点眼液０．００５％「参天」</v>
      </c>
    </row>
    <row r="702" spans="6:7">
      <c r="F702" t="s">
        <v>1651</v>
      </c>
      <c r="G702" t="str">
        <f t="shared" si="16"/>
        <v>ファモチジンＤ錠２０ｍｇ「サワイ」</v>
      </c>
    </row>
    <row r="703" spans="6:7">
      <c r="F703" t="s">
        <v>5074</v>
      </c>
      <c r="G703" t="str">
        <f t="shared" si="16"/>
        <v>ファモチジン散１０％「サワイ」</v>
      </c>
    </row>
    <row r="704" spans="6:7">
      <c r="F704" t="s">
        <v>5078</v>
      </c>
      <c r="G704" t="str">
        <f t="shared" si="16"/>
        <v>ファモチジン注射用２０ｍｇ「オーハラ」</v>
      </c>
    </row>
    <row r="705" spans="6:7">
      <c r="F705" t="s">
        <v>1652</v>
      </c>
      <c r="G705" t="str">
        <f t="shared" si="16"/>
        <v>ファモチジン静注液２０ｍｇ「サワイ」</v>
      </c>
    </row>
    <row r="706" spans="6:7">
      <c r="F706" t="s">
        <v>1653</v>
      </c>
      <c r="G706" t="str">
        <f t="shared" ref="G706:G769" si="17">DBCS(F706)</f>
        <v>ファロム錠２００ｍｇ</v>
      </c>
    </row>
    <row r="707" spans="6:7">
      <c r="F707" t="s">
        <v>1654</v>
      </c>
      <c r="G707" t="str">
        <f t="shared" si="17"/>
        <v>ファンギゾンシロップ１００ｍｇ／ｍＬ</v>
      </c>
    </row>
    <row r="708" spans="6:7">
      <c r="F708" t="s">
        <v>1655</v>
      </c>
      <c r="G708" t="str">
        <f t="shared" si="17"/>
        <v>フィコンパ錠２ｍｇ</v>
      </c>
    </row>
    <row r="709" spans="6:7">
      <c r="F709" t="s">
        <v>5082</v>
      </c>
      <c r="G709" t="str">
        <f t="shared" si="17"/>
        <v>フィブラストスプレー５００</v>
      </c>
    </row>
    <row r="710" spans="6:7">
      <c r="F710" t="s">
        <v>1656</v>
      </c>
      <c r="G710" t="str">
        <f t="shared" si="17"/>
        <v>フェジン静注４０ｍｇ</v>
      </c>
    </row>
    <row r="711" spans="6:7">
      <c r="F711" t="s">
        <v>1657</v>
      </c>
      <c r="G711" t="str">
        <f t="shared" si="17"/>
        <v>フェノバルビタール散１０％「ホエイ」</v>
      </c>
    </row>
    <row r="712" spans="6:7">
      <c r="F712" t="s">
        <v>1658</v>
      </c>
      <c r="G712" t="str">
        <f t="shared" si="17"/>
        <v>フェノバール錠３０ｍｇ</v>
      </c>
    </row>
    <row r="713" spans="6:7">
      <c r="F713" t="s">
        <v>1659</v>
      </c>
      <c r="G713" t="str">
        <f t="shared" si="17"/>
        <v>フェノバール注射液１００ｍｇ</v>
      </c>
    </row>
    <row r="714" spans="6:7">
      <c r="F714" t="s">
        <v>5086</v>
      </c>
      <c r="G714" t="str">
        <f t="shared" si="17"/>
        <v>フェノール・亜鉛華リニメント「ニッコー」</v>
      </c>
    </row>
    <row r="715" spans="6:7">
      <c r="F715" t="s">
        <v>5089</v>
      </c>
      <c r="G715" t="str">
        <f t="shared" si="17"/>
        <v>フェブキソスタット錠１０ｍｇ「ＡＦＰ」</v>
      </c>
    </row>
    <row r="716" spans="6:7">
      <c r="F716" t="s">
        <v>1660</v>
      </c>
      <c r="G716" t="str">
        <f t="shared" si="17"/>
        <v>フェブキソスタットＯＤ錠１０ｍｇ「サワイ」</v>
      </c>
    </row>
    <row r="717" spans="6:7">
      <c r="F717" t="s">
        <v>5093</v>
      </c>
      <c r="G717" t="str">
        <f t="shared" si="17"/>
        <v>フェロジピン錠５ｍｇ「武田テバ」</v>
      </c>
    </row>
    <row r="718" spans="6:7">
      <c r="F718" t="s">
        <v>5097</v>
      </c>
      <c r="G718" t="str">
        <f t="shared" si="17"/>
        <v>フェロ・グラデュメット錠１０５ｍｇ</v>
      </c>
    </row>
    <row r="719" spans="6:7">
      <c r="F719" t="s">
        <v>5101</v>
      </c>
      <c r="G719" t="str">
        <f t="shared" si="17"/>
        <v>フェロミア顆粒８．３％</v>
      </c>
    </row>
    <row r="720" spans="6:7">
      <c r="F720" t="s">
        <v>1661</v>
      </c>
      <c r="G720" t="str">
        <f t="shared" si="17"/>
        <v>フェロミア錠５０ｍｇ</v>
      </c>
    </row>
    <row r="721" spans="6:7">
      <c r="F721" t="s">
        <v>1662</v>
      </c>
      <c r="G721" t="str">
        <f t="shared" si="17"/>
        <v>フェロジピン錠５ｍｇ「ＮＩＧ」</v>
      </c>
    </row>
    <row r="722" spans="6:7">
      <c r="F722" t="s">
        <v>866</v>
      </c>
      <c r="G722" t="str">
        <f t="shared" si="17"/>
        <v>フォシーガ錠５ｍｇ</v>
      </c>
    </row>
    <row r="723" spans="6:7">
      <c r="F723" t="s">
        <v>1663</v>
      </c>
      <c r="G723" t="str">
        <f t="shared" si="17"/>
        <v>フォリアミン錠</v>
      </c>
    </row>
    <row r="724" spans="6:7">
      <c r="F724" t="s">
        <v>5105</v>
      </c>
      <c r="G724" t="str">
        <f t="shared" si="17"/>
        <v>フォルテオ皮下注キット６００μｇ</v>
      </c>
    </row>
    <row r="725" spans="6:7">
      <c r="F725" t="s">
        <v>1664</v>
      </c>
      <c r="G725" t="str">
        <f t="shared" si="17"/>
        <v>注射用フサン５０</v>
      </c>
    </row>
    <row r="726" spans="6:7">
      <c r="F726" t="s">
        <v>5109</v>
      </c>
      <c r="G726" t="str">
        <f t="shared" si="17"/>
        <v>ブスコパン錠１０ｍｇ</v>
      </c>
    </row>
    <row r="727" spans="6:7">
      <c r="F727" t="s">
        <v>1665</v>
      </c>
      <c r="G727" t="str">
        <f t="shared" si="17"/>
        <v>ブスコパン注２０ｍｇ</v>
      </c>
    </row>
    <row r="728" spans="6:7">
      <c r="F728" t="s">
        <v>1666</v>
      </c>
      <c r="G728" t="str">
        <f t="shared" si="17"/>
        <v>ブドウ糖＊（扶桑）</v>
      </c>
    </row>
    <row r="729" spans="6:7">
      <c r="F729" t="s">
        <v>1667</v>
      </c>
      <c r="G729" t="str">
        <f t="shared" si="17"/>
        <v>ブドウ糖注５％ＰＬ「フソー」</v>
      </c>
    </row>
    <row r="730" spans="6:7">
      <c r="F730" t="s">
        <v>5113</v>
      </c>
      <c r="G730" t="str">
        <f t="shared" si="17"/>
        <v>ブドウ糖注２０％ＰＬ「フソー」</v>
      </c>
    </row>
    <row r="731" spans="6:7">
      <c r="F731" t="s">
        <v>1668</v>
      </c>
      <c r="G731" t="str">
        <f t="shared" si="17"/>
        <v>ブドウ糖注５０％ＰＬ「フソー」</v>
      </c>
    </row>
    <row r="732" spans="6:7">
      <c r="F732" t="s">
        <v>1667</v>
      </c>
      <c r="G732" t="str">
        <f t="shared" si="17"/>
        <v>ブドウ糖注５％ＰＬ「フソー」</v>
      </c>
    </row>
    <row r="733" spans="6:7">
      <c r="F733" t="s">
        <v>5117</v>
      </c>
      <c r="G733" t="str">
        <f t="shared" si="17"/>
        <v>大塚糖液５％１００ｍｌ</v>
      </c>
    </row>
    <row r="734" spans="6:7">
      <c r="F734" t="s">
        <v>5119</v>
      </c>
      <c r="G734" t="str">
        <f t="shared" si="17"/>
        <v>プラザキサカプセル１１０ｍｇ</v>
      </c>
    </row>
    <row r="735" spans="6:7">
      <c r="F735" t="s">
        <v>1669</v>
      </c>
      <c r="G735" t="str">
        <f t="shared" si="17"/>
        <v>フラジール腟錠２５０ｍｇ</v>
      </c>
    </row>
    <row r="736" spans="6:7">
      <c r="F736" t="s">
        <v>1670</v>
      </c>
      <c r="G736" t="str">
        <f t="shared" si="17"/>
        <v>フラジール内服錠２５０ｍｇ</v>
      </c>
    </row>
    <row r="737" spans="6:7">
      <c r="F737" t="s">
        <v>1671</v>
      </c>
      <c r="G737" t="str">
        <f t="shared" si="17"/>
        <v>プラセボカプセル</v>
      </c>
    </row>
    <row r="738" spans="6:7">
      <c r="F738" t="s">
        <v>5123</v>
      </c>
      <c r="G738" t="str">
        <f t="shared" si="17"/>
        <v>プラセボ坐薬</v>
      </c>
    </row>
    <row r="739" spans="6:7">
      <c r="F739" t="s">
        <v>1672</v>
      </c>
      <c r="G739" t="str">
        <f t="shared" si="17"/>
        <v>プラセボ散</v>
      </c>
    </row>
    <row r="740" spans="6:7">
      <c r="F740" t="s">
        <v>1673</v>
      </c>
      <c r="G740" t="str">
        <f t="shared" si="17"/>
        <v>プラバスタチンＮａ錠５ｍｇ「サワイ」</v>
      </c>
    </row>
    <row r="741" spans="6:7">
      <c r="F741" t="s">
        <v>5127</v>
      </c>
      <c r="G741" t="str">
        <f t="shared" si="17"/>
        <v>プラリア皮下注６０ｍｇシリンジ（用時購入）</v>
      </c>
    </row>
    <row r="742" spans="6:7">
      <c r="F742" t="s">
        <v>1674</v>
      </c>
      <c r="G742" t="str">
        <f t="shared" si="17"/>
        <v>プラリアＨＩ皮下注６０ｍｇシリンジ０．５ｍＬ（用時購入）</v>
      </c>
    </row>
    <row r="743" spans="6:7">
      <c r="F743" t="s">
        <v>1675</v>
      </c>
      <c r="G743" t="str">
        <f t="shared" si="17"/>
        <v>フランドルテープ４０ｍｇ</v>
      </c>
    </row>
    <row r="744" spans="6:7">
      <c r="F744" t="s">
        <v>5131</v>
      </c>
      <c r="G744" t="str">
        <f t="shared" si="17"/>
        <v>プランルカスト錠２２５ｍｇ「日医工」</v>
      </c>
    </row>
    <row r="745" spans="6:7">
      <c r="F745" t="s">
        <v>1676</v>
      </c>
      <c r="G745" t="str">
        <f t="shared" si="17"/>
        <v>プリモボラン錠５ｍｇ</v>
      </c>
    </row>
    <row r="746" spans="6:7">
      <c r="F746" t="s">
        <v>1677</v>
      </c>
      <c r="G746" t="str">
        <f t="shared" si="17"/>
        <v>プリンペラン注射液１０ｍｇ</v>
      </c>
    </row>
    <row r="747" spans="6:7">
      <c r="F747" t="s">
        <v>889</v>
      </c>
      <c r="G747" t="str">
        <f t="shared" si="17"/>
        <v>フルイトラン錠２ｍｇ</v>
      </c>
    </row>
    <row r="748" spans="6:7">
      <c r="F748" t="s">
        <v>1678</v>
      </c>
      <c r="G748" t="str">
        <f t="shared" si="17"/>
        <v>フルオロメトロン点眼液０．１％「ＮＩＴ」</v>
      </c>
    </row>
    <row r="749" spans="6:7">
      <c r="F749" t="s">
        <v>1679</v>
      </c>
      <c r="G749" t="str">
        <f t="shared" si="17"/>
        <v>フルコナゾールカプセル１００ｍｇ「サワイ」</v>
      </c>
    </row>
    <row r="750" spans="6:7">
      <c r="F750" t="s">
        <v>5135</v>
      </c>
      <c r="G750" t="str">
        <f t="shared" si="17"/>
        <v>フルタイド１００ディスカス</v>
      </c>
    </row>
    <row r="751" spans="6:7">
      <c r="F751" t="s">
        <v>5139</v>
      </c>
      <c r="G751" t="str">
        <f t="shared" si="17"/>
        <v>フルツロンカプセル２００</v>
      </c>
    </row>
    <row r="752" spans="6:7">
      <c r="F752" t="s">
        <v>891</v>
      </c>
      <c r="G752" t="str">
        <f t="shared" si="17"/>
        <v>フルデカシン筋注２５ｍｇ</v>
      </c>
    </row>
    <row r="753" spans="6:7">
      <c r="F753" t="s">
        <v>1680</v>
      </c>
      <c r="G753" t="str">
        <f t="shared" si="17"/>
        <v>フルニトラゼパム錠１ｍｇ「アメル」</v>
      </c>
    </row>
    <row r="754" spans="6:7">
      <c r="F754" t="s">
        <v>1681</v>
      </c>
      <c r="G754" t="str">
        <f t="shared" si="17"/>
        <v>フルニトラゼパム錠２ｍｇ「アメル」</v>
      </c>
    </row>
    <row r="755" spans="6:7">
      <c r="F755" t="s">
        <v>5143</v>
      </c>
      <c r="G755" t="str">
        <f t="shared" si="17"/>
        <v>フルルバンパップ４０ｍｇ</v>
      </c>
    </row>
    <row r="756" spans="6:7">
      <c r="F756" t="s">
        <v>1682</v>
      </c>
      <c r="G756" t="str">
        <f t="shared" si="17"/>
        <v>プレガバリンＯＤ錠２５ｍｇ「サワイ」</v>
      </c>
    </row>
    <row r="757" spans="6:7">
      <c r="F757" t="s">
        <v>1683</v>
      </c>
      <c r="G757" t="str">
        <f t="shared" si="17"/>
        <v>プレガバリンＯＤ錠７５ｍｇ「サワイ」</v>
      </c>
    </row>
    <row r="758" spans="6:7">
      <c r="F758" t="s">
        <v>1684</v>
      </c>
      <c r="G758" t="str">
        <f t="shared" si="17"/>
        <v>プレドニゾロン錠１ｍｇ「ＶＴＲＳ」</v>
      </c>
    </row>
    <row r="759" spans="6:7">
      <c r="F759" t="s">
        <v>1685</v>
      </c>
      <c r="G759" t="str">
        <f t="shared" si="17"/>
        <v>プレドニゾロン錠５ｍｇ「ＶＴＲＳ」</v>
      </c>
    </row>
    <row r="760" spans="6:7">
      <c r="F760" t="s">
        <v>1686</v>
      </c>
      <c r="G760" t="str">
        <f t="shared" si="17"/>
        <v>水溶性プレドニン１０ｍｇ</v>
      </c>
    </row>
    <row r="761" spans="6:7">
      <c r="F761" t="s">
        <v>5147</v>
      </c>
      <c r="G761" t="str">
        <f t="shared" si="17"/>
        <v>プログラフカプセル１ｍｇ</v>
      </c>
    </row>
    <row r="762" spans="6:7">
      <c r="F762" t="s">
        <v>1687</v>
      </c>
      <c r="G762" t="str">
        <f t="shared" si="17"/>
        <v>プロスタンディン軟膏０．００３％</v>
      </c>
    </row>
    <row r="763" spans="6:7">
      <c r="F763" t="s">
        <v>1688</v>
      </c>
      <c r="G763" t="str">
        <f t="shared" si="17"/>
        <v>フロセミド錠２０ｍｇ「ＮＩＧ」</v>
      </c>
    </row>
    <row r="764" spans="6:7">
      <c r="F764" t="s">
        <v>1689</v>
      </c>
      <c r="G764" t="str">
        <f t="shared" si="17"/>
        <v>フロセミド細粒４％「ＥＭＥＣ」</v>
      </c>
    </row>
    <row r="765" spans="6:7">
      <c r="F765" t="s">
        <v>1690</v>
      </c>
      <c r="G765" t="str">
        <f t="shared" si="17"/>
        <v>フロセミド注２０ｍｇ「トーワ」</v>
      </c>
    </row>
    <row r="766" spans="6:7">
      <c r="F766" t="s">
        <v>5151</v>
      </c>
      <c r="G766" t="str">
        <f t="shared" si="17"/>
        <v>プロタノールＳ錠１５ｍｇ</v>
      </c>
    </row>
    <row r="767" spans="6:7">
      <c r="F767" t="s">
        <v>5155</v>
      </c>
      <c r="G767" t="str">
        <f t="shared" si="17"/>
        <v>ブロチゾラム錠０．２５ｍｇ「トーワ」</v>
      </c>
    </row>
    <row r="768" spans="6:7">
      <c r="F768" t="s">
        <v>1691</v>
      </c>
      <c r="G768" t="str">
        <f t="shared" si="17"/>
        <v>ブロチゾラム錠０．２５ｍｇ「ヨシトミ」</v>
      </c>
    </row>
    <row r="769" spans="6:7">
      <c r="F769" t="s">
        <v>5159</v>
      </c>
      <c r="G769" t="str">
        <f t="shared" si="17"/>
        <v>プロトピック軟膏０．１％</v>
      </c>
    </row>
    <row r="770" spans="6:7">
      <c r="F770" t="s">
        <v>1692</v>
      </c>
      <c r="G770" t="str">
        <f t="shared" ref="G770:G833" si="18">DBCS(F770)</f>
        <v>ブロナンセリン錠２ｍｇ「ＤＳＰＢ」</v>
      </c>
    </row>
    <row r="771" spans="6:7">
      <c r="F771" t="s">
        <v>1693</v>
      </c>
      <c r="G771" t="str">
        <f t="shared" si="18"/>
        <v>ブロナンセリン錠４ｍｇ「ＤＳＰＢ」</v>
      </c>
    </row>
    <row r="772" spans="6:7">
      <c r="F772" t="s">
        <v>1694</v>
      </c>
      <c r="G772" t="str">
        <f t="shared" si="18"/>
        <v>ブロナンセリン錠８ｍｇ「ＤＳＰＢ」</v>
      </c>
    </row>
    <row r="773" spans="6:7">
      <c r="F773" t="s">
        <v>1695</v>
      </c>
      <c r="G773" t="str">
        <f t="shared" si="18"/>
        <v>ブロナンセリン散２％「ＤＳＰＢ」</v>
      </c>
    </row>
    <row r="774" spans="6:7">
      <c r="F774" t="s">
        <v>1696</v>
      </c>
      <c r="G774" t="str">
        <f t="shared" si="18"/>
        <v>ブロナック点眼液０．１％</v>
      </c>
    </row>
    <row r="775" spans="6:7">
      <c r="F775" t="s">
        <v>1697</v>
      </c>
      <c r="G775" t="str">
        <f t="shared" si="18"/>
        <v>プロピベリン塩酸塩錠１０ｍｇ「ＮＩＧ」</v>
      </c>
    </row>
    <row r="776" spans="6:7">
      <c r="F776" t="s">
        <v>5163</v>
      </c>
      <c r="G776" t="str">
        <f t="shared" si="18"/>
        <v>プロプラノロール塩酸塩錠１０ｍｇ「日医工」</v>
      </c>
    </row>
    <row r="777" spans="6:7">
      <c r="F777" t="s">
        <v>1698</v>
      </c>
      <c r="G777" t="str">
        <f t="shared" si="18"/>
        <v>プロマックＤ錠７５</v>
      </c>
    </row>
    <row r="778" spans="6:7">
      <c r="F778" t="s">
        <v>1699</v>
      </c>
      <c r="G778" t="str">
        <f t="shared" si="18"/>
        <v>ブロムペリドール錠３ｍｇ「アメル」</v>
      </c>
    </row>
    <row r="779" spans="6:7">
      <c r="F779" t="s">
        <v>1237</v>
      </c>
      <c r="G779" t="str">
        <f t="shared" si="18"/>
        <v>ブロムヘキシン塩酸塩錠４ｍｇ「トーワ」</v>
      </c>
    </row>
    <row r="780" spans="6:7">
      <c r="F780" t="s">
        <v>1700</v>
      </c>
      <c r="G780" t="str">
        <f t="shared" si="18"/>
        <v>ブロムペリドール細粒１％「アメル」</v>
      </c>
    </row>
    <row r="781" spans="6:7">
      <c r="F781" t="s">
        <v>1701</v>
      </c>
      <c r="G781" t="str">
        <f t="shared" si="18"/>
        <v>ブロムヘキシン塩酸塩０．２％吸入液</v>
      </c>
    </row>
    <row r="782" spans="6:7">
      <c r="F782" t="s">
        <v>1702</v>
      </c>
      <c r="G782" t="str">
        <f t="shared" si="18"/>
        <v>ブロムヘキシン塩酸塩注射液４ｍｇ「タイヨー」</v>
      </c>
    </row>
    <row r="783" spans="6:7">
      <c r="F783" t="s">
        <v>1703</v>
      </c>
      <c r="G783" t="str">
        <f t="shared" si="18"/>
        <v>ブロメライン軟膏５万単位／ｇ＊（ジェイドルフ）</v>
      </c>
    </row>
    <row r="784" spans="6:7">
      <c r="F784" t="s">
        <v>5167</v>
      </c>
      <c r="G784" t="str">
        <f t="shared" si="18"/>
        <v>ブロモクリプチン錠２．５ｍｇ「Ｆ」</v>
      </c>
    </row>
    <row r="785" spans="6:7">
      <c r="F785" t="s">
        <v>5171</v>
      </c>
      <c r="G785" t="str">
        <f t="shared" si="18"/>
        <v>フロリードゲル経口用２％</v>
      </c>
    </row>
    <row r="786" spans="6:7">
      <c r="F786" t="s">
        <v>1704</v>
      </c>
      <c r="G786" t="str">
        <f t="shared" si="18"/>
        <v>ベオーバ錠５０ｍｇ</v>
      </c>
    </row>
    <row r="787" spans="6:7">
      <c r="F787" t="s">
        <v>1705</v>
      </c>
      <c r="G787" t="str">
        <f t="shared" si="18"/>
        <v>ベクルリー点滴静注用１００ｍｇ</v>
      </c>
    </row>
    <row r="788" spans="6:7">
      <c r="F788" t="s">
        <v>924</v>
      </c>
      <c r="G788" t="str">
        <f t="shared" si="18"/>
        <v>ベサコリン散５％</v>
      </c>
    </row>
    <row r="789" spans="6:7">
      <c r="F789" t="s">
        <v>5175</v>
      </c>
      <c r="G789" t="str">
        <f t="shared" si="18"/>
        <v>ベザトールＳＲ錠２００ｍｇ</v>
      </c>
    </row>
    <row r="790" spans="6:7">
      <c r="F790" t="s">
        <v>1706</v>
      </c>
      <c r="G790" t="str">
        <f t="shared" si="18"/>
        <v>ベザフィブラートＳＲ錠２００ｍｇ「日医工」</v>
      </c>
    </row>
    <row r="791" spans="6:7">
      <c r="F791" t="s">
        <v>5179</v>
      </c>
      <c r="G791" t="str">
        <f t="shared" si="18"/>
        <v>ベシケア錠５ｍｇ</v>
      </c>
    </row>
    <row r="792" spans="6:7">
      <c r="F792" t="s">
        <v>1707</v>
      </c>
      <c r="G792" t="str">
        <f t="shared" si="18"/>
        <v>ベタナミン錠１０ｍｇ</v>
      </c>
    </row>
    <row r="793" spans="6:7">
      <c r="F793" t="s">
        <v>1708</v>
      </c>
      <c r="G793" t="str">
        <f t="shared" si="18"/>
        <v>ベタニス錠５０ｍｇ</v>
      </c>
    </row>
    <row r="794" spans="6:7">
      <c r="F794" t="s">
        <v>1709</v>
      </c>
      <c r="G794" t="str">
        <f t="shared" si="18"/>
        <v>ベタメタゾン吉草酸エステルローション０．１２％「イワキ」</v>
      </c>
    </row>
    <row r="795" spans="6:7">
      <c r="F795" t="s">
        <v>5186</v>
      </c>
      <c r="G795" t="str">
        <f t="shared" si="18"/>
        <v>ベナパスタ軟膏４％</v>
      </c>
    </row>
    <row r="796" spans="6:7">
      <c r="F796" t="s">
        <v>1710</v>
      </c>
      <c r="G796" t="str">
        <f t="shared" si="18"/>
        <v>献血ベニロン－Ｉ静注用２５００ｍｇ</v>
      </c>
    </row>
    <row r="797" spans="6:7">
      <c r="F797" t="s">
        <v>1711</v>
      </c>
      <c r="G797" t="str">
        <f t="shared" si="18"/>
        <v>ヘパリンＮａ注５千単位／５ｍＬ「モチダ」</v>
      </c>
    </row>
    <row r="798" spans="6:7">
      <c r="F798" t="s">
        <v>1712</v>
      </c>
      <c r="G798" t="str">
        <f t="shared" si="18"/>
        <v>ヘパリンＮａロック用１０単位／ｍＬシリンジ「オーツカ」１０ｍＬ</v>
      </c>
    </row>
    <row r="799" spans="6:7">
      <c r="F799" t="s">
        <v>1713</v>
      </c>
      <c r="G799" t="str">
        <f t="shared" si="18"/>
        <v>ヘパリン類似物質外用泡状スプレー０．３％「日本臓器」</v>
      </c>
    </row>
    <row r="800" spans="6:7">
      <c r="F800" t="s">
        <v>1714</v>
      </c>
      <c r="G800" t="str">
        <f t="shared" si="18"/>
        <v>ヘパリン類似物質外用スプレー０．３％「サトウ」</v>
      </c>
    </row>
    <row r="801" spans="6:7">
      <c r="F801" t="s">
        <v>1715</v>
      </c>
      <c r="G801" t="str">
        <f t="shared" si="18"/>
        <v>ヘパリン類似物質油性クリーム０．３％「日医工」</v>
      </c>
    </row>
    <row r="802" spans="6:7">
      <c r="F802" t="s">
        <v>5190</v>
      </c>
      <c r="G802" t="str">
        <f t="shared" si="18"/>
        <v>ベピオゲル２．５％</v>
      </c>
    </row>
    <row r="803" spans="6:7">
      <c r="F803" t="s">
        <v>1716</v>
      </c>
      <c r="G803" t="str">
        <f t="shared" si="18"/>
        <v>ヘブスブリンＩＨ静注１０００単位</v>
      </c>
    </row>
    <row r="804" spans="6:7">
      <c r="F804" t="s">
        <v>1717</v>
      </c>
      <c r="G804" t="str">
        <f t="shared" si="18"/>
        <v>ベプリコール錠５０ｍｇ</v>
      </c>
    </row>
    <row r="805" spans="6:7">
      <c r="F805" t="s">
        <v>1718</v>
      </c>
      <c r="G805" t="str">
        <f t="shared" si="18"/>
        <v>ペミロラストＫ点眼液０．１％「ＴＳ」</v>
      </c>
    </row>
    <row r="806" spans="6:7">
      <c r="F806" t="s">
        <v>943</v>
      </c>
      <c r="G806" t="str">
        <f t="shared" si="18"/>
        <v>ヘモレックス軟膏</v>
      </c>
    </row>
    <row r="807" spans="6:7">
      <c r="F807" t="s">
        <v>5194</v>
      </c>
      <c r="G807" t="str">
        <f t="shared" si="18"/>
        <v>ベラプロストＮａ錠２０μｇ「トーワ」</v>
      </c>
    </row>
    <row r="808" spans="6:7">
      <c r="F808" t="s">
        <v>5198</v>
      </c>
      <c r="G808" t="str">
        <f t="shared" si="18"/>
        <v>ペルサンチン錠２５ｍｇ</v>
      </c>
    </row>
    <row r="809" spans="6:7">
      <c r="F809" t="s">
        <v>5202</v>
      </c>
      <c r="G809" t="str">
        <f t="shared" si="18"/>
        <v>ペルジピン注射液２ｍｇ</v>
      </c>
    </row>
    <row r="810" spans="6:7">
      <c r="F810" t="s">
        <v>1719</v>
      </c>
      <c r="G810" t="str">
        <f t="shared" si="18"/>
        <v>ベルソムラ錠１５ｍｇ</v>
      </c>
    </row>
    <row r="811" spans="6:7">
      <c r="F811" t="s">
        <v>1720</v>
      </c>
      <c r="G811" t="str">
        <f t="shared" si="18"/>
        <v>ベルソムラ錠２０ｍｇ</v>
      </c>
    </row>
    <row r="812" spans="6:7">
      <c r="F812" t="s">
        <v>1721</v>
      </c>
      <c r="G812" t="str">
        <f t="shared" si="18"/>
        <v>ヘルベッサー錠３０</v>
      </c>
    </row>
    <row r="813" spans="6:7">
      <c r="F813" t="s">
        <v>1722</v>
      </c>
      <c r="G813" t="str">
        <f t="shared" si="18"/>
        <v>ヘルベッサー注射用５０</v>
      </c>
    </row>
    <row r="814" spans="6:7">
      <c r="F814" t="s">
        <v>1723</v>
      </c>
      <c r="G814" t="str">
        <f t="shared" si="18"/>
        <v>ベンザリン錠５</v>
      </c>
    </row>
    <row r="815" spans="6:7">
      <c r="F815" t="s">
        <v>1724</v>
      </c>
      <c r="G815" t="str">
        <f t="shared" si="18"/>
        <v>ベンザリン細粒１％</v>
      </c>
    </row>
    <row r="816" spans="6:7">
      <c r="F816" t="s">
        <v>1725</v>
      </c>
      <c r="G816" t="str">
        <f t="shared" si="18"/>
        <v>ペンタサ顆粒９４％</v>
      </c>
    </row>
    <row r="817" spans="6:7">
      <c r="F817" t="s">
        <v>1726</v>
      </c>
      <c r="G817" t="str">
        <f t="shared" si="18"/>
        <v>ペントシリン注射用１ｇ</v>
      </c>
    </row>
    <row r="818" spans="6:7">
      <c r="F818" t="s">
        <v>1727</v>
      </c>
      <c r="G818" t="str">
        <f t="shared" si="18"/>
        <v>ボアラ軟膏０．１２％</v>
      </c>
    </row>
    <row r="819" spans="6:7">
      <c r="F819" t="s">
        <v>5205</v>
      </c>
      <c r="G819" t="str">
        <f t="shared" si="18"/>
        <v>ボグリボースＯＤ錠０．２ｍｇ「日医工」</v>
      </c>
    </row>
    <row r="820" spans="6:7">
      <c r="F820" t="s">
        <v>1728</v>
      </c>
      <c r="G820" t="str">
        <f t="shared" si="18"/>
        <v>ボグリボースＯＤ錠０．２ｍｇ「トーワ」</v>
      </c>
    </row>
    <row r="821" spans="6:7">
      <c r="F821" t="s">
        <v>964</v>
      </c>
      <c r="G821" t="str">
        <f t="shared" si="18"/>
        <v>ホスホマイシンナトリウム静注用２ｇ「日医工」</v>
      </c>
    </row>
    <row r="822" spans="6:7">
      <c r="F822" t="s">
        <v>5209</v>
      </c>
      <c r="G822" t="str">
        <f t="shared" si="18"/>
        <v>ホスミシンＳ耳科用３％</v>
      </c>
    </row>
    <row r="823" spans="6:7">
      <c r="F823" t="s">
        <v>1729</v>
      </c>
      <c r="G823" t="str">
        <f t="shared" si="18"/>
        <v>ボスミン注１ｍｇ</v>
      </c>
    </row>
    <row r="824" spans="6:7">
      <c r="F824" t="s">
        <v>968</v>
      </c>
      <c r="G824" t="str">
        <f t="shared" si="18"/>
        <v>ホスリボン配合顆粒</v>
      </c>
    </row>
    <row r="825" spans="6:7">
      <c r="F825" t="s">
        <v>1730</v>
      </c>
      <c r="G825" t="str">
        <f t="shared" si="18"/>
        <v>ポタコールＲ輸液２５０？</v>
      </c>
    </row>
    <row r="826" spans="6:7">
      <c r="F826" t="s">
        <v>1731</v>
      </c>
      <c r="G826" t="str">
        <f t="shared" si="18"/>
        <v>ポタコールＲ輸液５００？</v>
      </c>
    </row>
    <row r="827" spans="6:7">
      <c r="F827" t="s">
        <v>1732</v>
      </c>
      <c r="G827" t="str">
        <f t="shared" si="18"/>
        <v>ポビドンヨードガーグル液７％「ケンエー」</v>
      </c>
    </row>
    <row r="828" spans="6:7">
      <c r="F828" t="s">
        <v>5213</v>
      </c>
      <c r="G828" t="str">
        <f t="shared" si="18"/>
        <v>ポビドンヨード外用液１０％「ＶＴＲＳ」</v>
      </c>
    </row>
    <row r="829" spans="6:7">
      <c r="F829" t="s">
        <v>1733</v>
      </c>
      <c r="G829" t="str">
        <f t="shared" si="18"/>
        <v>ポビドンヨードゲル１０％</v>
      </c>
    </row>
    <row r="830" spans="6:7">
      <c r="F830" t="s">
        <v>1734</v>
      </c>
      <c r="G830" t="str">
        <f t="shared" si="18"/>
        <v>ポララミン注５ｍｇ</v>
      </c>
    </row>
    <row r="831" spans="6:7">
      <c r="F831" t="s">
        <v>1735</v>
      </c>
      <c r="G831" t="str">
        <f t="shared" si="18"/>
        <v>ポリスチレンスルホン酸Ｃａ経口ゼリー２０％分包２５ｇ「三和」</v>
      </c>
    </row>
    <row r="832" spans="6:7">
      <c r="F832" t="s">
        <v>5217</v>
      </c>
      <c r="G832" t="str">
        <f t="shared" si="18"/>
        <v>ホーリット錠２０ｍｇ</v>
      </c>
    </row>
    <row r="833" spans="6:7">
      <c r="F833" t="s">
        <v>5221</v>
      </c>
      <c r="G833" t="str">
        <f t="shared" si="18"/>
        <v>ホーリット散１０％</v>
      </c>
    </row>
    <row r="834" spans="6:7">
      <c r="F834" t="s">
        <v>1736</v>
      </c>
      <c r="G834" t="str">
        <f t="shared" ref="G834:G897" si="19">DBCS(F834)</f>
        <v>ホーリンＶ腟用錠１ｍｇ</v>
      </c>
    </row>
    <row r="835" spans="6:7">
      <c r="F835" t="s">
        <v>1737</v>
      </c>
      <c r="G835" t="str">
        <f t="shared" si="19"/>
        <v>ボルズィ錠５ｍｇ</v>
      </c>
    </row>
    <row r="836" spans="6:7">
      <c r="F836" t="s">
        <v>1738</v>
      </c>
      <c r="G836" t="str">
        <f t="shared" si="19"/>
        <v>ボルタレン錠２５ｍｇ</v>
      </c>
    </row>
    <row r="837" spans="6:7">
      <c r="F837" t="s">
        <v>1739</v>
      </c>
      <c r="G837" t="str">
        <f t="shared" si="19"/>
        <v>マイザー軟膏０．０５％</v>
      </c>
    </row>
    <row r="838" spans="6:7">
      <c r="F838" t="s">
        <v>990</v>
      </c>
      <c r="G838" t="str">
        <f t="shared" si="19"/>
        <v>マイスリー錠５ｍｇ</v>
      </c>
    </row>
    <row r="839" spans="6:7">
      <c r="F839" t="s">
        <v>989</v>
      </c>
      <c r="G839" t="str">
        <f t="shared" si="19"/>
        <v>マイスタン錠５ｍｇ</v>
      </c>
    </row>
    <row r="840" spans="6:7">
      <c r="F840" t="s">
        <v>5225</v>
      </c>
      <c r="G840" t="str">
        <f t="shared" si="19"/>
        <v>マヴィレット配合錠</v>
      </c>
    </row>
    <row r="841" spans="6:7">
      <c r="F841" t="s">
        <v>1740</v>
      </c>
      <c r="G841" t="str">
        <f t="shared" si="19"/>
        <v>マグミット錠３３０ｍｇ</v>
      </c>
    </row>
    <row r="842" spans="6:7">
      <c r="F842" t="s">
        <v>1741</v>
      </c>
      <c r="G842" t="str">
        <f t="shared" si="19"/>
        <v>マグミット錠５００ｍｇ</v>
      </c>
    </row>
    <row r="843" spans="6:7">
      <c r="F843" t="s">
        <v>985</v>
      </c>
      <c r="G843" t="str">
        <f t="shared" si="19"/>
        <v>マーズレンＳ配合顆粒</v>
      </c>
    </row>
    <row r="844" spans="6:7">
      <c r="F844" t="s">
        <v>5229</v>
      </c>
      <c r="G844" t="str">
        <f t="shared" si="19"/>
        <v>マーデュオックス軟膏</v>
      </c>
    </row>
    <row r="845" spans="6:7">
      <c r="F845" t="s">
        <v>1742</v>
      </c>
      <c r="G845" t="str">
        <f t="shared" si="19"/>
        <v>マドパー配合錠Ｌ１００</v>
      </c>
    </row>
    <row r="846" spans="6:7">
      <c r="F846" t="s">
        <v>1743</v>
      </c>
      <c r="G846" t="str">
        <f t="shared" si="19"/>
        <v>マプロチリン塩酸塩錠１０ｍｇ「アメル」</v>
      </c>
    </row>
    <row r="847" spans="6:7">
      <c r="F847" t="s">
        <v>1744</v>
      </c>
      <c r="G847" t="str">
        <f t="shared" si="19"/>
        <v>マプロチリン塩酸塩錠２５ｍｇ「アメル」</v>
      </c>
    </row>
    <row r="848" spans="6:7">
      <c r="F848" t="s">
        <v>1745</v>
      </c>
      <c r="G848" t="str">
        <f t="shared" si="19"/>
        <v>マンジャロ皮下注２．５ｍｇアテオス</v>
      </c>
    </row>
    <row r="849" spans="6:7">
      <c r="F849" t="s">
        <v>5235</v>
      </c>
      <c r="G849" t="str">
        <f t="shared" si="19"/>
        <v>ミカファンギンＮａ点滴静注用５０ｍｇ「サワイ」</v>
      </c>
    </row>
    <row r="850" spans="6:7">
      <c r="F850" t="s">
        <v>997</v>
      </c>
      <c r="G850" t="str">
        <f t="shared" si="19"/>
        <v>ミケルナ配合点眼液</v>
      </c>
    </row>
    <row r="851" spans="6:7">
      <c r="F851" t="s">
        <v>5239</v>
      </c>
      <c r="G851" t="str">
        <f t="shared" si="19"/>
        <v>ミゾリビン錠５０ｍｇ「サワイ」</v>
      </c>
    </row>
    <row r="852" spans="6:7">
      <c r="F852" t="s">
        <v>1746</v>
      </c>
      <c r="G852" t="str">
        <f t="shared" si="19"/>
        <v>ミチグリニドＣａ・ＯＤ錠１０ｍｇ「三和」</v>
      </c>
    </row>
    <row r="853" spans="6:7">
      <c r="F853" t="s">
        <v>1000</v>
      </c>
      <c r="G853" t="str">
        <f t="shared" si="19"/>
        <v>ミドドリン塩酸塩錠２ｍｇ「トーワ」</v>
      </c>
    </row>
    <row r="854" spans="6:7">
      <c r="F854" t="s">
        <v>1747</v>
      </c>
      <c r="G854" t="str">
        <f t="shared" si="19"/>
        <v>ミドリンＰ点眼液（用時購入）</v>
      </c>
    </row>
    <row r="855" spans="6:7">
      <c r="F855" t="s">
        <v>5243</v>
      </c>
      <c r="G855" t="str">
        <f t="shared" si="19"/>
        <v>ミノサイクリン塩酸塩錠５０ｍｇ「日医工」</v>
      </c>
    </row>
    <row r="856" spans="6:7">
      <c r="F856" t="s">
        <v>1748</v>
      </c>
      <c r="G856" t="str">
        <f t="shared" si="19"/>
        <v>ミノサイクリン塩酸塩点滴静注用１００ｍｇ「日医工」</v>
      </c>
    </row>
    <row r="857" spans="6:7">
      <c r="F857" t="s">
        <v>1749</v>
      </c>
      <c r="G857" t="str">
        <f t="shared" si="19"/>
        <v>ミノドロン酸錠５０ｍｇ「ＪＧ」</v>
      </c>
    </row>
    <row r="858" spans="6:7">
      <c r="F858" t="s">
        <v>5247</v>
      </c>
      <c r="G858" t="str">
        <f t="shared" si="19"/>
        <v>ミルタザピン錠１５ｍｇ「明治」</v>
      </c>
    </row>
    <row r="859" spans="6:7">
      <c r="F859" t="s">
        <v>1750</v>
      </c>
      <c r="G859" t="str">
        <f t="shared" si="19"/>
        <v>ミルタザピンＯＤ錠１５ｍｇ「サワイ」</v>
      </c>
    </row>
    <row r="860" spans="6:7">
      <c r="F860" t="s">
        <v>1751</v>
      </c>
      <c r="G860" t="str">
        <f t="shared" si="19"/>
        <v>ムコスタ点眼液ＵＤ２％</v>
      </c>
    </row>
    <row r="861" spans="6:7">
      <c r="F861" t="s">
        <v>5251</v>
      </c>
      <c r="G861" t="str">
        <f t="shared" si="19"/>
        <v>ムコスタ顆粒２０％</v>
      </c>
    </row>
    <row r="862" spans="6:7">
      <c r="F862" t="s">
        <v>5255</v>
      </c>
      <c r="G862" t="str">
        <f t="shared" si="19"/>
        <v>ムコファジン点眼液</v>
      </c>
    </row>
    <row r="863" spans="6:7">
      <c r="F863" t="s">
        <v>1752</v>
      </c>
      <c r="G863" t="str">
        <f t="shared" si="19"/>
        <v>メイラックス錠１ｍｇ</v>
      </c>
    </row>
    <row r="864" spans="6:7">
      <c r="F864" t="s">
        <v>1753</v>
      </c>
      <c r="G864" t="str">
        <f t="shared" si="19"/>
        <v>メイロン静注７％</v>
      </c>
    </row>
    <row r="865" spans="6:7">
      <c r="F865" t="s">
        <v>1754</v>
      </c>
      <c r="G865" t="str">
        <f t="shared" si="19"/>
        <v>メキシチールカプセル５０ｍｇ</v>
      </c>
    </row>
    <row r="866" spans="6:7">
      <c r="F866" t="s">
        <v>1012</v>
      </c>
      <c r="G866" t="str">
        <f t="shared" si="19"/>
        <v>メコバラミン錠５００「トーワ」</v>
      </c>
    </row>
    <row r="867" spans="6:7">
      <c r="F867" t="s">
        <v>1755</v>
      </c>
      <c r="G867" t="str">
        <f t="shared" si="19"/>
        <v>メトトレキサート錠２ｍｇ「あゆみ」</v>
      </c>
    </row>
    <row r="868" spans="6:7">
      <c r="F868" t="s">
        <v>1756</v>
      </c>
      <c r="G868" t="str">
        <f t="shared" si="19"/>
        <v>メトホルミン塩酸塩錠２５０ｍｇＭＴ「ＤＳＰＢ」</v>
      </c>
    </row>
    <row r="869" spans="6:7">
      <c r="F869" t="s">
        <v>5259</v>
      </c>
      <c r="G869" t="str">
        <f t="shared" si="19"/>
        <v>メネシット配合錠１００</v>
      </c>
    </row>
    <row r="870" spans="6:7">
      <c r="F870" t="s">
        <v>1757</v>
      </c>
      <c r="G870" t="str">
        <f t="shared" si="19"/>
        <v>メプチンエアー１０μｇ吸入１００回</v>
      </c>
    </row>
    <row r="871" spans="6:7">
      <c r="F871" t="s">
        <v>1758</v>
      </c>
      <c r="G871" t="str">
        <f t="shared" si="19"/>
        <v>メマンチン塩酸塩ＯＤ錠５ｍｇ「ＤＳＥＰ」</v>
      </c>
    </row>
    <row r="872" spans="6:7">
      <c r="F872" t="s">
        <v>1759</v>
      </c>
      <c r="G872" t="str">
        <f t="shared" si="19"/>
        <v>メマンチン塩酸塩ＯＤ錠２０ｍｇ「ＤＳＥＰ」</v>
      </c>
    </row>
    <row r="873" spans="6:7">
      <c r="F873" t="s">
        <v>1760</v>
      </c>
      <c r="G873" t="str">
        <f t="shared" si="19"/>
        <v>メリスロン錠６ｍｇ</v>
      </c>
    </row>
    <row r="874" spans="6:7">
      <c r="F874" t="s">
        <v>1020</v>
      </c>
      <c r="G874" t="str">
        <f t="shared" si="19"/>
        <v>メルカゾール錠５ｍｇ</v>
      </c>
    </row>
    <row r="875" spans="6:7">
      <c r="F875" t="s">
        <v>5263</v>
      </c>
      <c r="G875" t="str">
        <f t="shared" si="19"/>
        <v>メロペン点滴用バイアル０．５ｇ</v>
      </c>
    </row>
    <row r="876" spans="6:7">
      <c r="F876" t="s">
        <v>5267</v>
      </c>
      <c r="G876" t="str">
        <f t="shared" si="19"/>
        <v>メロペネム点滴静注用０．５ｇ「ＮＰ」</v>
      </c>
    </row>
    <row r="877" spans="6:7">
      <c r="F877" t="s">
        <v>1761</v>
      </c>
      <c r="G877" t="str">
        <f t="shared" si="19"/>
        <v>メロペネム点滴静注用０．５ｇ「サワイ」</v>
      </c>
    </row>
    <row r="878" spans="6:7">
      <c r="F878" t="s">
        <v>1762</v>
      </c>
      <c r="G878" t="str">
        <f t="shared" si="19"/>
        <v>モキシフロキサシン点眼液０．５％「サンド」</v>
      </c>
    </row>
    <row r="879" spans="6:7">
      <c r="F879" t="s">
        <v>1763</v>
      </c>
      <c r="G879" t="str">
        <f t="shared" si="19"/>
        <v>モサプリドクエン酸塩錠５ｍｇ「日医工」</v>
      </c>
    </row>
    <row r="880" spans="6:7">
      <c r="F880" t="s">
        <v>1023</v>
      </c>
      <c r="G880" t="str">
        <f t="shared" si="19"/>
        <v>モサプリドクエン酸塩散１％「日医工」</v>
      </c>
    </row>
    <row r="881" spans="6:7">
      <c r="F881" t="s">
        <v>1764</v>
      </c>
      <c r="G881" t="str">
        <f t="shared" si="19"/>
        <v>モディオダール錠１００ｍｇ</v>
      </c>
    </row>
    <row r="882" spans="6:7">
      <c r="F882" t="s">
        <v>1765</v>
      </c>
      <c r="G882" t="str">
        <f t="shared" si="19"/>
        <v>モビコール配合内用剤ＬＤ</v>
      </c>
    </row>
    <row r="883" spans="6:7">
      <c r="F883" t="s">
        <v>5270</v>
      </c>
      <c r="G883" t="str">
        <f t="shared" si="19"/>
        <v>モメタゾンフランカルボン酸エステル軟膏０．１％「ＭＹＫ」</v>
      </c>
    </row>
    <row r="884" spans="6:7">
      <c r="F884" t="s">
        <v>5274</v>
      </c>
      <c r="G884" t="str">
        <f t="shared" si="19"/>
        <v>ユービット錠１００ｍｇ</v>
      </c>
    </row>
    <row r="885" spans="6:7">
      <c r="F885" t="s">
        <v>1766</v>
      </c>
      <c r="G885" t="str">
        <f t="shared" si="19"/>
        <v>ユベラＮソフトカプセル２００ｍｇ</v>
      </c>
    </row>
    <row r="886" spans="6:7">
      <c r="F886" t="s">
        <v>1767</v>
      </c>
      <c r="G886" t="str">
        <f t="shared" si="19"/>
        <v>ユリス錠１ｍｇ</v>
      </c>
    </row>
    <row r="887" spans="6:7">
      <c r="F887" t="s">
        <v>1768</v>
      </c>
      <c r="G887" t="str">
        <f t="shared" si="19"/>
        <v>ユリス錠２ｍｇ</v>
      </c>
    </row>
    <row r="888" spans="6:7">
      <c r="F888" t="s">
        <v>5280</v>
      </c>
      <c r="G888" t="str">
        <f t="shared" si="19"/>
        <v>ユリーフ錠４ｍｇ</v>
      </c>
    </row>
    <row r="889" spans="6:7">
      <c r="F889" t="s">
        <v>1769</v>
      </c>
      <c r="G889" t="str">
        <f t="shared" si="19"/>
        <v>ユーロジン２ｍｇ錠</v>
      </c>
    </row>
    <row r="890" spans="6:7">
      <c r="F890" t="s">
        <v>1770</v>
      </c>
      <c r="G890" t="str">
        <f t="shared" si="19"/>
        <v>ヨウ化カリウム丸５０ｍｇ「日医工」</v>
      </c>
    </row>
    <row r="891" spans="6:7">
      <c r="F891" t="s">
        <v>1771</v>
      </c>
      <c r="G891" t="str">
        <f t="shared" si="19"/>
        <v>ヨクイニンエキス錠「コタロー」</v>
      </c>
    </row>
    <row r="892" spans="6:7">
      <c r="F892" t="s">
        <v>1772</v>
      </c>
      <c r="G892" t="str">
        <f t="shared" si="19"/>
        <v>ラクツロースシロップ６５％「タカタ」</v>
      </c>
    </row>
    <row r="893" spans="6:7">
      <c r="F893" t="s">
        <v>1773</v>
      </c>
      <c r="G893" t="str">
        <f t="shared" si="19"/>
        <v>ラゲブリオカプセル２００ｍｇ</v>
      </c>
    </row>
    <row r="894" spans="6:7">
      <c r="F894" t="s">
        <v>1774</v>
      </c>
      <c r="G894" t="str">
        <f t="shared" si="19"/>
        <v>ラコサミド錠５０ｍｇ「ＪＧ」</v>
      </c>
    </row>
    <row r="895" spans="6:7">
      <c r="F895" t="s">
        <v>5284</v>
      </c>
      <c r="G895" t="str">
        <f t="shared" si="19"/>
        <v>ラコールＮＦ配合経腸用半固形剤</v>
      </c>
    </row>
    <row r="896" spans="6:7">
      <c r="F896" t="s">
        <v>1775</v>
      </c>
      <c r="G896" t="str">
        <f t="shared" si="19"/>
        <v>ラコールＮＦ配合経腸用液【ミルク】</v>
      </c>
    </row>
    <row r="897" spans="6:7">
      <c r="F897" t="s">
        <v>1776</v>
      </c>
      <c r="G897" t="str">
        <f t="shared" si="19"/>
        <v>ラコールＮＦ配合経腸用液【コーヒー】</v>
      </c>
    </row>
    <row r="898" spans="6:7">
      <c r="F898" t="s">
        <v>1777</v>
      </c>
      <c r="G898" t="str">
        <f t="shared" ref="G898:G961" si="20">DBCS(F898)</f>
        <v>ラジカット内用懸濁液２．１％</v>
      </c>
    </row>
    <row r="899" spans="6:7">
      <c r="F899" t="s">
        <v>1778</v>
      </c>
      <c r="G899" t="str">
        <f t="shared" si="20"/>
        <v>ラスビック点滴静注キット１５０ｍｇ</v>
      </c>
    </row>
    <row r="900" spans="6:7">
      <c r="F900" t="s">
        <v>5288</v>
      </c>
      <c r="G900" t="str">
        <f t="shared" si="20"/>
        <v>ラタノプロスト点眼液０．００５％「サワイ」</v>
      </c>
    </row>
    <row r="901" spans="6:7">
      <c r="F901" t="s">
        <v>5292</v>
      </c>
      <c r="G901" t="str">
        <f t="shared" si="20"/>
        <v>ラタノプロスト点眼液０．００５％「ニットー」</v>
      </c>
    </row>
    <row r="902" spans="6:7">
      <c r="F902" t="s">
        <v>1779</v>
      </c>
      <c r="G902" t="str">
        <f t="shared" si="20"/>
        <v>ラタノプロスト点眼液０．００５％「センジュ」</v>
      </c>
    </row>
    <row r="903" spans="6:7">
      <c r="F903" t="s">
        <v>1780</v>
      </c>
      <c r="G903" t="str">
        <f t="shared" si="20"/>
        <v>ラツーダ錠２０ｍｇ</v>
      </c>
    </row>
    <row r="904" spans="6:7">
      <c r="F904" t="s">
        <v>1781</v>
      </c>
      <c r="G904" t="str">
        <f t="shared" si="20"/>
        <v>ラツーダ錠４０ｍｇ</v>
      </c>
    </row>
    <row r="905" spans="6:7">
      <c r="F905" t="s">
        <v>1782</v>
      </c>
      <c r="G905" t="str">
        <f t="shared" si="20"/>
        <v>ラピアクタ点滴静注液バッグ３００ｍｇ</v>
      </c>
    </row>
    <row r="906" spans="6:7">
      <c r="F906" t="s">
        <v>1783</v>
      </c>
      <c r="G906" t="str">
        <f t="shared" si="20"/>
        <v>ラメルテオン錠８ｍｇ「トーワ」</v>
      </c>
    </row>
    <row r="907" spans="6:7">
      <c r="F907" t="s">
        <v>1784</v>
      </c>
      <c r="G907" t="str">
        <f t="shared" si="20"/>
        <v>ラモトリギン錠２５ｍｇ「トーワ」</v>
      </c>
    </row>
    <row r="908" spans="6:7">
      <c r="F908" t="s">
        <v>1785</v>
      </c>
      <c r="G908" t="str">
        <f t="shared" si="20"/>
        <v>ラモトリギン錠１００ｍｇ「トーワ」</v>
      </c>
    </row>
    <row r="909" spans="6:7">
      <c r="F909" t="s">
        <v>1786</v>
      </c>
      <c r="G909" t="str">
        <f t="shared" si="20"/>
        <v>ランソプラゾールＯＤ錠１５ｍｇ「トーワ」</v>
      </c>
    </row>
    <row r="910" spans="6:7">
      <c r="F910" t="s">
        <v>1787</v>
      </c>
      <c r="G910" t="str">
        <f t="shared" si="20"/>
        <v>ランタス注ソロスター</v>
      </c>
    </row>
    <row r="911" spans="6:7">
      <c r="F911" t="s">
        <v>4073</v>
      </c>
      <c r="G911" t="str">
        <f t="shared" si="20"/>
        <v>ランタスＸＲ注ソロスター</v>
      </c>
    </row>
    <row r="912" spans="6:7">
      <c r="F912" t="s">
        <v>5297</v>
      </c>
      <c r="G912" t="str">
        <f t="shared" si="20"/>
        <v>リアルダ錠１２００ｍｇ</v>
      </c>
    </row>
    <row r="913" spans="6:7">
      <c r="F913" t="s">
        <v>1788</v>
      </c>
      <c r="G913" t="str">
        <f t="shared" si="20"/>
        <v>リオレサール錠５ｍｇ</v>
      </c>
    </row>
    <row r="914" spans="6:7">
      <c r="F914" t="s">
        <v>1789</v>
      </c>
      <c r="G914" t="str">
        <f t="shared" si="20"/>
        <v>リクシアナＯＤ錠３０ｍｇ</v>
      </c>
    </row>
    <row r="915" spans="6:7">
      <c r="F915" t="s">
        <v>1790</v>
      </c>
      <c r="G915" t="str">
        <f t="shared" si="20"/>
        <v>リクラスト点滴静注液５ｍｇ（用時購入）</v>
      </c>
    </row>
    <row r="916" spans="6:7">
      <c r="F916" t="s">
        <v>1791</v>
      </c>
      <c r="G916" t="str">
        <f t="shared" si="20"/>
        <v>リコモジュリン点滴静注用１２８００（用時購入）</v>
      </c>
    </row>
    <row r="917" spans="6:7">
      <c r="F917" t="s">
        <v>1792</v>
      </c>
      <c r="G917" t="str">
        <f t="shared" si="20"/>
        <v>リスパダール錠１ｍｇ</v>
      </c>
    </row>
    <row r="918" spans="6:7">
      <c r="F918" t="s">
        <v>1793</v>
      </c>
      <c r="G918" t="str">
        <f t="shared" si="20"/>
        <v>リスパダール内用液１ｍｇ／ｍＬ分包品</v>
      </c>
    </row>
    <row r="919" spans="6:7">
      <c r="F919" t="s">
        <v>1794</v>
      </c>
      <c r="G919" t="str">
        <f t="shared" si="20"/>
        <v>リスパダール内用液１ｍｇ／ｍＬ</v>
      </c>
    </row>
    <row r="920" spans="6:7">
      <c r="F920" t="s">
        <v>1795</v>
      </c>
      <c r="G920" t="str">
        <f t="shared" si="20"/>
        <v>リスパダール内用液０．５ｍｇ／０．５ｍＬ分包品</v>
      </c>
    </row>
    <row r="921" spans="6:7">
      <c r="F921" t="s">
        <v>1796</v>
      </c>
      <c r="G921" t="str">
        <f t="shared" si="20"/>
        <v>リスパダール錠２ｍｇ</v>
      </c>
    </row>
    <row r="922" spans="6:7">
      <c r="F922" t="s">
        <v>1074</v>
      </c>
      <c r="G922" t="str">
        <f t="shared" si="20"/>
        <v>リスパダール錠３ｍｇ</v>
      </c>
    </row>
    <row r="923" spans="6:7">
      <c r="F923" t="s">
        <v>1071</v>
      </c>
      <c r="G923" t="str">
        <f t="shared" si="20"/>
        <v>リスパダール細粒１％</v>
      </c>
    </row>
    <row r="924" spans="6:7">
      <c r="F924" t="s">
        <v>1797</v>
      </c>
      <c r="G924" t="str">
        <f t="shared" si="20"/>
        <v>リスパダール　コンスタ筋注用２５ｍｇ</v>
      </c>
    </row>
    <row r="925" spans="6:7">
      <c r="F925" t="s">
        <v>1798</v>
      </c>
      <c r="G925" t="str">
        <f t="shared" si="20"/>
        <v>リスパダール　コンスタ筋注用３７．５ｍｇ</v>
      </c>
    </row>
    <row r="926" spans="6:7">
      <c r="F926" t="s">
        <v>1799</v>
      </c>
      <c r="G926" t="str">
        <f t="shared" si="20"/>
        <v>リスパダール　コンスタ筋注用５０ｍｇ</v>
      </c>
    </row>
    <row r="927" spans="6:7">
      <c r="F927" t="s">
        <v>1800</v>
      </c>
      <c r="G927" t="str">
        <f t="shared" si="20"/>
        <v>リスペリドン錠０．５ｍｇ「アメル」</v>
      </c>
    </row>
    <row r="928" spans="6:7">
      <c r="F928" t="s">
        <v>1801</v>
      </c>
      <c r="G928" t="str">
        <f t="shared" si="20"/>
        <v>リスペリドン内用液分包０．５ｍｇ「アメル」</v>
      </c>
    </row>
    <row r="929" spans="6:7">
      <c r="F929" t="s">
        <v>5303</v>
      </c>
      <c r="G929" t="str">
        <f t="shared" si="20"/>
        <v>リスペリドン内用液１ｍｇ／ｍＬ「アメル」</v>
      </c>
    </row>
    <row r="930" spans="6:7">
      <c r="F930" t="s">
        <v>1802</v>
      </c>
      <c r="G930" t="str">
        <f t="shared" si="20"/>
        <v>リスペリドン錠１ｍｇ「アメル」</v>
      </c>
    </row>
    <row r="931" spans="6:7">
      <c r="F931" t="s">
        <v>1803</v>
      </c>
      <c r="G931" t="str">
        <f t="shared" si="20"/>
        <v>リスペリドン内用液分包１ｍｇ「アメル」</v>
      </c>
    </row>
    <row r="932" spans="6:7">
      <c r="F932" t="s">
        <v>5310</v>
      </c>
      <c r="G932" t="str">
        <f t="shared" si="20"/>
        <v>リスペリドン錠２ｍｇ「アメル」</v>
      </c>
    </row>
    <row r="933" spans="6:7">
      <c r="F933" t="s">
        <v>5314</v>
      </c>
      <c r="G933" t="str">
        <f t="shared" si="20"/>
        <v>リスペリドン錠３ｍｇ「アメル」</v>
      </c>
    </row>
    <row r="934" spans="6:7">
      <c r="F934" t="s">
        <v>1804</v>
      </c>
      <c r="G934" t="str">
        <f t="shared" si="20"/>
        <v>リスペリドン細粒１％「アメル」</v>
      </c>
    </row>
    <row r="935" spans="6:7">
      <c r="F935" t="s">
        <v>1805</v>
      </c>
      <c r="G935" t="str">
        <f t="shared" si="20"/>
        <v>リスペリドンＯＤ錠０．５ｍｇ「アメル」</v>
      </c>
    </row>
    <row r="936" spans="6:7">
      <c r="F936" t="s">
        <v>1806</v>
      </c>
      <c r="G936" t="str">
        <f t="shared" si="20"/>
        <v>リスペリドンＯＤ錠１ｍｇ「アメル」</v>
      </c>
    </row>
    <row r="937" spans="6:7">
      <c r="F937" t="s">
        <v>1807</v>
      </c>
      <c r="G937" t="str">
        <f t="shared" si="20"/>
        <v>リスペリドンＯＤ錠２ｍｇ「アメル」</v>
      </c>
    </row>
    <row r="938" spans="6:7">
      <c r="F938" t="s">
        <v>1808</v>
      </c>
      <c r="G938" t="str">
        <f t="shared" si="20"/>
        <v>リスペリドンＯＤ錠３ｍｇ「アメル」</v>
      </c>
    </row>
    <row r="939" spans="6:7">
      <c r="F939" t="s">
        <v>1809</v>
      </c>
      <c r="G939" t="str">
        <f t="shared" si="20"/>
        <v>リスミー錠２ｍｇ</v>
      </c>
    </row>
    <row r="940" spans="6:7">
      <c r="F940" t="s">
        <v>1063</v>
      </c>
      <c r="G940" t="str">
        <f t="shared" si="20"/>
        <v>リーゼ錠５ｍｇ</v>
      </c>
    </row>
    <row r="941" spans="6:7">
      <c r="F941" t="s">
        <v>1810</v>
      </c>
      <c r="G941" t="str">
        <f t="shared" si="20"/>
        <v>リドメックスコーワ軟膏０．３％</v>
      </c>
    </row>
    <row r="942" spans="6:7">
      <c r="F942" t="s">
        <v>5321</v>
      </c>
      <c r="G942" t="str">
        <f t="shared" si="20"/>
        <v>リパクレオンカプセル１５０ｍｇ</v>
      </c>
    </row>
    <row r="943" spans="6:7">
      <c r="F943" t="s">
        <v>5325</v>
      </c>
      <c r="G943" t="str">
        <f t="shared" si="20"/>
        <v>リバスチグミンテープ４．５ｍｇ「ニプロ」</v>
      </c>
    </row>
    <row r="944" spans="6:7">
      <c r="F944" t="s">
        <v>5329</v>
      </c>
      <c r="G944" t="str">
        <f t="shared" si="20"/>
        <v>リバスチグミンテープ９ｍｇ「ニプロ」</v>
      </c>
    </row>
    <row r="945" spans="6:7">
      <c r="F945" t="s">
        <v>5333</v>
      </c>
      <c r="G945" t="str">
        <f t="shared" si="20"/>
        <v>リバスチグミンテープ１３．５ｍｇ「ニプロ」</v>
      </c>
    </row>
    <row r="946" spans="6:7">
      <c r="F946" t="s">
        <v>5337</v>
      </c>
      <c r="G946" t="str">
        <f t="shared" si="20"/>
        <v>リバスチグミンテープ１８ｍｇ「ニプロ」</v>
      </c>
    </row>
    <row r="947" spans="6:7">
      <c r="F947" t="s">
        <v>1811</v>
      </c>
      <c r="G947" t="str">
        <f t="shared" si="20"/>
        <v>リバスチグミンテープ４．５ｍｇ「トーワ」</v>
      </c>
    </row>
    <row r="948" spans="6:7">
      <c r="F948" t="s">
        <v>1812</v>
      </c>
      <c r="G948" t="str">
        <f t="shared" si="20"/>
        <v>リバスチグミンテープ９ｍｇ「トーワ」</v>
      </c>
    </row>
    <row r="949" spans="6:7">
      <c r="F949" t="s">
        <v>1813</v>
      </c>
      <c r="G949" t="str">
        <f t="shared" si="20"/>
        <v>リバスチグミンテープ１３．５ｍｇ「トーワ」</v>
      </c>
    </row>
    <row r="950" spans="6:7">
      <c r="F950" t="s">
        <v>1814</v>
      </c>
      <c r="G950" t="str">
        <f t="shared" si="20"/>
        <v>リバスチグミンテープ１８ｍｇ「トーワ」</v>
      </c>
    </row>
    <row r="951" spans="6:7">
      <c r="F951" t="s">
        <v>5341</v>
      </c>
      <c r="G951" t="str">
        <f t="shared" si="20"/>
        <v>リバーロキサバンＯＤ錠１０ｍｇ「トーワ」</v>
      </c>
    </row>
    <row r="952" spans="6:7">
      <c r="F952" t="s">
        <v>1815</v>
      </c>
      <c r="G952" t="str">
        <f t="shared" si="20"/>
        <v>リバーロキサバンＯＤ錠１０ｍｇ「バイエル」</v>
      </c>
    </row>
    <row r="953" spans="6:7">
      <c r="F953" t="s">
        <v>5344</v>
      </c>
      <c r="G953" t="str">
        <f t="shared" si="20"/>
        <v>リファンピシンカプセル１５０ｍｇ「サンド」</v>
      </c>
    </row>
    <row r="954" spans="6:7">
      <c r="F954" t="s">
        <v>1816</v>
      </c>
      <c r="G954" t="str">
        <f t="shared" si="20"/>
        <v>リフキシマ錠２００ｍｇ</v>
      </c>
    </row>
    <row r="955" spans="6:7">
      <c r="F955" t="s">
        <v>5350</v>
      </c>
      <c r="G955" t="str">
        <f t="shared" si="20"/>
        <v>リプル</v>
      </c>
    </row>
    <row r="956" spans="6:7">
      <c r="F956" t="s">
        <v>1817</v>
      </c>
      <c r="G956" t="str">
        <f t="shared" si="20"/>
        <v>リボトリール錠０．５ｍｇ</v>
      </c>
    </row>
    <row r="957" spans="6:7">
      <c r="F957" t="s">
        <v>1818</v>
      </c>
      <c r="G957" t="str">
        <f t="shared" si="20"/>
        <v>リボトリール錠１ｍｇ</v>
      </c>
    </row>
    <row r="958" spans="6:7">
      <c r="F958" t="s">
        <v>1819</v>
      </c>
      <c r="G958" t="str">
        <f t="shared" si="20"/>
        <v>リマチル錠１００ｍｇ</v>
      </c>
    </row>
    <row r="959" spans="6:7">
      <c r="F959" t="s">
        <v>1820</v>
      </c>
      <c r="G959" t="str">
        <f t="shared" si="20"/>
        <v>リマプロストアルファデクス錠５μｇ「サワイ」</v>
      </c>
    </row>
    <row r="960" spans="6:7">
      <c r="F960" t="s">
        <v>5353</v>
      </c>
      <c r="G960" t="str">
        <f t="shared" si="20"/>
        <v>硫酸ストレプトマイシン注射用１ｇ「明治」</v>
      </c>
    </row>
    <row r="961" spans="6:7">
      <c r="F961" t="s">
        <v>1821</v>
      </c>
      <c r="G961" t="str">
        <f t="shared" si="20"/>
        <v>リュープロレリン酢酸塩注射用キット３．７５ｍｇ「あすか」</v>
      </c>
    </row>
    <row r="962" spans="6:7">
      <c r="F962" t="s">
        <v>1822</v>
      </c>
      <c r="G962" t="str">
        <f t="shared" ref="G962:G1025" si="21">DBCS(F962)</f>
        <v>リルゾール錠５０ｍｇ「ニプロ」</v>
      </c>
    </row>
    <row r="963" spans="6:7">
      <c r="F963" t="s">
        <v>1823</v>
      </c>
      <c r="G963" t="str">
        <f t="shared" si="21"/>
        <v>リンゼス錠０．２５ｍｇ</v>
      </c>
    </row>
    <row r="964" spans="6:7">
      <c r="F964" t="s">
        <v>1824</v>
      </c>
      <c r="G964" t="str">
        <f t="shared" si="21"/>
        <v>リンデロン点眼・点耳・点鼻液０．１％</v>
      </c>
    </row>
    <row r="965" spans="6:7">
      <c r="F965" t="s">
        <v>5357</v>
      </c>
      <c r="G965" t="str">
        <f t="shared" si="21"/>
        <v>眼・耳科用リンデロンＡ軟膏</v>
      </c>
    </row>
    <row r="966" spans="6:7">
      <c r="F966" t="s">
        <v>1825</v>
      </c>
      <c r="G966" t="str">
        <f t="shared" si="21"/>
        <v>リンデロン－Ｖクリーム０．１２％</v>
      </c>
    </row>
    <row r="967" spans="6:7">
      <c r="F967" t="s">
        <v>1826</v>
      </c>
      <c r="G967" t="str">
        <f t="shared" si="21"/>
        <v>リンデロン－Ｖ軟膏０．１２％</v>
      </c>
    </row>
    <row r="968" spans="6:7">
      <c r="F968" t="s">
        <v>1827</v>
      </c>
      <c r="G968" t="str">
        <f t="shared" si="21"/>
        <v>リンデロン懸濁注</v>
      </c>
    </row>
    <row r="969" spans="6:7">
      <c r="F969" t="s">
        <v>5361</v>
      </c>
      <c r="G969" t="str">
        <f t="shared" si="21"/>
        <v>ルジオミール錠２５ｍｇ</v>
      </c>
    </row>
    <row r="970" spans="6:7">
      <c r="F970" t="s">
        <v>5365</v>
      </c>
      <c r="G970" t="str">
        <f t="shared" si="21"/>
        <v>ルプラック錠４ｍｇ</v>
      </c>
    </row>
    <row r="971" spans="6:7">
      <c r="F971" t="s">
        <v>4069</v>
      </c>
      <c r="G971" t="str">
        <f t="shared" si="21"/>
        <v>ルボックス錠２５</v>
      </c>
    </row>
    <row r="972" spans="6:7">
      <c r="F972" t="s">
        <v>1828</v>
      </c>
      <c r="G972" t="str">
        <f t="shared" si="21"/>
        <v>ルーラン錠４ｍｇ</v>
      </c>
    </row>
    <row r="973" spans="6:7">
      <c r="F973" t="s">
        <v>1116</v>
      </c>
      <c r="G973" t="str">
        <f t="shared" si="21"/>
        <v>ルーラン錠８ｍｇ</v>
      </c>
    </row>
    <row r="974" spans="6:7">
      <c r="F974" t="s">
        <v>1829</v>
      </c>
      <c r="G974" t="str">
        <f t="shared" si="21"/>
        <v>レキサルティＯＤ錠１ｍｇ</v>
      </c>
    </row>
    <row r="975" spans="6:7">
      <c r="F975" t="s">
        <v>1830</v>
      </c>
      <c r="G975" t="str">
        <f t="shared" si="21"/>
        <v>レキサルティＯＤ錠２ｍｇ</v>
      </c>
    </row>
    <row r="976" spans="6:7">
      <c r="F976" t="s">
        <v>1831</v>
      </c>
      <c r="G976" t="str">
        <f t="shared" si="21"/>
        <v>レキサルティＯＤ錠０．５ｍｇ</v>
      </c>
    </row>
    <row r="977" spans="6:7">
      <c r="F977" t="s">
        <v>1122</v>
      </c>
      <c r="G977" t="str">
        <f t="shared" si="21"/>
        <v>レキソタン錠２</v>
      </c>
    </row>
    <row r="978" spans="6:7">
      <c r="F978" t="s">
        <v>1124</v>
      </c>
      <c r="G978" t="str">
        <f t="shared" si="21"/>
        <v>レキソタン錠５</v>
      </c>
    </row>
    <row r="979" spans="6:7">
      <c r="F979" t="s">
        <v>1832</v>
      </c>
      <c r="G979" t="str">
        <f t="shared" si="21"/>
        <v>レクチゾール錠２５ｍｇ</v>
      </c>
    </row>
    <row r="980" spans="6:7">
      <c r="F980" t="s">
        <v>1833</v>
      </c>
      <c r="G980" t="str">
        <f t="shared" si="21"/>
        <v>レグテクト錠３３３ｍｇ</v>
      </c>
    </row>
    <row r="981" spans="6:7">
      <c r="F981" t="s">
        <v>1834</v>
      </c>
      <c r="G981" t="str">
        <f t="shared" si="21"/>
        <v>レスタミンコーワクリーム１％</v>
      </c>
    </row>
    <row r="982" spans="6:7">
      <c r="F982" t="s">
        <v>1835</v>
      </c>
      <c r="G982" t="str">
        <f t="shared" si="21"/>
        <v>レスプレン錠２０ｍｇ</v>
      </c>
    </row>
    <row r="983" spans="6:7">
      <c r="F983" t="s">
        <v>1836</v>
      </c>
      <c r="G983" t="str">
        <f t="shared" si="21"/>
        <v>レトロゾール錠２．５ｍｇ「サワイ」</v>
      </c>
    </row>
    <row r="984" spans="6:7">
      <c r="F984" t="s">
        <v>1837</v>
      </c>
      <c r="G984" t="str">
        <f t="shared" si="21"/>
        <v>レバミピド錠１００ｍｇ「オーツカ」</v>
      </c>
    </row>
    <row r="985" spans="6:7">
      <c r="F985" t="s">
        <v>1838</v>
      </c>
      <c r="G985" t="str">
        <f t="shared" si="21"/>
        <v>レペタン坐剤０．２ｍｇ</v>
      </c>
    </row>
    <row r="986" spans="6:7">
      <c r="F986" t="s">
        <v>5372</v>
      </c>
      <c r="G986" t="str">
        <f t="shared" si="21"/>
        <v>レベチラセタム錠２５０ｍｇ「明治」</v>
      </c>
    </row>
    <row r="987" spans="6:7">
      <c r="F987" t="s">
        <v>5376</v>
      </c>
      <c r="G987" t="str">
        <f t="shared" si="21"/>
        <v>レベチラセタムドライシロップ５０％「明治」</v>
      </c>
    </row>
    <row r="988" spans="6:7">
      <c r="F988" t="s">
        <v>1839</v>
      </c>
      <c r="G988" t="str">
        <f t="shared" si="21"/>
        <v>レベチラセタム点滴静注５００ｍｇ「明治」</v>
      </c>
    </row>
    <row r="989" spans="6:7">
      <c r="F989" t="s">
        <v>1840</v>
      </c>
      <c r="G989" t="str">
        <f t="shared" si="21"/>
        <v>レベチラセタム錠２５０ｍｇ「トーワ」</v>
      </c>
    </row>
    <row r="990" spans="6:7">
      <c r="F990" t="s">
        <v>1841</v>
      </c>
      <c r="G990" t="str">
        <f t="shared" si="21"/>
        <v>レベチラセタムＤＳ５０％「トーワ」</v>
      </c>
    </row>
    <row r="991" spans="6:7">
      <c r="F991" t="s">
        <v>1842</v>
      </c>
      <c r="G991" t="str">
        <f t="shared" si="21"/>
        <v>レボカルニチンＦＦ錠２５０ｍｇ「アメル」</v>
      </c>
    </row>
    <row r="992" spans="6:7">
      <c r="F992" t="s">
        <v>5380</v>
      </c>
      <c r="G992" t="str">
        <f t="shared" si="21"/>
        <v>レボトミン錠５ｍｇ</v>
      </c>
    </row>
    <row r="993" spans="6:7">
      <c r="F993" t="s">
        <v>5384</v>
      </c>
      <c r="G993" t="str">
        <f t="shared" si="21"/>
        <v>レボトミン錠２５ｍｇ</v>
      </c>
    </row>
    <row r="994" spans="6:7">
      <c r="F994" t="s">
        <v>5388</v>
      </c>
      <c r="G994" t="str">
        <f t="shared" si="21"/>
        <v>レボトミン錠５０ｍｇ</v>
      </c>
    </row>
    <row r="995" spans="6:7">
      <c r="F995" t="s">
        <v>5392</v>
      </c>
      <c r="G995" t="str">
        <f t="shared" si="21"/>
        <v>レボトミン顆粒１０％</v>
      </c>
    </row>
    <row r="996" spans="6:7">
      <c r="F996" t="s">
        <v>5396</v>
      </c>
      <c r="G996" t="str">
        <f t="shared" si="21"/>
        <v>レボトミン筋注２５ｍｇ</v>
      </c>
    </row>
    <row r="997" spans="6:7">
      <c r="F997" t="s">
        <v>1843</v>
      </c>
      <c r="G997" t="str">
        <f t="shared" si="21"/>
        <v>レボフロキサシン細粒１０％「ＤＳＥＰ」</v>
      </c>
    </row>
    <row r="998" spans="6:7">
      <c r="F998" t="s">
        <v>1844</v>
      </c>
      <c r="G998" t="str">
        <f t="shared" si="21"/>
        <v>レボフロキサシン錠２５０ｍｇ「ＤＳＥＰ」</v>
      </c>
    </row>
    <row r="999" spans="6:7">
      <c r="F999" t="s">
        <v>1845</v>
      </c>
      <c r="G999" t="str">
        <f t="shared" si="21"/>
        <v>レボフロキサシン点滴静注バッグ５００ｍｇ／１００ｍＬ「ＤＳＥＰ」</v>
      </c>
    </row>
    <row r="1000" spans="6:7">
      <c r="F1000" t="s">
        <v>1846</v>
      </c>
      <c r="G1000" t="str">
        <f t="shared" si="21"/>
        <v>レボフロキサシン点眼液１．５％「ニットー」</v>
      </c>
    </row>
    <row r="1001" spans="6:7">
      <c r="F1001" t="s">
        <v>1847</v>
      </c>
      <c r="G1001" t="str">
        <f t="shared" si="21"/>
        <v>レボレード錠１２．５ｍｇ</v>
      </c>
    </row>
    <row r="1002" spans="6:7">
      <c r="F1002" t="s">
        <v>1848</v>
      </c>
      <c r="G1002" t="str">
        <f t="shared" si="21"/>
        <v>レルパックス錠２０ｍｇ</v>
      </c>
    </row>
    <row r="1003" spans="6:7">
      <c r="F1003" t="s">
        <v>1849</v>
      </c>
      <c r="G1003" t="str">
        <f t="shared" si="21"/>
        <v>レルベア２００エリプタ３０吸入用</v>
      </c>
    </row>
    <row r="1004" spans="6:7">
      <c r="F1004" t="s">
        <v>1850</v>
      </c>
      <c r="G1004" t="str">
        <f t="shared" si="21"/>
        <v>レルベア１００エリプタ３０吸入用</v>
      </c>
    </row>
    <row r="1005" spans="6:7">
      <c r="F1005" t="s">
        <v>1851</v>
      </c>
      <c r="G1005" t="str">
        <f t="shared" si="21"/>
        <v>ロキソプロフェンナトリウム錠６０ｍｇ「日医工」</v>
      </c>
    </row>
    <row r="1006" spans="6:7">
      <c r="F1006" t="s">
        <v>1852</v>
      </c>
      <c r="G1006" t="str">
        <f t="shared" si="21"/>
        <v>ロキソニン細粒１０％</v>
      </c>
    </row>
    <row r="1007" spans="6:7">
      <c r="F1007" t="s">
        <v>5400</v>
      </c>
      <c r="G1007" t="str">
        <f t="shared" si="21"/>
        <v>ロキソプロフェンＮａテープ１００ｍｇ「三和」</v>
      </c>
    </row>
    <row r="1008" spans="6:7">
      <c r="F1008" t="s">
        <v>5404</v>
      </c>
      <c r="G1008" t="str">
        <f t="shared" si="21"/>
        <v>ロキソプロフェンＮａテープ１００ｍｇ「科研」</v>
      </c>
    </row>
    <row r="1009" spans="6:7">
      <c r="F1009" t="s">
        <v>1853</v>
      </c>
      <c r="G1009" t="str">
        <f t="shared" si="21"/>
        <v>ロキソプロフェンＮａテープ１００ｍｇ「ＤＳＥＰ」</v>
      </c>
    </row>
    <row r="1010" spans="6:7">
      <c r="F1010" t="s">
        <v>1854</v>
      </c>
      <c r="G1010" t="str">
        <f t="shared" si="21"/>
        <v>ロケルマ懸濁用散分包５ｇ</v>
      </c>
    </row>
    <row r="1011" spans="6:7">
      <c r="F1011" t="s">
        <v>1855</v>
      </c>
      <c r="G1011" t="str">
        <f t="shared" si="21"/>
        <v>ロコイド軟膏０．１％</v>
      </c>
    </row>
    <row r="1012" spans="6:7">
      <c r="F1012" t="s">
        <v>5407</v>
      </c>
      <c r="G1012" t="str">
        <f t="shared" si="21"/>
        <v>ロスバスタチン錠２．５ｍｇ「ニプロ」</v>
      </c>
    </row>
    <row r="1013" spans="6:7">
      <c r="F1013" t="s">
        <v>1856</v>
      </c>
      <c r="G1013" t="str">
        <f t="shared" si="21"/>
        <v>ロスバスタチン錠２．５ｍｇ「トーワ」</v>
      </c>
    </row>
    <row r="1014" spans="6:7">
      <c r="F1014" t="s">
        <v>1857</v>
      </c>
      <c r="G1014" t="str">
        <f t="shared" si="21"/>
        <v>ロゼレム錠８ｍｇ</v>
      </c>
    </row>
    <row r="1015" spans="6:7">
      <c r="F1015" t="s">
        <v>5411</v>
      </c>
      <c r="G1015" t="str">
        <f t="shared" si="21"/>
        <v>ロートエキス散</v>
      </c>
    </row>
    <row r="1016" spans="6:7">
      <c r="F1016" t="s">
        <v>1858</v>
      </c>
      <c r="G1016" t="str">
        <f t="shared" si="21"/>
        <v>ロドピン錠２５ｍｇ</v>
      </c>
    </row>
    <row r="1017" spans="6:7">
      <c r="F1017" t="s">
        <v>1859</v>
      </c>
      <c r="G1017" t="str">
        <f t="shared" si="21"/>
        <v>ロドピン錠５０ｍｇ</v>
      </c>
    </row>
    <row r="1018" spans="6:7">
      <c r="F1018" t="s">
        <v>1860</v>
      </c>
      <c r="G1018" t="str">
        <f t="shared" si="21"/>
        <v>ロドピン細粒５０％</v>
      </c>
    </row>
    <row r="1019" spans="6:7">
      <c r="F1019" t="s">
        <v>1861</v>
      </c>
      <c r="G1019" t="str">
        <f t="shared" si="21"/>
        <v>ロナセンテープ２０ｍｇ</v>
      </c>
    </row>
    <row r="1020" spans="6:7">
      <c r="F1020" t="s">
        <v>1862</v>
      </c>
      <c r="G1020" t="str">
        <f t="shared" si="21"/>
        <v>ロナセンテープ４０ｍｇ</v>
      </c>
    </row>
    <row r="1021" spans="6:7">
      <c r="F1021" t="s">
        <v>5415</v>
      </c>
      <c r="G1021" t="str">
        <f t="shared" si="21"/>
        <v>ロピニロール徐放錠２ｍｇ「サワイ」</v>
      </c>
    </row>
    <row r="1022" spans="6:7">
      <c r="F1022" t="s">
        <v>5419</v>
      </c>
      <c r="G1022" t="str">
        <f t="shared" si="21"/>
        <v>ロフラゼプ酸エチル錠１ｍｇ「ＳＮ」</v>
      </c>
    </row>
    <row r="1023" spans="6:7">
      <c r="F1023" t="s">
        <v>1162</v>
      </c>
      <c r="G1023" t="str">
        <f t="shared" si="21"/>
        <v>ロペミンカプセル１ｍｇ</v>
      </c>
    </row>
    <row r="1024" spans="6:7">
      <c r="F1024" t="s">
        <v>1863</v>
      </c>
      <c r="G1024" t="str">
        <f t="shared" si="21"/>
        <v>ロラゼパム錠０．５ｍｇ「サワイ」</v>
      </c>
    </row>
    <row r="1025" spans="6:7">
      <c r="F1025" t="s">
        <v>1864</v>
      </c>
      <c r="G1025" t="str">
        <f t="shared" si="21"/>
        <v>ロラメット錠１．０</v>
      </c>
    </row>
    <row r="1026" spans="6:7">
      <c r="F1026" t="s">
        <v>1865</v>
      </c>
      <c r="G1026" t="str">
        <f t="shared" ref="G1026:G1032" si="22">DBCS(F1026)</f>
        <v>ワゴスチグミン注０．５ｍｇ</v>
      </c>
    </row>
    <row r="1027" spans="6:7">
      <c r="F1027" t="s">
        <v>1866</v>
      </c>
      <c r="G1027" t="str">
        <f t="shared" si="22"/>
        <v>ワソラン静注５ｍｇ</v>
      </c>
    </row>
    <row r="1028" spans="6:7">
      <c r="F1028" t="s">
        <v>1867</v>
      </c>
      <c r="G1028" t="str">
        <f t="shared" si="22"/>
        <v>ワソラン錠４０ｍｇ</v>
      </c>
    </row>
    <row r="1029" spans="6:7">
      <c r="F1029" t="s">
        <v>1166</v>
      </c>
      <c r="G1029" t="str">
        <f t="shared" si="22"/>
        <v>ワーファリン錠１ｍｇ</v>
      </c>
    </row>
    <row r="1030" spans="6:7">
      <c r="F1030" t="s">
        <v>1868</v>
      </c>
      <c r="G1030" t="str">
        <f t="shared" si="22"/>
        <v>ワンパル２号輸液１２００</v>
      </c>
    </row>
    <row r="1031" spans="6:7">
      <c r="F1031" t="s">
        <v>1869</v>
      </c>
      <c r="G1031" t="str">
        <f t="shared" si="22"/>
        <v>ワンパル２号輸液</v>
      </c>
    </row>
    <row r="1032" spans="6:7">
      <c r="F1032" t="s">
        <v>5423</v>
      </c>
      <c r="G1032" t="str">
        <f t="shared" si="22"/>
        <v>ワンパル１号輸液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44"/>
  <sheetViews>
    <sheetView workbookViewId="0">
      <selection activeCell="G43" sqref="G43"/>
    </sheetView>
  </sheetViews>
  <sheetFormatPr defaultRowHeight="13.2"/>
  <sheetData>
    <row r="1" spans="1:18" ht="13.8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4045</v>
      </c>
      <c r="J7" s="30" t="s">
        <v>4046</v>
      </c>
      <c r="M7" s="30" t="s">
        <v>4047</v>
      </c>
      <c r="P7" s="30" t="s">
        <v>4048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4046</v>
      </c>
      <c r="K8">
        <v>3</v>
      </c>
      <c r="M8" s="27" t="s">
        <v>4047</v>
      </c>
      <c r="N8">
        <v>1</v>
      </c>
      <c r="P8" s="27" t="s">
        <v>4048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4049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4050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4051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4052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4053</v>
      </c>
      <c r="H15">
        <v>19</v>
      </c>
      <c r="J15" s="27"/>
      <c r="M15" s="27"/>
      <c r="P15" s="27"/>
      <c r="R15" s="35"/>
    </row>
    <row r="16" spans="1:18" ht="13.8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4097</v>
      </c>
    </row>
    <row r="30" spans="1:2">
      <c r="A30">
        <v>1</v>
      </c>
      <c r="B30" t="s">
        <v>4098</v>
      </c>
    </row>
    <row r="31" spans="1:2">
      <c r="A31">
        <f>A30+1</f>
        <v>2</v>
      </c>
      <c r="B31" t="s">
        <v>4099</v>
      </c>
    </row>
    <row r="32" spans="1:2">
      <c r="A32">
        <f t="shared" ref="A32:A43" si="0">A31+1</f>
        <v>3</v>
      </c>
      <c r="B32" t="s">
        <v>4100</v>
      </c>
    </row>
    <row r="33" spans="1:2">
      <c r="A33">
        <f t="shared" si="0"/>
        <v>4</v>
      </c>
      <c r="B33" t="s">
        <v>4101</v>
      </c>
    </row>
    <row r="34" spans="1:2">
      <c r="A34">
        <f t="shared" si="0"/>
        <v>5</v>
      </c>
      <c r="B34" t="s">
        <v>4102</v>
      </c>
    </row>
    <row r="35" spans="1:2">
      <c r="A35">
        <f t="shared" si="0"/>
        <v>6</v>
      </c>
      <c r="B35" t="s">
        <v>4103</v>
      </c>
    </row>
    <row r="36" spans="1:2">
      <c r="A36">
        <f t="shared" si="0"/>
        <v>7</v>
      </c>
      <c r="B36" t="s">
        <v>4104</v>
      </c>
    </row>
    <row r="37" spans="1:2">
      <c r="A37">
        <f t="shared" si="0"/>
        <v>8</v>
      </c>
      <c r="B37" t="s">
        <v>4105</v>
      </c>
    </row>
    <row r="38" spans="1:2">
      <c r="A38">
        <f t="shared" si="0"/>
        <v>9</v>
      </c>
      <c r="B38" t="s">
        <v>4106</v>
      </c>
    </row>
    <row r="39" spans="1:2">
      <c r="A39">
        <f t="shared" si="0"/>
        <v>10</v>
      </c>
      <c r="B39" t="s">
        <v>4107</v>
      </c>
    </row>
    <row r="40" spans="1:2">
      <c r="A40">
        <f t="shared" si="0"/>
        <v>11</v>
      </c>
      <c r="B40" t="s">
        <v>4108</v>
      </c>
    </row>
    <row r="41" spans="1:2">
      <c r="A41">
        <f t="shared" si="0"/>
        <v>12</v>
      </c>
      <c r="B41" t="s">
        <v>4109</v>
      </c>
    </row>
    <row r="42" spans="1:2">
      <c r="A42">
        <f t="shared" si="0"/>
        <v>13</v>
      </c>
      <c r="B42" t="s">
        <v>4110</v>
      </c>
    </row>
    <row r="43" spans="1:2">
      <c r="A43">
        <f t="shared" si="0"/>
        <v>14</v>
      </c>
      <c r="B43" t="s">
        <v>4111</v>
      </c>
    </row>
    <row r="44" spans="1:2">
      <c r="A44">
        <v>15</v>
      </c>
      <c r="B44" t="s">
        <v>4112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1E57-9705-4872-88EF-ABB92F37C8F7}">
  <dimension ref="A1:R55"/>
  <sheetViews>
    <sheetView workbookViewId="0">
      <selection activeCell="B3" sqref="B3"/>
    </sheetView>
  </sheetViews>
  <sheetFormatPr defaultRowHeight="13.2"/>
  <cols>
    <col min="1" max="1" width="4.88671875" customWidth="1"/>
    <col min="2" max="2" width="11.6640625" customWidth="1"/>
    <col min="3" max="3" width="36" customWidth="1"/>
    <col min="4" max="4" width="36.21875" customWidth="1"/>
    <col min="5" max="5" width="9.77734375" style="62" bestFit="1" customWidth="1"/>
    <col min="6" max="6" width="8.5546875" style="62" bestFit="1" customWidth="1"/>
    <col min="7" max="7" width="39.88671875" style="62" bestFit="1" customWidth="1"/>
    <col min="8" max="8" width="9.77734375" style="62" bestFit="1" customWidth="1"/>
    <col min="9" max="9" width="8.5546875" style="62" bestFit="1" customWidth="1"/>
    <col min="10" max="10" width="55.6640625" style="62" bestFit="1" customWidth="1"/>
    <col min="11" max="11" width="9.77734375" style="62" bestFit="1" customWidth="1"/>
    <col min="12" max="12" width="8.5546875" style="62" bestFit="1" customWidth="1"/>
    <col min="13" max="13" width="40.5546875" style="62" bestFit="1" customWidth="1"/>
    <col min="14" max="14" width="9.77734375" style="62" bestFit="1" customWidth="1"/>
    <col min="15" max="15" width="8.5546875" style="62" bestFit="1" customWidth="1"/>
    <col min="16" max="16" width="40.33203125" style="62" bestFit="1" customWidth="1"/>
    <col min="17" max="17" width="9.77734375" style="62" bestFit="1" customWidth="1"/>
    <col min="18" max="18" width="8.5546875" style="62" bestFit="1" customWidth="1"/>
  </cols>
  <sheetData>
    <row r="1" spans="1:18">
      <c r="A1" t="s">
        <v>3774</v>
      </c>
      <c r="C1" t="s">
        <v>3775</v>
      </c>
      <c r="D1" t="s">
        <v>4080</v>
      </c>
      <c r="E1" s="62" t="s">
        <v>4081</v>
      </c>
      <c r="F1" s="62" t="s">
        <v>4082</v>
      </c>
      <c r="G1" s="62" t="s">
        <v>4083</v>
      </c>
      <c r="H1" s="62" t="s">
        <v>4084</v>
      </c>
      <c r="I1" s="62" t="s">
        <v>4085</v>
      </c>
      <c r="J1" s="62" t="s">
        <v>4086</v>
      </c>
      <c r="K1" s="62" t="s">
        <v>4087</v>
      </c>
      <c r="L1" s="62" t="s">
        <v>4088</v>
      </c>
      <c r="M1" s="62" t="s">
        <v>4089</v>
      </c>
      <c r="N1" s="62" t="s">
        <v>4090</v>
      </c>
      <c r="O1" s="62" t="s">
        <v>4091</v>
      </c>
      <c r="P1" s="62" t="s">
        <v>4092</v>
      </c>
      <c r="Q1" s="62" t="s">
        <v>4093</v>
      </c>
      <c r="R1" s="62" t="s">
        <v>4094</v>
      </c>
    </row>
    <row r="2" spans="1:18">
      <c r="A2">
        <v>1</v>
      </c>
      <c r="B2">
        <f>MATCH(C2,統合マスタ!$C$5:$C$850,0)</f>
        <v>8</v>
      </c>
      <c r="C2" t="s">
        <v>3864</v>
      </c>
      <c r="D2" t="s">
        <v>1501</v>
      </c>
      <c r="E2" s="62">
        <v>282</v>
      </c>
      <c r="F2" s="62">
        <v>32.258064516128997</v>
      </c>
    </row>
    <row r="3" spans="1:18">
      <c r="A3">
        <v>3</v>
      </c>
      <c r="B3">
        <f>MATCH(C3,統合マスタ!$C$5:$C$850,0)</f>
        <v>41</v>
      </c>
      <c r="C3" t="s">
        <v>3885</v>
      </c>
      <c r="D3" t="s">
        <v>1252</v>
      </c>
      <c r="E3" s="62">
        <v>10</v>
      </c>
      <c r="F3" s="62">
        <v>78.947368421052602</v>
      </c>
      <c r="G3" s="62" t="s">
        <v>1250</v>
      </c>
      <c r="H3" s="62">
        <v>8</v>
      </c>
      <c r="I3" s="62">
        <v>61.538461538461497</v>
      </c>
      <c r="J3" s="62" t="s">
        <v>1581</v>
      </c>
      <c r="K3" s="62">
        <v>370</v>
      </c>
      <c r="L3" s="62">
        <v>57.142857142857103</v>
      </c>
      <c r="M3" s="62" t="s">
        <v>1582</v>
      </c>
      <c r="N3" s="62">
        <v>371</v>
      </c>
      <c r="O3" s="62">
        <v>57.142857142857103</v>
      </c>
      <c r="P3" s="62" t="s">
        <v>1012</v>
      </c>
      <c r="Q3" s="62">
        <v>563</v>
      </c>
      <c r="R3" s="62">
        <v>57.142857142857103</v>
      </c>
    </row>
    <row r="4" spans="1:18">
      <c r="A4">
        <v>4</v>
      </c>
      <c r="B4">
        <f>MATCH(C4,統合マスタ!$C$5:$C$850,0)</f>
        <v>50</v>
      </c>
      <c r="C4" t="s">
        <v>3887</v>
      </c>
      <c r="D4" t="s">
        <v>1259</v>
      </c>
      <c r="E4" s="62">
        <v>17</v>
      </c>
      <c r="F4" s="62">
        <v>35.294117647058798</v>
      </c>
      <c r="G4" s="62" t="s">
        <v>1260</v>
      </c>
      <c r="H4" s="62">
        <v>18</v>
      </c>
      <c r="I4" s="62">
        <v>34.482758620689602</v>
      </c>
      <c r="J4" s="62" t="s">
        <v>4095</v>
      </c>
      <c r="K4" s="62">
        <v>87</v>
      </c>
      <c r="L4" s="62">
        <v>34.285714285714199</v>
      </c>
      <c r="M4" s="62" t="s">
        <v>4096</v>
      </c>
      <c r="N4" s="62">
        <v>88</v>
      </c>
      <c r="O4" s="62">
        <v>34.285714285714199</v>
      </c>
      <c r="P4" s="62" t="s">
        <v>1440</v>
      </c>
      <c r="Q4" s="62">
        <v>209</v>
      </c>
      <c r="R4" s="62">
        <v>32.4324324324324</v>
      </c>
    </row>
    <row r="5" spans="1:18">
      <c r="A5">
        <v>5</v>
      </c>
      <c r="B5">
        <f>MATCH(C5,統合マスタ!$C$5:$C$850,0)</f>
        <v>54</v>
      </c>
      <c r="C5" t="s">
        <v>1262</v>
      </c>
      <c r="D5" t="s">
        <v>1261</v>
      </c>
      <c r="E5" s="62">
        <v>19</v>
      </c>
      <c r="F5" s="62">
        <v>93.75</v>
      </c>
      <c r="G5" s="62" t="s">
        <v>1474</v>
      </c>
      <c r="H5" s="62">
        <v>250</v>
      </c>
      <c r="I5" s="62">
        <v>64.864864864864799</v>
      </c>
      <c r="J5" s="62" t="s">
        <v>1467</v>
      </c>
      <c r="K5" s="62">
        <v>240</v>
      </c>
      <c r="L5" s="62">
        <v>64.705882352941103</v>
      </c>
      <c r="M5" s="62" t="s">
        <v>1361</v>
      </c>
      <c r="N5" s="62">
        <v>121</v>
      </c>
      <c r="O5" s="62">
        <v>58.823529411764703</v>
      </c>
      <c r="P5" s="62" t="s">
        <v>1688</v>
      </c>
      <c r="Q5" s="62">
        <v>488</v>
      </c>
      <c r="R5" s="62">
        <v>58.064516129032199</v>
      </c>
    </row>
    <row r="6" spans="1:18">
      <c r="A6">
        <v>6</v>
      </c>
      <c r="B6">
        <f>MATCH(C6,統合マスタ!$C$5:$C$850,0)</f>
        <v>63</v>
      </c>
      <c r="C6" t="s">
        <v>3889</v>
      </c>
      <c r="D6" t="s">
        <v>1271</v>
      </c>
      <c r="E6" s="62">
        <v>28</v>
      </c>
      <c r="F6" s="62">
        <v>71.428571428571402</v>
      </c>
      <c r="G6" s="62" t="s">
        <v>1272</v>
      </c>
      <c r="H6" s="62">
        <v>29</v>
      </c>
      <c r="I6" s="62">
        <v>65.116279069767401</v>
      </c>
      <c r="J6" s="62" t="s">
        <v>1489</v>
      </c>
      <c r="K6" s="62">
        <v>270</v>
      </c>
      <c r="L6" s="62">
        <v>51.428571428571402</v>
      </c>
      <c r="M6" s="62" t="s">
        <v>1542</v>
      </c>
      <c r="N6" s="62">
        <v>328</v>
      </c>
      <c r="O6" s="62">
        <v>51.162790697674403</v>
      </c>
      <c r="P6" s="62" t="s">
        <v>1754</v>
      </c>
      <c r="Q6" s="62">
        <v>562</v>
      </c>
      <c r="R6" s="62">
        <v>50</v>
      </c>
    </row>
    <row r="7" spans="1:18">
      <c r="A7">
        <v>7</v>
      </c>
      <c r="B7">
        <f>MATCH(C7,統合マスタ!$C$5:$C$850,0)</f>
        <v>66</v>
      </c>
      <c r="C7" t="s">
        <v>3892</v>
      </c>
      <c r="D7" t="s">
        <v>1272</v>
      </c>
      <c r="E7" s="62">
        <v>29</v>
      </c>
      <c r="F7" s="62">
        <v>71.428571428571402</v>
      </c>
      <c r="G7" s="62" t="s">
        <v>1271</v>
      </c>
      <c r="H7" s="62">
        <v>28</v>
      </c>
      <c r="I7" s="62">
        <v>68.292682926829201</v>
      </c>
      <c r="J7" s="62" t="s">
        <v>1542</v>
      </c>
      <c r="K7" s="62">
        <v>328</v>
      </c>
      <c r="L7" s="62">
        <v>52.380952380952301</v>
      </c>
      <c r="M7" s="62" t="s">
        <v>1754</v>
      </c>
      <c r="N7" s="62">
        <v>562</v>
      </c>
      <c r="O7" s="62">
        <v>51.428571428571402</v>
      </c>
      <c r="P7" s="62" t="s">
        <v>1562</v>
      </c>
      <c r="Q7" s="62">
        <v>349</v>
      </c>
      <c r="R7" s="62">
        <v>50</v>
      </c>
    </row>
    <row r="8" spans="1:18">
      <c r="A8">
        <v>8</v>
      </c>
      <c r="B8">
        <f>MATCH(C8,統合マスタ!$C$5:$C$850,0)</f>
        <v>71</v>
      </c>
      <c r="C8" t="s">
        <v>198</v>
      </c>
      <c r="D8" t="s">
        <v>707</v>
      </c>
      <c r="E8" s="62">
        <v>344</v>
      </c>
      <c r="F8" s="62">
        <v>86.956521739130395</v>
      </c>
      <c r="G8" s="62" t="s">
        <v>1409</v>
      </c>
      <c r="H8" s="62">
        <v>170</v>
      </c>
      <c r="I8" s="62">
        <v>69.565217391304301</v>
      </c>
      <c r="J8" s="62" t="s">
        <v>1409</v>
      </c>
      <c r="K8" s="62">
        <v>319</v>
      </c>
      <c r="L8" s="62">
        <v>69.565217391304301</v>
      </c>
      <c r="M8" s="62" t="s">
        <v>1590</v>
      </c>
      <c r="N8" s="62">
        <v>380</v>
      </c>
      <c r="O8" s="62">
        <v>66.6666666666666</v>
      </c>
      <c r="P8" s="62" t="s">
        <v>1669</v>
      </c>
      <c r="Q8" s="62">
        <v>467</v>
      </c>
      <c r="R8" s="62">
        <v>66.6666666666666</v>
      </c>
    </row>
    <row r="9" spans="1:18">
      <c r="A9">
        <v>9</v>
      </c>
      <c r="B9">
        <f>MATCH(C9,統合マスタ!$C$5:$C$850,0)</f>
        <v>96</v>
      </c>
      <c r="C9" t="s">
        <v>3897</v>
      </c>
      <c r="D9" t="s">
        <v>248</v>
      </c>
      <c r="E9" s="62">
        <v>53</v>
      </c>
      <c r="F9" s="62">
        <v>75</v>
      </c>
      <c r="G9" s="62" t="s">
        <v>245</v>
      </c>
      <c r="H9" s="62">
        <v>52</v>
      </c>
      <c r="I9" s="62">
        <v>72.727272727272705</v>
      </c>
      <c r="J9" s="62" t="s">
        <v>1607</v>
      </c>
      <c r="K9" s="62">
        <v>398</v>
      </c>
      <c r="L9" s="62">
        <v>66.6666666666666</v>
      </c>
      <c r="M9" s="62" t="s">
        <v>1389</v>
      </c>
      <c r="N9" s="62">
        <v>148</v>
      </c>
      <c r="O9" s="62">
        <v>63.636363636363598</v>
      </c>
      <c r="P9" s="62" t="s">
        <v>526</v>
      </c>
      <c r="Q9" s="62">
        <v>207</v>
      </c>
      <c r="R9" s="62">
        <v>63.636363636363598</v>
      </c>
    </row>
    <row r="10" spans="1:18">
      <c r="A10">
        <v>10</v>
      </c>
      <c r="B10">
        <f>MATCH(C10,統合マスタ!$C$5:$C$850,0)</f>
        <v>100</v>
      </c>
      <c r="C10" t="s">
        <v>1297</v>
      </c>
      <c r="D10" t="s">
        <v>1739</v>
      </c>
      <c r="E10" s="62">
        <v>543</v>
      </c>
      <c r="F10" s="62">
        <v>66.6666666666666</v>
      </c>
      <c r="G10" s="62" t="s">
        <v>1253</v>
      </c>
      <c r="H10" s="62">
        <v>11</v>
      </c>
      <c r="I10" s="62">
        <v>61.538461538461497</v>
      </c>
      <c r="J10" s="62" t="s">
        <v>1727</v>
      </c>
      <c r="K10" s="62">
        <v>529</v>
      </c>
      <c r="L10" s="62">
        <v>52.173913043478201</v>
      </c>
      <c r="M10" s="62" t="s">
        <v>1687</v>
      </c>
      <c r="N10" s="62">
        <v>487</v>
      </c>
      <c r="O10" s="62">
        <v>48.275862068965502</v>
      </c>
      <c r="P10" s="62" t="s">
        <v>99</v>
      </c>
      <c r="Q10" s="62">
        <v>5</v>
      </c>
      <c r="R10" s="62">
        <v>45.454545454545404</v>
      </c>
    </row>
    <row r="11" spans="1:18">
      <c r="A11">
        <v>11</v>
      </c>
      <c r="B11">
        <f>MATCH(C11,統合マスタ!$C$5:$C$850,0)</f>
        <v>102</v>
      </c>
      <c r="C11" t="s">
        <v>3898</v>
      </c>
      <c r="D11" t="s">
        <v>1363</v>
      </c>
      <c r="E11" s="62">
        <v>123</v>
      </c>
      <c r="F11" s="62">
        <v>33.3333333333333</v>
      </c>
      <c r="G11" s="62" t="s">
        <v>1409</v>
      </c>
      <c r="H11" s="62">
        <v>170</v>
      </c>
      <c r="I11" s="62">
        <v>32.258064516128997</v>
      </c>
      <c r="J11" s="62" t="s">
        <v>1409</v>
      </c>
      <c r="K11" s="62">
        <v>319</v>
      </c>
      <c r="L11" s="62">
        <v>32.258064516128997</v>
      </c>
      <c r="M11" s="62" t="s">
        <v>1506</v>
      </c>
      <c r="N11" s="62">
        <v>287</v>
      </c>
      <c r="O11" s="62">
        <v>31.578947368421002</v>
      </c>
      <c r="P11" s="62" t="s">
        <v>4078</v>
      </c>
      <c r="Q11" s="62">
        <v>537</v>
      </c>
      <c r="R11" s="62">
        <v>31.25</v>
      </c>
    </row>
    <row r="12" spans="1:18">
      <c r="A12">
        <v>12</v>
      </c>
      <c r="B12">
        <f>MATCH(C12,統合マスタ!$C$5:$C$850,0)</f>
        <v>120</v>
      </c>
      <c r="C12" t="s">
        <v>3900</v>
      </c>
      <c r="D12" t="s">
        <v>1649</v>
      </c>
      <c r="E12" s="62">
        <v>445</v>
      </c>
      <c r="F12" s="62">
        <v>53.846153846153797</v>
      </c>
      <c r="G12" s="62" t="s">
        <v>1724</v>
      </c>
      <c r="H12" s="62">
        <v>526</v>
      </c>
      <c r="I12" s="62">
        <v>48</v>
      </c>
      <c r="J12" s="62" t="s">
        <v>1852</v>
      </c>
      <c r="K12" s="62">
        <v>664</v>
      </c>
      <c r="L12" s="62">
        <v>46.153846153846096</v>
      </c>
      <c r="M12" s="62" t="s">
        <v>1456</v>
      </c>
      <c r="N12" s="62">
        <v>229</v>
      </c>
      <c r="O12" s="62">
        <v>40</v>
      </c>
      <c r="P12" s="62" t="s">
        <v>1538</v>
      </c>
      <c r="Q12" s="62">
        <v>324</v>
      </c>
      <c r="R12" s="62">
        <v>40</v>
      </c>
    </row>
    <row r="13" spans="1:18">
      <c r="A13">
        <v>13</v>
      </c>
      <c r="B13">
        <f>MATCH(C13,統合マスタ!$C$5:$C$850,0)</f>
        <v>138</v>
      </c>
      <c r="C13" t="s">
        <v>3901</v>
      </c>
      <c r="D13" t="s">
        <v>1531</v>
      </c>
      <c r="E13" s="62">
        <v>314</v>
      </c>
      <c r="F13" s="62">
        <v>64</v>
      </c>
      <c r="G13" s="62" t="s">
        <v>1677</v>
      </c>
      <c r="H13" s="62">
        <v>475</v>
      </c>
      <c r="I13" s="62">
        <v>64</v>
      </c>
      <c r="J13" s="62" t="s">
        <v>1584</v>
      </c>
      <c r="K13" s="62">
        <v>374</v>
      </c>
      <c r="L13" s="62">
        <v>56</v>
      </c>
      <c r="M13" s="62" t="s">
        <v>1623</v>
      </c>
      <c r="N13" s="62">
        <v>416</v>
      </c>
      <c r="O13" s="62">
        <v>56</v>
      </c>
      <c r="P13" s="62" t="s">
        <v>1277</v>
      </c>
      <c r="Q13" s="62">
        <v>34</v>
      </c>
      <c r="R13" s="62">
        <v>53.846153846153797</v>
      </c>
    </row>
    <row r="14" spans="1:18">
      <c r="A14">
        <v>14</v>
      </c>
      <c r="B14">
        <f>MATCH(C14,統合マスタ!$C$5:$C$850,0)</f>
        <v>164</v>
      </c>
      <c r="C14" t="s">
        <v>365</v>
      </c>
    </row>
    <row r="15" spans="1:18">
      <c r="A15">
        <v>15</v>
      </c>
      <c r="B15">
        <f>MATCH(C15,統合マスタ!$C$5:$C$850,0)</f>
        <v>182</v>
      </c>
      <c r="C15" t="s">
        <v>3912</v>
      </c>
      <c r="D15" t="s">
        <v>1366</v>
      </c>
      <c r="E15" s="62">
        <v>126</v>
      </c>
      <c r="F15" s="62">
        <v>83.870967741935402</v>
      </c>
      <c r="G15" s="62" t="s">
        <v>1367</v>
      </c>
      <c r="H15" s="62">
        <v>127</v>
      </c>
      <c r="I15" s="62">
        <v>64.516129032257993</v>
      </c>
      <c r="J15" s="62" t="s">
        <v>1762</v>
      </c>
      <c r="K15" s="62">
        <v>572</v>
      </c>
      <c r="L15" s="62">
        <v>43.243243243243199</v>
      </c>
      <c r="M15" s="62" t="s">
        <v>1471</v>
      </c>
      <c r="N15" s="62">
        <v>247</v>
      </c>
      <c r="O15" s="62">
        <v>40</v>
      </c>
      <c r="P15" s="62" t="s">
        <v>1425</v>
      </c>
      <c r="Q15" s="62">
        <v>193</v>
      </c>
      <c r="R15" s="62">
        <v>38.8888888888888</v>
      </c>
    </row>
    <row r="16" spans="1:18">
      <c r="A16">
        <v>16</v>
      </c>
      <c r="B16">
        <f>MATCH(C16,統合マスタ!$C$5:$C$850,0)</f>
        <v>187</v>
      </c>
      <c r="C16" t="s">
        <v>1375</v>
      </c>
      <c r="D16" t="s">
        <v>1376</v>
      </c>
      <c r="E16" s="62">
        <v>135</v>
      </c>
      <c r="F16" s="62">
        <v>90.909090909090907</v>
      </c>
      <c r="G16" s="62" t="s">
        <v>1634</v>
      </c>
      <c r="H16" s="62">
        <v>431</v>
      </c>
      <c r="I16" s="62">
        <v>60.869565217391298</v>
      </c>
      <c r="J16" s="62" t="s">
        <v>1704</v>
      </c>
      <c r="K16" s="62">
        <v>505</v>
      </c>
      <c r="L16" s="62">
        <v>60</v>
      </c>
      <c r="M16" s="62" t="s">
        <v>1635</v>
      </c>
      <c r="N16" s="62">
        <v>432</v>
      </c>
      <c r="O16" s="62">
        <v>58.3333333333333</v>
      </c>
      <c r="P16" s="62" t="s">
        <v>1487</v>
      </c>
      <c r="Q16" s="62">
        <v>268</v>
      </c>
      <c r="R16" s="62">
        <v>57.142857142857103</v>
      </c>
    </row>
    <row r="17" spans="1:18">
      <c r="A17">
        <v>17</v>
      </c>
      <c r="B17">
        <f>MATCH(C17,統合マスタ!$C$5:$C$850,0)</f>
        <v>226</v>
      </c>
      <c r="C17" t="s">
        <v>1406</v>
      </c>
      <c r="D17" t="s">
        <v>1405</v>
      </c>
      <c r="E17" s="62">
        <v>166</v>
      </c>
      <c r="F17" s="62">
        <v>75.862068965517196</v>
      </c>
      <c r="G17" s="62" t="s">
        <v>1301</v>
      </c>
      <c r="H17" s="62">
        <v>59</v>
      </c>
      <c r="I17" s="62">
        <v>66.6666666666666</v>
      </c>
      <c r="J17" s="62" t="s">
        <v>1848</v>
      </c>
      <c r="K17" s="62">
        <v>660</v>
      </c>
      <c r="L17" s="62">
        <v>61.538461538461497</v>
      </c>
      <c r="M17" s="62" t="s">
        <v>1562</v>
      </c>
      <c r="N17" s="62">
        <v>349</v>
      </c>
      <c r="O17" s="62">
        <v>60</v>
      </c>
      <c r="P17" s="62" t="s">
        <v>1303</v>
      </c>
      <c r="Q17" s="62">
        <v>61</v>
      </c>
      <c r="R17" s="62">
        <v>58.064516129032199</v>
      </c>
    </row>
    <row r="18" spans="1:18">
      <c r="A18">
        <v>18</v>
      </c>
      <c r="B18">
        <f>MATCH(C18,統合マスタ!$C$5:$C$850,0)</f>
        <v>229</v>
      </c>
      <c r="C18" t="s">
        <v>1411</v>
      </c>
      <c r="D18" t="s">
        <v>1455</v>
      </c>
      <c r="E18" s="62">
        <v>226</v>
      </c>
      <c r="F18" s="62">
        <v>70</v>
      </c>
      <c r="G18" s="62" t="s">
        <v>1818</v>
      </c>
      <c r="H18" s="62">
        <v>627</v>
      </c>
      <c r="I18" s="62">
        <v>70</v>
      </c>
      <c r="J18" s="62" t="s">
        <v>1819</v>
      </c>
      <c r="K18" s="62">
        <v>628</v>
      </c>
      <c r="L18" s="62">
        <v>70</v>
      </c>
      <c r="M18" s="62" t="s">
        <v>1409</v>
      </c>
      <c r="N18" s="62">
        <v>170</v>
      </c>
      <c r="O18" s="62">
        <v>66.6666666666666</v>
      </c>
      <c r="P18" s="62" t="s">
        <v>1503</v>
      </c>
      <c r="Q18" s="62">
        <v>284</v>
      </c>
      <c r="R18" s="62">
        <v>66.6666666666666</v>
      </c>
    </row>
    <row r="19" spans="1:18">
      <c r="A19">
        <v>19</v>
      </c>
      <c r="B19">
        <f>MATCH(C19,統合マスタ!$C$5:$C$850,0)</f>
        <v>232</v>
      </c>
      <c r="C19" t="s">
        <v>3918</v>
      </c>
      <c r="D19" t="s">
        <v>1023</v>
      </c>
      <c r="E19" s="62">
        <v>574</v>
      </c>
      <c r="F19" s="62">
        <v>52.941176470588204</v>
      </c>
      <c r="G19" s="62" t="s">
        <v>1408</v>
      </c>
      <c r="H19" s="62">
        <v>169</v>
      </c>
      <c r="I19" s="62">
        <v>48.648648648648603</v>
      </c>
      <c r="J19" s="62" t="s">
        <v>1580</v>
      </c>
      <c r="K19" s="62">
        <v>369</v>
      </c>
      <c r="L19" s="62">
        <v>48.484848484848399</v>
      </c>
      <c r="M19" s="62" t="s">
        <v>1637</v>
      </c>
      <c r="N19" s="62">
        <v>434</v>
      </c>
      <c r="O19" s="62">
        <v>48.484848484848399</v>
      </c>
      <c r="P19" s="62" t="s">
        <v>1433</v>
      </c>
      <c r="Q19" s="62">
        <v>201</v>
      </c>
      <c r="R19" s="62">
        <v>47.368421052631497</v>
      </c>
    </row>
    <row r="20" spans="1:18">
      <c r="A20">
        <v>20</v>
      </c>
      <c r="B20">
        <f>MATCH(C20,統合マスタ!$C$5:$C$850,0)</f>
        <v>233</v>
      </c>
      <c r="C20" t="s">
        <v>470</v>
      </c>
      <c r="D20" t="s">
        <v>1304</v>
      </c>
      <c r="E20" s="62">
        <v>62</v>
      </c>
      <c r="F20" s="62">
        <v>50</v>
      </c>
      <c r="G20" s="62" t="s">
        <v>1453</v>
      </c>
      <c r="H20" s="62">
        <v>223</v>
      </c>
      <c r="I20" s="62">
        <v>45.454545454545404</v>
      </c>
      <c r="J20" s="62" t="s">
        <v>1460</v>
      </c>
      <c r="K20" s="62">
        <v>233</v>
      </c>
      <c r="L20" s="62">
        <v>42.857142857142797</v>
      </c>
      <c r="M20" s="62" t="s">
        <v>1461</v>
      </c>
      <c r="N20" s="62">
        <v>234</v>
      </c>
      <c r="O20" s="62">
        <v>42.857142857142797</v>
      </c>
      <c r="P20" s="62" t="s">
        <v>1462</v>
      </c>
      <c r="Q20" s="62">
        <v>235</v>
      </c>
      <c r="R20" s="62">
        <v>42.857142857142797</v>
      </c>
    </row>
    <row r="21" spans="1:18">
      <c r="A21">
        <v>21</v>
      </c>
      <c r="B21">
        <f>MATCH(C21,統合マスタ!$C$5:$C$850,0)</f>
        <v>282</v>
      </c>
      <c r="C21" t="s">
        <v>3925</v>
      </c>
      <c r="D21" t="s">
        <v>1701</v>
      </c>
      <c r="E21" s="62">
        <v>502</v>
      </c>
      <c r="F21" s="62">
        <v>30.303030303030202</v>
      </c>
    </row>
    <row r="22" spans="1:18">
      <c r="A22">
        <v>22</v>
      </c>
      <c r="B22">
        <f>MATCH(C22,統合マスタ!$C$5:$C$850,0)</f>
        <v>283</v>
      </c>
      <c r="C22" t="s">
        <v>3926</v>
      </c>
      <c r="D22" t="s">
        <v>4078</v>
      </c>
      <c r="E22" s="62">
        <v>537</v>
      </c>
      <c r="F22" s="62">
        <v>41.176470588235198</v>
      </c>
      <c r="G22" s="62" t="s">
        <v>1732</v>
      </c>
      <c r="H22" s="62">
        <v>536</v>
      </c>
      <c r="I22" s="62">
        <v>33.3333333333333</v>
      </c>
    </row>
    <row r="23" spans="1:18">
      <c r="A23">
        <v>23</v>
      </c>
      <c r="B23">
        <f>MATCH(C23,統合マスタ!$C$5:$C$850,0)</f>
        <v>362</v>
      </c>
      <c r="C23" t="s">
        <v>3940</v>
      </c>
      <c r="D23" t="s">
        <v>1531</v>
      </c>
      <c r="E23" s="62">
        <v>314</v>
      </c>
      <c r="F23" s="62">
        <v>66.6666666666666</v>
      </c>
      <c r="G23" s="62" t="s">
        <v>1823</v>
      </c>
      <c r="H23" s="62">
        <v>632</v>
      </c>
      <c r="I23" s="62">
        <v>63.636363636363598</v>
      </c>
      <c r="J23" s="62" t="s">
        <v>1858</v>
      </c>
      <c r="K23" s="62">
        <v>670</v>
      </c>
      <c r="L23" s="62">
        <v>60</v>
      </c>
      <c r="M23" s="62" t="s">
        <v>1859</v>
      </c>
      <c r="N23" s="62">
        <v>671</v>
      </c>
      <c r="O23" s="62">
        <v>60</v>
      </c>
      <c r="P23" s="62" t="s">
        <v>1584</v>
      </c>
      <c r="Q23" s="62">
        <v>374</v>
      </c>
      <c r="R23" s="62">
        <v>58.3333333333333</v>
      </c>
    </row>
    <row r="24" spans="1:18">
      <c r="A24">
        <v>24</v>
      </c>
      <c r="B24">
        <f>MATCH(C24,統合マスタ!$C$5:$C$850,0)</f>
        <v>364</v>
      </c>
      <c r="C24" t="s">
        <v>3941</v>
      </c>
      <c r="D24" t="s">
        <v>1531</v>
      </c>
      <c r="E24" s="62">
        <v>314</v>
      </c>
      <c r="F24" s="62">
        <v>84.615384615384599</v>
      </c>
      <c r="G24" s="62" t="s">
        <v>1609</v>
      </c>
      <c r="H24" s="62">
        <v>400</v>
      </c>
      <c r="I24" s="62">
        <v>56</v>
      </c>
      <c r="J24" s="62" t="s">
        <v>1245</v>
      </c>
      <c r="K24" s="62">
        <v>2</v>
      </c>
      <c r="L24" s="62">
        <v>50</v>
      </c>
      <c r="M24" s="62" t="s">
        <v>1440</v>
      </c>
      <c r="N24" s="62">
        <v>209</v>
      </c>
      <c r="O24" s="62">
        <v>50</v>
      </c>
      <c r="P24" s="62" t="s">
        <v>1571</v>
      </c>
      <c r="Q24" s="62">
        <v>359</v>
      </c>
      <c r="R24" s="62">
        <v>48</v>
      </c>
    </row>
    <row r="25" spans="1:18">
      <c r="A25">
        <v>25</v>
      </c>
      <c r="B25">
        <f>MATCH(C25,統合マスタ!$C$5:$C$850,0)</f>
        <v>370</v>
      </c>
      <c r="C25" t="s">
        <v>668</v>
      </c>
      <c r="D25" t="s">
        <v>765</v>
      </c>
      <c r="E25" s="62">
        <v>389</v>
      </c>
      <c r="F25" s="62">
        <v>47.619047619047599</v>
      </c>
      <c r="G25" s="62" t="s">
        <v>421</v>
      </c>
      <c r="H25" s="62">
        <v>153</v>
      </c>
      <c r="I25" s="62">
        <v>40</v>
      </c>
      <c r="J25" s="62" t="s">
        <v>575</v>
      </c>
      <c r="K25" s="62">
        <v>241</v>
      </c>
      <c r="L25" s="62">
        <v>38.095238095238003</v>
      </c>
      <c r="M25" s="62" t="s">
        <v>1306</v>
      </c>
      <c r="N25" s="62">
        <v>67</v>
      </c>
      <c r="O25" s="62">
        <v>36.363636363636303</v>
      </c>
      <c r="P25" s="62" t="s">
        <v>404</v>
      </c>
      <c r="Q25" s="62">
        <v>137</v>
      </c>
      <c r="R25" s="62">
        <v>34.782608695652101</v>
      </c>
    </row>
    <row r="26" spans="1:18">
      <c r="A26">
        <v>26</v>
      </c>
      <c r="B26">
        <f>MATCH(C26,統合マスタ!$C$5:$C$850,0)</f>
        <v>388</v>
      </c>
      <c r="C26" t="s">
        <v>1547</v>
      </c>
      <c r="D26" t="s">
        <v>1739</v>
      </c>
      <c r="E26" s="62">
        <v>543</v>
      </c>
      <c r="F26" s="62">
        <v>66.6666666666666</v>
      </c>
      <c r="G26" s="62" t="s">
        <v>1548</v>
      </c>
      <c r="H26" s="62">
        <v>333</v>
      </c>
      <c r="I26" s="62">
        <v>54.545454545454497</v>
      </c>
      <c r="J26" s="62" t="s">
        <v>1253</v>
      </c>
      <c r="K26" s="62">
        <v>11</v>
      </c>
      <c r="L26" s="62">
        <v>53.846153846153797</v>
      </c>
      <c r="M26" s="62" t="s">
        <v>1645</v>
      </c>
      <c r="N26" s="62">
        <v>441</v>
      </c>
      <c r="O26" s="62">
        <v>51.851851851851798</v>
      </c>
      <c r="P26" s="62" t="s">
        <v>1687</v>
      </c>
      <c r="Q26" s="62">
        <v>487</v>
      </c>
      <c r="R26" s="62">
        <v>48.275862068965502</v>
      </c>
    </row>
    <row r="27" spans="1:18">
      <c r="A27">
        <v>27</v>
      </c>
      <c r="B27">
        <f>MATCH(C27,統合マスタ!$C$5:$C$850,0)</f>
        <v>409</v>
      </c>
      <c r="C27" t="s">
        <v>3946</v>
      </c>
      <c r="D27" t="s">
        <v>1564</v>
      </c>
      <c r="E27" s="62">
        <v>351</v>
      </c>
      <c r="F27" s="62">
        <v>73.170731707317003</v>
      </c>
      <c r="G27" s="62" t="s">
        <v>1691</v>
      </c>
      <c r="H27" s="62">
        <v>491</v>
      </c>
      <c r="I27" s="62">
        <v>57.142857142857103</v>
      </c>
      <c r="J27" s="62" t="s">
        <v>1318</v>
      </c>
      <c r="K27" s="62">
        <v>79</v>
      </c>
      <c r="L27" s="62">
        <v>56.410256410256402</v>
      </c>
      <c r="M27" s="62" t="s">
        <v>1863</v>
      </c>
      <c r="N27" s="62">
        <v>676</v>
      </c>
      <c r="O27" s="62">
        <v>51.282051282051199</v>
      </c>
      <c r="P27" s="62" t="s">
        <v>1319</v>
      </c>
      <c r="Q27" s="62">
        <v>80</v>
      </c>
      <c r="R27" s="62">
        <v>48.648648648648603</v>
      </c>
    </row>
    <row r="28" spans="1:18">
      <c r="A28">
        <v>28</v>
      </c>
      <c r="B28">
        <f>MATCH(C28,統合マスタ!$C$5:$C$850,0)</f>
        <v>410</v>
      </c>
      <c r="C28" t="s">
        <v>3947</v>
      </c>
      <c r="D28" t="s">
        <v>1564</v>
      </c>
      <c r="E28" s="62">
        <v>351</v>
      </c>
      <c r="F28" s="62">
        <v>75</v>
      </c>
      <c r="G28" s="62" t="s">
        <v>1691</v>
      </c>
      <c r="H28" s="62">
        <v>491</v>
      </c>
      <c r="I28" s="62">
        <v>58.536585365853597</v>
      </c>
      <c r="J28" s="62" t="s">
        <v>1318</v>
      </c>
      <c r="K28" s="62">
        <v>79</v>
      </c>
      <c r="L28" s="62">
        <v>57.894736842105203</v>
      </c>
      <c r="M28" s="62" t="s">
        <v>1863</v>
      </c>
      <c r="N28" s="62">
        <v>676</v>
      </c>
      <c r="O28" s="62">
        <v>52.631578947368403</v>
      </c>
      <c r="P28" s="62" t="s">
        <v>1466</v>
      </c>
      <c r="Q28" s="62">
        <v>239</v>
      </c>
      <c r="R28" s="62">
        <v>48.648648648648603</v>
      </c>
    </row>
    <row r="29" spans="1:18">
      <c r="A29">
        <v>29</v>
      </c>
      <c r="B29">
        <f>MATCH(C29,統合マスタ!$C$5:$C$850,0)</f>
        <v>438</v>
      </c>
      <c r="C29" t="s">
        <v>753</v>
      </c>
      <c r="D29" t="s">
        <v>1592</v>
      </c>
      <c r="E29" s="62">
        <v>382</v>
      </c>
      <c r="F29" s="62">
        <v>93.3333333333333</v>
      </c>
      <c r="G29" s="62" t="s">
        <v>1651</v>
      </c>
      <c r="H29" s="62">
        <v>447</v>
      </c>
      <c r="I29" s="62">
        <v>68.75</v>
      </c>
      <c r="J29" s="62" t="s">
        <v>1682</v>
      </c>
      <c r="K29" s="62">
        <v>482</v>
      </c>
      <c r="L29" s="62">
        <v>66.6666666666666</v>
      </c>
      <c r="M29" s="62" t="s">
        <v>1750</v>
      </c>
      <c r="N29" s="62">
        <v>558</v>
      </c>
      <c r="O29" s="62">
        <v>66.6666666666666</v>
      </c>
      <c r="P29" s="62" t="s">
        <v>1251</v>
      </c>
      <c r="Q29" s="62">
        <v>9</v>
      </c>
      <c r="R29" s="62">
        <v>64.705882352941103</v>
      </c>
    </row>
    <row r="30" spans="1:18">
      <c r="A30">
        <v>31</v>
      </c>
      <c r="B30">
        <f>MATCH(C30,統合マスタ!$C$5:$C$850,0)</f>
        <v>481</v>
      </c>
      <c r="C30" t="s">
        <v>3963</v>
      </c>
      <c r="D30" t="s">
        <v>1393</v>
      </c>
      <c r="E30" s="62">
        <v>154</v>
      </c>
      <c r="F30" s="62">
        <v>72.2222222222222</v>
      </c>
      <c r="G30" s="62" t="s">
        <v>1351</v>
      </c>
      <c r="H30" s="62">
        <v>111</v>
      </c>
      <c r="I30" s="62">
        <v>66.6666666666666</v>
      </c>
      <c r="J30" s="62" t="s">
        <v>1786</v>
      </c>
      <c r="K30" s="62">
        <v>596</v>
      </c>
      <c r="L30" s="62">
        <v>66.6666666666666</v>
      </c>
      <c r="M30" s="62" t="s">
        <v>1612</v>
      </c>
      <c r="N30" s="62">
        <v>405</v>
      </c>
      <c r="O30" s="62">
        <v>64.864864864864799</v>
      </c>
      <c r="P30" s="62" t="s">
        <v>1750</v>
      </c>
      <c r="Q30" s="62">
        <v>558</v>
      </c>
      <c r="R30" s="62">
        <v>64.864864864864799</v>
      </c>
    </row>
    <row r="31" spans="1:18">
      <c r="A31">
        <v>32</v>
      </c>
      <c r="B31">
        <f>MATCH(C31,統合マスタ!$C$5:$C$850,0)</f>
        <v>503</v>
      </c>
      <c r="C31" t="s">
        <v>1638</v>
      </c>
      <c r="D31" t="s">
        <v>831</v>
      </c>
      <c r="E31" s="62">
        <v>435</v>
      </c>
      <c r="F31" s="62">
        <v>80</v>
      </c>
      <c r="G31" s="62" t="s">
        <v>1647</v>
      </c>
      <c r="H31" s="62">
        <v>443</v>
      </c>
      <c r="I31" s="62">
        <v>66.6666666666666</v>
      </c>
      <c r="J31" s="62" t="s">
        <v>1599</v>
      </c>
      <c r="K31" s="62">
        <v>390</v>
      </c>
      <c r="L31" s="62">
        <v>63.157894736842103</v>
      </c>
      <c r="M31" s="62" t="s">
        <v>1646</v>
      </c>
      <c r="N31" s="62">
        <v>442</v>
      </c>
      <c r="O31" s="62">
        <v>60</v>
      </c>
      <c r="P31" s="62" t="s">
        <v>1648</v>
      </c>
      <c r="Q31" s="62">
        <v>444</v>
      </c>
      <c r="R31" s="62">
        <v>57.142857142857103</v>
      </c>
    </row>
    <row r="32" spans="1:18">
      <c r="A32">
        <v>33</v>
      </c>
      <c r="B32">
        <f>MATCH(C32,統合マスタ!$C$5:$C$850,0)</f>
        <v>513</v>
      </c>
      <c r="C32" t="s">
        <v>3968</v>
      </c>
      <c r="D32" t="s">
        <v>1340</v>
      </c>
      <c r="E32" s="62">
        <v>100</v>
      </c>
      <c r="F32" s="62">
        <v>45.454545454545404</v>
      </c>
      <c r="G32" s="62" t="s">
        <v>1752</v>
      </c>
      <c r="H32" s="62">
        <v>560</v>
      </c>
      <c r="I32" s="62">
        <v>42.105263157894697</v>
      </c>
      <c r="J32" s="62" t="s">
        <v>1263</v>
      </c>
      <c r="K32" s="62">
        <v>20</v>
      </c>
      <c r="L32" s="62">
        <v>40</v>
      </c>
      <c r="M32" s="62" t="s">
        <v>1476</v>
      </c>
      <c r="N32" s="62">
        <v>253</v>
      </c>
      <c r="O32" s="62">
        <v>38.095238095238003</v>
      </c>
      <c r="P32" s="62" t="s">
        <v>1477</v>
      </c>
      <c r="Q32" s="62">
        <v>254</v>
      </c>
      <c r="R32" s="62">
        <v>38.095238095238003</v>
      </c>
    </row>
    <row r="33" spans="1:18">
      <c r="A33">
        <v>36</v>
      </c>
      <c r="B33">
        <f>MATCH(C33,統合マスタ!$C$5:$C$850,0)</f>
        <v>537</v>
      </c>
      <c r="C33" s="17" t="s">
        <v>865</v>
      </c>
      <c r="D33" t="s">
        <v>1661</v>
      </c>
      <c r="E33" s="62">
        <v>457</v>
      </c>
      <c r="F33" s="62">
        <v>47.619047619047599</v>
      </c>
      <c r="G33" s="62" t="s">
        <v>1689</v>
      </c>
      <c r="H33" s="62">
        <v>489</v>
      </c>
      <c r="I33" s="62">
        <v>38.461538461538403</v>
      </c>
      <c r="J33" s="62" t="s">
        <v>1345</v>
      </c>
      <c r="K33" s="62">
        <v>105</v>
      </c>
      <c r="L33" s="62">
        <v>34.482758620689602</v>
      </c>
      <c r="M33" s="62" t="s">
        <v>1253</v>
      </c>
      <c r="N33" s="62">
        <v>11</v>
      </c>
      <c r="O33" s="62">
        <v>33.3333333333333</v>
      </c>
      <c r="P33" s="62" t="s">
        <v>1645</v>
      </c>
      <c r="Q33" s="62">
        <v>441</v>
      </c>
      <c r="R33" s="62">
        <v>31.999999999999901</v>
      </c>
    </row>
    <row r="34" spans="1:18">
      <c r="A34">
        <v>38</v>
      </c>
      <c r="B34">
        <f>MATCH(C34,統合マスタ!$C$5:$C$850,0)</f>
        <v>539</v>
      </c>
      <c r="C34" t="s">
        <v>867</v>
      </c>
      <c r="D34" t="s">
        <v>1663</v>
      </c>
      <c r="E34" s="62">
        <v>460</v>
      </c>
      <c r="F34" s="62">
        <v>82.352941176470495</v>
      </c>
      <c r="G34" s="62" t="s">
        <v>866</v>
      </c>
      <c r="H34" s="62">
        <v>459</v>
      </c>
      <c r="I34" s="62">
        <v>63.157894736842103</v>
      </c>
      <c r="J34" s="62" t="s">
        <v>1574</v>
      </c>
      <c r="K34" s="62">
        <v>362</v>
      </c>
      <c r="L34" s="62">
        <v>60</v>
      </c>
      <c r="M34" s="62" t="s">
        <v>1575</v>
      </c>
      <c r="N34" s="62">
        <v>363</v>
      </c>
      <c r="O34" s="62">
        <v>60</v>
      </c>
      <c r="P34" s="62" t="s">
        <v>1661</v>
      </c>
      <c r="Q34" s="62">
        <v>457</v>
      </c>
      <c r="R34" s="62">
        <v>60</v>
      </c>
    </row>
    <row r="35" spans="1:18">
      <c r="A35">
        <v>39</v>
      </c>
      <c r="B35">
        <f>MATCH(C35,統合マスタ!$C$5:$C$850,0)</f>
        <v>540</v>
      </c>
      <c r="C35" t="s">
        <v>3971</v>
      </c>
      <c r="D35" t="s">
        <v>1665</v>
      </c>
      <c r="E35" s="62">
        <v>462</v>
      </c>
      <c r="F35" s="62">
        <v>86.956521739130395</v>
      </c>
      <c r="G35" s="62" t="s">
        <v>1835</v>
      </c>
      <c r="H35" s="62">
        <v>647</v>
      </c>
      <c r="I35" s="62">
        <v>52.173913043478201</v>
      </c>
      <c r="J35" s="62" t="s">
        <v>670</v>
      </c>
      <c r="K35" s="62">
        <v>322</v>
      </c>
      <c r="L35" s="62">
        <v>50</v>
      </c>
      <c r="M35" s="62" t="s">
        <v>1554</v>
      </c>
      <c r="N35" s="62">
        <v>340</v>
      </c>
      <c r="O35" s="62">
        <v>50</v>
      </c>
      <c r="P35" s="62" t="s">
        <v>248</v>
      </c>
      <c r="Q35" s="62">
        <v>53</v>
      </c>
      <c r="R35" s="62">
        <v>48</v>
      </c>
    </row>
    <row r="36" spans="1:18">
      <c r="A36">
        <v>40</v>
      </c>
      <c r="B36">
        <f>MATCH(C36,統合マスタ!$C$5:$C$850,0)</f>
        <v>541</v>
      </c>
      <c r="C36" t="s">
        <v>869</v>
      </c>
      <c r="D36" t="s">
        <v>1666</v>
      </c>
      <c r="E36" s="62">
        <v>463</v>
      </c>
      <c r="F36" s="62">
        <v>61.538461538461497</v>
      </c>
      <c r="G36" s="62" t="s">
        <v>1667</v>
      </c>
      <c r="H36" s="62">
        <v>464</v>
      </c>
      <c r="I36" s="62">
        <v>44.4444444444444</v>
      </c>
      <c r="J36" s="62" t="s">
        <v>1667</v>
      </c>
      <c r="K36" s="62">
        <v>466</v>
      </c>
      <c r="L36" s="62">
        <v>44.4444444444444</v>
      </c>
      <c r="M36" s="62" t="s">
        <v>1668</v>
      </c>
      <c r="N36" s="62">
        <v>465</v>
      </c>
      <c r="O36" s="62">
        <v>42.105263157894697</v>
      </c>
    </row>
    <row r="37" spans="1:18">
      <c r="A37">
        <v>41</v>
      </c>
      <c r="B37">
        <f>MATCH(C37,統合マスタ!$C$5:$C$850,0)</f>
        <v>542</v>
      </c>
      <c r="C37" t="s">
        <v>3972</v>
      </c>
      <c r="D37" t="s">
        <v>1668</v>
      </c>
      <c r="E37" s="62">
        <v>465</v>
      </c>
      <c r="F37" s="62">
        <v>93.3333333333333</v>
      </c>
      <c r="G37" s="62" t="s">
        <v>1667</v>
      </c>
      <c r="H37" s="62">
        <v>464</v>
      </c>
      <c r="I37" s="62">
        <v>89.655172413793096</v>
      </c>
      <c r="J37" s="62" t="s">
        <v>1667</v>
      </c>
      <c r="K37" s="62">
        <v>466</v>
      </c>
      <c r="L37" s="62">
        <v>89.655172413793096</v>
      </c>
      <c r="M37" s="62" t="s">
        <v>1507</v>
      </c>
      <c r="N37" s="62">
        <v>288</v>
      </c>
      <c r="O37" s="62">
        <v>61.538461538461497</v>
      </c>
      <c r="P37" s="62" t="s">
        <v>1507</v>
      </c>
      <c r="Q37" s="62">
        <v>289</v>
      </c>
      <c r="R37" s="62">
        <v>61.538461538461497</v>
      </c>
    </row>
    <row r="38" spans="1:18" s="69" customFormat="1">
      <c r="A38" s="69">
        <v>42</v>
      </c>
      <c r="B38" s="69">
        <f>MATCH(C38,統合マスタ!$C$5:$C$850,0)</f>
        <v>544</v>
      </c>
      <c r="C38" s="69" t="s">
        <v>3973</v>
      </c>
      <c r="D38" s="69" t="s">
        <v>1667</v>
      </c>
      <c r="E38" s="70">
        <v>464</v>
      </c>
      <c r="F38" s="70">
        <v>87.5</v>
      </c>
      <c r="G38" s="70" t="s">
        <v>1667</v>
      </c>
      <c r="H38" s="70">
        <v>466</v>
      </c>
      <c r="I38" s="70">
        <v>87.5</v>
      </c>
      <c r="J38" s="70" t="s">
        <v>1668</v>
      </c>
      <c r="K38" s="70">
        <v>465</v>
      </c>
      <c r="L38" s="70">
        <v>84.848484848484802</v>
      </c>
      <c r="M38" s="70" t="s">
        <v>1507</v>
      </c>
      <c r="N38" s="70">
        <v>288</v>
      </c>
      <c r="O38" s="70">
        <v>55.172413793103402</v>
      </c>
      <c r="P38" s="70" t="s">
        <v>1507</v>
      </c>
      <c r="Q38" s="70">
        <v>289</v>
      </c>
      <c r="R38" s="70">
        <v>55.172413793103402</v>
      </c>
    </row>
    <row r="39" spans="1:18">
      <c r="A39">
        <v>43</v>
      </c>
      <c r="B39">
        <f>MATCH(C39,統合マスタ!$C$5:$C$850,0)</f>
        <v>566</v>
      </c>
      <c r="C39" t="s">
        <v>3976</v>
      </c>
      <c r="D39" t="s">
        <v>1688</v>
      </c>
      <c r="E39" s="62">
        <v>488</v>
      </c>
      <c r="F39" s="62">
        <v>93.3333333333333</v>
      </c>
      <c r="G39" s="62" t="s">
        <v>1690</v>
      </c>
      <c r="H39" s="62">
        <v>490</v>
      </c>
      <c r="I39" s="62">
        <v>80</v>
      </c>
      <c r="J39" s="62" t="s">
        <v>1662</v>
      </c>
      <c r="K39" s="62">
        <v>458</v>
      </c>
      <c r="L39" s="62">
        <v>60</v>
      </c>
      <c r="M39" s="62" t="s">
        <v>1428</v>
      </c>
      <c r="N39" s="62">
        <v>196</v>
      </c>
      <c r="O39" s="62">
        <v>57.142857142857103</v>
      </c>
      <c r="P39" s="62" t="s">
        <v>1774</v>
      </c>
      <c r="Q39" s="62">
        <v>584</v>
      </c>
      <c r="R39" s="62">
        <v>55.172413793103402</v>
      </c>
    </row>
    <row r="40" spans="1:18">
      <c r="A40">
        <v>44</v>
      </c>
      <c r="B40">
        <f>MATCH(C40,統合マスタ!$C$5:$C$850,0)</f>
        <v>619</v>
      </c>
      <c r="C40" t="s">
        <v>3993</v>
      </c>
      <c r="D40" t="s">
        <v>1732</v>
      </c>
      <c r="E40" s="62">
        <v>536</v>
      </c>
      <c r="F40" s="62">
        <v>65</v>
      </c>
      <c r="G40" s="62" t="s">
        <v>4078</v>
      </c>
      <c r="H40" s="62">
        <v>537</v>
      </c>
      <c r="I40" s="62">
        <v>62.5</v>
      </c>
      <c r="J40" s="62" t="s">
        <v>1368</v>
      </c>
      <c r="K40" s="62">
        <v>128</v>
      </c>
      <c r="L40" s="62">
        <v>36.363636363636303</v>
      </c>
      <c r="M40" s="62" t="s">
        <v>245</v>
      </c>
      <c r="N40" s="62">
        <v>52</v>
      </c>
      <c r="O40" s="62">
        <v>33.3333333333333</v>
      </c>
      <c r="P40" s="62" t="s">
        <v>1580</v>
      </c>
      <c r="Q40" s="62">
        <v>369</v>
      </c>
      <c r="R40" s="62">
        <v>32.4324324324324</v>
      </c>
    </row>
    <row r="41" spans="1:18">
      <c r="A41">
        <v>45</v>
      </c>
      <c r="B41">
        <f>MATCH(C41,統合マスタ!$C$5:$C$850,0)</f>
        <v>634</v>
      </c>
      <c r="C41" t="s">
        <v>1742</v>
      </c>
      <c r="D41" t="s">
        <v>757</v>
      </c>
      <c r="E41" s="62">
        <v>384</v>
      </c>
      <c r="F41" s="62">
        <v>72</v>
      </c>
      <c r="G41" s="62" t="s">
        <v>1819</v>
      </c>
      <c r="H41" s="62">
        <v>628</v>
      </c>
      <c r="I41" s="62">
        <v>47.619047619047599</v>
      </c>
      <c r="J41" s="62" t="s">
        <v>1400</v>
      </c>
      <c r="K41" s="62">
        <v>161</v>
      </c>
      <c r="L41" s="62">
        <v>45.454545454545404</v>
      </c>
      <c r="M41" s="62" t="s">
        <v>1557</v>
      </c>
      <c r="N41" s="62">
        <v>343</v>
      </c>
      <c r="O41" s="62">
        <v>45.454545454545404</v>
      </c>
      <c r="P41" s="62" t="s">
        <v>1764</v>
      </c>
      <c r="Q41" s="62">
        <v>575</v>
      </c>
      <c r="R41" s="62">
        <v>41.6666666666666</v>
      </c>
    </row>
    <row r="42" spans="1:18">
      <c r="A42">
        <v>48</v>
      </c>
      <c r="B42">
        <f>MATCH(C42,統合マスタ!$C$5:$C$850,0)</f>
        <v>777</v>
      </c>
      <c r="C42" t="s">
        <v>4021</v>
      </c>
      <c r="D42" t="s">
        <v>1729</v>
      </c>
      <c r="E42" s="62">
        <v>532</v>
      </c>
      <c r="F42" s="62">
        <v>55.5555555555555</v>
      </c>
      <c r="G42" s="62" t="s">
        <v>1484</v>
      </c>
      <c r="H42" s="62">
        <v>265</v>
      </c>
      <c r="I42" s="62">
        <v>54.545454545454497</v>
      </c>
      <c r="J42" s="62" t="s">
        <v>278</v>
      </c>
      <c r="K42" s="62">
        <v>65</v>
      </c>
      <c r="L42" s="62">
        <v>52.631578947368403</v>
      </c>
      <c r="M42" s="62" t="s">
        <v>1577</v>
      </c>
      <c r="N42" s="62">
        <v>364</v>
      </c>
      <c r="O42" s="62">
        <v>52.631578947368403</v>
      </c>
      <c r="P42" s="62" t="s">
        <v>1531</v>
      </c>
      <c r="Q42" s="62">
        <v>314</v>
      </c>
      <c r="R42" s="62">
        <v>52.173913043478201</v>
      </c>
    </row>
    <row r="43" spans="1:18">
      <c r="A43">
        <v>49</v>
      </c>
      <c r="B43">
        <f>MATCH(C43,統合マスタ!$C$5:$C$850,0)</f>
        <v>807</v>
      </c>
      <c r="C43" t="s">
        <v>1337</v>
      </c>
      <c r="D43" t="s">
        <v>1677</v>
      </c>
      <c r="E43" s="62">
        <v>475</v>
      </c>
      <c r="F43" s="62">
        <v>51.428571428571402</v>
      </c>
      <c r="G43" s="62" t="s">
        <v>665</v>
      </c>
      <c r="H43" s="62">
        <v>320</v>
      </c>
      <c r="I43" s="62">
        <v>50</v>
      </c>
      <c r="J43" s="62" t="s">
        <v>1690</v>
      </c>
      <c r="K43" s="62">
        <v>490</v>
      </c>
      <c r="L43" s="62">
        <v>48.648648648648603</v>
      </c>
      <c r="M43" s="62" t="s">
        <v>1437</v>
      </c>
      <c r="N43" s="62">
        <v>205</v>
      </c>
      <c r="O43" s="62">
        <v>47.619047619047599</v>
      </c>
      <c r="P43" s="62" t="s">
        <v>1571</v>
      </c>
      <c r="Q43" s="62">
        <v>359</v>
      </c>
      <c r="R43" s="62">
        <v>47.058823529411697</v>
      </c>
    </row>
    <row r="44" spans="1:18">
      <c r="A44">
        <v>52</v>
      </c>
      <c r="B44">
        <f>MATCH(C44,統合マスタ!$C$5:$C$850,0)</f>
        <v>808</v>
      </c>
      <c r="C44" t="s">
        <v>4026</v>
      </c>
      <c r="D44" t="s">
        <v>1470</v>
      </c>
      <c r="E44" s="62">
        <v>246</v>
      </c>
      <c r="F44" s="62">
        <v>44.4444444444444</v>
      </c>
      <c r="G44" s="62" t="s">
        <v>1538</v>
      </c>
      <c r="H44" s="62">
        <v>324</v>
      </c>
      <c r="I44" s="62">
        <v>42.857142857142797</v>
      </c>
      <c r="J44" s="62" t="s">
        <v>1403</v>
      </c>
      <c r="K44" s="62">
        <v>164</v>
      </c>
      <c r="L44" s="62">
        <v>42.424242424242401</v>
      </c>
      <c r="M44" s="62" t="s">
        <v>1580</v>
      </c>
      <c r="N44" s="62">
        <v>369</v>
      </c>
      <c r="O44" s="62">
        <v>38.709677419354797</v>
      </c>
      <c r="P44" s="62" t="s">
        <v>1617</v>
      </c>
      <c r="Q44" s="62">
        <v>410</v>
      </c>
      <c r="R44" s="62">
        <v>38.709677419354797</v>
      </c>
    </row>
    <row r="45" spans="1:18">
      <c r="A45">
        <v>53</v>
      </c>
      <c r="B45">
        <f>MATCH(C45,統合マスタ!$C$5:$C$850,0)</f>
        <v>809</v>
      </c>
      <c r="C45" t="s">
        <v>1181</v>
      </c>
      <c r="D45" t="s">
        <v>1470</v>
      </c>
      <c r="E45" s="62">
        <v>246</v>
      </c>
      <c r="F45" s="62">
        <v>46.153846153846096</v>
      </c>
    </row>
    <row r="46" spans="1:18">
      <c r="A46">
        <v>56</v>
      </c>
      <c r="B46">
        <f>MATCH(C46,統合マスタ!$C$5:$C$850,0)</f>
        <v>814</v>
      </c>
      <c r="C46" t="s">
        <v>4027</v>
      </c>
      <c r="D46" t="s">
        <v>1453</v>
      </c>
      <c r="E46" s="62">
        <v>223</v>
      </c>
      <c r="F46" s="62">
        <v>78.571428571428498</v>
      </c>
      <c r="G46" s="62" t="s">
        <v>1366</v>
      </c>
      <c r="H46" s="62">
        <v>126</v>
      </c>
      <c r="I46" s="62">
        <v>37.5</v>
      </c>
      <c r="J46" s="62" t="s">
        <v>1712</v>
      </c>
      <c r="K46" s="62">
        <v>513</v>
      </c>
      <c r="L46" s="62">
        <v>37.5</v>
      </c>
      <c r="M46" s="62" t="s">
        <v>1389</v>
      </c>
      <c r="N46" s="62">
        <v>148</v>
      </c>
      <c r="O46" s="62">
        <v>37.037037037037003</v>
      </c>
      <c r="P46" s="62" t="s">
        <v>526</v>
      </c>
      <c r="Q46" s="62">
        <v>207</v>
      </c>
      <c r="R46" s="62">
        <v>37.037037037037003</v>
      </c>
    </row>
    <row r="47" spans="1:18">
      <c r="A47">
        <v>58</v>
      </c>
      <c r="B47">
        <f>MATCH(C47,統合マスタ!$C$5:$C$850,0)</f>
        <v>817</v>
      </c>
      <c r="C47" t="s">
        <v>4030</v>
      </c>
      <c r="D47" t="s">
        <v>1454</v>
      </c>
      <c r="E47" s="62">
        <v>224</v>
      </c>
      <c r="F47" s="62">
        <v>84.615384615384599</v>
      </c>
      <c r="G47" s="62" t="s">
        <v>1454</v>
      </c>
      <c r="H47" s="62">
        <v>225</v>
      </c>
      <c r="I47" s="62">
        <v>84.615384615384599</v>
      </c>
      <c r="J47" s="62" t="s">
        <v>1458</v>
      </c>
      <c r="K47" s="62">
        <v>231</v>
      </c>
      <c r="L47" s="62">
        <v>37.5</v>
      </c>
      <c r="M47" s="62" t="s">
        <v>1684</v>
      </c>
      <c r="N47" s="62">
        <v>484</v>
      </c>
      <c r="O47" s="62">
        <v>37.5</v>
      </c>
      <c r="P47" s="62" t="s">
        <v>1685</v>
      </c>
      <c r="Q47" s="62">
        <v>485</v>
      </c>
      <c r="R47" s="62">
        <v>37.5</v>
      </c>
    </row>
    <row r="48" spans="1:18">
      <c r="A48">
        <v>59</v>
      </c>
      <c r="B48">
        <f>MATCH(C48,統合マスタ!$C$5:$C$850,0)</f>
        <v>818</v>
      </c>
      <c r="C48" t="s">
        <v>1196</v>
      </c>
      <c r="D48" t="s">
        <v>1732</v>
      </c>
      <c r="E48" s="62">
        <v>536</v>
      </c>
      <c r="F48" s="62">
        <v>41.379310344827502</v>
      </c>
      <c r="G48" s="62" t="s">
        <v>1507</v>
      </c>
      <c r="H48" s="62">
        <v>288</v>
      </c>
      <c r="I48" s="62">
        <v>40</v>
      </c>
      <c r="J48" s="62" t="s">
        <v>1507</v>
      </c>
      <c r="K48" s="62">
        <v>289</v>
      </c>
      <c r="L48" s="62">
        <v>40</v>
      </c>
      <c r="M48" s="62" t="s">
        <v>1771</v>
      </c>
      <c r="N48" s="62">
        <v>581</v>
      </c>
      <c r="O48" s="62">
        <v>33.3333333333333</v>
      </c>
      <c r="P48" s="62" t="s">
        <v>1243</v>
      </c>
      <c r="Q48" s="62">
        <v>1</v>
      </c>
      <c r="R48" s="62">
        <v>30</v>
      </c>
    </row>
    <row r="49" spans="1:18">
      <c r="A49">
        <v>60</v>
      </c>
      <c r="B49">
        <f>MATCH(C49,統合マスタ!$C$5:$C$850,0)</f>
        <v>820</v>
      </c>
      <c r="C49" t="s">
        <v>1240</v>
      </c>
      <c r="D49" t="s">
        <v>1451</v>
      </c>
      <c r="E49" s="62">
        <v>220</v>
      </c>
      <c r="F49" s="62">
        <v>66.6666666666666</v>
      </c>
      <c r="G49" s="62" t="s">
        <v>1451</v>
      </c>
      <c r="H49" s="62">
        <v>221</v>
      </c>
      <c r="I49" s="62">
        <v>66.6666666666666</v>
      </c>
    </row>
    <row r="50" spans="1:18">
      <c r="A50">
        <v>61</v>
      </c>
      <c r="B50">
        <f>MATCH(C50,統合マスタ!$C$5:$C$850,0)</f>
        <v>821</v>
      </c>
      <c r="C50" t="s">
        <v>1241</v>
      </c>
      <c r="D50" t="s">
        <v>1451</v>
      </c>
      <c r="E50" s="62">
        <v>220</v>
      </c>
      <c r="F50" s="62">
        <v>58.823529411764703</v>
      </c>
      <c r="G50" s="62" t="s">
        <v>1451</v>
      </c>
      <c r="H50" s="62">
        <v>221</v>
      </c>
      <c r="I50" s="62">
        <v>58.823529411764703</v>
      </c>
    </row>
    <row r="51" spans="1:18">
      <c r="A51">
        <v>62</v>
      </c>
      <c r="B51">
        <f>MATCH(C51,統合マスタ!$C$5:$C$850,0)</f>
        <v>822</v>
      </c>
      <c r="C51" t="s">
        <v>1202</v>
      </c>
      <c r="D51" t="s">
        <v>1549</v>
      </c>
      <c r="E51" s="62">
        <v>335</v>
      </c>
      <c r="F51" s="62">
        <v>100</v>
      </c>
      <c r="G51" s="62" t="s">
        <v>1451</v>
      </c>
      <c r="H51" s="62">
        <v>220</v>
      </c>
      <c r="I51" s="62">
        <v>36.363636363636303</v>
      </c>
      <c r="J51" s="62" t="s">
        <v>1451</v>
      </c>
      <c r="K51" s="62">
        <v>221</v>
      </c>
      <c r="L51" s="62">
        <v>36.363636363636303</v>
      </c>
      <c r="M51" s="62" t="s">
        <v>1486</v>
      </c>
      <c r="N51" s="62">
        <v>267</v>
      </c>
      <c r="O51" s="62">
        <v>30</v>
      </c>
      <c r="P51" s="62" t="s">
        <v>1667</v>
      </c>
      <c r="Q51" s="62">
        <v>464</v>
      </c>
      <c r="R51" s="62">
        <v>30</v>
      </c>
    </row>
    <row r="52" spans="1:18">
      <c r="A52">
        <v>63</v>
      </c>
      <c r="B52">
        <f>MATCH(C52,統合マスタ!$C$5:$C$850,0)</f>
        <v>829</v>
      </c>
      <c r="C52" t="s">
        <v>4031</v>
      </c>
      <c r="D52" t="s">
        <v>1507</v>
      </c>
      <c r="E52" s="62">
        <v>288</v>
      </c>
      <c r="F52" s="62">
        <v>62.857142857142797</v>
      </c>
      <c r="G52" s="62" t="s">
        <v>1507</v>
      </c>
      <c r="H52" s="62">
        <v>289</v>
      </c>
      <c r="I52" s="62">
        <v>62.857142857142797</v>
      </c>
      <c r="J52" s="62" t="s">
        <v>1667</v>
      </c>
      <c r="K52" s="62">
        <v>464</v>
      </c>
      <c r="L52" s="62">
        <v>42.105263157894697</v>
      </c>
      <c r="M52" s="62" t="s">
        <v>1667</v>
      </c>
      <c r="N52" s="62">
        <v>466</v>
      </c>
      <c r="O52" s="62">
        <v>42.105263157894697</v>
      </c>
      <c r="P52" s="62" t="s">
        <v>1668</v>
      </c>
      <c r="Q52" s="62">
        <v>465</v>
      </c>
      <c r="R52" s="62">
        <v>41.025641025641001</v>
      </c>
    </row>
    <row r="53" spans="1:18">
      <c r="A53">
        <v>64</v>
      </c>
      <c r="B53">
        <f>MATCH(C53,統合マスタ!$C$5:$C$850,0)</f>
        <v>830</v>
      </c>
      <c r="C53" t="s">
        <v>4032</v>
      </c>
      <c r="D53" t="s">
        <v>1507</v>
      </c>
      <c r="E53" s="62">
        <v>288</v>
      </c>
      <c r="F53" s="62">
        <v>66.6666666666666</v>
      </c>
      <c r="G53" s="62" t="s">
        <v>1507</v>
      </c>
      <c r="H53" s="62">
        <v>289</v>
      </c>
      <c r="I53" s="62">
        <v>66.6666666666666</v>
      </c>
      <c r="J53" s="62" t="s">
        <v>1667</v>
      </c>
      <c r="K53" s="62">
        <v>464</v>
      </c>
      <c r="L53" s="62">
        <v>44.4444444444444</v>
      </c>
      <c r="M53" s="62" t="s">
        <v>1667</v>
      </c>
      <c r="N53" s="62">
        <v>466</v>
      </c>
      <c r="O53" s="62">
        <v>44.4444444444444</v>
      </c>
      <c r="P53" s="62" t="s">
        <v>1668</v>
      </c>
      <c r="Q53" s="62">
        <v>465</v>
      </c>
      <c r="R53" s="62">
        <v>43.243243243243199</v>
      </c>
    </row>
    <row r="54" spans="1:18">
      <c r="A54">
        <v>65</v>
      </c>
      <c r="B54">
        <f>MATCH(C54,統合マスタ!$C$5:$C$850,0)</f>
        <v>831</v>
      </c>
      <c r="C54" t="s">
        <v>1212</v>
      </c>
      <c r="D54" t="s">
        <v>1586</v>
      </c>
      <c r="E54" s="62">
        <v>376</v>
      </c>
      <c r="F54" s="62">
        <v>55.5555555555555</v>
      </c>
      <c r="G54" s="62" t="s">
        <v>1732</v>
      </c>
      <c r="H54" s="62">
        <v>536</v>
      </c>
      <c r="I54" s="62">
        <v>36.363636363636303</v>
      </c>
      <c r="J54" s="62" t="s">
        <v>1507</v>
      </c>
      <c r="K54" s="62">
        <v>288</v>
      </c>
      <c r="L54" s="62">
        <v>33.3333333333333</v>
      </c>
      <c r="M54" s="62" t="s">
        <v>1507</v>
      </c>
      <c r="N54" s="62">
        <v>289</v>
      </c>
      <c r="O54" s="62">
        <v>33.3333333333333</v>
      </c>
    </row>
    <row r="55" spans="1:18">
      <c r="A55">
        <v>66</v>
      </c>
      <c r="B55">
        <f>MATCH(C55,統合マスタ!$C$5:$C$850,0)</f>
        <v>833</v>
      </c>
      <c r="C55" t="s">
        <v>1217</v>
      </c>
      <c r="D55" t="s">
        <v>1605</v>
      </c>
      <c r="E55" s="62">
        <v>396</v>
      </c>
      <c r="F55" s="62">
        <v>66.6666666666666</v>
      </c>
      <c r="G55" s="62" t="s">
        <v>1582</v>
      </c>
      <c r="H55" s="62">
        <v>371</v>
      </c>
      <c r="I55" s="62">
        <v>44.4444444444444</v>
      </c>
      <c r="J55" s="62" t="s">
        <v>1732</v>
      </c>
      <c r="K55" s="62">
        <v>536</v>
      </c>
      <c r="L55" s="62">
        <v>43.75</v>
      </c>
      <c r="M55" s="62" t="s">
        <v>1466</v>
      </c>
      <c r="N55" s="62">
        <v>239</v>
      </c>
      <c r="O55" s="62">
        <v>37.037037037037003</v>
      </c>
      <c r="P55" s="62" t="s">
        <v>1695</v>
      </c>
      <c r="Q55" s="62">
        <v>495</v>
      </c>
      <c r="R55" s="62">
        <v>35.714285714285701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1B72-B299-4C31-8C30-4193D598596C}">
  <sheetPr filterMode="1"/>
  <dimension ref="A1:F533"/>
  <sheetViews>
    <sheetView workbookViewId="0">
      <selection activeCell="B2" sqref="B2"/>
    </sheetView>
  </sheetViews>
  <sheetFormatPr defaultRowHeight="13.2"/>
  <cols>
    <col min="1" max="1" width="8.88671875" bestFit="1" customWidth="1"/>
    <col min="2" max="2" width="8.88671875" customWidth="1"/>
    <col min="3" max="3" width="57" bestFit="1" customWidth="1"/>
    <col min="4" max="4" width="48.33203125" bestFit="1" customWidth="1"/>
    <col min="5" max="5" width="8.88671875" bestFit="1" customWidth="1"/>
    <col min="6" max="6" width="14.77734375" style="62" bestFit="1" customWidth="1"/>
  </cols>
  <sheetData>
    <row r="1" spans="1:6">
      <c r="A1" t="s">
        <v>3774</v>
      </c>
      <c r="C1" t="s">
        <v>3775</v>
      </c>
      <c r="D1" t="s">
        <v>4075</v>
      </c>
      <c r="E1" t="s">
        <v>4076</v>
      </c>
      <c r="F1" s="62" t="s">
        <v>4077</v>
      </c>
    </row>
    <row r="2" spans="1:6">
      <c r="A2">
        <v>1</v>
      </c>
      <c r="B2">
        <f>MATCH(C2,統合マスタ!$C$5:$C$836,0)</f>
        <v>8</v>
      </c>
      <c r="C2" t="s">
        <v>3864</v>
      </c>
      <c r="D2" t="s">
        <v>1501</v>
      </c>
      <c r="E2">
        <v>282</v>
      </c>
      <c r="F2" s="62">
        <v>32.258064516128997</v>
      </c>
    </row>
    <row r="3" spans="1:6">
      <c r="A3">
        <v>2</v>
      </c>
      <c r="B3" s="49">
        <f>MATCH(C3,統合マスタ!$C$5:$C$836,0)</f>
        <v>24</v>
      </c>
      <c r="C3" t="s">
        <v>3880</v>
      </c>
      <c r="D3" t="s">
        <v>1301</v>
      </c>
      <c r="E3">
        <v>59</v>
      </c>
      <c r="F3" s="62">
        <v>82.758620689655103</v>
      </c>
    </row>
    <row r="4" spans="1:6">
      <c r="A4">
        <v>3</v>
      </c>
      <c r="B4">
        <f>MATCH(C4,統合マスタ!$C$5:$C$836,0)</f>
        <v>41</v>
      </c>
      <c r="C4" t="s">
        <v>3885</v>
      </c>
      <c r="D4" t="s">
        <v>1252</v>
      </c>
      <c r="E4">
        <v>10</v>
      </c>
      <c r="F4" s="62">
        <v>78.947368421052602</v>
      </c>
    </row>
    <row r="5" spans="1:6">
      <c r="A5">
        <v>4</v>
      </c>
      <c r="B5">
        <f>MATCH(C5,統合マスタ!$C$5:$C$836,0)</f>
        <v>50</v>
      </c>
      <c r="C5" t="s">
        <v>3887</v>
      </c>
      <c r="D5" t="s">
        <v>1259</v>
      </c>
      <c r="E5">
        <v>17</v>
      </c>
      <c r="F5" s="62">
        <v>35.294117647058798</v>
      </c>
    </row>
    <row r="6" spans="1:6">
      <c r="A6">
        <v>5</v>
      </c>
      <c r="B6">
        <f>MATCH(C6,統合マスタ!$C$5:$C$836,0)</f>
        <v>54</v>
      </c>
      <c r="C6" t="s">
        <v>1262</v>
      </c>
      <c r="D6" t="s">
        <v>1261</v>
      </c>
      <c r="E6">
        <v>19</v>
      </c>
      <c r="F6" s="62">
        <v>93.75</v>
      </c>
    </row>
    <row r="7" spans="1:6">
      <c r="A7">
        <v>6</v>
      </c>
      <c r="B7">
        <f>MATCH(C7,統合マスタ!$C$5:$C$836,0)</f>
        <v>63</v>
      </c>
      <c r="C7" t="s">
        <v>3889</v>
      </c>
      <c r="D7" t="s">
        <v>1271</v>
      </c>
      <c r="E7">
        <v>28</v>
      </c>
      <c r="F7" s="62">
        <v>71.428571428571402</v>
      </c>
    </row>
    <row r="8" spans="1:6">
      <c r="A8">
        <v>7</v>
      </c>
      <c r="B8">
        <f>MATCH(C8,統合マスタ!$C$5:$C$836,0)</f>
        <v>66</v>
      </c>
      <c r="C8" t="s">
        <v>3892</v>
      </c>
      <c r="D8" t="s">
        <v>1272</v>
      </c>
      <c r="E8">
        <v>29</v>
      </c>
      <c r="F8" s="62">
        <v>71.428571428571402</v>
      </c>
    </row>
    <row r="9" spans="1:6">
      <c r="A9">
        <v>8</v>
      </c>
      <c r="B9">
        <f>MATCH(C9,統合マスタ!$C$5:$C$836,0)</f>
        <v>71</v>
      </c>
      <c r="C9" t="s">
        <v>198</v>
      </c>
      <c r="D9" t="s">
        <v>707</v>
      </c>
      <c r="E9">
        <v>344</v>
      </c>
      <c r="F9" s="62">
        <v>86.956521739130395</v>
      </c>
    </row>
    <row r="10" spans="1:6">
      <c r="A10">
        <v>9</v>
      </c>
      <c r="B10">
        <f>MATCH(C10,統合マスタ!$C$5:$C$836,0)</f>
        <v>76</v>
      </c>
      <c r="C10" t="s">
        <v>3894</v>
      </c>
      <c r="D10" t="s">
        <v>1282</v>
      </c>
      <c r="E10">
        <v>38</v>
      </c>
      <c r="F10" s="62">
        <v>78.571428571428498</v>
      </c>
    </row>
    <row r="11" spans="1:6">
      <c r="A11">
        <v>10</v>
      </c>
      <c r="B11">
        <f>MATCH(C11,統合マスタ!$C$5:$C$836,0)</f>
        <v>96</v>
      </c>
      <c r="C11" t="s">
        <v>3897</v>
      </c>
      <c r="D11" t="s">
        <v>248</v>
      </c>
      <c r="E11">
        <v>53</v>
      </c>
      <c r="F11" s="62">
        <v>75</v>
      </c>
    </row>
    <row r="12" spans="1:6">
      <c r="A12">
        <v>11</v>
      </c>
      <c r="B12">
        <f>MATCH(C12,統合マスタ!$C$5:$C$836,0)</f>
        <v>100</v>
      </c>
      <c r="C12" t="s">
        <v>1297</v>
      </c>
      <c r="D12" t="s">
        <v>1739</v>
      </c>
      <c r="E12">
        <v>543</v>
      </c>
      <c r="F12" s="62">
        <v>66.6666666666666</v>
      </c>
    </row>
    <row r="13" spans="1:6">
      <c r="A13">
        <v>12</v>
      </c>
      <c r="B13">
        <f>MATCH(C13,統合マスタ!$C$5:$C$836,0)</f>
        <v>102</v>
      </c>
      <c r="C13" t="s">
        <v>3898</v>
      </c>
      <c r="D13" t="s">
        <v>1363</v>
      </c>
      <c r="E13">
        <v>123</v>
      </c>
      <c r="F13" s="62">
        <v>33.3333333333333</v>
      </c>
    </row>
    <row r="14" spans="1:6" hidden="1">
      <c r="A14">
        <v>13</v>
      </c>
      <c r="B14" s="49">
        <f>MATCH(C14,統合マスタ!$C$5:$C$836,0)</f>
        <v>103</v>
      </c>
      <c r="C14" t="s">
        <v>263</v>
      </c>
      <c r="D14" t="s">
        <v>263</v>
      </c>
      <c r="E14">
        <v>57</v>
      </c>
      <c r="F14" s="62">
        <v>100</v>
      </c>
    </row>
    <row r="15" spans="1:6">
      <c r="A15">
        <v>14</v>
      </c>
      <c r="B15">
        <f>MATCH(C15,統合マスタ!$C$5:$C$836,0)</f>
        <v>120</v>
      </c>
      <c r="C15" t="s">
        <v>3900</v>
      </c>
      <c r="D15" t="s">
        <v>1649</v>
      </c>
      <c r="E15">
        <v>445</v>
      </c>
      <c r="F15" s="62">
        <v>53.846153846153797</v>
      </c>
    </row>
    <row r="16" spans="1:6">
      <c r="A16">
        <v>15</v>
      </c>
      <c r="B16">
        <f>MATCH(C16,統合マスタ!$C$5:$C$836,0)</f>
        <v>138</v>
      </c>
      <c r="C16" t="s">
        <v>3901</v>
      </c>
      <c r="D16" t="s">
        <v>1531</v>
      </c>
      <c r="E16">
        <v>314</v>
      </c>
      <c r="F16" s="62">
        <v>64</v>
      </c>
    </row>
    <row r="17" spans="1:6" hidden="1">
      <c r="A17">
        <v>16</v>
      </c>
      <c r="B17" s="49">
        <f>MATCH(C17,統合マスタ!$C$5:$C$836,0)</f>
        <v>152</v>
      </c>
      <c r="C17" t="s">
        <v>1340</v>
      </c>
      <c r="D17" t="s">
        <v>1340</v>
      </c>
      <c r="E17">
        <v>100</v>
      </c>
      <c r="F17" s="62">
        <v>100</v>
      </c>
    </row>
    <row r="18" spans="1:6">
      <c r="A18">
        <v>17</v>
      </c>
      <c r="B18">
        <f>MATCH(C18,統合マスタ!$C$5:$C$836,0)</f>
        <v>164</v>
      </c>
      <c r="C18" t="s">
        <v>365</v>
      </c>
      <c r="F18" s="62">
        <v>0</v>
      </c>
    </row>
    <row r="19" spans="1:6">
      <c r="A19">
        <v>18</v>
      </c>
      <c r="B19">
        <f>MATCH(C19,統合マスタ!$C$5:$C$836,0)</f>
        <v>182</v>
      </c>
      <c r="C19" t="s">
        <v>3912</v>
      </c>
      <c r="D19" t="s">
        <v>1366</v>
      </c>
      <c r="E19">
        <v>126</v>
      </c>
      <c r="F19" s="62">
        <v>83.870967741935402</v>
      </c>
    </row>
    <row r="20" spans="1:6">
      <c r="A20">
        <v>19</v>
      </c>
      <c r="B20">
        <f>MATCH(C20,統合マスタ!$C$5:$C$836,0)</f>
        <v>187</v>
      </c>
      <c r="C20" t="s">
        <v>1375</v>
      </c>
      <c r="D20" t="s">
        <v>1376</v>
      </c>
      <c r="E20">
        <v>135</v>
      </c>
      <c r="F20" s="62">
        <v>90.909090909090907</v>
      </c>
    </row>
    <row r="21" spans="1:6">
      <c r="A21">
        <v>20</v>
      </c>
      <c r="B21">
        <f>MATCH(C21,統合マスタ!$C$5:$C$836,0)</f>
        <v>226</v>
      </c>
      <c r="C21" t="s">
        <v>1406</v>
      </c>
      <c r="D21" t="s">
        <v>1405</v>
      </c>
      <c r="E21">
        <v>166</v>
      </c>
      <c r="F21" s="62">
        <v>75.862068965517196</v>
      </c>
    </row>
    <row r="22" spans="1:6">
      <c r="A22">
        <v>21</v>
      </c>
      <c r="B22">
        <f>MATCH(C22,統合マスタ!$C$5:$C$836,0)</f>
        <v>229</v>
      </c>
      <c r="C22" t="s">
        <v>1411</v>
      </c>
      <c r="D22" t="s">
        <v>1455</v>
      </c>
      <c r="E22">
        <v>226</v>
      </c>
      <c r="F22" s="62">
        <v>70</v>
      </c>
    </row>
    <row r="23" spans="1:6">
      <c r="A23">
        <v>22</v>
      </c>
      <c r="B23">
        <f>MATCH(C23,統合マスタ!$C$5:$C$836,0)</f>
        <v>232</v>
      </c>
      <c r="C23" t="s">
        <v>3918</v>
      </c>
      <c r="D23" t="s">
        <v>1023</v>
      </c>
      <c r="E23">
        <v>574</v>
      </c>
      <c r="F23" s="62">
        <v>52.941176470588204</v>
      </c>
    </row>
    <row r="24" spans="1:6">
      <c r="A24">
        <v>23</v>
      </c>
      <c r="B24">
        <f>MATCH(C24,統合マスタ!$C$5:$C$836,0)</f>
        <v>233</v>
      </c>
      <c r="C24" t="s">
        <v>470</v>
      </c>
      <c r="D24" t="s">
        <v>1304</v>
      </c>
      <c r="E24">
        <v>62</v>
      </c>
      <c r="F24" s="62">
        <v>50</v>
      </c>
    </row>
    <row r="25" spans="1:6" hidden="1">
      <c r="A25">
        <v>24</v>
      </c>
      <c r="B25" s="49">
        <f>MATCH(C25,統合マスタ!$C$5:$C$836,0)</f>
        <v>252</v>
      </c>
      <c r="C25" t="s">
        <v>1421</v>
      </c>
      <c r="D25" t="s">
        <v>1421</v>
      </c>
      <c r="E25">
        <v>189</v>
      </c>
      <c r="F25" s="62">
        <v>100</v>
      </c>
    </row>
    <row r="26" spans="1:6" hidden="1">
      <c r="A26">
        <v>25</v>
      </c>
      <c r="B26" s="49">
        <f>MATCH(C26,統合マスタ!$C$5:$C$836,0)</f>
        <v>276</v>
      </c>
      <c r="C26" t="s">
        <v>1446</v>
      </c>
      <c r="D26" t="s">
        <v>1446</v>
      </c>
      <c r="E26">
        <v>215</v>
      </c>
      <c r="F26" s="62">
        <v>100</v>
      </c>
    </row>
    <row r="27" spans="1:6">
      <c r="A27">
        <v>26</v>
      </c>
      <c r="B27">
        <f>MATCH(C27,統合マスタ!$C$5:$C$836,0)</f>
        <v>282</v>
      </c>
      <c r="C27" t="s">
        <v>3925</v>
      </c>
      <c r="D27" t="s">
        <v>1701</v>
      </c>
      <c r="E27">
        <v>502</v>
      </c>
      <c r="F27" s="62">
        <v>30.303030303030202</v>
      </c>
    </row>
    <row r="28" spans="1:6">
      <c r="A28">
        <v>27</v>
      </c>
      <c r="B28">
        <f>MATCH(C28,統合マスタ!$C$5:$C$836,0)</f>
        <v>283</v>
      </c>
      <c r="C28" t="s">
        <v>3926</v>
      </c>
      <c r="D28" t="s">
        <v>4078</v>
      </c>
      <c r="E28">
        <v>537</v>
      </c>
      <c r="F28" s="62">
        <v>41.176470588235198</v>
      </c>
    </row>
    <row r="29" spans="1:6">
      <c r="A29">
        <v>28</v>
      </c>
      <c r="B29">
        <f>MATCH(C29,統合マスタ!$C$5:$C$836,0)</f>
        <v>362</v>
      </c>
      <c r="C29" t="s">
        <v>3940</v>
      </c>
      <c r="D29" t="s">
        <v>1531</v>
      </c>
      <c r="E29">
        <v>314</v>
      </c>
      <c r="F29" s="62">
        <v>66.6666666666666</v>
      </c>
    </row>
    <row r="30" spans="1:6">
      <c r="A30">
        <v>29</v>
      </c>
      <c r="B30">
        <f>MATCH(C30,統合マスタ!$C$5:$C$836,0)</f>
        <v>364</v>
      </c>
      <c r="C30" t="s">
        <v>3941</v>
      </c>
      <c r="D30" t="s">
        <v>1531</v>
      </c>
      <c r="E30">
        <v>314</v>
      </c>
      <c r="F30" s="62">
        <v>84.615384615384599</v>
      </c>
    </row>
    <row r="31" spans="1:6">
      <c r="A31">
        <v>30</v>
      </c>
      <c r="B31">
        <f>MATCH(C31,統合マスタ!$C$5:$C$836,0)</f>
        <v>370</v>
      </c>
      <c r="C31" t="s">
        <v>668</v>
      </c>
      <c r="D31" t="s">
        <v>765</v>
      </c>
      <c r="E31">
        <v>389</v>
      </c>
      <c r="F31" s="62">
        <v>47.619047619047599</v>
      </c>
    </row>
    <row r="32" spans="1:6">
      <c r="A32">
        <v>31</v>
      </c>
      <c r="B32">
        <f>MATCH(C32,統合マスタ!$C$5:$C$836,0)</f>
        <v>388</v>
      </c>
      <c r="C32" t="s">
        <v>1547</v>
      </c>
      <c r="D32" t="s">
        <v>1739</v>
      </c>
      <c r="E32">
        <v>543</v>
      </c>
      <c r="F32" s="62">
        <v>66.6666666666666</v>
      </c>
    </row>
    <row r="33" spans="1:6" hidden="1">
      <c r="A33">
        <v>32</v>
      </c>
      <c r="B33" s="49">
        <f>MATCH(C33,統合マスタ!$C$5:$C$836,0)</f>
        <v>407</v>
      </c>
      <c r="C33" t="s">
        <v>3945</v>
      </c>
      <c r="D33" t="s">
        <v>1562</v>
      </c>
      <c r="E33">
        <v>349</v>
      </c>
      <c r="F33" s="62">
        <v>100</v>
      </c>
    </row>
    <row r="34" spans="1:6" hidden="1">
      <c r="A34">
        <v>33</v>
      </c>
      <c r="B34" s="49">
        <f>MATCH(C34,統合マスタ!$C$5:$C$836,0)</f>
        <v>408</v>
      </c>
      <c r="C34" t="s">
        <v>715</v>
      </c>
      <c r="D34" t="s">
        <v>1563</v>
      </c>
      <c r="E34">
        <v>350</v>
      </c>
      <c r="F34" s="62">
        <v>100</v>
      </c>
    </row>
    <row r="35" spans="1:6">
      <c r="A35">
        <v>34</v>
      </c>
      <c r="B35">
        <f>MATCH(C35,統合マスタ!$C$5:$C$836,0)</f>
        <v>409</v>
      </c>
      <c r="C35" t="s">
        <v>3946</v>
      </c>
      <c r="D35" t="s">
        <v>1564</v>
      </c>
      <c r="E35">
        <v>351</v>
      </c>
      <c r="F35" s="62">
        <v>73.170731707317003</v>
      </c>
    </row>
    <row r="36" spans="1:6">
      <c r="A36">
        <v>35</v>
      </c>
      <c r="B36">
        <f>MATCH(C36,統合マスタ!$C$5:$C$836,0)</f>
        <v>410</v>
      </c>
      <c r="C36" t="s">
        <v>3947</v>
      </c>
      <c r="D36" t="s">
        <v>1564</v>
      </c>
      <c r="E36">
        <v>351</v>
      </c>
      <c r="F36" s="62">
        <v>75</v>
      </c>
    </row>
    <row r="37" spans="1:6" hidden="1">
      <c r="A37">
        <v>36</v>
      </c>
      <c r="B37">
        <f>MATCH(C37,統合マスタ!$C$5:$C$836,0)</f>
        <v>411</v>
      </c>
      <c r="C37" t="s">
        <v>3948</v>
      </c>
      <c r="D37" t="s">
        <v>1564</v>
      </c>
      <c r="E37">
        <v>351</v>
      </c>
      <c r="F37" s="62">
        <v>100</v>
      </c>
    </row>
    <row r="38" spans="1:6" hidden="1">
      <c r="A38">
        <v>37</v>
      </c>
      <c r="B38" s="49">
        <f>MATCH(C38,統合マスタ!$C$5:$C$836,0)</f>
        <v>423</v>
      </c>
      <c r="C38" t="s">
        <v>3951</v>
      </c>
      <c r="D38" t="s">
        <v>1575</v>
      </c>
      <c r="E38">
        <v>363</v>
      </c>
      <c r="F38" s="62">
        <v>100</v>
      </c>
    </row>
    <row r="39" spans="1:6" hidden="1">
      <c r="A39">
        <v>38</v>
      </c>
      <c r="B39" s="49">
        <f>MATCH(C39,統合マスタ!$C$5:$C$836,0)</f>
        <v>428</v>
      </c>
      <c r="C39" t="s">
        <v>3952</v>
      </c>
      <c r="D39" t="s">
        <v>1581</v>
      </c>
      <c r="E39">
        <v>370</v>
      </c>
      <c r="F39" s="62">
        <v>100</v>
      </c>
    </row>
    <row r="40" spans="1:6">
      <c r="A40">
        <v>39</v>
      </c>
      <c r="B40" s="49">
        <f>MATCH(C40,統合マスタ!$C$5:$C$836,0)</f>
        <v>435</v>
      </c>
      <c r="C40" t="s">
        <v>3953</v>
      </c>
      <c r="D40" t="s">
        <v>1588</v>
      </c>
      <c r="E40">
        <v>378</v>
      </c>
      <c r="F40" s="62">
        <v>82.352941176470495</v>
      </c>
    </row>
    <row r="41" spans="1:6">
      <c r="A41">
        <v>40</v>
      </c>
      <c r="B41">
        <f>MATCH(C41,統合マスタ!$C$5:$C$836,0)</f>
        <v>438</v>
      </c>
      <c r="C41" t="s">
        <v>753</v>
      </c>
      <c r="D41" t="s">
        <v>1592</v>
      </c>
      <c r="E41">
        <v>382</v>
      </c>
      <c r="F41" s="62">
        <v>93.3333333333333</v>
      </c>
    </row>
    <row r="42" spans="1:6" hidden="1">
      <c r="A42">
        <v>41</v>
      </c>
      <c r="B42" s="49">
        <f>MATCH(C42,統合マスタ!$C$5:$C$836,0)</f>
        <v>444</v>
      </c>
      <c r="C42" t="s">
        <v>1596</v>
      </c>
      <c r="D42" t="s">
        <v>1596</v>
      </c>
      <c r="E42">
        <v>387</v>
      </c>
      <c r="F42" s="62">
        <v>100</v>
      </c>
    </row>
    <row r="43" spans="1:6" hidden="1">
      <c r="A43">
        <v>42</v>
      </c>
      <c r="B43" s="49">
        <f>MATCH(C43,統合マスタ!$C$5:$C$836,0)</f>
        <v>479</v>
      </c>
      <c r="C43" t="s">
        <v>1624</v>
      </c>
      <c r="D43" t="s">
        <v>1624</v>
      </c>
      <c r="E43">
        <v>417</v>
      </c>
      <c r="F43" s="62">
        <v>100</v>
      </c>
    </row>
    <row r="44" spans="1:6">
      <c r="A44">
        <v>43</v>
      </c>
      <c r="B44">
        <f>MATCH(C44,統合マスタ!$C$5:$C$836,0)</f>
        <v>481</v>
      </c>
      <c r="C44" t="s">
        <v>3963</v>
      </c>
      <c r="D44" t="s">
        <v>1393</v>
      </c>
      <c r="E44">
        <v>154</v>
      </c>
      <c r="F44" s="62">
        <v>72.2222222222222</v>
      </c>
    </row>
    <row r="45" spans="1:6">
      <c r="A45">
        <v>44</v>
      </c>
      <c r="B45">
        <f>MATCH(C45,統合マスタ!$C$5:$C$836,0)</f>
        <v>503</v>
      </c>
      <c r="C45" t="s">
        <v>1638</v>
      </c>
      <c r="D45" t="s">
        <v>831</v>
      </c>
      <c r="E45">
        <v>435</v>
      </c>
      <c r="F45" s="62">
        <v>80</v>
      </c>
    </row>
    <row r="46" spans="1:6">
      <c r="A46">
        <v>45</v>
      </c>
      <c r="B46">
        <f>MATCH(C46,統合マスタ!$C$5:$C$836,0)</f>
        <v>513</v>
      </c>
      <c r="C46" t="s">
        <v>3968</v>
      </c>
      <c r="D46" t="s">
        <v>1340</v>
      </c>
      <c r="E46">
        <v>100</v>
      </c>
      <c r="F46" s="62">
        <v>45.454545454545404</v>
      </c>
    </row>
    <row r="47" spans="1:6">
      <c r="A47">
        <v>46</v>
      </c>
      <c r="B47" s="49">
        <f>MATCH(C47,統合マスタ!$C$5:$C$836,0)</f>
        <v>516</v>
      </c>
      <c r="C47" t="s">
        <v>3969</v>
      </c>
      <c r="D47" t="s">
        <v>1645</v>
      </c>
      <c r="E47">
        <v>441</v>
      </c>
      <c r="F47" s="62">
        <v>96.551724137931004</v>
      </c>
    </row>
    <row r="48" spans="1:6" ht="26.4">
      <c r="A48">
        <v>47</v>
      </c>
      <c r="B48" t="e">
        <f>MATCH(C48,統合マスタ!$C$5:$C$836,0)</f>
        <v>#N/A</v>
      </c>
      <c r="C48" s="17" t="s">
        <v>4079</v>
      </c>
      <c r="D48" t="s">
        <v>1657</v>
      </c>
      <c r="E48">
        <v>453</v>
      </c>
      <c r="F48" s="62">
        <v>70.270270270270203</v>
      </c>
    </row>
    <row r="49" spans="1:6">
      <c r="A49">
        <v>48</v>
      </c>
      <c r="B49" s="49">
        <f>MATCH(C49,統合マスタ!$C$5:$C$836,0)</f>
        <v>533</v>
      </c>
      <c r="C49" t="s">
        <v>862</v>
      </c>
      <c r="D49" t="s">
        <v>1660</v>
      </c>
      <c r="E49">
        <v>456</v>
      </c>
      <c r="F49" s="62">
        <v>95</v>
      </c>
    </row>
    <row r="50" spans="1:6">
      <c r="A50">
        <v>49</v>
      </c>
      <c r="B50">
        <f>MATCH(C50,統合マスタ!$C$5:$C$836,0)</f>
        <v>537</v>
      </c>
      <c r="C50" t="s">
        <v>865</v>
      </c>
      <c r="D50" t="s">
        <v>1661</v>
      </c>
      <c r="E50">
        <v>457</v>
      </c>
      <c r="F50" s="62">
        <v>47.619047619047599</v>
      </c>
    </row>
    <row r="51" spans="1:6">
      <c r="A51">
        <v>50</v>
      </c>
      <c r="B51">
        <f>MATCH(C51,統合マスタ!$C$5:$C$836,0)</f>
        <v>539</v>
      </c>
      <c r="C51" t="s">
        <v>867</v>
      </c>
      <c r="D51" t="s">
        <v>1663</v>
      </c>
      <c r="E51">
        <v>460</v>
      </c>
      <c r="F51" s="62">
        <v>82.352941176470495</v>
      </c>
    </row>
    <row r="52" spans="1:6">
      <c r="A52">
        <v>51</v>
      </c>
      <c r="B52">
        <f>MATCH(C52,統合マスタ!$C$5:$C$836,0)</f>
        <v>540</v>
      </c>
      <c r="C52" t="s">
        <v>3971</v>
      </c>
      <c r="D52" t="s">
        <v>1665</v>
      </c>
      <c r="E52">
        <v>462</v>
      </c>
      <c r="F52" s="62">
        <v>86.956521739130395</v>
      </c>
    </row>
    <row r="53" spans="1:6">
      <c r="A53">
        <v>52</v>
      </c>
      <c r="B53">
        <f>MATCH(C53,統合マスタ!$C$5:$C$836,0)</f>
        <v>541</v>
      </c>
      <c r="C53" t="s">
        <v>869</v>
      </c>
      <c r="D53" t="s">
        <v>1666</v>
      </c>
      <c r="E53">
        <v>463</v>
      </c>
      <c r="F53" s="62">
        <v>61.538461538461497</v>
      </c>
    </row>
    <row r="54" spans="1:6">
      <c r="A54">
        <v>53</v>
      </c>
      <c r="B54">
        <f>MATCH(C54,統合マスタ!$C$5:$C$836,0)</f>
        <v>542</v>
      </c>
      <c r="C54" t="s">
        <v>3972</v>
      </c>
      <c r="D54" t="s">
        <v>1668</v>
      </c>
      <c r="E54">
        <v>465</v>
      </c>
      <c r="F54" s="62">
        <v>93.3333333333333</v>
      </c>
    </row>
    <row r="55" spans="1:6">
      <c r="A55">
        <v>54</v>
      </c>
      <c r="B55">
        <f>MATCH(C55,統合マスタ!$C$5:$C$836,0)</f>
        <v>544</v>
      </c>
      <c r="C55" t="s">
        <v>3973</v>
      </c>
      <c r="D55" t="s">
        <v>1667</v>
      </c>
      <c r="E55">
        <v>464</v>
      </c>
      <c r="F55" s="62">
        <v>87.5</v>
      </c>
    </row>
    <row r="56" spans="1:6" hidden="1">
      <c r="A56">
        <v>55</v>
      </c>
      <c r="B56" s="49">
        <f>MATCH(C56,統合マスタ!$C$5:$C$836,0)</f>
        <v>553</v>
      </c>
      <c r="C56" t="s">
        <v>1678</v>
      </c>
      <c r="D56" t="s">
        <v>1678</v>
      </c>
      <c r="E56">
        <v>477</v>
      </c>
      <c r="F56" s="62">
        <v>100</v>
      </c>
    </row>
    <row r="57" spans="1:6" hidden="1">
      <c r="A57">
        <v>56</v>
      </c>
      <c r="B57" s="49">
        <f>MATCH(C57,統合マスタ!$C$5:$C$836,0)</f>
        <v>562</v>
      </c>
      <c r="C57" t="s">
        <v>3975</v>
      </c>
      <c r="D57" t="s">
        <v>1685</v>
      </c>
      <c r="E57">
        <v>485</v>
      </c>
      <c r="F57" s="62">
        <v>100</v>
      </c>
    </row>
    <row r="58" spans="1:6">
      <c r="A58">
        <v>57</v>
      </c>
      <c r="B58">
        <f>MATCH(C58,統合マスタ!$C$5:$C$836,0)</f>
        <v>566</v>
      </c>
      <c r="C58" t="s">
        <v>3976</v>
      </c>
      <c r="D58" t="s">
        <v>1688</v>
      </c>
      <c r="E58">
        <v>488</v>
      </c>
      <c r="F58" s="62">
        <v>93.3333333333333</v>
      </c>
    </row>
    <row r="59" spans="1:6">
      <c r="A59">
        <v>58</v>
      </c>
      <c r="B59">
        <f>MATCH(C59,統合マスタ!$C$5:$C$836,0)</f>
        <v>580</v>
      </c>
      <c r="C59" t="s">
        <v>3978</v>
      </c>
      <c r="D59" t="s">
        <v>1702</v>
      </c>
      <c r="E59">
        <v>503</v>
      </c>
      <c r="F59" s="62">
        <v>75.5555555555555</v>
      </c>
    </row>
    <row r="60" spans="1:6">
      <c r="A60">
        <v>59</v>
      </c>
      <c r="B60" s="49">
        <f>MATCH(C60,統合マスタ!$C$5:$C$836,0)</f>
        <v>584</v>
      </c>
      <c r="C60" t="s">
        <v>3979</v>
      </c>
      <c r="D60" t="s">
        <v>1704</v>
      </c>
      <c r="E60">
        <v>505</v>
      </c>
      <c r="F60" s="62">
        <v>88.8888888888888</v>
      </c>
    </row>
    <row r="61" spans="1:6" hidden="1">
      <c r="A61">
        <v>60</v>
      </c>
      <c r="B61" s="49">
        <f>MATCH(C61,統合マスタ!$C$5:$C$836,0)</f>
        <v>587</v>
      </c>
      <c r="C61" t="s">
        <v>925</v>
      </c>
      <c r="D61" t="s">
        <v>1706</v>
      </c>
      <c r="E61">
        <v>508</v>
      </c>
      <c r="F61" s="62">
        <v>100</v>
      </c>
    </row>
    <row r="62" spans="1:6" hidden="1">
      <c r="A62">
        <v>61</v>
      </c>
      <c r="B62" s="49">
        <f>MATCH(C62,統合マスタ!$C$5:$C$836,0)</f>
        <v>602</v>
      </c>
      <c r="C62" t="s">
        <v>3985</v>
      </c>
      <c r="D62" t="s">
        <v>1721</v>
      </c>
      <c r="E62">
        <v>523</v>
      </c>
      <c r="F62" s="62">
        <v>100</v>
      </c>
    </row>
    <row r="63" spans="1:6">
      <c r="A63">
        <v>62</v>
      </c>
      <c r="B63" s="49">
        <f>MATCH(C63,統合マスタ!$C$5:$C$836,0)</f>
        <v>610</v>
      </c>
      <c r="C63" t="s">
        <v>3987</v>
      </c>
      <c r="D63" t="s">
        <v>1736</v>
      </c>
      <c r="E63">
        <v>540</v>
      </c>
      <c r="F63" s="62">
        <v>90.909090909090907</v>
      </c>
    </row>
    <row r="64" spans="1:6">
      <c r="A64">
        <v>63</v>
      </c>
      <c r="B64">
        <f>MATCH(C64,統合マスタ!$C$5:$C$836,0)</f>
        <v>619</v>
      </c>
      <c r="C64" t="s">
        <v>3993</v>
      </c>
      <c r="D64" t="s">
        <v>1732</v>
      </c>
      <c r="E64">
        <v>536</v>
      </c>
      <c r="F64" s="62">
        <v>65</v>
      </c>
    </row>
    <row r="65" spans="1:6" hidden="1">
      <c r="A65">
        <v>64</v>
      </c>
      <c r="B65" s="49">
        <f>MATCH(C65,統合マスタ!$C$5:$C$836,0)</f>
        <v>626</v>
      </c>
      <c r="C65" t="s">
        <v>1739</v>
      </c>
      <c r="D65" t="s">
        <v>1739</v>
      </c>
      <c r="E65">
        <v>543</v>
      </c>
      <c r="F65" s="62">
        <v>100</v>
      </c>
    </row>
    <row r="66" spans="1:6">
      <c r="A66">
        <v>65</v>
      </c>
      <c r="B66">
        <f>MATCH(C66,統合マスタ!$C$5:$C$836,0)</f>
        <v>634</v>
      </c>
      <c r="C66" t="s">
        <v>1742</v>
      </c>
      <c r="D66" t="s">
        <v>757</v>
      </c>
      <c r="E66">
        <v>384</v>
      </c>
      <c r="F66" s="62">
        <v>72</v>
      </c>
    </row>
    <row r="67" spans="1:6">
      <c r="A67">
        <v>66</v>
      </c>
      <c r="B67" s="49">
        <f>MATCH(C67,統合マスタ!$C$5:$C$836,0)</f>
        <v>672</v>
      </c>
      <c r="C67" t="s">
        <v>3998</v>
      </c>
      <c r="D67" t="s">
        <v>1776</v>
      </c>
      <c r="E67">
        <v>586</v>
      </c>
      <c r="F67" s="62">
        <v>85.714285714285694</v>
      </c>
    </row>
    <row r="68" spans="1:6">
      <c r="A68">
        <v>67</v>
      </c>
      <c r="B68" s="49">
        <f>MATCH(C68,統合マスタ!$C$5:$C$836,0)</f>
        <v>673</v>
      </c>
      <c r="C68" t="s">
        <v>3999</v>
      </c>
      <c r="D68" t="s">
        <v>1775</v>
      </c>
      <c r="E68">
        <v>585</v>
      </c>
      <c r="F68" s="62">
        <v>84.848484848484802</v>
      </c>
    </row>
    <row r="69" spans="1:6">
      <c r="A69">
        <v>68</v>
      </c>
      <c r="B69">
        <f>MATCH(C69,統合マスタ!$C$5:$C$836,0)</f>
        <v>675</v>
      </c>
      <c r="C69" t="s">
        <v>4000</v>
      </c>
      <c r="D69" t="s">
        <v>1777</v>
      </c>
      <c r="E69">
        <v>587</v>
      </c>
      <c r="F69" s="62">
        <v>84.848484848484802</v>
      </c>
    </row>
    <row r="70" spans="1:6">
      <c r="A70">
        <v>69</v>
      </c>
      <c r="B70">
        <f>MATCH(C70,統合マスタ!$C$5:$C$836,0)</f>
        <v>676</v>
      </c>
      <c r="C70" t="s">
        <v>4001</v>
      </c>
      <c r="D70" t="s">
        <v>1777</v>
      </c>
      <c r="E70">
        <v>587</v>
      </c>
      <c r="F70" s="62">
        <v>84.848484848484802</v>
      </c>
    </row>
    <row r="71" spans="1:6">
      <c r="A71">
        <v>70</v>
      </c>
      <c r="B71" s="49">
        <f>MATCH(C71,統合マスタ!$C$5:$C$836,0)</f>
        <v>719</v>
      </c>
      <c r="C71" t="s">
        <v>1800</v>
      </c>
      <c r="D71" t="s">
        <v>1805</v>
      </c>
      <c r="E71">
        <v>614</v>
      </c>
      <c r="F71" s="62">
        <v>94.4444444444444</v>
      </c>
    </row>
    <row r="72" spans="1:6">
      <c r="A72">
        <v>71</v>
      </c>
      <c r="B72" s="49">
        <f>MATCH(C72,統合マスタ!$C$5:$C$836,0)</f>
        <v>720</v>
      </c>
      <c r="C72" t="s">
        <v>1802</v>
      </c>
      <c r="D72" t="s">
        <v>1806</v>
      </c>
      <c r="E72">
        <v>615</v>
      </c>
      <c r="F72" s="62">
        <v>93.75</v>
      </c>
    </row>
    <row r="73" spans="1:6" hidden="1">
      <c r="A73">
        <v>72</v>
      </c>
      <c r="B73" s="49">
        <f>MATCH(C73,統合マスタ!$C$5:$C$836,0)</f>
        <v>759</v>
      </c>
      <c r="C73" t="s">
        <v>1834</v>
      </c>
      <c r="D73" t="s">
        <v>1834</v>
      </c>
      <c r="E73">
        <v>646</v>
      </c>
      <c r="F73" s="62">
        <v>100</v>
      </c>
    </row>
    <row r="74" spans="1:6">
      <c r="A74">
        <v>73</v>
      </c>
      <c r="B74">
        <f>MATCH(C74,統合マスタ!$C$5:$C$836,0)</f>
        <v>777</v>
      </c>
      <c r="C74" t="s">
        <v>4021</v>
      </c>
      <c r="D74" t="s">
        <v>1729</v>
      </c>
      <c r="E74">
        <v>532</v>
      </c>
      <c r="F74" s="62">
        <v>55.5555555555555</v>
      </c>
    </row>
    <row r="75" spans="1:6">
      <c r="A75">
        <v>74</v>
      </c>
      <c r="B75" s="49">
        <f>MATCH(C75,統合マスタ!$C$5:$C$836,0)</f>
        <v>799</v>
      </c>
      <c r="C75" t="s">
        <v>4023</v>
      </c>
      <c r="D75" t="s">
        <v>1865</v>
      </c>
      <c r="E75">
        <v>678</v>
      </c>
      <c r="F75" s="62">
        <v>96.296296296296305</v>
      </c>
    </row>
    <row r="76" spans="1:6" hidden="1">
      <c r="A76">
        <v>75</v>
      </c>
      <c r="B76" s="49">
        <f>MATCH(C76,統合マスタ!$C$5:$C$836,0)</f>
        <v>804</v>
      </c>
      <c r="C76" t="s">
        <v>1239</v>
      </c>
      <c r="D76" t="s">
        <v>1243</v>
      </c>
      <c r="E76">
        <v>1</v>
      </c>
      <c r="F76" s="62">
        <v>100</v>
      </c>
    </row>
    <row r="77" spans="1:6">
      <c r="A77">
        <v>76</v>
      </c>
      <c r="B77">
        <f>MATCH(C77,統合マスタ!$C$5:$C$836,0)</f>
        <v>807</v>
      </c>
      <c r="C77" t="s">
        <v>1337</v>
      </c>
      <c r="D77" t="s">
        <v>1677</v>
      </c>
      <c r="E77">
        <v>475</v>
      </c>
      <c r="F77" s="62">
        <v>51.428571428571402</v>
      </c>
    </row>
    <row r="78" spans="1:6">
      <c r="A78">
        <v>77</v>
      </c>
      <c r="B78">
        <f>MATCH(C78,統合マスタ!$C$5:$C$836,0)</f>
        <v>808</v>
      </c>
      <c r="C78" t="s">
        <v>4026</v>
      </c>
      <c r="D78" t="s">
        <v>1470</v>
      </c>
      <c r="E78">
        <v>246</v>
      </c>
      <c r="F78" s="62">
        <v>44.4444444444444</v>
      </c>
    </row>
    <row r="79" spans="1:6">
      <c r="A79">
        <v>78</v>
      </c>
      <c r="B79">
        <f>MATCH(C79,統合マスタ!$C$5:$C$836,0)</f>
        <v>809</v>
      </c>
      <c r="C79" t="s">
        <v>1181</v>
      </c>
      <c r="D79" t="s">
        <v>1470</v>
      </c>
      <c r="E79">
        <v>246</v>
      </c>
      <c r="F79" s="62">
        <v>46.153846153846096</v>
      </c>
    </row>
    <row r="80" spans="1:6">
      <c r="A80">
        <v>79</v>
      </c>
      <c r="B80">
        <f>MATCH(C80,統合マスタ!$C$5:$C$836,0)</f>
        <v>814</v>
      </c>
      <c r="C80" t="s">
        <v>4027</v>
      </c>
      <c r="D80" t="s">
        <v>1453</v>
      </c>
      <c r="E80">
        <v>223</v>
      </c>
      <c r="F80" s="62">
        <v>78.571428571428498</v>
      </c>
    </row>
    <row r="81" spans="1:6">
      <c r="A81">
        <v>80</v>
      </c>
      <c r="B81">
        <f>MATCH(C81,統合マスタ!$C$5:$C$836,0)</f>
        <v>817</v>
      </c>
      <c r="C81" t="s">
        <v>4030</v>
      </c>
      <c r="D81" t="s">
        <v>1454</v>
      </c>
      <c r="E81">
        <v>224</v>
      </c>
      <c r="F81" s="62">
        <v>84.615384615384599</v>
      </c>
    </row>
    <row r="82" spans="1:6">
      <c r="A82">
        <v>81</v>
      </c>
      <c r="B82">
        <f>MATCH(C82,統合マスタ!$C$5:$C$836,0)</f>
        <v>818</v>
      </c>
      <c r="C82" t="s">
        <v>1196</v>
      </c>
      <c r="D82" t="s">
        <v>1732</v>
      </c>
      <c r="E82">
        <v>536</v>
      </c>
      <c r="F82" s="62">
        <v>41.379310344827502</v>
      </c>
    </row>
    <row r="83" spans="1:6">
      <c r="A83">
        <v>82</v>
      </c>
      <c r="B83">
        <f>MATCH(C83,統合マスタ!$C$5:$C$836,0)</f>
        <v>820</v>
      </c>
      <c r="C83" t="s">
        <v>1240</v>
      </c>
      <c r="D83" t="s">
        <v>1451</v>
      </c>
      <c r="E83">
        <v>220</v>
      </c>
      <c r="F83" s="62">
        <v>66.6666666666666</v>
      </c>
    </row>
    <row r="84" spans="1:6">
      <c r="A84">
        <v>83</v>
      </c>
      <c r="B84">
        <f>MATCH(C84,統合マスタ!$C$5:$C$836,0)</f>
        <v>821</v>
      </c>
      <c r="C84" t="s">
        <v>1241</v>
      </c>
      <c r="D84" t="s">
        <v>1451</v>
      </c>
      <c r="E84">
        <v>220</v>
      </c>
      <c r="F84" s="62">
        <v>58.823529411764703</v>
      </c>
    </row>
    <row r="85" spans="1:6" hidden="1">
      <c r="A85">
        <v>84</v>
      </c>
      <c r="B85" s="49">
        <f>MATCH(C85,統合マスタ!$C$5:$C$836,0)</f>
        <v>822</v>
      </c>
      <c r="C85" t="s">
        <v>1202</v>
      </c>
      <c r="D85" t="s">
        <v>1549</v>
      </c>
      <c r="E85">
        <v>335</v>
      </c>
      <c r="F85" s="62">
        <v>100</v>
      </c>
    </row>
    <row r="86" spans="1:6" hidden="1">
      <c r="A86">
        <v>85</v>
      </c>
      <c r="B86" s="49">
        <f>MATCH(C86,統合マスタ!$C$5:$C$836,0)</f>
        <v>828</v>
      </c>
      <c r="C86" t="s">
        <v>1497</v>
      </c>
      <c r="D86" t="s">
        <v>1497</v>
      </c>
      <c r="E86">
        <v>278</v>
      </c>
      <c r="F86" s="62">
        <v>100</v>
      </c>
    </row>
    <row r="87" spans="1:6">
      <c r="A87">
        <v>86</v>
      </c>
      <c r="B87">
        <f>MATCH(C87,統合マスタ!$C$5:$C$836,0)</f>
        <v>829</v>
      </c>
      <c r="C87" t="s">
        <v>4031</v>
      </c>
      <c r="D87" t="s">
        <v>1507</v>
      </c>
      <c r="E87">
        <v>288</v>
      </c>
      <c r="F87" s="62">
        <v>62.857142857142797</v>
      </c>
    </row>
    <row r="88" spans="1:6">
      <c r="A88">
        <v>87</v>
      </c>
      <c r="B88">
        <f>MATCH(C88,統合マスタ!$C$5:$C$836,0)</f>
        <v>830</v>
      </c>
      <c r="C88" t="s">
        <v>4032</v>
      </c>
      <c r="D88" t="s">
        <v>1507</v>
      </c>
      <c r="E88">
        <v>288</v>
      </c>
      <c r="F88" s="62">
        <v>66.6666666666666</v>
      </c>
    </row>
    <row r="89" spans="1:6">
      <c r="A89">
        <v>88</v>
      </c>
      <c r="B89">
        <f>MATCH(C89,統合マスタ!$C$5:$C$836,0)</f>
        <v>831</v>
      </c>
      <c r="C89" t="s">
        <v>1212</v>
      </c>
      <c r="D89" t="s">
        <v>1586</v>
      </c>
      <c r="E89">
        <v>376</v>
      </c>
      <c r="F89" s="62">
        <v>55.5555555555555</v>
      </c>
    </row>
    <row r="90" spans="1:6">
      <c r="A90">
        <v>89</v>
      </c>
      <c r="B90" t="e">
        <f>MATCH(C90,統合マスタ!$C$5:$C$836,0)</f>
        <v>#N/A</v>
      </c>
      <c r="C90" t="s">
        <v>1217</v>
      </c>
      <c r="D90" t="s">
        <v>1605</v>
      </c>
      <c r="E90">
        <v>396</v>
      </c>
      <c r="F90" s="62">
        <v>66.6666666666666</v>
      </c>
    </row>
    <row r="91" spans="1:6">
      <c r="B91" t="e">
        <f>MATCH(C91,統合マスタ!$C$5:$C$836,0)</f>
        <v>#N/A</v>
      </c>
    </row>
    <row r="92" spans="1:6">
      <c r="B92" t="e">
        <f>MATCH(C92,統合マスタ!$C$5:$C$836,0)</f>
        <v>#N/A</v>
      </c>
    </row>
    <row r="93" spans="1:6">
      <c r="B93" t="e">
        <f>MATCH(C93,統合マスタ!$C$5:$C$836,0)</f>
        <v>#N/A</v>
      </c>
    </row>
    <row r="94" spans="1:6">
      <c r="B94" t="e">
        <f>MATCH(C94,統合マスタ!$C$5:$C$836,0)</f>
        <v>#N/A</v>
      </c>
    </row>
    <row r="95" spans="1:6">
      <c r="B95" t="e">
        <f>MATCH(C95,統合マスタ!$C$5:$C$836,0)</f>
        <v>#N/A</v>
      </c>
    </row>
    <row r="96" spans="1:6">
      <c r="B96" t="e">
        <f>MATCH(C96,統合マスタ!$C$5:$C$836,0)</f>
        <v>#N/A</v>
      </c>
    </row>
    <row r="97" spans="2:2">
      <c r="B97" t="e">
        <f>MATCH(C97,統合マスタ!$C$5:$C$836,0)</f>
        <v>#N/A</v>
      </c>
    </row>
    <row r="98" spans="2:2">
      <c r="B98" t="e">
        <f>MATCH(C98,統合マスタ!$C$5:$C$836,0)</f>
        <v>#N/A</v>
      </c>
    </row>
    <row r="99" spans="2:2">
      <c r="B99" t="e">
        <f>MATCH(C99,統合マスタ!$C$5:$C$836,0)</f>
        <v>#N/A</v>
      </c>
    </row>
    <row r="100" spans="2:2">
      <c r="B100" t="e">
        <f>MATCH(C100,統合マスタ!$C$5:$C$836,0)</f>
        <v>#N/A</v>
      </c>
    </row>
    <row r="101" spans="2:2">
      <c r="B101" t="e">
        <f>MATCH(C101,統合マスタ!$C$5:$C$836,0)</f>
        <v>#N/A</v>
      </c>
    </row>
    <row r="102" spans="2:2">
      <c r="B102" t="e">
        <f>MATCH(C102,統合マスタ!$C$5:$C$836,0)</f>
        <v>#N/A</v>
      </c>
    </row>
    <row r="103" spans="2:2">
      <c r="B103" t="e">
        <f>MATCH(C103,統合マスタ!$C$5:$C$836,0)</f>
        <v>#N/A</v>
      </c>
    </row>
    <row r="104" spans="2:2">
      <c r="B104" t="e">
        <f>MATCH(C104,統合マスタ!$C$5:$C$836,0)</f>
        <v>#N/A</v>
      </c>
    </row>
    <row r="105" spans="2:2">
      <c r="B105" t="e">
        <f>MATCH(C105,統合マスタ!$C$5:$C$836,0)</f>
        <v>#N/A</v>
      </c>
    </row>
    <row r="106" spans="2:2">
      <c r="B106" t="e">
        <f>MATCH(C106,統合マスタ!$C$5:$C$836,0)</f>
        <v>#N/A</v>
      </c>
    </row>
    <row r="107" spans="2:2">
      <c r="B107" t="e">
        <f>MATCH(C107,統合マスタ!$C$5:$C$836,0)</f>
        <v>#N/A</v>
      </c>
    </row>
    <row r="108" spans="2:2">
      <c r="B108" t="e">
        <f>MATCH(C108,統合マスタ!$C$5:$C$836,0)</f>
        <v>#N/A</v>
      </c>
    </row>
    <row r="109" spans="2:2">
      <c r="B109" t="e">
        <f>MATCH(C109,統合マスタ!$C$5:$C$836,0)</f>
        <v>#N/A</v>
      </c>
    </row>
    <row r="110" spans="2:2">
      <c r="B110" t="e">
        <f>MATCH(C110,統合マスタ!$C$5:$C$836,0)</f>
        <v>#N/A</v>
      </c>
    </row>
    <row r="111" spans="2:2">
      <c r="B111" t="e">
        <f>MATCH(C111,統合マスタ!$C$5:$C$836,0)</f>
        <v>#N/A</v>
      </c>
    </row>
    <row r="112" spans="2:2">
      <c r="B112" t="e">
        <f>MATCH(C112,統合マスタ!$C$5:$C$836,0)</f>
        <v>#N/A</v>
      </c>
    </row>
    <row r="113" spans="2:2">
      <c r="B113" t="e">
        <f>MATCH(C113,統合マスタ!$C$5:$C$836,0)</f>
        <v>#N/A</v>
      </c>
    </row>
    <row r="114" spans="2:2">
      <c r="B114" t="e">
        <f>MATCH(C114,統合マスタ!$C$5:$C$836,0)</f>
        <v>#N/A</v>
      </c>
    </row>
    <row r="115" spans="2:2">
      <c r="B115" t="e">
        <f>MATCH(C115,統合マスタ!$C$5:$C$836,0)</f>
        <v>#N/A</v>
      </c>
    </row>
    <row r="116" spans="2:2">
      <c r="B116" t="e">
        <f>MATCH(C116,統合マスタ!$C$5:$C$836,0)</f>
        <v>#N/A</v>
      </c>
    </row>
    <row r="117" spans="2:2">
      <c r="B117" t="e">
        <f>MATCH(C117,統合マスタ!$C$5:$C$836,0)</f>
        <v>#N/A</v>
      </c>
    </row>
    <row r="118" spans="2:2">
      <c r="B118" t="e">
        <f>MATCH(C118,統合マスタ!$C$5:$C$836,0)</f>
        <v>#N/A</v>
      </c>
    </row>
    <row r="119" spans="2:2">
      <c r="B119" t="e">
        <f>MATCH(C119,統合マスタ!$C$5:$C$836,0)</f>
        <v>#N/A</v>
      </c>
    </row>
    <row r="120" spans="2:2">
      <c r="B120" t="e">
        <f>MATCH(C120,統合マスタ!$C$5:$C$836,0)</f>
        <v>#N/A</v>
      </c>
    </row>
    <row r="121" spans="2:2">
      <c r="B121" t="e">
        <f>MATCH(C121,統合マスタ!$C$5:$C$836,0)</f>
        <v>#N/A</v>
      </c>
    </row>
    <row r="122" spans="2:2">
      <c r="B122" t="e">
        <f>MATCH(C122,統合マスタ!$C$5:$C$836,0)</f>
        <v>#N/A</v>
      </c>
    </row>
    <row r="123" spans="2:2">
      <c r="B123" t="e">
        <f>MATCH(C123,統合マスタ!$C$5:$C$836,0)</f>
        <v>#N/A</v>
      </c>
    </row>
    <row r="124" spans="2:2">
      <c r="B124" t="e">
        <f>MATCH(C124,統合マスタ!$C$5:$C$836,0)</f>
        <v>#N/A</v>
      </c>
    </row>
    <row r="125" spans="2:2">
      <c r="B125" t="e">
        <f>MATCH(C125,統合マスタ!$C$5:$C$836,0)</f>
        <v>#N/A</v>
      </c>
    </row>
    <row r="126" spans="2:2">
      <c r="B126" t="e">
        <f>MATCH(C126,統合マスタ!$C$5:$C$836,0)</f>
        <v>#N/A</v>
      </c>
    </row>
    <row r="127" spans="2:2">
      <c r="B127" t="e">
        <f>MATCH(C127,統合マスタ!$C$5:$C$836,0)</f>
        <v>#N/A</v>
      </c>
    </row>
    <row r="128" spans="2:2">
      <c r="B128" t="e">
        <f>MATCH(C128,統合マスタ!$C$5:$C$836,0)</f>
        <v>#N/A</v>
      </c>
    </row>
    <row r="129" spans="2:2">
      <c r="B129" t="e">
        <f>MATCH(C129,統合マスタ!$C$5:$C$836,0)</f>
        <v>#N/A</v>
      </c>
    </row>
    <row r="130" spans="2:2">
      <c r="B130" t="e">
        <f>MATCH(C130,統合マスタ!$C$5:$C$836,0)</f>
        <v>#N/A</v>
      </c>
    </row>
    <row r="131" spans="2:2">
      <c r="B131" t="e">
        <f>MATCH(C131,統合マスタ!$C$5:$C$836,0)</f>
        <v>#N/A</v>
      </c>
    </row>
    <row r="132" spans="2:2">
      <c r="B132" t="e">
        <f>MATCH(C132,統合マスタ!$C$5:$C$836,0)</f>
        <v>#N/A</v>
      </c>
    </row>
    <row r="133" spans="2:2">
      <c r="B133" t="e">
        <f>MATCH(C133,統合マスタ!$C$5:$C$836,0)</f>
        <v>#N/A</v>
      </c>
    </row>
    <row r="134" spans="2:2">
      <c r="B134" t="e">
        <f>MATCH(C134,統合マスタ!$C$5:$C$836,0)</f>
        <v>#N/A</v>
      </c>
    </row>
    <row r="135" spans="2:2">
      <c r="B135" t="e">
        <f>MATCH(C135,統合マスタ!$C$5:$C$836,0)</f>
        <v>#N/A</v>
      </c>
    </row>
    <row r="136" spans="2:2">
      <c r="B136" t="e">
        <f>MATCH(C136,統合マスタ!$C$5:$C$836,0)</f>
        <v>#N/A</v>
      </c>
    </row>
    <row r="137" spans="2:2">
      <c r="B137" t="e">
        <f>MATCH(C137,統合マスタ!$C$5:$C$836,0)</f>
        <v>#N/A</v>
      </c>
    </row>
    <row r="138" spans="2:2">
      <c r="B138" t="e">
        <f>MATCH(C138,統合マスタ!$C$5:$C$836,0)</f>
        <v>#N/A</v>
      </c>
    </row>
    <row r="139" spans="2:2">
      <c r="B139" t="e">
        <f>MATCH(C139,統合マスタ!$C$5:$C$836,0)</f>
        <v>#N/A</v>
      </c>
    </row>
    <row r="140" spans="2:2">
      <c r="B140" t="e">
        <f>MATCH(C140,統合マスタ!$C$5:$C$836,0)</f>
        <v>#N/A</v>
      </c>
    </row>
    <row r="141" spans="2:2">
      <c r="B141" t="e">
        <f>MATCH(C141,統合マスタ!$C$5:$C$836,0)</f>
        <v>#N/A</v>
      </c>
    </row>
    <row r="142" spans="2:2">
      <c r="B142" t="e">
        <f>MATCH(C142,統合マスタ!$C$5:$C$836,0)</f>
        <v>#N/A</v>
      </c>
    </row>
    <row r="143" spans="2:2">
      <c r="B143" t="e">
        <f>MATCH(C143,統合マスタ!$C$5:$C$836,0)</f>
        <v>#N/A</v>
      </c>
    </row>
    <row r="144" spans="2:2">
      <c r="B144" t="e">
        <f>MATCH(C144,統合マスタ!$C$5:$C$836,0)</f>
        <v>#N/A</v>
      </c>
    </row>
    <row r="145" spans="2:2">
      <c r="B145" t="e">
        <f>MATCH(C145,統合マスタ!$C$5:$C$836,0)</f>
        <v>#N/A</v>
      </c>
    </row>
    <row r="146" spans="2:2">
      <c r="B146" t="e">
        <f>MATCH(C146,統合マスタ!$C$5:$C$836,0)</f>
        <v>#N/A</v>
      </c>
    </row>
    <row r="147" spans="2:2">
      <c r="B147" t="e">
        <f>MATCH(C147,統合マスタ!$C$5:$C$836,0)</f>
        <v>#N/A</v>
      </c>
    </row>
    <row r="148" spans="2:2">
      <c r="B148" t="e">
        <f>MATCH(C148,統合マスタ!$C$5:$C$836,0)</f>
        <v>#N/A</v>
      </c>
    </row>
    <row r="149" spans="2:2">
      <c r="B149" t="e">
        <f>MATCH(C149,統合マスタ!$C$5:$C$836,0)</f>
        <v>#N/A</v>
      </c>
    </row>
    <row r="150" spans="2:2">
      <c r="B150" t="e">
        <f>MATCH(C150,統合マスタ!$C$5:$C$836,0)</f>
        <v>#N/A</v>
      </c>
    </row>
    <row r="151" spans="2:2">
      <c r="B151" t="e">
        <f>MATCH(C151,統合マスタ!$C$5:$C$836,0)</f>
        <v>#N/A</v>
      </c>
    </row>
    <row r="152" spans="2:2">
      <c r="B152" t="e">
        <f>MATCH(C152,統合マスタ!$C$5:$C$836,0)</f>
        <v>#N/A</v>
      </c>
    </row>
    <row r="153" spans="2:2">
      <c r="B153" t="e">
        <f>MATCH(C153,統合マスタ!$C$5:$C$836,0)</f>
        <v>#N/A</v>
      </c>
    </row>
    <row r="154" spans="2:2">
      <c r="B154" t="e">
        <f>MATCH(C154,統合マスタ!$C$5:$C$836,0)</f>
        <v>#N/A</v>
      </c>
    </row>
    <row r="155" spans="2:2">
      <c r="B155" t="e">
        <f>MATCH(C155,統合マスタ!$C$5:$C$836,0)</f>
        <v>#N/A</v>
      </c>
    </row>
    <row r="156" spans="2:2">
      <c r="B156" t="e">
        <f>MATCH(C156,統合マスタ!$C$5:$C$836,0)</f>
        <v>#N/A</v>
      </c>
    </row>
    <row r="157" spans="2:2">
      <c r="B157" t="e">
        <f>MATCH(C157,統合マスタ!$C$5:$C$836,0)</f>
        <v>#N/A</v>
      </c>
    </row>
    <row r="158" spans="2:2">
      <c r="B158" t="e">
        <f>MATCH(C158,統合マスタ!$C$5:$C$836,0)</f>
        <v>#N/A</v>
      </c>
    </row>
    <row r="159" spans="2:2">
      <c r="B159" t="e">
        <f>MATCH(C159,統合マスタ!$C$5:$C$836,0)</f>
        <v>#N/A</v>
      </c>
    </row>
    <row r="160" spans="2:2">
      <c r="B160" t="e">
        <f>MATCH(C160,統合マスタ!$C$5:$C$836,0)</f>
        <v>#N/A</v>
      </c>
    </row>
    <row r="161" spans="2:2">
      <c r="B161" t="e">
        <f>MATCH(C161,統合マスタ!$C$5:$C$836,0)</f>
        <v>#N/A</v>
      </c>
    </row>
    <row r="162" spans="2:2">
      <c r="B162" t="e">
        <f>MATCH(C162,統合マスタ!$C$5:$C$836,0)</f>
        <v>#N/A</v>
      </c>
    </row>
    <row r="163" spans="2:2">
      <c r="B163" t="e">
        <f>MATCH(C163,統合マスタ!$C$5:$C$836,0)</f>
        <v>#N/A</v>
      </c>
    </row>
    <row r="164" spans="2:2">
      <c r="B164" t="e">
        <f>MATCH(C164,統合マスタ!$C$5:$C$836,0)</f>
        <v>#N/A</v>
      </c>
    </row>
    <row r="165" spans="2:2">
      <c r="B165" t="e">
        <f>MATCH(C165,統合マスタ!$C$5:$C$836,0)</f>
        <v>#N/A</v>
      </c>
    </row>
    <row r="166" spans="2:2">
      <c r="B166" t="e">
        <f>MATCH(C166,統合マスタ!$C$5:$C$836,0)</f>
        <v>#N/A</v>
      </c>
    </row>
    <row r="167" spans="2:2">
      <c r="B167" t="e">
        <f>MATCH(C167,統合マスタ!$C$5:$C$836,0)</f>
        <v>#N/A</v>
      </c>
    </row>
    <row r="168" spans="2:2">
      <c r="B168" t="e">
        <f>MATCH(C168,統合マスタ!$C$5:$C$836,0)</f>
        <v>#N/A</v>
      </c>
    </row>
    <row r="169" spans="2:2">
      <c r="B169" t="e">
        <f>MATCH(C169,統合マスタ!$C$5:$C$836,0)</f>
        <v>#N/A</v>
      </c>
    </row>
    <row r="170" spans="2:2">
      <c r="B170" t="e">
        <f>MATCH(C170,統合マスタ!$C$5:$C$836,0)</f>
        <v>#N/A</v>
      </c>
    </row>
    <row r="171" spans="2:2">
      <c r="B171" t="e">
        <f>MATCH(C171,統合マスタ!$C$5:$C$836,0)</f>
        <v>#N/A</v>
      </c>
    </row>
    <row r="172" spans="2:2">
      <c r="B172" t="e">
        <f>MATCH(C172,統合マスタ!$C$5:$C$836,0)</f>
        <v>#N/A</v>
      </c>
    </row>
    <row r="173" spans="2:2">
      <c r="B173" t="e">
        <f>MATCH(C173,統合マスタ!$C$5:$C$836,0)</f>
        <v>#N/A</v>
      </c>
    </row>
    <row r="174" spans="2:2">
      <c r="B174" t="e">
        <f>MATCH(C174,統合マスタ!$C$5:$C$836,0)</f>
        <v>#N/A</v>
      </c>
    </row>
    <row r="175" spans="2:2">
      <c r="B175" t="e">
        <f>MATCH(C175,統合マスタ!$C$5:$C$836,0)</f>
        <v>#N/A</v>
      </c>
    </row>
    <row r="176" spans="2:2">
      <c r="B176" t="e">
        <f>MATCH(C176,統合マスタ!$C$5:$C$836,0)</f>
        <v>#N/A</v>
      </c>
    </row>
    <row r="177" spans="2:2">
      <c r="B177" t="e">
        <f>MATCH(C177,統合マスタ!$C$5:$C$836,0)</f>
        <v>#N/A</v>
      </c>
    </row>
    <row r="178" spans="2:2">
      <c r="B178" t="e">
        <f>MATCH(C178,統合マスタ!$C$5:$C$836,0)</f>
        <v>#N/A</v>
      </c>
    </row>
    <row r="179" spans="2:2">
      <c r="B179" t="e">
        <f>MATCH(C179,統合マスタ!$C$5:$C$836,0)</f>
        <v>#N/A</v>
      </c>
    </row>
    <row r="180" spans="2:2">
      <c r="B180" t="e">
        <f>MATCH(C180,統合マスタ!$C$5:$C$836,0)</f>
        <v>#N/A</v>
      </c>
    </row>
    <row r="181" spans="2:2">
      <c r="B181" t="e">
        <f>MATCH(C181,統合マスタ!$C$5:$C$836,0)</f>
        <v>#N/A</v>
      </c>
    </row>
    <row r="182" spans="2:2">
      <c r="B182" t="e">
        <f>MATCH(C182,統合マスタ!$C$5:$C$836,0)</f>
        <v>#N/A</v>
      </c>
    </row>
    <row r="183" spans="2:2">
      <c r="B183" t="e">
        <f>MATCH(C183,統合マスタ!$C$5:$C$836,0)</f>
        <v>#N/A</v>
      </c>
    </row>
    <row r="184" spans="2:2">
      <c r="B184" t="e">
        <f>MATCH(C184,統合マスタ!$C$5:$C$836,0)</f>
        <v>#N/A</v>
      </c>
    </row>
    <row r="185" spans="2:2">
      <c r="B185" t="e">
        <f>MATCH(C185,統合マスタ!$C$5:$C$836,0)</f>
        <v>#N/A</v>
      </c>
    </row>
    <row r="186" spans="2:2">
      <c r="B186" t="e">
        <f>MATCH(C186,統合マスタ!$C$5:$C$836,0)</f>
        <v>#N/A</v>
      </c>
    </row>
    <row r="187" spans="2:2">
      <c r="B187" t="e">
        <f>MATCH(C187,統合マスタ!$C$5:$C$836,0)</f>
        <v>#N/A</v>
      </c>
    </row>
    <row r="188" spans="2:2">
      <c r="B188" t="e">
        <f>MATCH(C188,統合マスタ!$C$5:$C$836,0)</f>
        <v>#N/A</v>
      </c>
    </row>
    <row r="189" spans="2:2">
      <c r="B189" t="e">
        <f>MATCH(C189,統合マスタ!$C$5:$C$836,0)</f>
        <v>#N/A</v>
      </c>
    </row>
    <row r="190" spans="2:2">
      <c r="B190" t="e">
        <f>MATCH(C190,統合マスタ!$C$5:$C$836,0)</f>
        <v>#N/A</v>
      </c>
    </row>
    <row r="191" spans="2:2">
      <c r="B191" t="e">
        <f>MATCH(C191,統合マスタ!$C$5:$C$836,0)</f>
        <v>#N/A</v>
      </c>
    </row>
    <row r="192" spans="2:2">
      <c r="B192" t="e">
        <f>MATCH(C192,統合マスタ!$C$5:$C$836,0)</f>
        <v>#N/A</v>
      </c>
    </row>
    <row r="193" spans="2:2">
      <c r="B193" t="e">
        <f>MATCH(C193,統合マスタ!$C$5:$C$836,0)</f>
        <v>#N/A</v>
      </c>
    </row>
    <row r="194" spans="2:2">
      <c r="B194" t="e">
        <f>MATCH(C194,統合マスタ!$C$5:$C$836,0)</f>
        <v>#N/A</v>
      </c>
    </row>
    <row r="195" spans="2:2">
      <c r="B195" t="e">
        <f>MATCH(C195,統合マスタ!$C$5:$C$836,0)</f>
        <v>#N/A</v>
      </c>
    </row>
    <row r="196" spans="2:2">
      <c r="B196" t="e">
        <f>MATCH(C196,統合マスタ!$C$5:$C$836,0)</f>
        <v>#N/A</v>
      </c>
    </row>
    <row r="197" spans="2:2">
      <c r="B197" t="e">
        <f>MATCH(C197,統合マスタ!$C$5:$C$836,0)</f>
        <v>#N/A</v>
      </c>
    </row>
    <row r="198" spans="2:2">
      <c r="B198" t="e">
        <f>MATCH(C198,統合マスタ!$C$5:$C$836,0)</f>
        <v>#N/A</v>
      </c>
    </row>
    <row r="199" spans="2:2">
      <c r="B199" t="e">
        <f>MATCH(C199,統合マスタ!$C$5:$C$836,0)</f>
        <v>#N/A</v>
      </c>
    </row>
    <row r="200" spans="2:2">
      <c r="B200" t="e">
        <f>MATCH(C200,統合マスタ!$C$5:$C$836,0)</f>
        <v>#N/A</v>
      </c>
    </row>
    <row r="201" spans="2:2">
      <c r="B201" t="e">
        <f>MATCH(C201,統合マスタ!$C$5:$C$836,0)</f>
        <v>#N/A</v>
      </c>
    </row>
    <row r="202" spans="2:2">
      <c r="B202" t="e">
        <f>MATCH(C202,統合マスタ!$C$5:$C$836,0)</f>
        <v>#N/A</v>
      </c>
    </row>
    <row r="203" spans="2:2">
      <c r="B203" t="e">
        <f>MATCH(C203,統合マスタ!$C$5:$C$836,0)</f>
        <v>#N/A</v>
      </c>
    </row>
    <row r="204" spans="2:2">
      <c r="B204" t="e">
        <f>MATCH(C204,統合マスタ!$C$5:$C$836,0)</f>
        <v>#N/A</v>
      </c>
    </row>
    <row r="205" spans="2:2">
      <c r="B205" t="e">
        <f>MATCH(C205,統合マスタ!$C$5:$C$836,0)</f>
        <v>#N/A</v>
      </c>
    </row>
    <row r="206" spans="2:2">
      <c r="B206" t="e">
        <f>MATCH(C206,統合マスタ!$C$5:$C$836,0)</f>
        <v>#N/A</v>
      </c>
    </row>
    <row r="207" spans="2:2">
      <c r="B207" t="e">
        <f>MATCH(C207,統合マスタ!$C$5:$C$836,0)</f>
        <v>#N/A</v>
      </c>
    </row>
    <row r="208" spans="2:2">
      <c r="B208" t="e">
        <f>MATCH(C208,統合マスタ!$C$5:$C$836,0)</f>
        <v>#N/A</v>
      </c>
    </row>
    <row r="209" spans="2:2">
      <c r="B209" t="e">
        <f>MATCH(C209,統合マスタ!$C$5:$C$836,0)</f>
        <v>#N/A</v>
      </c>
    </row>
    <row r="210" spans="2:2">
      <c r="B210" t="e">
        <f>MATCH(C210,統合マスタ!$C$5:$C$836,0)</f>
        <v>#N/A</v>
      </c>
    </row>
    <row r="211" spans="2:2">
      <c r="B211" t="e">
        <f>MATCH(C211,統合マスタ!$C$5:$C$836,0)</f>
        <v>#N/A</v>
      </c>
    </row>
    <row r="212" spans="2:2">
      <c r="B212" t="e">
        <f>MATCH(C212,統合マスタ!$C$5:$C$836,0)</f>
        <v>#N/A</v>
      </c>
    </row>
    <row r="213" spans="2:2">
      <c r="B213" t="e">
        <f>MATCH(C213,統合マスタ!$C$5:$C$836,0)</f>
        <v>#N/A</v>
      </c>
    </row>
    <row r="214" spans="2:2">
      <c r="B214" t="e">
        <f>MATCH(C214,統合マスタ!$C$5:$C$836,0)</f>
        <v>#N/A</v>
      </c>
    </row>
    <row r="215" spans="2:2">
      <c r="B215" t="e">
        <f>MATCH(C215,統合マスタ!$C$5:$C$836,0)</f>
        <v>#N/A</v>
      </c>
    </row>
    <row r="216" spans="2:2">
      <c r="B216" t="e">
        <f>MATCH(C216,統合マスタ!$C$5:$C$836,0)</f>
        <v>#N/A</v>
      </c>
    </row>
    <row r="217" spans="2:2">
      <c r="B217" t="e">
        <f>MATCH(C217,統合マスタ!$C$5:$C$836,0)</f>
        <v>#N/A</v>
      </c>
    </row>
    <row r="218" spans="2:2">
      <c r="B218" t="e">
        <f>MATCH(C218,統合マスタ!$C$5:$C$836,0)</f>
        <v>#N/A</v>
      </c>
    </row>
    <row r="219" spans="2:2">
      <c r="B219" t="e">
        <f>MATCH(C219,統合マスタ!$C$5:$C$836,0)</f>
        <v>#N/A</v>
      </c>
    </row>
    <row r="220" spans="2:2">
      <c r="B220" t="e">
        <f>MATCH(C220,統合マスタ!$C$5:$C$836,0)</f>
        <v>#N/A</v>
      </c>
    </row>
    <row r="221" spans="2:2">
      <c r="B221" t="e">
        <f>MATCH(C221,統合マスタ!$C$5:$C$836,0)</f>
        <v>#N/A</v>
      </c>
    </row>
    <row r="222" spans="2:2">
      <c r="B222" t="e">
        <f>MATCH(C222,統合マスタ!$C$5:$C$836,0)</f>
        <v>#N/A</v>
      </c>
    </row>
    <row r="223" spans="2:2">
      <c r="B223" t="e">
        <f>MATCH(C223,統合マスタ!$C$5:$C$836,0)</f>
        <v>#N/A</v>
      </c>
    </row>
    <row r="224" spans="2:2">
      <c r="B224" t="e">
        <f>MATCH(C224,統合マスタ!$C$5:$C$836,0)</f>
        <v>#N/A</v>
      </c>
    </row>
    <row r="225" spans="2:2">
      <c r="B225" t="e">
        <f>MATCH(C225,統合マスタ!$C$5:$C$836,0)</f>
        <v>#N/A</v>
      </c>
    </row>
    <row r="226" spans="2:2">
      <c r="B226" t="e">
        <f>MATCH(C226,統合マスタ!$C$5:$C$836,0)</f>
        <v>#N/A</v>
      </c>
    </row>
    <row r="227" spans="2:2">
      <c r="B227" t="e">
        <f>MATCH(C227,統合マスタ!$C$5:$C$836,0)</f>
        <v>#N/A</v>
      </c>
    </row>
    <row r="228" spans="2:2">
      <c r="B228" t="e">
        <f>MATCH(C228,統合マスタ!$C$5:$C$836,0)</f>
        <v>#N/A</v>
      </c>
    </row>
    <row r="229" spans="2:2">
      <c r="B229" t="e">
        <f>MATCH(C229,統合マスタ!$C$5:$C$836,0)</f>
        <v>#N/A</v>
      </c>
    </row>
    <row r="230" spans="2:2">
      <c r="B230" t="e">
        <f>MATCH(C230,統合マスタ!$C$5:$C$836,0)</f>
        <v>#N/A</v>
      </c>
    </row>
    <row r="231" spans="2:2">
      <c r="B231" t="e">
        <f>MATCH(C231,統合マスタ!$C$5:$C$836,0)</f>
        <v>#N/A</v>
      </c>
    </row>
    <row r="232" spans="2:2">
      <c r="B232" t="e">
        <f>MATCH(C232,統合マスタ!$C$5:$C$836,0)</f>
        <v>#N/A</v>
      </c>
    </row>
    <row r="233" spans="2:2">
      <c r="B233" t="e">
        <f>MATCH(C233,統合マスタ!$C$5:$C$836,0)</f>
        <v>#N/A</v>
      </c>
    </row>
    <row r="234" spans="2:2">
      <c r="B234" t="e">
        <f>MATCH(C234,統合マスタ!$C$5:$C$836,0)</f>
        <v>#N/A</v>
      </c>
    </row>
    <row r="235" spans="2:2">
      <c r="B235" t="e">
        <f>MATCH(C235,統合マスタ!$C$5:$C$836,0)</f>
        <v>#N/A</v>
      </c>
    </row>
    <row r="236" spans="2:2">
      <c r="B236" t="e">
        <f>MATCH(C236,統合マスタ!$C$5:$C$836,0)</f>
        <v>#N/A</v>
      </c>
    </row>
    <row r="237" spans="2:2">
      <c r="B237" t="e">
        <f>MATCH(C237,統合マスタ!$C$5:$C$836,0)</f>
        <v>#N/A</v>
      </c>
    </row>
    <row r="238" spans="2:2">
      <c r="B238" t="e">
        <f>MATCH(C238,統合マスタ!$C$5:$C$836,0)</f>
        <v>#N/A</v>
      </c>
    </row>
    <row r="239" spans="2:2">
      <c r="B239" t="e">
        <f>MATCH(C239,統合マスタ!$C$5:$C$836,0)</f>
        <v>#N/A</v>
      </c>
    </row>
    <row r="240" spans="2:2">
      <c r="B240" t="e">
        <f>MATCH(C240,統合マスタ!$C$5:$C$836,0)</f>
        <v>#N/A</v>
      </c>
    </row>
    <row r="241" spans="2:2">
      <c r="B241" t="e">
        <f>MATCH(C241,統合マスタ!$C$5:$C$836,0)</f>
        <v>#N/A</v>
      </c>
    </row>
    <row r="242" spans="2:2">
      <c r="B242" t="e">
        <f>MATCH(C242,統合マスタ!$C$5:$C$836,0)</f>
        <v>#N/A</v>
      </c>
    </row>
    <row r="243" spans="2:2">
      <c r="B243" t="e">
        <f>MATCH(C243,統合マスタ!$C$5:$C$836,0)</f>
        <v>#N/A</v>
      </c>
    </row>
    <row r="244" spans="2:2">
      <c r="B244" t="e">
        <f>MATCH(C244,統合マスタ!$C$5:$C$836,0)</f>
        <v>#N/A</v>
      </c>
    </row>
    <row r="245" spans="2:2">
      <c r="B245" t="e">
        <f>MATCH(C245,統合マスタ!$C$5:$C$836,0)</f>
        <v>#N/A</v>
      </c>
    </row>
    <row r="246" spans="2:2">
      <c r="B246" t="e">
        <f>MATCH(C246,統合マスタ!$C$5:$C$836,0)</f>
        <v>#N/A</v>
      </c>
    </row>
    <row r="247" spans="2:2">
      <c r="B247" t="e">
        <f>MATCH(C247,統合マスタ!$C$5:$C$836,0)</f>
        <v>#N/A</v>
      </c>
    </row>
    <row r="248" spans="2:2">
      <c r="B248" t="e">
        <f>MATCH(C248,統合マスタ!$C$5:$C$836,0)</f>
        <v>#N/A</v>
      </c>
    </row>
    <row r="249" spans="2:2">
      <c r="B249" t="e">
        <f>MATCH(C249,統合マスタ!$C$5:$C$836,0)</f>
        <v>#N/A</v>
      </c>
    </row>
    <row r="250" spans="2:2">
      <c r="B250" t="e">
        <f>MATCH(C250,統合マスタ!$C$5:$C$836,0)</f>
        <v>#N/A</v>
      </c>
    </row>
    <row r="251" spans="2:2">
      <c r="B251" t="e">
        <f>MATCH(C251,統合マスタ!$C$5:$C$836,0)</f>
        <v>#N/A</v>
      </c>
    </row>
    <row r="252" spans="2:2">
      <c r="B252" t="e">
        <f>MATCH(C252,統合マスタ!$C$5:$C$836,0)</f>
        <v>#N/A</v>
      </c>
    </row>
    <row r="253" spans="2:2">
      <c r="B253" t="e">
        <f>MATCH(C253,統合マスタ!$C$5:$C$836,0)</f>
        <v>#N/A</v>
      </c>
    </row>
    <row r="254" spans="2:2">
      <c r="B254" t="e">
        <f>MATCH(C254,統合マスタ!$C$5:$C$836,0)</f>
        <v>#N/A</v>
      </c>
    </row>
    <row r="255" spans="2:2">
      <c r="B255" t="e">
        <f>MATCH(C255,統合マスタ!$C$5:$C$836,0)</f>
        <v>#N/A</v>
      </c>
    </row>
    <row r="256" spans="2:2">
      <c r="B256" t="e">
        <f>MATCH(C256,統合マスタ!$C$5:$C$836,0)</f>
        <v>#N/A</v>
      </c>
    </row>
    <row r="257" spans="2:2">
      <c r="B257" t="e">
        <f>MATCH(C257,統合マスタ!$C$5:$C$836,0)</f>
        <v>#N/A</v>
      </c>
    </row>
    <row r="258" spans="2:2">
      <c r="B258" t="e">
        <f>MATCH(C258,統合マスタ!$C$5:$C$836,0)</f>
        <v>#N/A</v>
      </c>
    </row>
    <row r="259" spans="2:2">
      <c r="B259" t="e">
        <f>MATCH(C259,統合マスタ!$C$5:$C$836,0)</f>
        <v>#N/A</v>
      </c>
    </row>
    <row r="260" spans="2:2">
      <c r="B260" t="e">
        <f>MATCH(C260,統合マスタ!$C$5:$C$836,0)</f>
        <v>#N/A</v>
      </c>
    </row>
    <row r="261" spans="2:2">
      <c r="B261" t="e">
        <f>MATCH(C261,統合マスタ!$C$5:$C$836,0)</f>
        <v>#N/A</v>
      </c>
    </row>
    <row r="262" spans="2:2">
      <c r="B262" t="e">
        <f>MATCH(C262,統合マスタ!$C$5:$C$836,0)</f>
        <v>#N/A</v>
      </c>
    </row>
    <row r="263" spans="2:2">
      <c r="B263" t="e">
        <f>MATCH(C263,統合マスタ!$C$5:$C$836,0)</f>
        <v>#N/A</v>
      </c>
    </row>
    <row r="264" spans="2:2">
      <c r="B264" t="e">
        <f>MATCH(C264,統合マスタ!$C$5:$C$836,0)</f>
        <v>#N/A</v>
      </c>
    </row>
    <row r="265" spans="2:2">
      <c r="B265" t="e">
        <f>MATCH(C265,統合マスタ!$C$5:$C$836,0)</f>
        <v>#N/A</v>
      </c>
    </row>
    <row r="266" spans="2:2">
      <c r="B266" t="e">
        <f>MATCH(C266,統合マスタ!$C$5:$C$836,0)</f>
        <v>#N/A</v>
      </c>
    </row>
    <row r="267" spans="2:2">
      <c r="B267" t="e">
        <f>MATCH(C267,統合マスタ!$C$5:$C$836,0)</f>
        <v>#N/A</v>
      </c>
    </row>
    <row r="268" spans="2:2">
      <c r="B268" t="e">
        <f>MATCH(C268,統合マスタ!$C$5:$C$836,0)</f>
        <v>#N/A</v>
      </c>
    </row>
    <row r="269" spans="2:2">
      <c r="B269" t="e">
        <f>MATCH(C269,統合マスタ!$C$5:$C$836,0)</f>
        <v>#N/A</v>
      </c>
    </row>
    <row r="270" spans="2:2">
      <c r="B270" t="e">
        <f>MATCH(C270,統合マスタ!$C$5:$C$836,0)</f>
        <v>#N/A</v>
      </c>
    </row>
    <row r="271" spans="2:2">
      <c r="B271" t="e">
        <f>MATCH(C271,統合マスタ!$C$5:$C$836,0)</f>
        <v>#N/A</v>
      </c>
    </row>
    <row r="272" spans="2:2">
      <c r="B272" t="e">
        <f>MATCH(C272,統合マスタ!$C$5:$C$836,0)</f>
        <v>#N/A</v>
      </c>
    </row>
    <row r="273" spans="2:2">
      <c r="B273" t="e">
        <f>MATCH(C273,統合マスタ!$C$5:$C$836,0)</f>
        <v>#N/A</v>
      </c>
    </row>
    <row r="274" spans="2:2">
      <c r="B274" t="e">
        <f>MATCH(C274,統合マスタ!$C$5:$C$836,0)</f>
        <v>#N/A</v>
      </c>
    </row>
    <row r="275" spans="2:2">
      <c r="B275" t="e">
        <f>MATCH(C275,統合マスタ!$C$5:$C$836,0)</f>
        <v>#N/A</v>
      </c>
    </row>
    <row r="276" spans="2:2">
      <c r="B276" t="e">
        <f>MATCH(C276,統合マスタ!$C$5:$C$836,0)</f>
        <v>#N/A</v>
      </c>
    </row>
    <row r="277" spans="2:2">
      <c r="B277" t="e">
        <f>MATCH(C277,統合マスタ!$C$5:$C$836,0)</f>
        <v>#N/A</v>
      </c>
    </row>
    <row r="278" spans="2:2">
      <c r="B278" t="e">
        <f>MATCH(C278,統合マスタ!$C$5:$C$836,0)</f>
        <v>#N/A</v>
      </c>
    </row>
    <row r="279" spans="2:2">
      <c r="B279" t="e">
        <f>MATCH(C279,統合マスタ!$C$5:$C$836,0)</f>
        <v>#N/A</v>
      </c>
    </row>
    <row r="280" spans="2:2">
      <c r="B280" t="e">
        <f>MATCH(C280,統合マスタ!$C$5:$C$836,0)</f>
        <v>#N/A</v>
      </c>
    </row>
    <row r="281" spans="2:2">
      <c r="B281" t="e">
        <f>MATCH(C281,統合マスタ!$C$5:$C$836,0)</f>
        <v>#N/A</v>
      </c>
    </row>
    <row r="282" spans="2:2">
      <c r="B282" t="e">
        <f>MATCH(C282,統合マスタ!$C$5:$C$836,0)</f>
        <v>#N/A</v>
      </c>
    </row>
    <row r="283" spans="2:2">
      <c r="B283" t="e">
        <f>MATCH(C283,統合マスタ!$C$5:$C$836,0)</f>
        <v>#N/A</v>
      </c>
    </row>
    <row r="284" spans="2:2">
      <c r="B284" t="e">
        <f>MATCH(C284,統合マスタ!$C$5:$C$836,0)</f>
        <v>#N/A</v>
      </c>
    </row>
    <row r="285" spans="2:2">
      <c r="B285" t="e">
        <f>MATCH(C285,統合マスタ!$C$5:$C$836,0)</f>
        <v>#N/A</v>
      </c>
    </row>
    <row r="286" spans="2:2">
      <c r="B286" t="e">
        <f>MATCH(C286,統合マスタ!$C$5:$C$836,0)</f>
        <v>#N/A</v>
      </c>
    </row>
    <row r="287" spans="2:2">
      <c r="B287" t="e">
        <f>MATCH(C287,統合マスタ!$C$5:$C$836,0)</f>
        <v>#N/A</v>
      </c>
    </row>
    <row r="288" spans="2:2">
      <c r="B288" t="e">
        <f>MATCH(C288,統合マスタ!$C$5:$C$836,0)</f>
        <v>#N/A</v>
      </c>
    </row>
    <row r="289" spans="2:2">
      <c r="B289" t="e">
        <f>MATCH(C289,統合マスタ!$C$5:$C$836,0)</f>
        <v>#N/A</v>
      </c>
    </row>
    <row r="290" spans="2:2">
      <c r="B290" t="e">
        <f>MATCH(C290,統合マスタ!$C$5:$C$836,0)</f>
        <v>#N/A</v>
      </c>
    </row>
    <row r="291" spans="2:2">
      <c r="B291" t="e">
        <f>MATCH(C291,統合マスタ!$C$5:$C$836,0)</f>
        <v>#N/A</v>
      </c>
    </row>
    <row r="292" spans="2:2">
      <c r="B292" t="e">
        <f>MATCH(C292,統合マスタ!$C$5:$C$836,0)</f>
        <v>#N/A</v>
      </c>
    </row>
    <row r="293" spans="2:2">
      <c r="B293" t="e">
        <f>MATCH(C293,統合マスタ!$C$5:$C$836,0)</f>
        <v>#N/A</v>
      </c>
    </row>
    <row r="294" spans="2:2">
      <c r="B294" t="e">
        <f>MATCH(C294,統合マスタ!$C$5:$C$836,0)</f>
        <v>#N/A</v>
      </c>
    </row>
    <row r="295" spans="2:2">
      <c r="B295" t="e">
        <f>MATCH(C295,統合マスタ!$C$5:$C$836,0)</f>
        <v>#N/A</v>
      </c>
    </row>
    <row r="296" spans="2:2">
      <c r="B296" t="e">
        <f>MATCH(C296,統合マスタ!$C$5:$C$836,0)</f>
        <v>#N/A</v>
      </c>
    </row>
    <row r="297" spans="2:2">
      <c r="B297" t="e">
        <f>MATCH(C297,統合マスタ!$C$5:$C$836,0)</f>
        <v>#N/A</v>
      </c>
    </row>
    <row r="298" spans="2:2">
      <c r="B298" t="e">
        <f>MATCH(C298,統合マスタ!$C$5:$C$836,0)</f>
        <v>#N/A</v>
      </c>
    </row>
    <row r="299" spans="2:2">
      <c r="B299" t="e">
        <f>MATCH(C299,統合マスタ!$C$5:$C$836,0)</f>
        <v>#N/A</v>
      </c>
    </row>
    <row r="300" spans="2:2">
      <c r="B300" t="e">
        <f>MATCH(C300,統合マスタ!$C$5:$C$836,0)</f>
        <v>#N/A</v>
      </c>
    </row>
    <row r="301" spans="2:2">
      <c r="B301" t="e">
        <f>MATCH(C301,統合マスタ!$C$5:$C$836,0)</f>
        <v>#N/A</v>
      </c>
    </row>
    <row r="302" spans="2:2">
      <c r="B302" t="e">
        <f>MATCH(C302,統合マスタ!$C$5:$C$836,0)</f>
        <v>#N/A</v>
      </c>
    </row>
    <row r="303" spans="2:2">
      <c r="B303" t="e">
        <f>MATCH(C303,統合マスタ!$C$5:$C$836,0)</f>
        <v>#N/A</v>
      </c>
    </row>
    <row r="304" spans="2:2">
      <c r="B304" t="e">
        <f>MATCH(C304,統合マスタ!$C$5:$C$836,0)</f>
        <v>#N/A</v>
      </c>
    </row>
    <row r="305" spans="2:2">
      <c r="B305" t="e">
        <f>MATCH(C305,統合マスタ!$C$5:$C$836,0)</f>
        <v>#N/A</v>
      </c>
    </row>
    <row r="306" spans="2:2">
      <c r="B306" t="e">
        <f>MATCH(C306,統合マスタ!$C$5:$C$836,0)</f>
        <v>#N/A</v>
      </c>
    </row>
    <row r="307" spans="2:2">
      <c r="B307" t="e">
        <f>MATCH(C307,統合マスタ!$C$5:$C$836,0)</f>
        <v>#N/A</v>
      </c>
    </row>
    <row r="308" spans="2:2">
      <c r="B308" t="e">
        <f>MATCH(C308,統合マスタ!$C$5:$C$836,0)</f>
        <v>#N/A</v>
      </c>
    </row>
    <row r="309" spans="2:2">
      <c r="B309" t="e">
        <f>MATCH(C309,統合マスタ!$C$5:$C$836,0)</f>
        <v>#N/A</v>
      </c>
    </row>
    <row r="310" spans="2:2">
      <c r="B310" t="e">
        <f>MATCH(C310,統合マスタ!$C$5:$C$836,0)</f>
        <v>#N/A</v>
      </c>
    </row>
    <row r="311" spans="2:2">
      <c r="B311" t="e">
        <f>MATCH(C311,統合マスタ!$C$5:$C$836,0)</f>
        <v>#N/A</v>
      </c>
    </row>
    <row r="312" spans="2:2">
      <c r="B312" t="e">
        <f>MATCH(C312,統合マスタ!$C$5:$C$836,0)</f>
        <v>#N/A</v>
      </c>
    </row>
    <row r="313" spans="2:2">
      <c r="B313" t="e">
        <f>MATCH(C313,統合マスタ!$C$5:$C$836,0)</f>
        <v>#N/A</v>
      </c>
    </row>
    <row r="314" spans="2:2">
      <c r="B314" t="e">
        <f>MATCH(C314,統合マスタ!$C$5:$C$836,0)</f>
        <v>#N/A</v>
      </c>
    </row>
    <row r="315" spans="2:2">
      <c r="B315" t="e">
        <f>MATCH(C315,統合マスタ!$C$5:$C$836,0)</f>
        <v>#N/A</v>
      </c>
    </row>
    <row r="316" spans="2:2">
      <c r="B316" t="e">
        <f>MATCH(C316,統合マスタ!$C$5:$C$836,0)</f>
        <v>#N/A</v>
      </c>
    </row>
    <row r="317" spans="2:2">
      <c r="B317" t="e">
        <f>MATCH(C317,統合マスタ!$C$5:$C$836,0)</f>
        <v>#N/A</v>
      </c>
    </row>
    <row r="318" spans="2:2">
      <c r="B318" t="e">
        <f>MATCH(C318,統合マスタ!$C$5:$C$836,0)</f>
        <v>#N/A</v>
      </c>
    </row>
    <row r="319" spans="2:2">
      <c r="B319" t="e">
        <f>MATCH(C319,統合マスタ!$C$5:$C$836,0)</f>
        <v>#N/A</v>
      </c>
    </row>
    <row r="320" spans="2:2">
      <c r="B320" t="e">
        <f>MATCH(C320,統合マスタ!$C$5:$C$836,0)</f>
        <v>#N/A</v>
      </c>
    </row>
    <row r="321" spans="2:2">
      <c r="B321" t="e">
        <f>MATCH(C321,統合マスタ!$C$5:$C$836,0)</f>
        <v>#N/A</v>
      </c>
    </row>
    <row r="322" spans="2:2">
      <c r="B322" t="e">
        <f>MATCH(C322,統合マスタ!$C$5:$C$836,0)</f>
        <v>#N/A</v>
      </c>
    </row>
    <row r="323" spans="2:2">
      <c r="B323" t="e">
        <f>MATCH(C323,統合マスタ!$C$5:$C$836,0)</f>
        <v>#N/A</v>
      </c>
    </row>
    <row r="324" spans="2:2">
      <c r="B324" t="e">
        <f>MATCH(C324,統合マスタ!$C$5:$C$836,0)</f>
        <v>#N/A</v>
      </c>
    </row>
    <row r="325" spans="2:2">
      <c r="B325" t="e">
        <f>MATCH(C325,統合マスタ!$C$5:$C$836,0)</f>
        <v>#N/A</v>
      </c>
    </row>
    <row r="326" spans="2:2">
      <c r="B326" t="e">
        <f>MATCH(C326,統合マスタ!$C$5:$C$836,0)</f>
        <v>#N/A</v>
      </c>
    </row>
    <row r="327" spans="2:2">
      <c r="B327" t="e">
        <f>MATCH(C327,統合マスタ!$C$5:$C$836,0)</f>
        <v>#N/A</v>
      </c>
    </row>
    <row r="328" spans="2:2">
      <c r="B328" t="e">
        <f>MATCH(C328,統合マスタ!$C$5:$C$836,0)</f>
        <v>#N/A</v>
      </c>
    </row>
    <row r="329" spans="2:2">
      <c r="B329" t="e">
        <f>MATCH(C329,統合マスタ!$C$5:$C$836,0)</f>
        <v>#N/A</v>
      </c>
    </row>
    <row r="330" spans="2:2">
      <c r="B330" t="e">
        <f>MATCH(C330,統合マスタ!$C$5:$C$836,0)</f>
        <v>#N/A</v>
      </c>
    </row>
    <row r="331" spans="2:2">
      <c r="B331" t="e">
        <f>MATCH(C331,統合マスタ!$C$5:$C$836,0)</f>
        <v>#N/A</v>
      </c>
    </row>
    <row r="332" spans="2:2">
      <c r="B332" t="e">
        <f>MATCH(C332,統合マスタ!$C$5:$C$836,0)</f>
        <v>#N/A</v>
      </c>
    </row>
    <row r="333" spans="2:2">
      <c r="B333" t="e">
        <f>MATCH(C333,統合マスタ!$C$5:$C$836,0)</f>
        <v>#N/A</v>
      </c>
    </row>
    <row r="334" spans="2:2">
      <c r="B334" t="e">
        <f>MATCH(C334,統合マスタ!$C$5:$C$836,0)</f>
        <v>#N/A</v>
      </c>
    </row>
    <row r="335" spans="2:2">
      <c r="B335" t="e">
        <f>MATCH(C335,統合マスタ!$C$5:$C$836,0)</f>
        <v>#N/A</v>
      </c>
    </row>
    <row r="336" spans="2:2">
      <c r="B336" t="e">
        <f>MATCH(C336,統合マスタ!$C$5:$C$836,0)</f>
        <v>#N/A</v>
      </c>
    </row>
    <row r="337" spans="2:2">
      <c r="B337" t="e">
        <f>MATCH(C337,統合マスタ!$C$5:$C$836,0)</f>
        <v>#N/A</v>
      </c>
    </row>
    <row r="338" spans="2:2">
      <c r="B338" t="e">
        <f>MATCH(C338,統合マスタ!$C$5:$C$836,0)</f>
        <v>#N/A</v>
      </c>
    </row>
    <row r="339" spans="2:2">
      <c r="B339" t="e">
        <f>MATCH(C339,統合マスタ!$C$5:$C$836,0)</f>
        <v>#N/A</v>
      </c>
    </row>
    <row r="340" spans="2:2">
      <c r="B340" t="e">
        <f>MATCH(C340,統合マスタ!$C$5:$C$836,0)</f>
        <v>#N/A</v>
      </c>
    </row>
    <row r="341" spans="2:2">
      <c r="B341" t="e">
        <f>MATCH(C341,統合マスタ!$C$5:$C$836,0)</f>
        <v>#N/A</v>
      </c>
    </row>
    <row r="342" spans="2:2">
      <c r="B342" t="e">
        <f>MATCH(C342,統合マスタ!$C$5:$C$836,0)</f>
        <v>#N/A</v>
      </c>
    </row>
    <row r="343" spans="2:2">
      <c r="B343" t="e">
        <f>MATCH(C343,統合マスタ!$C$5:$C$836,0)</f>
        <v>#N/A</v>
      </c>
    </row>
    <row r="344" spans="2:2">
      <c r="B344" t="e">
        <f>MATCH(C344,統合マスタ!$C$5:$C$836,0)</f>
        <v>#N/A</v>
      </c>
    </row>
    <row r="345" spans="2:2">
      <c r="B345" t="e">
        <f>MATCH(C345,統合マスタ!$C$5:$C$836,0)</f>
        <v>#N/A</v>
      </c>
    </row>
    <row r="346" spans="2:2">
      <c r="B346" t="e">
        <f>MATCH(C346,統合マスタ!$C$5:$C$836,0)</f>
        <v>#N/A</v>
      </c>
    </row>
    <row r="347" spans="2:2">
      <c r="B347" t="e">
        <f>MATCH(C347,統合マスタ!$C$5:$C$836,0)</f>
        <v>#N/A</v>
      </c>
    </row>
    <row r="348" spans="2:2">
      <c r="B348" t="e">
        <f>MATCH(C348,統合マスタ!$C$5:$C$836,0)</f>
        <v>#N/A</v>
      </c>
    </row>
    <row r="349" spans="2:2">
      <c r="B349" t="e">
        <f>MATCH(C349,統合マスタ!$C$5:$C$836,0)</f>
        <v>#N/A</v>
      </c>
    </row>
    <row r="350" spans="2:2">
      <c r="B350" t="e">
        <f>MATCH(C350,統合マスタ!$C$5:$C$836,0)</f>
        <v>#N/A</v>
      </c>
    </row>
    <row r="351" spans="2:2">
      <c r="B351" t="e">
        <f>MATCH(C351,統合マスタ!$C$5:$C$836,0)</f>
        <v>#N/A</v>
      </c>
    </row>
    <row r="352" spans="2:2">
      <c r="B352" t="e">
        <f>MATCH(C352,統合マスタ!$C$5:$C$836,0)</f>
        <v>#N/A</v>
      </c>
    </row>
    <row r="353" spans="2:2">
      <c r="B353" t="e">
        <f>MATCH(C353,統合マスタ!$C$5:$C$836,0)</f>
        <v>#N/A</v>
      </c>
    </row>
    <row r="354" spans="2:2">
      <c r="B354" t="e">
        <f>MATCH(C354,統合マスタ!$C$5:$C$836,0)</f>
        <v>#N/A</v>
      </c>
    </row>
    <row r="355" spans="2:2">
      <c r="B355" t="e">
        <f>MATCH(C355,統合マスタ!$C$5:$C$836,0)</f>
        <v>#N/A</v>
      </c>
    </row>
    <row r="356" spans="2:2">
      <c r="B356" t="e">
        <f>MATCH(C356,統合マスタ!$C$5:$C$836,0)</f>
        <v>#N/A</v>
      </c>
    </row>
    <row r="357" spans="2:2">
      <c r="B357" t="e">
        <f>MATCH(C357,統合マスタ!$C$5:$C$836,0)</f>
        <v>#N/A</v>
      </c>
    </row>
    <row r="358" spans="2:2">
      <c r="B358" t="e">
        <f>MATCH(C358,統合マスタ!$C$5:$C$836,0)</f>
        <v>#N/A</v>
      </c>
    </row>
    <row r="359" spans="2:2">
      <c r="B359" t="e">
        <f>MATCH(C359,統合マスタ!$C$5:$C$836,0)</f>
        <v>#N/A</v>
      </c>
    </row>
    <row r="360" spans="2:2">
      <c r="B360" t="e">
        <f>MATCH(C360,統合マスタ!$C$5:$C$836,0)</f>
        <v>#N/A</v>
      </c>
    </row>
    <row r="361" spans="2:2">
      <c r="B361" t="e">
        <f>MATCH(C361,統合マスタ!$C$5:$C$836,0)</f>
        <v>#N/A</v>
      </c>
    </row>
    <row r="362" spans="2:2">
      <c r="B362" t="e">
        <f>MATCH(C362,統合マスタ!$C$5:$C$836,0)</f>
        <v>#N/A</v>
      </c>
    </row>
    <row r="363" spans="2:2">
      <c r="B363" t="e">
        <f>MATCH(C363,統合マスタ!$C$5:$C$836,0)</f>
        <v>#N/A</v>
      </c>
    </row>
    <row r="364" spans="2:2">
      <c r="B364" t="e">
        <f>MATCH(C364,統合マスタ!$C$5:$C$836,0)</f>
        <v>#N/A</v>
      </c>
    </row>
    <row r="365" spans="2:2">
      <c r="B365" t="e">
        <f>MATCH(C365,統合マスタ!$C$5:$C$836,0)</f>
        <v>#N/A</v>
      </c>
    </row>
    <row r="366" spans="2:2">
      <c r="B366" t="e">
        <f>MATCH(C366,統合マスタ!$C$5:$C$836,0)</f>
        <v>#N/A</v>
      </c>
    </row>
    <row r="367" spans="2:2">
      <c r="B367" t="e">
        <f>MATCH(C367,統合マスタ!$C$5:$C$836,0)</f>
        <v>#N/A</v>
      </c>
    </row>
    <row r="368" spans="2:2">
      <c r="B368" t="e">
        <f>MATCH(C368,統合マスタ!$C$5:$C$836,0)</f>
        <v>#N/A</v>
      </c>
    </row>
    <row r="369" spans="2:2">
      <c r="B369" t="e">
        <f>MATCH(C369,統合マスタ!$C$5:$C$836,0)</f>
        <v>#N/A</v>
      </c>
    </row>
    <row r="370" spans="2:2">
      <c r="B370" t="e">
        <f>MATCH(C370,統合マスタ!$C$5:$C$836,0)</f>
        <v>#N/A</v>
      </c>
    </row>
    <row r="371" spans="2:2">
      <c r="B371" t="e">
        <f>MATCH(C371,統合マスタ!$C$5:$C$836,0)</f>
        <v>#N/A</v>
      </c>
    </row>
    <row r="372" spans="2:2">
      <c r="B372" t="e">
        <f>MATCH(C372,統合マスタ!$C$5:$C$836,0)</f>
        <v>#N/A</v>
      </c>
    </row>
    <row r="373" spans="2:2">
      <c r="B373" t="e">
        <f>MATCH(C373,統合マスタ!$C$5:$C$836,0)</f>
        <v>#N/A</v>
      </c>
    </row>
    <row r="374" spans="2:2">
      <c r="B374" t="e">
        <f>MATCH(C374,統合マスタ!$C$5:$C$836,0)</f>
        <v>#N/A</v>
      </c>
    </row>
    <row r="375" spans="2:2">
      <c r="B375" t="e">
        <f>MATCH(C375,統合マスタ!$C$5:$C$836,0)</f>
        <v>#N/A</v>
      </c>
    </row>
    <row r="376" spans="2:2">
      <c r="B376" t="e">
        <f>MATCH(C376,統合マスタ!$C$5:$C$836,0)</f>
        <v>#N/A</v>
      </c>
    </row>
    <row r="377" spans="2:2">
      <c r="B377" t="e">
        <f>MATCH(C377,統合マスタ!$C$5:$C$836,0)</f>
        <v>#N/A</v>
      </c>
    </row>
    <row r="378" spans="2:2">
      <c r="B378" t="e">
        <f>MATCH(C378,統合マスタ!$C$5:$C$836,0)</f>
        <v>#N/A</v>
      </c>
    </row>
    <row r="379" spans="2:2">
      <c r="B379" t="e">
        <f>MATCH(C379,統合マスタ!$C$5:$C$836,0)</f>
        <v>#N/A</v>
      </c>
    </row>
    <row r="380" spans="2:2">
      <c r="B380" t="e">
        <f>MATCH(C380,統合マスタ!$C$5:$C$836,0)</f>
        <v>#N/A</v>
      </c>
    </row>
    <row r="381" spans="2:2">
      <c r="B381" t="e">
        <f>MATCH(C381,統合マスタ!$C$5:$C$836,0)</f>
        <v>#N/A</v>
      </c>
    </row>
    <row r="382" spans="2:2">
      <c r="B382" t="e">
        <f>MATCH(C382,統合マスタ!$C$5:$C$836,0)</f>
        <v>#N/A</v>
      </c>
    </row>
    <row r="383" spans="2:2">
      <c r="B383" t="e">
        <f>MATCH(C383,統合マスタ!$C$5:$C$836,0)</f>
        <v>#N/A</v>
      </c>
    </row>
    <row r="384" spans="2:2">
      <c r="B384" t="e">
        <f>MATCH(C384,統合マスタ!$C$5:$C$836,0)</f>
        <v>#N/A</v>
      </c>
    </row>
    <row r="385" spans="2:2">
      <c r="B385" t="e">
        <f>MATCH(C385,統合マスタ!$C$5:$C$836,0)</f>
        <v>#N/A</v>
      </c>
    </row>
    <row r="386" spans="2:2">
      <c r="B386" t="e">
        <f>MATCH(C386,統合マスタ!$C$5:$C$836,0)</f>
        <v>#N/A</v>
      </c>
    </row>
    <row r="387" spans="2:2">
      <c r="B387" t="e">
        <f>MATCH(C387,統合マスタ!$C$5:$C$836,0)</f>
        <v>#N/A</v>
      </c>
    </row>
    <row r="388" spans="2:2">
      <c r="B388" t="e">
        <f>MATCH(C388,統合マスタ!$C$5:$C$836,0)</f>
        <v>#N/A</v>
      </c>
    </row>
    <row r="389" spans="2:2">
      <c r="B389" t="e">
        <f>MATCH(C389,統合マスタ!$C$5:$C$836,0)</f>
        <v>#N/A</v>
      </c>
    </row>
    <row r="390" spans="2:2">
      <c r="B390" t="e">
        <f>MATCH(C390,統合マスタ!$C$5:$C$836,0)</f>
        <v>#N/A</v>
      </c>
    </row>
    <row r="391" spans="2:2">
      <c r="B391" t="e">
        <f>MATCH(C391,統合マスタ!$C$5:$C$836,0)</f>
        <v>#N/A</v>
      </c>
    </row>
    <row r="392" spans="2:2">
      <c r="B392" t="e">
        <f>MATCH(C392,統合マスタ!$C$5:$C$836,0)</f>
        <v>#N/A</v>
      </c>
    </row>
    <row r="393" spans="2:2">
      <c r="B393" t="e">
        <f>MATCH(C393,統合マスタ!$C$5:$C$836,0)</f>
        <v>#N/A</v>
      </c>
    </row>
    <row r="394" spans="2:2">
      <c r="B394" t="e">
        <f>MATCH(C394,統合マスタ!$C$5:$C$836,0)</f>
        <v>#N/A</v>
      </c>
    </row>
    <row r="395" spans="2:2">
      <c r="B395" t="e">
        <f>MATCH(C395,統合マスタ!$C$5:$C$836,0)</f>
        <v>#N/A</v>
      </c>
    </row>
    <row r="396" spans="2:2">
      <c r="B396" t="e">
        <f>MATCH(C396,統合マスタ!$C$5:$C$836,0)</f>
        <v>#N/A</v>
      </c>
    </row>
    <row r="397" spans="2:2">
      <c r="B397" t="e">
        <f>MATCH(C397,統合マスタ!$C$5:$C$836,0)</f>
        <v>#N/A</v>
      </c>
    </row>
    <row r="398" spans="2:2">
      <c r="B398" t="e">
        <f>MATCH(C398,統合マスタ!$C$5:$C$836,0)</f>
        <v>#N/A</v>
      </c>
    </row>
    <row r="399" spans="2:2">
      <c r="B399" t="e">
        <f>MATCH(C399,統合マスタ!$C$5:$C$836,0)</f>
        <v>#N/A</v>
      </c>
    </row>
    <row r="400" spans="2:2">
      <c r="B400" t="e">
        <f>MATCH(C400,統合マスタ!$C$5:$C$836,0)</f>
        <v>#N/A</v>
      </c>
    </row>
    <row r="401" spans="2:2">
      <c r="B401" t="e">
        <f>MATCH(C401,統合マスタ!$C$5:$C$836,0)</f>
        <v>#N/A</v>
      </c>
    </row>
    <row r="402" spans="2:2">
      <c r="B402" t="e">
        <f>MATCH(C402,統合マスタ!$C$5:$C$836,0)</f>
        <v>#N/A</v>
      </c>
    </row>
    <row r="403" spans="2:2">
      <c r="B403" t="e">
        <f>MATCH(C403,統合マスタ!$C$5:$C$836,0)</f>
        <v>#N/A</v>
      </c>
    </row>
    <row r="404" spans="2:2">
      <c r="B404" t="e">
        <f>MATCH(C404,統合マスタ!$C$5:$C$836,0)</f>
        <v>#N/A</v>
      </c>
    </row>
    <row r="405" spans="2:2">
      <c r="B405" t="e">
        <f>MATCH(C405,統合マスタ!$C$5:$C$836,0)</f>
        <v>#N/A</v>
      </c>
    </row>
    <row r="406" spans="2:2">
      <c r="B406" t="e">
        <f>MATCH(C406,統合マスタ!$C$5:$C$836,0)</f>
        <v>#N/A</v>
      </c>
    </row>
    <row r="407" spans="2:2">
      <c r="B407" t="e">
        <f>MATCH(C407,統合マスタ!$C$5:$C$836,0)</f>
        <v>#N/A</v>
      </c>
    </row>
    <row r="408" spans="2:2">
      <c r="B408" t="e">
        <f>MATCH(C408,統合マスタ!$C$5:$C$836,0)</f>
        <v>#N/A</v>
      </c>
    </row>
    <row r="409" spans="2:2">
      <c r="B409" t="e">
        <f>MATCH(C409,統合マスタ!$C$5:$C$836,0)</f>
        <v>#N/A</v>
      </c>
    </row>
    <row r="410" spans="2:2">
      <c r="B410" t="e">
        <f>MATCH(C410,統合マスタ!$C$5:$C$836,0)</f>
        <v>#N/A</v>
      </c>
    </row>
    <row r="411" spans="2:2">
      <c r="B411" t="e">
        <f>MATCH(C411,統合マスタ!$C$5:$C$836,0)</f>
        <v>#N/A</v>
      </c>
    </row>
    <row r="412" spans="2:2">
      <c r="B412" t="e">
        <f>MATCH(C412,統合マスタ!$C$5:$C$836,0)</f>
        <v>#N/A</v>
      </c>
    </row>
    <row r="413" spans="2:2">
      <c r="B413" t="e">
        <f>MATCH(C413,統合マスタ!$C$5:$C$836,0)</f>
        <v>#N/A</v>
      </c>
    </row>
    <row r="414" spans="2:2">
      <c r="B414" t="e">
        <f>MATCH(C414,統合マスタ!$C$5:$C$836,0)</f>
        <v>#N/A</v>
      </c>
    </row>
    <row r="415" spans="2:2">
      <c r="B415" t="e">
        <f>MATCH(C415,統合マスタ!$C$5:$C$836,0)</f>
        <v>#N/A</v>
      </c>
    </row>
    <row r="416" spans="2:2">
      <c r="B416" t="e">
        <f>MATCH(C416,統合マスタ!$C$5:$C$836,0)</f>
        <v>#N/A</v>
      </c>
    </row>
    <row r="417" spans="2:2">
      <c r="B417" t="e">
        <f>MATCH(C417,統合マスタ!$C$5:$C$836,0)</f>
        <v>#N/A</v>
      </c>
    </row>
    <row r="418" spans="2:2">
      <c r="B418" t="e">
        <f>MATCH(C418,統合マスタ!$C$5:$C$836,0)</f>
        <v>#N/A</v>
      </c>
    </row>
    <row r="419" spans="2:2">
      <c r="B419" t="e">
        <f>MATCH(C419,統合マスタ!$C$5:$C$836,0)</f>
        <v>#N/A</v>
      </c>
    </row>
    <row r="420" spans="2:2">
      <c r="B420" t="e">
        <f>MATCH(C420,統合マスタ!$C$5:$C$836,0)</f>
        <v>#N/A</v>
      </c>
    </row>
    <row r="421" spans="2:2">
      <c r="B421" t="e">
        <f>MATCH(C421,統合マスタ!$C$5:$C$836,0)</f>
        <v>#N/A</v>
      </c>
    </row>
    <row r="422" spans="2:2">
      <c r="B422" t="e">
        <f>MATCH(C422,統合マスタ!$C$5:$C$836,0)</f>
        <v>#N/A</v>
      </c>
    </row>
    <row r="423" spans="2:2">
      <c r="B423" t="e">
        <f>MATCH(C423,統合マスタ!$C$5:$C$836,0)</f>
        <v>#N/A</v>
      </c>
    </row>
    <row r="424" spans="2:2">
      <c r="B424" t="e">
        <f>MATCH(C424,統合マスタ!$C$5:$C$836,0)</f>
        <v>#N/A</v>
      </c>
    </row>
    <row r="425" spans="2:2">
      <c r="B425" t="e">
        <f>MATCH(C425,統合マスタ!$C$5:$C$836,0)</f>
        <v>#N/A</v>
      </c>
    </row>
    <row r="426" spans="2:2">
      <c r="B426" t="e">
        <f>MATCH(C426,統合マスタ!$C$5:$C$836,0)</f>
        <v>#N/A</v>
      </c>
    </row>
    <row r="427" spans="2:2">
      <c r="B427" t="e">
        <f>MATCH(C427,統合マスタ!$C$5:$C$836,0)</f>
        <v>#N/A</v>
      </c>
    </row>
    <row r="428" spans="2:2">
      <c r="B428" t="e">
        <f>MATCH(C428,統合マスタ!$C$5:$C$836,0)</f>
        <v>#N/A</v>
      </c>
    </row>
    <row r="429" spans="2:2">
      <c r="B429" t="e">
        <f>MATCH(C429,統合マスタ!$C$5:$C$836,0)</f>
        <v>#N/A</v>
      </c>
    </row>
    <row r="430" spans="2:2">
      <c r="B430" t="e">
        <f>MATCH(C430,統合マスタ!$C$5:$C$836,0)</f>
        <v>#N/A</v>
      </c>
    </row>
    <row r="431" spans="2:2">
      <c r="B431" t="e">
        <f>MATCH(C431,統合マスタ!$C$5:$C$836,0)</f>
        <v>#N/A</v>
      </c>
    </row>
    <row r="432" spans="2:2">
      <c r="B432" t="e">
        <f>MATCH(C432,統合マスタ!$C$5:$C$836,0)</f>
        <v>#N/A</v>
      </c>
    </row>
    <row r="433" spans="2:2">
      <c r="B433" t="e">
        <f>MATCH(C433,統合マスタ!$C$5:$C$836,0)</f>
        <v>#N/A</v>
      </c>
    </row>
    <row r="434" spans="2:2">
      <c r="B434" t="e">
        <f>MATCH(C434,統合マスタ!$C$5:$C$836,0)</f>
        <v>#N/A</v>
      </c>
    </row>
    <row r="435" spans="2:2">
      <c r="B435" t="e">
        <f>MATCH(C435,統合マスタ!$C$5:$C$836,0)</f>
        <v>#N/A</v>
      </c>
    </row>
    <row r="436" spans="2:2">
      <c r="B436" t="e">
        <f>MATCH(C436,統合マスタ!$C$5:$C$836,0)</f>
        <v>#N/A</v>
      </c>
    </row>
    <row r="437" spans="2:2">
      <c r="B437" t="e">
        <f>MATCH(C437,統合マスタ!$C$5:$C$836,0)</f>
        <v>#N/A</v>
      </c>
    </row>
    <row r="438" spans="2:2">
      <c r="B438" t="e">
        <f>MATCH(C438,統合マスタ!$C$5:$C$836,0)</f>
        <v>#N/A</v>
      </c>
    </row>
    <row r="439" spans="2:2">
      <c r="B439" t="e">
        <f>MATCH(C439,統合マスタ!$C$5:$C$836,0)</f>
        <v>#N/A</v>
      </c>
    </row>
    <row r="440" spans="2:2">
      <c r="B440" t="e">
        <f>MATCH(C440,統合マスタ!$C$5:$C$836,0)</f>
        <v>#N/A</v>
      </c>
    </row>
    <row r="441" spans="2:2">
      <c r="B441" t="e">
        <f>MATCH(C441,統合マスタ!$C$5:$C$836,0)</f>
        <v>#N/A</v>
      </c>
    </row>
    <row r="442" spans="2:2">
      <c r="B442" t="e">
        <f>MATCH(C442,統合マスタ!$C$5:$C$836,0)</f>
        <v>#N/A</v>
      </c>
    </row>
    <row r="443" spans="2:2">
      <c r="B443" t="e">
        <f>MATCH(C443,統合マスタ!$C$5:$C$836,0)</f>
        <v>#N/A</v>
      </c>
    </row>
    <row r="444" spans="2:2">
      <c r="B444" t="e">
        <f>MATCH(C444,統合マスタ!$C$5:$C$836,0)</f>
        <v>#N/A</v>
      </c>
    </row>
    <row r="445" spans="2:2">
      <c r="B445" t="e">
        <f>MATCH(C445,統合マスタ!$C$5:$C$836,0)</f>
        <v>#N/A</v>
      </c>
    </row>
    <row r="446" spans="2:2">
      <c r="B446" t="e">
        <f>MATCH(C446,統合マスタ!$C$5:$C$836,0)</f>
        <v>#N/A</v>
      </c>
    </row>
    <row r="447" spans="2:2">
      <c r="B447" t="e">
        <f>MATCH(C447,統合マスタ!$C$5:$C$836,0)</f>
        <v>#N/A</v>
      </c>
    </row>
    <row r="448" spans="2:2">
      <c r="B448" t="e">
        <f>MATCH(C448,統合マスタ!$C$5:$C$836,0)</f>
        <v>#N/A</v>
      </c>
    </row>
    <row r="449" spans="2:2">
      <c r="B449" t="e">
        <f>MATCH(C449,統合マスタ!$C$5:$C$836,0)</f>
        <v>#N/A</v>
      </c>
    </row>
    <row r="450" spans="2:2">
      <c r="B450" t="e">
        <f>MATCH(C450,統合マスタ!$C$5:$C$836,0)</f>
        <v>#N/A</v>
      </c>
    </row>
    <row r="451" spans="2:2">
      <c r="B451" t="e">
        <f>MATCH(C451,統合マスタ!$C$5:$C$836,0)</f>
        <v>#N/A</v>
      </c>
    </row>
    <row r="452" spans="2:2">
      <c r="B452" t="e">
        <f>MATCH(C452,統合マスタ!$C$5:$C$836,0)</f>
        <v>#N/A</v>
      </c>
    </row>
    <row r="453" spans="2:2">
      <c r="B453" t="e">
        <f>MATCH(C453,統合マスタ!$C$5:$C$836,0)</f>
        <v>#N/A</v>
      </c>
    </row>
    <row r="454" spans="2:2">
      <c r="B454" t="e">
        <f>MATCH(C454,統合マスタ!$C$5:$C$836,0)</f>
        <v>#N/A</v>
      </c>
    </row>
    <row r="455" spans="2:2">
      <c r="B455" t="e">
        <f>MATCH(C455,統合マスタ!$C$5:$C$836,0)</f>
        <v>#N/A</v>
      </c>
    </row>
    <row r="456" spans="2:2">
      <c r="B456" t="e">
        <f>MATCH(C456,統合マスタ!$C$5:$C$836,0)</f>
        <v>#N/A</v>
      </c>
    </row>
    <row r="457" spans="2:2">
      <c r="B457" t="e">
        <f>MATCH(C457,統合マスタ!$C$5:$C$836,0)</f>
        <v>#N/A</v>
      </c>
    </row>
    <row r="458" spans="2:2">
      <c r="B458" t="e">
        <f>MATCH(C458,統合マスタ!$C$5:$C$836,0)</f>
        <v>#N/A</v>
      </c>
    </row>
    <row r="459" spans="2:2">
      <c r="B459" t="e">
        <f>MATCH(C459,統合マスタ!$C$5:$C$836,0)</f>
        <v>#N/A</v>
      </c>
    </row>
    <row r="460" spans="2:2">
      <c r="B460" t="e">
        <f>MATCH(C460,統合マスタ!$C$5:$C$836,0)</f>
        <v>#N/A</v>
      </c>
    </row>
    <row r="461" spans="2:2">
      <c r="B461" t="e">
        <f>MATCH(C461,統合マスタ!$C$5:$C$836,0)</f>
        <v>#N/A</v>
      </c>
    </row>
    <row r="462" spans="2:2">
      <c r="B462" t="e">
        <f>MATCH(C462,統合マスタ!$C$5:$C$836,0)</f>
        <v>#N/A</v>
      </c>
    </row>
    <row r="463" spans="2:2">
      <c r="B463" t="e">
        <f>MATCH(C463,統合マスタ!$C$5:$C$836,0)</f>
        <v>#N/A</v>
      </c>
    </row>
    <row r="464" spans="2:2">
      <c r="B464" t="e">
        <f>MATCH(C464,統合マスタ!$C$5:$C$836,0)</f>
        <v>#N/A</v>
      </c>
    </row>
    <row r="465" spans="2:2">
      <c r="B465" t="e">
        <f>MATCH(C465,統合マスタ!$C$5:$C$836,0)</f>
        <v>#N/A</v>
      </c>
    </row>
    <row r="466" spans="2:2">
      <c r="B466" t="e">
        <f>MATCH(C466,統合マスタ!$C$5:$C$836,0)</f>
        <v>#N/A</v>
      </c>
    </row>
    <row r="467" spans="2:2">
      <c r="B467" t="e">
        <f>MATCH(C467,統合マスタ!$C$5:$C$836,0)</f>
        <v>#N/A</v>
      </c>
    </row>
    <row r="468" spans="2:2">
      <c r="B468" t="e">
        <f>MATCH(C468,統合マスタ!$C$5:$C$836,0)</f>
        <v>#N/A</v>
      </c>
    </row>
    <row r="469" spans="2:2">
      <c r="B469" t="e">
        <f>MATCH(C469,統合マスタ!$C$5:$C$836,0)</f>
        <v>#N/A</v>
      </c>
    </row>
    <row r="470" spans="2:2">
      <c r="B470" t="e">
        <f>MATCH(C470,統合マスタ!$C$5:$C$836,0)</f>
        <v>#N/A</v>
      </c>
    </row>
    <row r="471" spans="2:2">
      <c r="B471" t="e">
        <f>MATCH(C471,統合マスタ!$C$5:$C$836,0)</f>
        <v>#N/A</v>
      </c>
    </row>
    <row r="472" spans="2:2">
      <c r="B472" t="e">
        <f>MATCH(C472,統合マスタ!$C$5:$C$836,0)</f>
        <v>#N/A</v>
      </c>
    </row>
    <row r="473" spans="2:2">
      <c r="B473" t="e">
        <f>MATCH(C473,統合マスタ!$C$5:$C$836,0)</f>
        <v>#N/A</v>
      </c>
    </row>
    <row r="474" spans="2:2">
      <c r="B474" t="e">
        <f>MATCH(C474,統合マスタ!$C$5:$C$836,0)</f>
        <v>#N/A</v>
      </c>
    </row>
    <row r="475" spans="2:2">
      <c r="B475" t="e">
        <f>MATCH(C475,統合マスタ!$C$5:$C$836,0)</f>
        <v>#N/A</v>
      </c>
    </row>
    <row r="476" spans="2:2">
      <c r="B476" t="e">
        <f>MATCH(C476,統合マスタ!$C$5:$C$836,0)</f>
        <v>#N/A</v>
      </c>
    </row>
    <row r="477" spans="2:2">
      <c r="B477" t="e">
        <f>MATCH(C477,統合マスタ!$C$5:$C$836,0)</f>
        <v>#N/A</v>
      </c>
    </row>
    <row r="478" spans="2:2">
      <c r="B478" t="e">
        <f>MATCH(C478,統合マスタ!$C$5:$C$836,0)</f>
        <v>#N/A</v>
      </c>
    </row>
    <row r="479" spans="2:2">
      <c r="B479" t="e">
        <f>MATCH(C479,統合マスタ!$C$5:$C$836,0)</f>
        <v>#N/A</v>
      </c>
    </row>
    <row r="480" spans="2:2">
      <c r="B480" t="e">
        <f>MATCH(C480,統合マスタ!$C$5:$C$836,0)</f>
        <v>#N/A</v>
      </c>
    </row>
    <row r="481" spans="2:2">
      <c r="B481" t="e">
        <f>MATCH(C481,統合マスタ!$C$5:$C$836,0)</f>
        <v>#N/A</v>
      </c>
    </row>
    <row r="482" spans="2:2">
      <c r="B482" t="e">
        <f>MATCH(C482,統合マスタ!$C$5:$C$836,0)</f>
        <v>#N/A</v>
      </c>
    </row>
    <row r="483" spans="2:2">
      <c r="B483" t="e">
        <f>MATCH(C483,統合マスタ!$C$5:$C$836,0)</f>
        <v>#N/A</v>
      </c>
    </row>
    <row r="484" spans="2:2">
      <c r="B484" t="e">
        <f>MATCH(C484,統合マスタ!$C$5:$C$836,0)</f>
        <v>#N/A</v>
      </c>
    </row>
    <row r="485" spans="2:2">
      <c r="B485" t="e">
        <f>MATCH(C485,統合マスタ!$C$5:$C$836,0)</f>
        <v>#N/A</v>
      </c>
    </row>
    <row r="486" spans="2:2">
      <c r="B486" t="e">
        <f>MATCH(C486,統合マスタ!$C$5:$C$836,0)</f>
        <v>#N/A</v>
      </c>
    </row>
    <row r="487" spans="2:2">
      <c r="B487" t="e">
        <f>MATCH(C487,統合マスタ!$C$5:$C$836,0)</f>
        <v>#N/A</v>
      </c>
    </row>
    <row r="488" spans="2:2">
      <c r="B488" t="e">
        <f>MATCH(C488,統合マスタ!$C$5:$C$836,0)</f>
        <v>#N/A</v>
      </c>
    </row>
    <row r="489" spans="2:2">
      <c r="B489" t="e">
        <f>MATCH(C489,統合マスタ!$C$5:$C$836,0)</f>
        <v>#N/A</v>
      </c>
    </row>
    <row r="490" spans="2:2">
      <c r="B490" t="e">
        <f>MATCH(C490,統合マスタ!$C$5:$C$836,0)</f>
        <v>#N/A</v>
      </c>
    </row>
    <row r="491" spans="2:2">
      <c r="B491" t="e">
        <f>MATCH(C491,統合マスタ!$C$5:$C$836,0)</f>
        <v>#N/A</v>
      </c>
    </row>
    <row r="492" spans="2:2">
      <c r="B492" t="e">
        <f>MATCH(C492,統合マスタ!$C$5:$C$836,0)</f>
        <v>#N/A</v>
      </c>
    </row>
    <row r="493" spans="2:2">
      <c r="B493" t="e">
        <f>MATCH(C493,統合マスタ!$C$5:$C$836,0)</f>
        <v>#N/A</v>
      </c>
    </row>
    <row r="494" spans="2:2">
      <c r="B494" t="e">
        <f>MATCH(C494,統合マスタ!$C$5:$C$836,0)</f>
        <v>#N/A</v>
      </c>
    </row>
    <row r="495" spans="2:2">
      <c r="B495" t="e">
        <f>MATCH(C495,統合マスタ!$C$5:$C$836,0)</f>
        <v>#N/A</v>
      </c>
    </row>
    <row r="496" spans="2:2">
      <c r="B496" t="e">
        <f>MATCH(C496,統合マスタ!$C$5:$C$836,0)</f>
        <v>#N/A</v>
      </c>
    </row>
    <row r="497" spans="2:2">
      <c r="B497" t="e">
        <f>MATCH(C497,統合マスタ!$C$5:$C$836,0)</f>
        <v>#N/A</v>
      </c>
    </row>
    <row r="498" spans="2:2">
      <c r="B498" t="e">
        <f>MATCH(C498,統合マスタ!$C$5:$C$836,0)</f>
        <v>#N/A</v>
      </c>
    </row>
    <row r="499" spans="2:2">
      <c r="B499" t="e">
        <f>MATCH(C499,統合マスタ!$C$5:$C$836,0)</f>
        <v>#N/A</v>
      </c>
    </row>
    <row r="500" spans="2:2">
      <c r="B500" t="e">
        <f>MATCH(C500,統合マスタ!$C$5:$C$836,0)</f>
        <v>#N/A</v>
      </c>
    </row>
    <row r="501" spans="2:2">
      <c r="B501" t="e">
        <f>MATCH(C501,統合マスタ!$C$5:$C$836,0)</f>
        <v>#N/A</v>
      </c>
    </row>
    <row r="502" spans="2:2">
      <c r="B502" t="e">
        <f>MATCH(C502,統合マスタ!$C$5:$C$836,0)</f>
        <v>#N/A</v>
      </c>
    </row>
    <row r="503" spans="2:2">
      <c r="B503" t="e">
        <f>MATCH(C503,統合マスタ!$C$5:$C$836,0)</f>
        <v>#N/A</v>
      </c>
    </row>
    <row r="504" spans="2:2">
      <c r="B504" t="e">
        <f>MATCH(C504,統合マスタ!$C$5:$C$836,0)</f>
        <v>#N/A</v>
      </c>
    </row>
    <row r="505" spans="2:2">
      <c r="B505" t="e">
        <f>MATCH(C505,統合マスタ!$C$5:$C$836,0)</f>
        <v>#N/A</v>
      </c>
    </row>
    <row r="506" spans="2:2">
      <c r="B506" t="e">
        <f>MATCH(C506,統合マスタ!$C$5:$C$836,0)</f>
        <v>#N/A</v>
      </c>
    </row>
    <row r="507" spans="2:2">
      <c r="B507" t="e">
        <f>MATCH(C507,統合マスタ!$C$5:$C$836,0)</f>
        <v>#N/A</v>
      </c>
    </row>
    <row r="508" spans="2:2">
      <c r="B508" t="e">
        <f>MATCH(C508,統合マスタ!$C$5:$C$836,0)</f>
        <v>#N/A</v>
      </c>
    </row>
    <row r="509" spans="2:2">
      <c r="B509" t="e">
        <f>MATCH(C509,統合マスタ!$C$5:$C$836,0)</f>
        <v>#N/A</v>
      </c>
    </row>
    <row r="510" spans="2:2">
      <c r="B510" t="e">
        <f>MATCH(C510,統合マスタ!$C$5:$C$836,0)</f>
        <v>#N/A</v>
      </c>
    </row>
    <row r="511" spans="2:2">
      <c r="B511" t="e">
        <f>MATCH(C511,統合マスタ!$C$5:$C$836,0)</f>
        <v>#N/A</v>
      </c>
    </row>
    <row r="512" spans="2:2">
      <c r="B512" t="e">
        <f>MATCH(C512,統合マスタ!$C$5:$C$836,0)</f>
        <v>#N/A</v>
      </c>
    </row>
    <row r="513" spans="2:2">
      <c r="B513" t="e">
        <f>MATCH(C513,統合マスタ!$C$5:$C$836,0)</f>
        <v>#N/A</v>
      </c>
    </row>
    <row r="514" spans="2:2">
      <c r="B514" t="e">
        <f>MATCH(C514,統合マスタ!$C$5:$C$836,0)</f>
        <v>#N/A</v>
      </c>
    </row>
    <row r="515" spans="2:2">
      <c r="B515" t="e">
        <f>MATCH(C515,統合マスタ!$C$5:$C$836,0)</f>
        <v>#N/A</v>
      </c>
    </row>
    <row r="516" spans="2:2">
      <c r="B516" t="e">
        <f>MATCH(C516,統合マスタ!$C$5:$C$836,0)</f>
        <v>#N/A</v>
      </c>
    </row>
    <row r="517" spans="2:2">
      <c r="B517" t="e">
        <f>MATCH(C517,統合マスタ!$C$5:$C$836,0)</f>
        <v>#N/A</v>
      </c>
    </row>
    <row r="518" spans="2:2">
      <c r="B518" t="e">
        <f>MATCH(C518,統合マスタ!$C$5:$C$836,0)</f>
        <v>#N/A</v>
      </c>
    </row>
    <row r="519" spans="2:2">
      <c r="B519" t="e">
        <f>MATCH(C519,統合マスタ!$C$5:$C$836,0)</f>
        <v>#N/A</v>
      </c>
    </row>
    <row r="520" spans="2:2">
      <c r="B520" t="e">
        <f>MATCH(C520,統合マスタ!$C$5:$C$836,0)</f>
        <v>#N/A</v>
      </c>
    </row>
    <row r="521" spans="2:2">
      <c r="B521" t="e">
        <f>MATCH(C521,統合マスタ!$C$5:$C$836,0)</f>
        <v>#N/A</v>
      </c>
    </row>
    <row r="522" spans="2:2">
      <c r="B522" t="e">
        <f>MATCH(C522,統合マスタ!$C$5:$C$836,0)</f>
        <v>#N/A</v>
      </c>
    </row>
    <row r="523" spans="2:2">
      <c r="B523" t="e">
        <f>MATCH(C523,統合マスタ!$C$5:$C$836,0)</f>
        <v>#N/A</v>
      </c>
    </row>
    <row r="524" spans="2:2">
      <c r="B524" t="e">
        <f>MATCH(C524,統合マスタ!$C$5:$C$836,0)</f>
        <v>#N/A</v>
      </c>
    </row>
    <row r="525" spans="2:2">
      <c r="B525" t="e">
        <f>MATCH(C525,統合マスタ!$C$5:$C$836,0)</f>
        <v>#N/A</v>
      </c>
    </row>
    <row r="526" spans="2:2">
      <c r="B526" t="e">
        <f>MATCH(C526,統合マスタ!$C$5:$C$836,0)</f>
        <v>#N/A</v>
      </c>
    </row>
    <row r="527" spans="2:2">
      <c r="B527" t="e">
        <f>MATCH(C527,統合マスタ!$C$5:$C$836,0)</f>
        <v>#N/A</v>
      </c>
    </row>
    <row r="528" spans="2:2">
      <c r="B528" t="e">
        <f>MATCH(C528,統合マスタ!$C$5:$C$836,0)</f>
        <v>#N/A</v>
      </c>
    </row>
    <row r="529" spans="2:2">
      <c r="B529" t="e">
        <f>MATCH(C529,統合マスタ!$C$5:$C$836,0)</f>
        <v>#N/A</v>
      </c>
    </row>
    <row r="530" spans="2:2">
      <c r="B530" t="e">
        <f>MATCH(C530,統合マスタ!$C$5:$C$836,0)</f>
        <v>#N/A</v>
      </c>
    </row>
    <row r="531" spans="2:2">
      <c r="B531" t="e">
        <f>MATCH(C531,統合マスタ!$C$5:$C$836,0)</f>
        <v>#N/A</v>
      </c>
    </row>
    <row r="532" spans="2:2">
      <c r="B532" t="e">
        <f>MATCH(C532,統合マスタ!$C$5:$C$836,0)</f>
        <v>#N/A</v>
      </c>
    </row>
    <row r="533" spans="2:2">
      <c r="B533" t="e">
        <f>MATCH(C533,統合マスタ!$C$5:$C$836,0)</f>
        <v>#N/A</v>
      </c>
    </row>
  </sheetData>
  <autoFilter ref="A1:F533" xr:uid="{38191B72-B299-4C31-8C30-4193D598596C}">
    <filterColumn colId="5">
      <filters blank="1">
        <filter val="0"/>
        <filter val="30"/>
        <filter val="32"/>
        <filter val="33"/>
        <filter val="35"/>
        <filter val="41"/>
        <filter val="44"/>
        <filter val="45"/>
        <filter val="46"/>
        <filter val="48"/>
        <filter val="50"/>
        <filter val="51"/>
        <filter val="53"/>
        <filter val="54"/>
        <filter val="56"/>
        <filter val="59"/>
        <filter val="62"/>
        <filter val="63"/>
        <filter val="64"/>
        <filter val="65"/>
        <filter val="67"/>
        <filter val="70"/>
        <filter val="71"/>
        <filter val="72"/>
        <filter val="73"/>
        <filter val="75"/>
        <filter val="76"/>
        <filter val="79"/>
        <filter val="80"/>
        <filter val="82"/>
        <filter val="83"/>
        <filter val="84"/>
        <filter val="85"/>
        <filter val="86"/>
        <filter val="87"/>
        <filter val="88"/>
        <filter val="89"/>
        <filter val="91"/>
        <filter val="93"/>
        <filter val="94"/>
        <filter val="95"/>
        <filter val="96"/>
        <filter val="97"/>
      </filters>
    </filterColumn>
  </autoFilter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sheetPr filterMode="1"/>
  <dimension ref="A1:CE834"/>
  <sheetViews>
    <sheetView topLeftCell="A97" workbookViewId="0">
      <selection activeCell="F830" sqref="F83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 hidden="1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 hidden="1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 hidden="1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 hidden="1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 hidden="1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 hidden="1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 hidden="1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 hidden="1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 hidden="1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 hidden="1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 hidden="1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 hidden="1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 hidden="1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 hidden="1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 hidden="1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hidden="1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 ht="13.8" hidden="1" thickTop="1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 ht="13.8" hidden="1" thickTop="1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 ht="13.8" thickTop="1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 hidden="1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 hidden="1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 hidden="1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 hidden="1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 hidden="1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 hidden="1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 hidden="1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 hidden="1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 hidden="1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 hidden="1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 hidden="1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 hidden="1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 hidden="1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 hidden="1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 hidden="1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 hidden="1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 hidden="1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 hidden="1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 hidden="1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 hidden="1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 hidden="1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 hidden="1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 hidden="1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 hidden="1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 hidden="1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 hidden="1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 hidden="1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 hidden="1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 hidden="1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 hidden="1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 hidden="1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 hidden="1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 hidden="1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 hidden="1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 hidden="1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 hidden="1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 hidden="1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 hidden="1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 hidden="1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 hidden="1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 hidden="1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 hidden="1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 hidden="1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 hidden="1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 hidden="1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 hidden="1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 hidden="1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 hidden="1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 hidden="1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 hidden="1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 hidden="1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 hidden="1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 hidden="1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 hidden="1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 hidden="1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 hidden="1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 hidden="1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 hidden="1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 hidden="1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 hidden="1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 hidden="1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 hidden="1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 hidden="1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 hidden="1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 hidden="1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 hidden="1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 hidden="1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 hidden="1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 hidden="1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 hidden="1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 hidden="1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 hidden="1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 hidden="1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 hidden="1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 hidden="1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 hidden="1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 hidden="1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 hidden="1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 hidden="1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 hidden="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 hidden="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 hidden="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 hidden="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 hidden="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 hidden="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 hidden="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 hidden="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 hidden="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 hidden="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 hidden="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 hidden="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 hidden="1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 hidden="1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 hidden="1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 hidden="1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 hidden="1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 hidden="1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 hidden="1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 hidden="1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 hidden="1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 hidden="1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 hidden="1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 hidden="1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 hidden="1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 hidden="1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 hidden="1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 hidden="1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 hidden="1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 hidden="1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 hidden="1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 hidden="1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 hidden="1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 hidden="1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 hidden="1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 hidden="1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 hidden="1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 hidden="1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 hidden="1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 hidden="1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 hidden="1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 hidden="1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 hidden="1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hidden="1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 ht="13.8" hidden="1" thickTop="1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 ht="13.8" hidden="1" thickTop="1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 ht="13.8" hidden="1" thickTop="1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 ht="13.8" hidden="1" thickTop="1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 ht="13.8" hidden="1" thickTop="1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 ht="13.8" hidden="1" thickTop="1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 ht="13.8" thickTop="1">
      <c r="A242">
        <v>241</v>
      </c>
      <c r="B242" t="s">
        <v>476</v>
      </c>
      <c r="C242" t="s">
        <v>3876</v>
      </c>
    </row>
    <row r="243" spans="1:5" hidden="1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 hidden="1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 hidden="1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 hidden="1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 hidden="1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 hidden="1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 hidden="1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 hidden="1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 hidden="1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 hidden="1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 hidden="1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 hidden="1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 hidden="1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 hidden="1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 hidden="1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 hidden="1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 hidden="1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 hidden="1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 hidden="1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 hidden="1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 hidden="1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 hidden="1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 hidden="1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 hidden="1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 hidden="1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 hidden="1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 hidden="1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 hidden="1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 hidden="1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 hidden="1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 hidden="1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 hidden="1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 hidden="1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 hidden="1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 hidden="1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 hidden="1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 hidden="1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 hidden="1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 hidden="1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 hidden="1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 hidden="1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 hidden="1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 hidden="1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 hidden="1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 hidden="1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 hidden="1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 hidden="1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 hidden="1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 hidden="1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 hidden="1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 hidden="1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 hidden="1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 hidden="1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 hidden="1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 hidden="1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 hidden="1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 hidden="1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 hidden="1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 hidden="1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 hidden="1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 hidden="1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hidden="1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 ht="13.8" hidden="1" thickTop="1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 ht="13.8" hidden="1" thickTop="1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 ht="13.8" hidden="1" thickTop="1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 ht="13.8" hidden="1" thickTop="1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 ht="13.8" hidden="1" thickTop="1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 ht="13.8" hidden="1" thickTop="1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 ht="13.8" hidden="1" thickTop="1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 ht="13.8" hidden="1" thickTop="1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 ht="13.8" hidden="1" thickTop="1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 ht="13.8" hidden="1" thickTop="1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 ht="13.8" hidden="1" thickTop="1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 ht="13.8" hidden="1" thickTop="1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 ht="13.8" hidden="1" thickTop="1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 ht="13.8" hidden="1" thickTop="1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 ht="13.8" hidden="1" thickTop="1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 ht="13.8" thickTop="1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 hidden="1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 hidden="1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 hidden="1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 hidden="1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 hidden="1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 hidden="1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 hidden="1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 hidden="1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 hidden="1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 hidden="1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 hidden="1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 hidden="1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 hidden="1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 hidden="1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 hidden="1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 hidden="1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 hidden="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 hidden="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 hidden="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 hidden="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 hidden="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 hidden="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 hidden="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 hidden="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 hidden="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 hidden="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 hidden="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 hidden="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 hidden="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 hidden="1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 hidden="1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 hidden="1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 hidden="1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 hidden="1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 hidden="1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 hidden="1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 hidden="1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 hidden="1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 hidden="1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 hidden="1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 hidden="1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 hidden="1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 hidden="1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 hidden="1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 hidden="1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 hidden="1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 hidden="1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 hidden="1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 hidden="1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 hidden="1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 hidden="1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 hidden="1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 hidden="1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 hidden="1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 hidden="1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 hidden="1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 hidden="1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hidden="1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 ht="13.8" hidden="1" thickTop="1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 ht="13.8" hidden="1" thickTop="1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 ht="13.8" thickTop="1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 hidden="1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 hidden="1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 hidden="1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 hidden="1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 hidden="1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 hidden="1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 hidden="1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 hidden="1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 hidden="1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 hidden="1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 hidden="1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 hidden="1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 hidden="1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 hidden="1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 hidden="1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 hidden="1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 hidden="1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 hidden="1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 hidden="1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 hidden="1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 hidden="1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 hidden="1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 hidden="1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 hidden="1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 hidden="1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 hidden="1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 hidden="1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 hidden="1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 hidden="1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 hidden="1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 hidden="1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 hidden="1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 hidden="1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 hidden="1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 hidden="1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 hidden="1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 hidden="1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 hidden="1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 hidden="1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 hidden="1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 hidden="1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 hidden="1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 hidden="1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 hidden="1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 hidden="1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 hidden="1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 hidden="1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 hidden="1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 hidden="1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 hidden="1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 hidden="1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 hidden="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 hidden="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 hidden="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 hidden="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 hidden="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 hidden="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 hidden="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 hidden="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 hidden="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hidden="1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 ht="13.8" hidden="1" thickTop="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 ht="13.8" thickTop="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 hidden="1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 hidden="1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 hidden="1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 hidden="1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 hidden="1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 hidden="1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 hidden="1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 hidden="1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 hidden="1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 hidden="1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 hidden="1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 hidden="1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 hidden="1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 hidden="1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 hidden="1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 hidden="1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 hidden="1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 hidden="1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 hidden="1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 hidden="1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 hidden="1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 hidden="1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 hidden="1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 hidden="1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 hidden="1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 hidden="1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 hidden="1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 hidden="1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 hidden="1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 hidden="1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 hidden="1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 hidden="1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 hidden="1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 hidden="1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 hidden="1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 hidden="1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 hidden="1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 hidden="1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 hidden="1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 hidden="1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 hidden="1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 hidden="1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 hidden="1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 hidden="1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 hidden="1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 hidden="1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 hidden="1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 hidden="1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 hidden="1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 hidden="1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 hidden="1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 hidden="1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 hidden="1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 hidden="1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 hidden="1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 hidden="1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 hidden="1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 hidden="1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 hidden="1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 hidden="1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 hidden="1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 hidden="1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 hidden="1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 hidden="1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 hidden="1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 hidden="1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 hidden="1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 hidden="1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 hidden="1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 hidden="1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 hidden="1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 hidden="1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 hidden="1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 hidden="1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 hidden="1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 hidden="1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 hidden="1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 hidden="1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 hidden="1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 hidden="1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 hidden="1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 hidden="1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 hidden="1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 hidden="1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 hidden="1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 hidden="1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 hidden="1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 hidden="1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 hidden="1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 hidden="1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 hidden="1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 hidden="1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 hidden="1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 hidden="1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 hidden="1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 hidden="1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 hidden="1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 hidden="1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 hidden="1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 hidden="1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 hidden="1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 hidden="1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 hidden="1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 hidden="1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 hidden="1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 hidden="1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 hidden="1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 hidden="1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 hidden="1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 hidden="1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 hidden="1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 hidden="1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 hidden="1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 hidden="1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 hidden="1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 hidden="1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 hidden="1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 hidden="1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 hidden="1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 hidden="1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 hidden="1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 hidden="1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 hidden="1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 hidden="1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 hidden="1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 hidden="1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 hidden="1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 hidden="1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 hidden="1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 hidden="1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 hidden="1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 hidden="1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 hidden="1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 hidden="1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 hidden="1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 hidden="1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 hidden="1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 hidden="1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 hidden="1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 hidden="1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 hidden="1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 hidden="1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 hidden="1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 hidden="1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 hidden="1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 hidden="1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 hidden="1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 hidden="1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 hidden="1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 hidden="1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 hidden="1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 hidden="1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 hidden="1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 hidden="1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 hidden="1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 hidden="1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 hidden="1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 hidden="1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 hidden="1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 hidden="1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 hidden="1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 hidden="1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 hidden="1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 hidden="1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 hidden="1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 hidden="1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 hidden="1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 hidden="1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 hidden="1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 hidden="1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 hidden="1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 hidden="1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 hidden="1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 hidden="1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 hidden="1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 hidden="1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 hidden="1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 hidden="1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 hidden="1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 hidden="1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 hidden="1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 hidden="1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 hidden="1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 hidden="1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 hidden="1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 hidden="1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 hidden="1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 hidden="1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 hidden="1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 hidden="1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 hidden="1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 hidden="1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 hidden="1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 hidden="1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 hidden="1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 hidden="1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 hidden="1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 hidden="1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 hidden="1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 hidden="1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 hidden="1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 hidden="1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 hidden="1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 hidden="1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 hidden="1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 hidden="1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 hidden="1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 hidden="1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 hidden="1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 hidden="1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 hidden="1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 hidden="1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 hidden="1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>
    <filterColumn colId="2">
      <filters>
        <filter val="不一致"/>
        <filter val="薬価一致候補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87"/>
  <sheetViews>
    <sheetView topLeftCell="A466" workbookViewId="0">
      <selection activeCell="C494" sqref="C494"/>
    </sheetView>
  </sheetViews>
  <sheetFormatPr defaultColWidth="10.77734375" defaultRowHeight="13.2"/>
  <cols>
    <col min="3" max="3" width="57.44140625" bestFit="1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4061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6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5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</sheetData>
  <autoFilter ref="A4:L687" xr:uid="{E283ECF8-0BB8-4DEC-8FCC-DDD860AF498C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統合マスタ</vt:lpstr>
      <vt:lpstr>臨時</vt:lpstr>
      <vt:lpstr>外用</vt:lpstr>
      <vt:lpstr>散剤</vt:lpstr>
      <vt:lpstr>錠剤</vt:lpstr>
      <vt:lpstr>注射</vt:lpstr>
      <vt:lpstr>元データ</vt:lpstr>
      <vt:lpstr>非採用match</vt:lpstr>
      <vt:lpstr>マスタ非採用</vt:lpstr>
      <vt:lpstr>Sheet3</vt:lpstr>
      <vt:lpstr>分類</vt:lpstr>
      <vt:lpstr>match_results_top5</vt:lpstr>
      <vt:lpstr>match_results</vt:lpstr>
      <vt:lpstr>match_results_2</vt:lpstr>
      <vt:lpstr>マスタ非採用削除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2026-03-09T07:14:24Z</dcterms:modified>
</cp:coreProperties>
</file>