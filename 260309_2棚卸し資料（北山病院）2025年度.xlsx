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45C1E084-C9C2-449A-87D1-6BE327F70D6C}" xr6:coauthVersionLast="47" xr6:coauthVersionMax="47" xr10:uidLastSave="{00000000-0000-0000-0000-000000000000}"/>
  <bookViews>
    <workbookView xWindow="-108" yWindow="-108" windowWidth="23256" windowHeight="13896" tabRatio="850" firstSheet="2" activeTab="7" xr2:uid="{00000000-000D-0000-FFFF-FFFF00000000}"/>
  </bookViews>
  <sheets>
    <sheet name="統合マスタ" sheetId="10" r:id="rId1"/>
    <sheet name="match_results_不採用" sheetId="19" r:id="rId2"/>
    <sheet name="臨時" sheetId="11" r:id="rId3"/>
    <sheet name="外用" sheetId="12" r:id="rId4"/>
    <sheet name="散剤" sheetId="13" r:id="rId5"/>
    <sheet name="錠剤" sheetId="14" r:id="rId6"/>
    <sheet name="注射" sheetId="15" r:id="rId7"/>
    <sheet name="元データ" sheetId="1" r:id="rId8"/>
    <sheet name="分類" sheetId="16" r:id="rId9"/>
    <sheet name="match_results_top5" sheetId="23" r:id="rId10"/>
    <sheet name="match_results" sheetId="21" r:id="rId11"/>
    <sheet name="match_results_2" sheetId="18" r:id="rId12"/>
    <sheet name="マスタ非採用削除" sheetId="8" r:id="rId13"/>
  </sheets>
  <definedNames>
    <definedName name="_xlnm._FilterDatabase" localSheetId="10" hidden="1">match_results!$A$1:$F$533</definedName>
    <definedName name="_xlnm._FilterDatabase" localSheetId="11" hidden="1">match_results_2!$A$1:$CE$834</definedName>
    <definedName name="_xlnm._FilterDatabase" localSheetId="9" hidden="1">match_results_top5!$A$1:$R$51</definedName>
    <definedName name="_xlnm._FilterDatabase" localSheetId="12" hidden="1">マスタ非採用削除!$A$4:$L$687</definedName>
    <definedName name="_xlnm._FilterDatabase" localSheetId="7" hidden="1">元データ!$A$1:$U$1</definedName>
    <definedName name="_xlnm._FilterDatabase" localSheetId="0" hidden="1">統合マスタ!$A$4:$AA$836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0" l="1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2" i="1"/>
  <c r="B7" i="23" l="1"/>
  <c r="B32" i="23"/>
  <c r="B37" i="23"/>
  <c r="B9" i="23"/>
  <c r="B8" i="23"/>
  <c r="B36" i="23"/>
  <c r="B30" i="23"/>
  <c r="B23" i="23"/>
  <c r="B15" i="23"/>
  <c r="B17" i="23"/>
  <c r="B47" i="23"/>
  <c r="B43" i="23"/>
  <c r="B3" i="21"/>
  <c r="B2" i="23"/>
  <c r="B35" i="23"/>
  <c r="B22" i="23"/>
  <c r="B14" i="23"/>
  <c r="B6" i="23"/>
  <c r="B38" i="23"/>
  <c r="B24" i="23"/>
  <c r="B51" i="23"/>
  <c r="B46" i="23"/>
  <c r="B42" i="23"/>
  <c r="B29" i="23"/>
  <c r="B21" i="23"/>
  <c r="B13" i="23"/>
  <c r="B5" i="23"/>
  <c r="B44" i="23"/>
  <c r="B16" i="23"/>
  <c r="B50" i="23"/>
  <c r="B45" i="23"/>
  <c r="B41" i="23"/>
  <c r="B34" i="23"/>
  <c r="B28" i="23"/>
  <c r="B20" i="23"/>
  <c r="B12" i="23"/>
  <c r="B4" i="23"/>
  <c r="B25" i="23"/>
  <c r="B31" i="23"/>
  <c r="B49" i="23"/>
  <c r="B40" i="23"/>
  <c r="B27" i="23"/>
  <c r="B19" i="23"/>
  <c r="B11" i="23"/>
  <c r="B3" i="23"/>
  <c r="B48" i="23"/>
  <c r="B39" i="23"/>
  <c r="B33" i="23"/>
  <c r="B26" i="23"/>
  <c r="B18" i="23"/>
  <c r="B10" i="23"/>
  <c r="B217" i="21"/>
  <c r="B529" i="21"/>
  <c r="B473" i="21"/>
  <c r="B409" i="21"/>
  <c r="B209" i="21"/>
  <c r="B530" i="21"/>
  <c r="B522" i="21"/>
  <c r="B514" i="21"/>
  <c r="B506" i="21"/>
  <c r="B498" i="21"/>
  <c r="B490" i="21"/>
  <c r="B482" i="21"/>
  <c r="B474" i="21"/>
  <c r="B466" i="21"/>
  <c r="B458" i="21"/>
  <c r="B450" i="21"/>
  <c r="B442" i="21"/>
  <c r="B434" i="21"/>
  <c r="B426" i="21"/>
  <c r="B418" i="21"/>
  <c r="B410" i="21"/>
  <c r="B402" i="21"/>
  <c r="B394" i="21"/>
  <c r="B386" i="21"/>
  <c r="B378" i="21"/>
  <c r="B370" i="21"/>
  <c r="B362" i="21"/>
  <c r="B354" i="21"/>
  <c r="B346" i="21"/>
  <c r="B338" i="21"/>
  <c r="B330" i="21"/>
  <c r="B322" i="21"/>
  <c r="B314" i="21"/>
  <c r="B306" i="21"/>
  <c r="B298" i="21"/>
  <c r="B290" i="21"/>
  <c r="B282" i="21"/>
  <c r="B274" i="21"/>
  <c r="B266" i="21"/>
  <c r="B258" i="21"/>
  <c r="B250" i="21"/>
  <c r="B242" i="21"/>
  <c r="B234" i="21"/>
  <c r="B226" i="21"/>
  <c r="B218" i="21"/>
  <c r="B210" i="21"/>
  <c r="B202" i="21"/>
  <c r="B194" i="21"/>
  <c r="B186" i="21"/>
  <c r="B178" i="21"/>
  <c r="B170" i="21"/>
  <c r="B162" i="21"/>
  <c r="B154" i="21"/>
  <c r="B146" i="21"/>
  <c r="B138" i="21"/>
  <c r="B130" i="21"/>
  <c r="B122" i="21"/>
  <c r="B114" i="21"/>
  <c r="B106" i="21"/>
  <c r="B98" i="21"/>
  <c r="B90" i="21"/>
  <c r="B82" i="21"/>
  <c r="B74" i="21"/>
  <c r="B66" i="21"/>
  <c r="B58" i="21"/>
  <c r="B50" i="21"/>
  <c r="B42" i="21"/>
  <c r="B34" i="21"/>
  <c r="B26" i="21"/>
  <c r="B18" i="21"/>
  <c r="B10" i="21"/>
  <c r="B481" i="21"/>
  <c r="B425" i="21"/>
  <c r="B369" i="21"/>
  <c r="B329" i="21"/>
  <c r="B305" i="21"/>
  <c r="B281" i="21"/>
  <c r="B257" i="21"/>
  <c r="B233" i="21"/>
  <c r="B193" i="21"/>
  <c r="B169" i="21"/>
  <c r="B129" i="21"/>
  <c r="B105" i="21"/>
  <c r="B81" i="21"/>
  <c r="B57" i="21"/>
  <c r="B33" i="21"/>
  <c r="B9" i="21"/>
  <c r="B528" i="21"/>
  <c r="B520" i="21"/>
  <c r="B512" i="21"/>
  <c r="B504" i="21"/>
  <c r="B496" i="21"/>
  <c r="B488" i="21"/>
  <c r="B480" i="21"/>
  <c r="B472" i="21"/>
  <c r="B464" i="21"/>
  <c r="B456" i="21"/>
  <c r="B448" i="21"/>
  <c r="B440" i="21"/>
  <c r="B432" i="21"/>
  <c r="B424" i="21"/>
  <c r="B416" i="21"/>
  <c r="B408" i="21"/>
  <c r="B400" i="21"/>
  <c r="B392" i="21"/>
  <c r="B384" i="21"/>
  <c r="B376" i="21"/>
  <c r="B368" i="21"/>
  <c r="B360" i="21"/>
  <c r="B352" i="21"/>
  <c r="B344" i="21"/>
  <c r="B336" i="21"/>
  <c r="B328" i="21"/>
  <c r="B320" i="21"/>
  <c r="B312" i="21"/>
  <c r="B304" i="21"/>
  <c r="B296" i="21"/>
  <c r="B288" i="21"/>
  <c r="B280" i="21"/>
  <c r="B272" i="21"/>
  <c r="B264" i="21"/>
  <c r="B256" i="21"/>
  <c r="B248" i="21"/>
  <c r="B240" i="21"/>
  <c r="B232" i="21"/>
  <c r="B224" i="21"/>
  <c r="B216" i="21"/>
  <c r="B208" i="21"/>
  <c r="B200" i="21"/>
  <c r="B192" i="21"/>
  <c r="B184" i="21"/>
  <c r="B176" i="21"/>
  <c r="B168" i="21"/>
  <c r="B160" i="21"/>
  <c r="B152" i="21"/>
  <c r="B144" i="21"/>
  <c r="B136" i="21"/>
  <c r="B128" i="21"/>
  <c r="B120" i="21"/>
  <c r="B112" i="21"/>
  <c r="B104" i="21"/>
  <c r="B96" i="21"/>
  <c r="B88" i="21"/>
  <c r="B80" i="21"/>
  <c r="B72" i="21"/>
  <c r="B64" i="21"/>
  <c r="B56" i="21"/>
  <c r="B48" i="21"/>
  <c r="B40" i="21"/>
  <c r="B32" i="21"/>
  <c r="B24" i="21"/>
  <c r="B16" i="21"/>
  <c r="B8" i="21"/>
  <c r="B489" i="21"/>
  <c r="B433" i="21"/>
  <c r="B393" i="21"/>
  <c r="B353" i="21"/>
  <c r="B321" i="21"/>
  <c r="B297" i="21"/>
  <c r="B273" i="21"/>
  <c r="B249" i="21"/>
  <c r="B225" i="21"/>
  <c r="B185" i="21"/>
  <c r="B161" i="21"/>
  <c r="B121" i="21"/>
  <c r="B89" i="21"/>
  <c r="B65" i="21"/>
  <c r="B49" i="21"/>
  <c r="B17" i="21"/>
  <c r="B527" i="21"/>
  <c r="B519" i="21"/>
  <c r="B511" i="21"/>
  <c r="B503" i="21"/>
  <c r="B495" i="21"/>
  <c r="B487" i="21"/>
  <c r="B479" i="21"/>
  <c r="B471" i="21"/>
  <c r="B463" i="21"/>
  <c r="B455" i="21"/>
  <c r="B447" i="21"/>
  <c r="B439" i="21"/>
  <c r="B431" i="21"/>
  <c r="B423" i="21"/>
  <c r="B415" i="21"/>
  <c r="B407" i="21"/>
  <c r="B399" i="21"/>
  <c r="B391" i="21"/>
  <c r="B383" i="21"/>
  <c r="B375" i="21"/>
  <c r="B367" i="21"/>
  <c r="B359" i="21"/>
  <c r="B351" i="21"/>
  <c r="B343" i="21"/>
  <c r="B335" i="21"/>
  <c r="B327" i="21"/>
  <c r="B319" i="21"/>
  <c r="B311" i="21"/>
  <c r="B303" i="21"/>
  <c r="B295" i="21"/>
  <c r="B287" i="21"/>
  <c r="B279" i="21"/>
  <c r="B271" i="21"/>
  <c r="B263" i="21"/>
  <c r="B255" i="21"/>
  <c r="B247" i="21"/>
  <c r="B239" i="21"/>
  <c r="B231" i="21"/>
  <c r="B223" i="21"/>
  <c r="B215" i="21"/>
  <c r="B207" i="21"/>
  <c r="B199" i="21"/>
  <c r="B191" i="21"/>
  <c r="B183" i="21"/>
  <c r="B175" i="21"/>
  <c r="B167" i="21"/>
  <c r="B159" i="21"/>
  <c r="B151" i="21"/>
  <c r="B143" i="21"/>
  <c r="B135" i="21"/>
  <c r="B127" i="21"/>
  <c r="B119" i="21"/>
  <c r="B111" i="21"/>
  <c r="B103" i="21"/>
  <c r="B95" i="21"/>
  <c r="B87" i="21"/>
  <c r="B79" i="21"/>
  <c r="B71" i="21"/>
  <c r="B63" i="21"/>
  <c r="B55" i="21"/>
  <c r="B47" i="21"/>
  <c r="B39" i="21"/>
  <c r="B31" i="21"/>
  <c r="B23" i="21"/>
  <c r="B15" i="21"/>
  <c r="B7" i="21"/>
  <c r="B521" i="21"/>
  <c r="B465" i="21"/>
  <c r="B417" i="21"/>
  <c r="B361" i="21"/>
  <c r="B337" i="21"/>
  <c r="B313" i="21"/>
  <c r="B289" i="21"/>
  <c r="B265" i="21"/>
  <c r="B241" i="21"/>
  <c r="B201" i="21"/>
  <c r="B177" i="21"/>
  <c r="B137" i="21"/>
  <c r="B113" i="21"/>
  <c r="B97" i="21"/>
  <c r="B73" i="21"/>
  <c r="B41" i="21"/>
  <c r="B25" i="21"/>
  <c r="B2" i="21"/>
  <c r="B526" i="21"/>
  <c r="B518" i="21"/>
  <c r="B510" i="21"/>
  <c r="B502" i="21"/>
  <c r="B494" i="21"/>
  <c r="B486" i="21"/>
  <c r="B478" i="21"/>
  <c r="B470" i="21"/>
  <c r="B462" i="21"/>
  <c r="B454" i="21"/>
  <c r="B446" i="21"/>
  <c r="B438" i="21"/>
  <c r="B430" i="21"/>
  <c r="B422" i="21"/>
  <c r="B414" i="21"/>
  <c r="B406" i="21"/>
  <c r="B398" i="21"/>
  <c r="B390" i="21"/>
  <c r="B382" i="21"/>
  <c r="B374" i="21"/>
  <c r="B366" i="21"/>
  <c r="B358" i="21"/>
  <c r="B350" i="21"/>
  <c r="B342" i="21"/>
  <c r="B334" i="21"/>
  <c r="B326" i="21"/>
  <c r="B318" i="21"/>
  <c r="B310" i="21"/>
  <c r="B302" i="21"/>
  <c r="B294" i="21"/>
  <c r="B286" i="21"/>
  <c r="B278" i="21"/>
  <c r="B270" i="21"/>
  <c r="B262" i="21"/>
  <c r="B254" i="21"/>
  <c r="B246" i="21"/>
  <c r="B238" i="21"/>
  <c r="B230" i="21"/>
  <c r="B222" i="21"/>
  <c r="B214" i="21"/>
  <c r="B206" i="21"/>
  <c r="B198" i="21"/>
  <c r="B190" i="21"/>
  <c r="B182" i="21"/>
  <c r="B174" i="21"/>
  <c r="B166" i="21"/>
  <c r="B158" i="21"/>
  <c r="B150" i="21"/>
  <c r="B142" i="21"/>
  <c r="B134" i="21"/>
  <c r="B126" i="21"/>
  <c r="B118" i="21"/>
  <c r="B110" i="21"/>
  <c r="B102" i="21"/>
  <c r="B94" i="21"/>
  <c r="B86" i="21"/>
  <c r="B78" i="21"/>
  <c r="B70" i="21"/>
  <c r="B62" i="21"/>
  <c r="B54" i="21"/>
  <c r="B46" i="21"/>
  <c r="B38" i="21"/>
  <c r="B30" i="21"/>
  <c r="B22" i="21"/>
  <c r="B14" i="21"/>
  <c r="B6" i="21"/>
  <c r="B505" i="21"/>
  <c r="B449" i="21"/>
  <c r="B385" i="21"/>
  <c r="B153" i="21"/>
  <c r="B533" i="21"/>
  <c r="B525" i="21"/>
  <c r="B517" i="21"/>
  <c r="B509" i="21"/>
  <c r="B501" i="21"/>
  <c r="B493" i="21"/>
  <c r="B485" i="21"/>
  <c r="B477" i="21"/>
  <c r="B469" i="21"/>
  <c r="B461" i="21"/>
  <c r="B453" i="21"/>
  <c r="B445" i="21"/>
  <c r="B437" i="21"/>
  <c r="B429" i="21"/>
  <c r="B421" i="21"/>
  <c r="B413" i="21"/>
  <c r="B405" i="21"/>
  <c r="B397" i="21"/>
  <c r="B389" i="21"/>
  <c r="B381" i="21"/>
  <c r="B373" i="21"/>
  <c r="B365" i="21"/>
  <c r="B357" i="21"/>
  <c r="B349" i="21"/>
  <c r="B341" i="21"/>
  <c r="B333" i="21"/>
  <c r="B325" i="21"/>
  <c r="B317" i="21"/>
  <c r="B309" i="21"/>
  <c r="B301" i="21"/>
  <c r="B293" i="21"/>
  <c r="B285" i="21"/>
  <c r="B277" i="21"/>
  <c r="B269" i="21"/>
  <c r="B261" i="21"/>
  <c r="B253" i="21"/>
  <c r="B245" i="21"/>
  <c r="B237" i="21"/>
  <c r="B229" i="21"/>
  <c r="B221" i="21"/>
  <c r="B213" i="21"/>
  <c r="B205" i="21"/>
  <c r="B197" i="21"/>
  <c r="B189" i="21"/>
  <c r="B181" i="21"/>
  <c r="B173" i="21"/>
  <c r="B165" i="21"/>
  <c r="B157" i="21"/>
  <c r="B149" i="21"/>
  <c r="B141" i="21"/>
  <c r="B133" i="21"/>
  <c r="B125" i="21"/>
  <c r="B117" i="21"/>
  <c r="B109" i="21"/>
  <c r="B101" i="21"/>
  <c r="B93" i="21"/>
  <c r="B85" i="21"/>
  <c r="B77" i="21"/>
  <c r="B69" i="21"/>
  <c r="B61" i="21"/>
  <c r="B53" i="21"/>
  <c r="B45" i="21"/>
  <c r="B37" i="21"/>
  <c r="B29" i="21"/>
  <c r="B21" i="21"/>
  <c r="B13" i="21"/>
  <c r="B5" i="21"/>
  <c r="B513" i="21"/>
  <c r="B457" i="21"/>
  <c r="B401" i="21"/>
  <c r="B345" i="21"/>
  <c r="B145" i="21"/>
  <c r="B532" i="21"/>
  <c r="B524" i="21"/>
  <c r="B516" i="21"/>
  <c r="B508" i="21"/>
  <c r="B500" i="21"/>
  <c r="B492" i="21"/>
  <c r="B484" i="21"/>
  <c r="B476" i="21"/>
  <c r="B468" i="21"/>
  <c r="B460" i="21"/>
  <c r="B452" i="21"/>
  <c r="B444" i="21"/>
  <c r="B436" i="21"/>
  <c r="B428" i="21"/>
  <c r="B420" i="21"/>
  <c r="B412" i="21"/>
  <c r="B404" i="21"/>
  <c r="B396" i="21"/>
  <c r="B388" i="21"/>
  <c r="B380" i="21"/>
  <c r="B372" i="21"/>
  <c r="B364" i="21"/>
  <c r="B356" i="21"/>
  <c r="B348" i="21"/>
  <c r="B340" i="21"/>
  <c r="B332" i="21"/>
  <c r="B324" i="21"/>
  <c r="B316" i="21"/>
  <c r="B308" i="21"/>
  <c r="B300" i="21"/>
  <c r="B292" i="21"/>
  <c r="B284" i="21"/>
  <c r="B276" i="21"/>
  <c r="B268" i="21"/>
  <c r="B260" i="21"/>
  <c r="B252" i="21"/>
  <c r="B244" i="21"/>
  <c r="B236" i="21"/>
  <c r="B228" i="21"/>
  <c r="B220" i="21"/>
  <c r="B212" i="21"/>
  <c r="B204" i="21"/>
  <c r="B196" i="21"/>
  <c r="B188" i="21"/>
  <c r="B180" i="21"/>
  <c r="B172" i="21"/>
  <c r="B164" i="21"/>
  <c r="B156" i="21"/>
  <c r="B148" i="21"/>
  <c r="B140" i="21"/>
  <c r="B132" i="21"/>
  <c r="B124" i="21"/>
  <c r="B116" i="21"/>
  <c r="B108" i="21"/>
  <c r="B100" i="21"/>
  <c r="B92" i="21"/>
  <c r="B84" i="21"/>
  <c r="B76" i="21"/>
  <c r="B68" i="21"/>
  <c r="B60" i="21"/>
  <c r="B52" i="21"/>
  <c r="B44" i="21"/>
  <c r="B36" i="21"/>
  <c r="B28" i="21"/>
  <c r="B20" i="21"/>
  <c r="B12" i="21"/>
  <c r="B4" i="21"/>
  <c r="B497" i="21"/>
  <c r="B441" i="21"/>
  <c r="B377" i="21"/>
  <c r="B531" i="21"/>
  <c r="B523" i="21"/>
  <c r="B515" i="21"/>
  <c r="B507" i="21"/>
  <c r="B499" i="21"/>
  <c r="B491" i="21"/>
  <c r="B483" i="21"/>
  <c r="B475" i="21"/>
  <c r="B467" i="21"/>
  <c r="B459" i="21"/>
  <c r="B451" i="21"/>
  <c r="B443" i="21"/>
  <c r="B435" i="21"/>
  <c r="B427" i="21"/>
  <c r="B419" i="21"/>
  <c r="B411" i="21"/>
  <c r="B403" i="21"/>
  <c r="B395" i="21"/>
  <c r="B387" i="21"/>
  <c r="B379" i="21"/>
  <c r="B371" i="21"/>
  <c r="B363" i="21"/>
  <c r="B355" i="21"/>
  <c r="B347" i="21"/>
  <c r="B339" i="21"/>
  <c r="B331" i="21"/>
  <c r="B323" i="21"/>
  <c r="B315" i="21"/>
  <c r="B307" i="21"/>
  <c r="B299" i="21"/>
  <c r="B291" i="21"/>
  <c r="B283" i="21"/>
  <c r="B275" i="21"/>
  <c r="B267" i="21"/>
  <c r="B259" i="21"/>
  <c r="B251" i="21"/>
  <c r="B243" i="21"/>
  <c r="B235" i="21"/>
  <c r="B227" i="21"/>
  <c r="B219" i="21"/>
  <c r="B211" i="21"/>
  <c r="B203" i="21"/>
  <c r="B195" i="21"/>
  <c r="B187" i="21"/>
  <c r="B179" i="21"/>
  <c r="B171" i="21"/>
  <c r="B163" i="21"/>
  <c r="B155" i="21"/>
  <c r="B147" i="21"/>
  <c r="B139" i="21"/>
  <c r="B131" i="21"/>
  <c r="B123" i="21"/>
  <c r="B115" i="21"/>
  <c r="B107" i="21"/>
  <c r="B99" i="21"/>
  <c r="B91" i="21"/>
  <c r="B83" i="21"/>
  <c r="B75" i="21"/>
  <c r="B67" i="21"/>
  <c r="B59" i="21"/>
  <c r="B51" i="21"/>
  <c r="B43" i="21"/>
  <c r="B35" i="21"/>
  <c r="B27" i="21"/>
  <c r="B19" i="21"/>
  <c r="B11" i="21"/>
  <c r="B40" i="19"/>
  <c r="B530" i="19"/>
  <c r="B514" i="19"/>
  <c r="B474" i="19"/>
  <c r="B450" i="19"/>
  <c r="B322" i="19"/>
  <c r="B314" i="19"/>
  <c r="B410" i="19"/>
  <c r="B346" i="19"/>
  <c r="B466" i="19"/>
  <c r="B402" i="19"/>
  <c r="B338" i="19"/>
  <c r="B522" i="19"/>
  <c r="B458" i="19"/>
  <c r="B394" i="19"/>
  <c r="B330" i="19"/>
  <c r="B386" i="19"/>
  <c r="B506" i="19"/>
  <c r="B442" i="19"/>
  <c r="B378" i="19"/>
  <c r="B50" i="19"/>
  <c r="B58" i="19"/>
  <c r="B66" i="19"/>
  <c r="B98" i="19"/>
  <c r="B138" i="19"/>
  <c r="B186" i="19"/>
  <c r="B226" i="19"/>
  <c r="B266" i="19"/>
  <c r="B33" i="19"/>
  <c r="B114" i="19"/>
  <c r="B154" i="19"/>
  <c r="B194" i="19"/>
  <c r="B234" i="19"/>
  <c r="B290" i="19"/>
  <c r="B42" i="19"/>
  <c r="B82" i="19"/>
  <c r="B122" i="19"/>
  <c r="B178" i="19"/>
  <c r="B218" i="19"/>
  <c r="B9" i="19"/>
  <c r="B250" i="19"/>
  <c r="B25" i="19"/>
  <c r="B74" i="19"/>
  <c r="B106" i="19"/>
  <c r="B146" i="19"/>
  <c r="B162" i="19"/>
  <c r="B202" i="19"/>
  <c r="B242" i="19"/>
  <c r="B282" i="19"/>
  <c r="B17" i="19"/>
  <c r="B90" i="19"/>
  <c r="B130" i="19"/>
  <c r="B170" i="19"/>
  <c r="B210" i="19"/>
  <c r="B258" i="19"/>
  <c r="B498" i="19"/>
  <c r="B434" i="19"/>
  <c r="B370" i="19"/>
  <c r="B306" i="19"/>
  <c r="B32" i="19"/>
  <c r="B490" i="19"/>
  <c r="B426" i="19"/>
  <c r="B362" i="19"/>
  <c r="B298" i="19"/>
  <c r="B482" i="19"/>
  <c r="B418" i="19"/>
  <c r="B354" i="19"/>
  <c r="B274" i="19"/>
  <c r="B465" i="19"/>
  <c r="B425" i="19"/>
  <c r="B369" i="19"/>
  <c r="B313" i="19"/>
  <c r="B273" i="19"/>
  <c r="B225" i="19"/>
  <c r="B177" i="19"/>
  <c r="B121" i="19"/>
  <c r="B8" i="19"/>
  <c r="B528" i="19"/>
  <c r="B520" i="19"/>
  <c r="B512" i="19"/>
  <c r="B504" i="19"/>
  <c r="B496" i="19"/>
  <c r="B488" i="19"/>
  <c r="B480" i="19"/>
  <c r="B472" i="19"/>
  <c r="B464" i="19"/>
  <c r="B456" i="19"/>
  <c r="B448" i="19"/>
  <c r="B440" i="19"/>
  <c r="B432" i="19"/>
  <c r="B424" i="19"/>
  <c r="B416" i="19"/>
  <c r="B408" i="19"/>
  <c r="B400" i="19"/>
  <c r="B392" i="19"/>
  <c r="B384" i="19"/>
  <c r="B376" i="19"/>
  <c r="B368" i="19"/>
  <c r="B360" i="19"/>
  <c r="B352" i="19"/>
  <c r="B344" i="19"/>
  <c r="B336" i="19"/>
  <c r="B328" i="19"/>
  <c r="B320" i="19"/>
  <c r="B312" i="19"/>
  <c r="B304" i="19"/>
  <c r="B296" i="19"/>
  <c r="B288" i="19"/>
  <c r="B280" i="19"/>
  <c r="B272" i="19"/>
  <c r="B264" i="19"/>
  <c r="B256" i="19"/>
  <c r="B248" i="19"/>
  <c r="B240" i="19"/>
  <c r="B232" i="19"/>
  <c r="B224" i="19"/>
  <c r="B216" i="19"/>
  <c r="B208" i="19"/>
  <c r="B200" i="19"/>
  <c r="B192" i="19"/>
  <c r="B184" i="19"/>
  <c r="B176" i="19"/>
  <c r="B168" i="19"/>
  <c r="B160" i="19"/>
  <c r="B152" i="19"/>
  <c r="B144" i="19"/>
  <c r="B136" i="19"/>
  <c r="B128" i="19"/>
  <c r="B120" i="19"/>
  <c r="B112" i="19"/>
  <c r="B104" i="19"/>
  <c r="B96" i="19"/>
  <c r="B88" i="19"/>
  <c r="B80" i="19"/>
  <c r="B72" i="19"/>
  <c r="B64" i="19"/>
  <c r="B56" i="19"/>
  <c r="B48" i="19"/>
  <c r="B39" i="19"/>
  <c r="B31" i="19"/>
  <c r="B23" i="19"/>
  <c r="B15" i="19"/>
  <c r="B7" i="19"/>
  <c r="B513" i="19"/>
  <c r="B489" i="19"/>
  <c r="B441" i="19"/>
  <c r="B401" i="19"/>
  <c r="B361" i="19"/>
  <c r="B329" i="19"/>
  <c r="B289" i="19"/>
  <c r="B249" i="19"/>
  <c r="B201" i="19"/>
  <c r="B153" i="19"/>
  <c r="B16" i="19"/>
  <c r="B527" i="19"/>
  <c r="B519" i="19"/>
  <c r="B511" i="19"/>
  <c r="B503" i="19"/>
  <c r="B495" i="19"/>
  <c r="B487" i="19"/>
  <c r="B479" i="19"/>
  <c r="B471" i="19"/>
  <c r="B463" i="19"/>
  <c r="B455" i="19"/>
  <c r="B447" i="19"/>
  <c r="B439" i="19"/>
  <c r="B431" i="19"/>
  <c r="B423" i="19"/>
  <c r="B415" i="19"/>
  <c r="B407" i="19"/>
  <c r="B399" i="19"/>
  <c r="B391" i="19"/>
  <c r="B383" i="19"/>
  <c r="B375" i="19"/>
  <c r="B367" i="19"/>
  <c r="B359" i="19"/>
  <c r="B351" i="19"/>
  <c r="B343" i="19"/>
  <c r="B335" i="19"/>
  <c r="B327" i="19"/>
  <c r="B319" i="19"/>
  <c r="B311" i="19"/>
  <c r="B303" i="19"/>
  <c r="B295" i="19"/>
  <c r="B287" i="19"/>
  <c r="B279" i="19"/>
  <c r="B271" i="19"/>
  <c r="B263" i="19"/>
  <c r="B255" i="19"/>
  <c r="B247" i="19"/>
  <c r="B239" i="19"/>
  <c r="B231" i="19"/>
  <c r="B223" i="19"/>
  <c r="B215" i="19"/>
  <c r="B207" i="19"/>
  <c r="B199" i="19"/>
  <c r="B191" i="19"/>
  <c r="B183" i="19"/>
  <c r="B175" i="19"/>
  <c r="B167" i="19"/>
  <c r="B159" i="19"/>
  <c r="B151" i="19"/>
  <c r="B143" i="19"/>
  <c r="B135" i="19"/>
  <c r="B127" i="19"/>
  <c r="B119" i="19"/>
  <c r="B111" i="19"/>
  <c r="B103" i="19"/>
  <c r="B95" i="19"/>
  <c r="B87" i="19"/>
  <c r="B79" i="19"/>
  <c r="B71" i="19"/>
  <c r="B63" i="19"/>
  <c r="B55" i="19"/>
  <c r="B47" i="19"/>
  <c r="B38" i="19"/>
  <c r="B30" i="19"/>
  <c r="B22" i="19"/>
  <c r="B14" i="19"/>
  <c r="B6" i="19"/>
  <c r="B497" i="19"/>
  <c r="B449" i="19"/>
  <c r="B393" i="19"/>
  <c r="B345" i="19"/>
  <c r="B297" i="19"/>
  <c r="B241" i="19"/>
  <c r="B193" i="19"/>
  <c r="B161" i="19"/>
  <c r="B113" i="19"/>
  <c r="B89" i="19"/>
  <c r="B73" i="19"/>
  <c r="B65" i="19"/>
  <c r="B57" i="19"/>
  <c r="B49" i="19"/>
  <c r="B2" i="19"/>
  <c r="B526" i="19"/>
  <c r="B518" i="19"/>
  <c r="B510" i="19"/>
  <c r="B502" i="19"/>
  <c r="B494" i="19"/>
  <c r="B486" i="19"/>
  <c r="B478" i="19"/>
  <c r="B470" i="19"/>
  <c r="B462" i="19"/>
  <c r="B454" i="19"/>
  <c r="B446" i="19"/>
  <c r="B438" i="19"/>
  <c r="B430" i="19"/>
  <c r="B422" i="19"/>
  <c r="B414" i="19"/>
  <c r="B406" i="19"/>
  <c r="B398" i="19"/>
  <c r="B390" i="19"/>
  <c r="B382" i="19"/>
  <c r="B374" i="19"/>
  <c r="B366" i="19"/>
  <c r="B358" i="19"/>
  <c r="B350" i="19"/>
  <c r="B342" i="19"/>
  <c r="B334" i="19"/>
  <c r="B326" i="19"/>
  <c r="B318" i="19"/>
  <c r="B310" i="19"/>
  <c r="B302" i="19"/>
  <c r="B294" i="19"/>
  <c r="B286" i="19"/>
  <c r="B278" i="19"/>
  <c r="B270" i="19"/>
  <c r="B262" i="19"/>
  <c r="B254" i="19"/>
  <c r="B246" i="19"/>
  <c r="B238" i="19"/>
  <c r="B230" i="19"/>
  <c r="B222" i="19"/>
  <c r="B214" i="19"/>
  <c r="B206" i="19"/>
  <c r="B198" i="19"/>
  <c r="B190" i="19"/>
  <c r="B182" i="19"/>
  <c r="B174" i="19"/>
  <c r="B166" i="19"/>
  <c r="B158" i="19"/>
  <c r="B150" i="19"/>
  <c r="B142" i="19"/>
  <c r="B134" i="19"/>
  <c r="B126" i="19"/>
  <c r="B118" i="19"/>
  <c r="B110" i="19"/>
  <c r="B102" i="19"/>
  <c r="B94" i="19"/>
  <c r="B86" i="19"/>
  <c r="B78" i="19"/>
  <c r="B70" i="19"/>
  <c r="B62" i="19"/>
  <c r="B54" i="19"/>
  <c r="B46" i="19"/>
  <c r="B37" i="19"/>
  <c r="B29" i="19"/>
  <c r="B21" i="19"/>
  <c r="B13" i="19"/>
  <c r="B5" i="19"/>
  <c r="B521" i="19"/>
  <c r="B473" i="19"/>
  <c r="B417" i="19"/>
  <c r="B377" i="19"/>
  <c r="B321" i="19"/>
  <c r="B265" i="19"/>
  <c r="B217" i="19"/>
  <c r="B169" i="19"/>
  <c r="B137" i="19"/>
  <c r="B105" i="19"/>
  <c r="B97" i="19"/>
  <c r="B81" i="19"/>
  <c r="B41" i="19"/>
  <c r="B533" i="19"/>
  <c r="B525" i="19"/>
  <c r="B517" i="19"/>
  <c r="B509" i="19"/>
  <c r="B501" i="19"/>
  <c r="B493" i="19"/>
  <c r="B485" i="19"/>
  <c r="B477" i="19"/>
  <c r="B469" i="19"/>
  <c r="B461" i="19"/>
  <c r="B453" i="19"/>
  <c r="B445" i="19"/>
  <c r="B437" i="19"/>
  <c r="B429" i="19"/>
  <c r="B421" i="19"/>
  <c r="B413" i="19"/>
  <c r="B405" i="19"/>
  <c r="B397" i="19"/>
  <c r="B389" i="19"/>
  <c r="B381" i="19"/>
  <c r="B373" i="19"/>
  <c r="B365" i="19"/>
  <c r="B357" i="19"/>
  <c r="B349" i="19"/>
  <c r="B341" i="19"/>
  <c r="B333" i="19"/>
  <c r="B325" i="19"/>
  <c r="B317" i="19"/>
  <c r="B309" i="19"/>
  <c r="B301" i="19"/>
  <c r="B293" i="19"/>
  <c r="B285" i="19"/>
  <c r="B277" i="19"/>
  <c r="B269" i="19"/>
  <c r="B261" i="19"/>
  <c r="B253" i="19"/>
  <c r="B245" i="19"/>
  <c r="B237" i="19"/>
  <c r="B229" i="19"/>
  <c r="B221" i="19"/>
  <c r="B213" i="19"/>
  <c r="B205" i="19"/>
  <c r="B197" i="19"/>
  <c r="B189" i="19"/>
  <c r="B181" i="19"/>
  <c r="B173" i="19"/>
  <c r="B165" i="19"/>
  <c r="B157" i="19"/>
  <c r="B149" i="19"/>
  <c r="B141" i="19"/>
  <c r="B133" i="19"/>
  <c r="B125" i="19"/>
  <c r="B117" i="19"/>
  <c r="B109" i="19"/>
  <c r="B101" i="19"/>
  <c r="B93" i="19"/>
  <c r="B85" i="19"/>
  <c r="B77" i="19"/>
  <c r="B69" i="19"/>
  <c r="B61" i="19"/>
  <c r="B53" i="19"/>
  <c r="B45" i="19"/>
  <c r="B36" i="19"/>
  <c r="B28" i="19"/>
  <c r="B20" i="19"/>
  <c r="B12" i="19"/>
  <c r="B4" i="19"/>
  <c r="B529" i="19"/>
  <c r="B481" i="19"/>
  <c r="B433" i="19"/>
  <c r="B385" i="19"/>
  <c r="B337" i="19"/>
  <c r="B281" i="19"/>
  <c r="B233" i="19"/>
  <c r="B185" i="19"/>
  <c r="B129" i="19"/>
  <c r="B24" i="19"/>
  <c r="B532" i="19"/>
  <c r="B524" i="19"/>
  <c r="B516" i="19"/>
  <c r="B508" i="19"/>
  <c r="B500" i="19"/>
  <c r="B492" i="19"/>
  <c r="B484" i="19"/>
  <c r="B476" i="19"/>
  <c r="B468" i="19"/>
  <c r="B460" i="19"/>
  <c r="B452" i="19"/>
  <c r="B444" i="19"/>
  <c r="B436" i="19"/>
  <c r="B428" i="19"/>
  <c r="B420" i="19"/>
  <c r="B412" i="19"/>
  <c r="B404" i="19"/>
  <c r="B396" i="19"/>
  <c r="B388" i="19"/>
  <c r="B380" i="19"/>
  <c r="B372" i="19"/>
  <c r="B364" i="19"/>
  <c r="B356" i="19"/>
  <c r="B348" i="19"/>
  <c r="B340" i="19"/>
  <c r="B332" i="19"/>
  <c r="B324" i="19"/>
  <c r="B316" i="19"/>
  <c r="B308" i="19"/>
  <c r="B300" i="19"/>
  <c r="B292" i="19"/>
  <c r="B284" i="19"/>
  <c r="B276" i="19"/>
  <c r="B268" i="19"/>
  <c r="B260" i="19"/>
  <c r="B252" i="19"/>
  <c r="B244" i="19"/>
  <c r="B236" i="19"/>
  <c r="B228" i="19"/>
  <c r="B220" i="19"/>
  <c r="B212" i="19"/>
  <c r="B204" i="19"/>
  <c r="B196" i="19"/>
  <c r="B188" i="19"/>
  <c r="B180" i="19"/>
  <c r="B172" i="19"/>
  <c r="B164" i="19"/>
  <c r="B156" i="19"/>
  <c r="B148" i="19"/>
  <c r="B140" i="19"/>
  <c r="B132" i="19"/>
  <c r="B124" i="19"/>
  <c r="B116" i="19"/>
  <c r="B108" i="19"/>
  <c r="B100" i="19"/>
  <c r="B92" i="19"/>
  <c r="B84" i="19"/>
  <c r="B76" i="19"/>
  <c r="B68" i="19"/>
  <c r="B60" i="19"/>
  <c r="B52" i="19"/>
  <c r="B44" i="19"/>
  <c r="B35" i="19"/>
  <c r="B27" i="19"/>
  <c r="B19" i="19"/>
  <c r="B11" i="19"/>
  <c r="B3" i="19"/>
  <c r="B505" i="19"/>
  <c r="B457" i="19"/>
  <c r="B409" i="19"/>
  <c r="B353" i="19"/>
  <c r="B305" i="19"/>
  <c r="B257" i="19"/>
  <c r="B209" i="19"/>
  <c r="B145" i="19"/>
  <c r="B531" i="19"/>
  <c r="B523" i="19"/>
  <c r="B515" i="19"/>
  <c r="B507" i="19"/>
  <c r="B499" i="19"/>
  <c r="B491" i="19"/>
  <c r="B483" i="19"/>
  <c r="B475" i="19"/>
  <c r="B467" i="19"/>
  <c r="B459" i="19"/>
  <c r="B451" i="19"/>
  <c r="B443" i="19"/>
  <c r="B435" i="19"/>
  <c r="B427" i="19"/>
  <c r="B419" i="19"/>
  <c r="B411" i="19"/>
  <c r="B403" i="19"/>
  <c r="B395" i="19"/>
  <c r="B387" i="19"/>
  <c r="B379" i="19"/>
  <c r="B371" i="19"/>
  <c r="B363" i="19"/>
  <c r="B355" i="19"/>
  <c r="B347" i="19"/>
  <c r="B339" i="19"/>
  <c r="B331" i="19"/>
  <c r="B323" i="19"/>
  <c r="B315" i="19"/>
  <c r="B307" i="19"/>
  <c r="B299" i="19"/>
  <c r="B291" i="19"/>
  <c r="B283" i="19"/>
  <c r="B275" i="19"/>
  <c r="B267" i="19"/>
  <c r="B259" i="19"/>
  <c r="B251" i="19"/>
  <c r="B243" i="19"/>
  <c r="B235" i="19"/>
  <c r="B227" i="19"/>
  <c r="B219" i="19"/>
  <c r="B211" i="19"/>
  <c r="B203" i="19"/>
  <c r="B195" i="19"/>
  <c r="B187" i="19"/>
  <c r="B179" i="19"/>
  <c r="B171" i="19"/>
  <c r="B163" i="19"/>
  <c r="B155" i="19"/>
  <c r="B147" i="19"/>
  <c r="B139" i="19"/>
  <c r="B131" i="19"/>
  <c r="B123" i="19"/>
  <c r="B115" i="19"/>
  <c r="B107" i="19"/>
  <c r="B99" i="19"/>
  <c r="B91" i="19"/>
  <c r="B83" i="19"/>
  <c r="B75" i="19"/>
  <c r="B67" i="19"/>
  <c r="B59" i="19"/>
  <c r="B51" i="19"/>
  <c r="B43" i="19"/>
  <c r="B34" i="19"/>
  <c r="B26" i="19"/>
  <c r="B18" i="19"/>
  <c r="B10" i="19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2" i="1"/>
  <c r="P11" i="1"/>
  <c r="O834" i="1"/>
  <c r="N834" i="1"/>
  <c r="P833" i="1"/>
  <c r="Q833" i="1" s="1"/>
  <c r="O833" i="1"/>
  <c r="N833" i="1"/>
  <c r="Q832" i="1"/>
  <c r="O832" i="1"/>
  <c r="N832" i="1"/>
  <c r="A834" i="10"/>
  <c r="Z834" i="10" s="1"/>
  <c r="O831" i="1"/>
  <c r="N831" i="1"/>
  <c r="O830" i="1"/>
  <c r="N830" i="1"/>
  <c r="O829" i="1"/>
  <c r="N829" i="1"/>
  <c r="P828" i="1"/>
  <c r="O828" i="1"/>
  <c r="N828" i="1"/>
  <c r="P827" i="1"/>
  <c r="A830" i="10" s="1"/>
  <c r="O827" i="1"/>
  <c r="N827" i="1"/>
  <c r="P826" i="1"/>
  <c r="A829" i="10" s="1"/>
  <c r="O826" i="1"/>
  <c r="N826" i="1"/>
  <c r="P825" i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822" i="10"/>
  <c r="Z822" i="10" s="1"/>
  <c r="O819" i="1"/>
  <c r="N819" i="1"/>
  <c r="A821" i="10"/>
  <c r="O818" i="1"/>
  <c r="N818" i="1"/>
  <c r="P817" i="1"/>
  <c r="A820" i="10" s="1"/>
  <c r="Z820" i="10" s="1"/>
  <c r="O817" i="1"/>
  <c r="N817" i="1"/>
  <c r="P816" i="1"/>
  <c r="Q816" i="1" s="1"/>
  <c r="O816" i="1"/>
  <c r="N816" i="1"/>
  <c r="Q815" i="1"/>
  <c r="O815" i="1"/>
  <c r="N815" i="1"/>
  <c r="P814" i="1"/>
  <c r="A817" i="10" s="1"/>
  <c r="Z817" i="10" s="1"/>
  <c r="O814" i="1"/>
  <c r="N814" i="1"/>
  <c r="P813" i="1"/>
  <c r="Q813" i="1" s="1"/>
  <c r="O813" i="1"/>
  <c r="N813" i="1"/>
  <c r="P812" i="1"/>
  <c r="Q812" i="1" s="1"/>
  <c r="O812" i="1"/>
  <c r="N812" i="1"/>
  <c r="P811" i="1"/>
  <c r="A814" i="10" s="1"/>
  <c r="Z814" i="10" s="1"/>
  <c r="O811" i="1"/>
  <c r="N811" i="1"/>
  <c r="P810" i="1"/>
  <c r="O810" i="1"/>
  <c r="N810" i="1"/>
  <c r="A812" i="10"/>
  <c r="Z812" i="10" s="1"/>
  <c r="O809" i="1"/>
  <c r="N809" i="1"/>
  <c r="A811" i="10"/>
  <c r="O808" i="1"/>
  <c r="N808" i="1"/>
  <c r="A810" i="10"/>
  <c r="Z810" i="10" s="1"/>
  <c r="O807" i="1"/>
  <c r="N807" i="1"/>
  <c r="O806" i="1"/>
  <c r="N806" i="1"/>
  <c r="O805" i="1"/>
  <c r="N805" i="1"/>
  <c r="P804" i="1"/>
  <c r="O804" i="1"/>
  <c r="N804" i="1"/>
  <c r="P803" i="1"/>
  <c r="A806" i="10" s="1"/>
  <c r="Z806" i="10" s="1"/>
  <c r="O803" i="1"/>
  <c r="N803" i="1"/>
  <c r="P802" i="1"/>
  <c r="A805" i="10" s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O796" i="1"/>
  <c r="N796" i="1"/>
  <c r="P795" i="1"/>
  <c r="Q795" i="1" s="1"/>
  <c r="O795" i="1"/>
  <c r="N795" i="1"/>
  <c r="P794" i="1"/>
  <c r="A797" i="10" s="1"/>
  <c r="Z797" i="10" s="1"/>
  <c r="O794" i="1"/>
  <c r="N794" i="1"/>
  <c r="P793" i="1"/>
  <c r="A796" i="10" s="1"/>
  <c r="Z796" i="10" s="1"/>
  <c r="O793" i="1"/>
  <c r="N793" i="1"/>
  <c r="P792" i="1"/>
  <c r="Q792" i="1" s="1"/>
  <c r="O792" i="1"/>
  <c r="N792" i="1"/>
  <c r="P791" i="1"/>
  <c r="O791" i="1"/>
  <c r="N791" i="1"/>
  <c r="P790" i="1"/>
  <c r="O790" i="1"/>
  <c r="N790" i="1"/>
  <c r="P789" i="1"/>
  <c r="O789" i="1"/>
  <c r="N789" i="1"/>
  <c r="P788" i="1"/>
  <c r="O788" i="1"/>
  <c r="N788" i="1"/>
  <c r="P787" i="1"/>
  <c r="A790" i="10" s="1"/>
  <c r="Z790" i="10" s="1"/>
  <c r="O787" i="1"/>
  <c r="N787" i="1"/>
  <c r="P786" i="1"/>
  <c r="A789" i="10" s="1"/>
  <c r="O786" i="1"/>
  <c r="N786" i="1"/>
  <c r="P785" i="1"/>
  <c r="Q785" i="1" s="1"/>
  <c r="O785" i="1"/>
  <c r="N785" i="1"/>
  <c r="P784" i="1"/>
  <c r="A787" i="10" s="1"/>
  <c r="O784" i="1"/>
  <c r="N784" i="1"/>
  <c r="P783" i="1"/>
  <c r="O783" i="1"/>
  <c r="N783" i="1"/>
  <c r="P782" i="1"/>
  <c r="O782" i="1"/>
  <c r="N782" i="1"/>
  <c r="P781" i="1"/>
  <c r="O781" i="1"/>
  <c r="N781" i="1"/>
  <c r="P780" i="1"/>
  <c r="O780" i="1"/>
  <c r="N780" i="1"/>
  <c r="P779" i="1"/>
  <c r="Q779" i="1" s="1"/>
  <c r="O779" i="1"/>
  <c r="N779" i="1"/>
  <c r="A781" i="10"/>
  <c r="Z781" i="10" s="1"/>
  <c r="O778" i="1"/>
  <c r="N778" i="1"/>
  <c r="P777" i="1"/>
  <c r="Q777" i="1" s="1"/>
  <c r="O777" i="1"/>
  <c r="N777" i="1"/>
  <c r="P776" i="1"/>
  <c r="A779" i="10" s="1"/>
  <c r="O776" i="1"/>
  <c r="N776" i="1"/>
  <c r="P775" i="1"/>
  <c r="O775" i="1"/>
  <c r="N775" i="1"/>
  <c r="P774" i="1"/>
  <c r="O774" i="1"/>
  <c r="N774" i="1"/>
  <c r="P773" i="1"/>
  <c r="A776" i="10" s="1"/>
  <c r="Z776" i="10" s="1"/>
  <c r="O773" i="1"/>
  <c r="N773" i="1"/>
  <c r="P772" i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O767" i="1"/>
  <c r="N767" i="1"/>
  <c r="P766" i="1"/>
  <c r="O766" i="1"/>
  <c r="N766" i="1"/>
  <c r="P765" i="1"/>
  <c r="O765" i="1"/>
  <c r="N765" i="1"/>
  <c r="P764" i="1"/>
  <c r="O764" i="1"/>
  <c r="N764" i="1"/>
  <c r="P763" i="1"/>
  <c r="A766" i="10" s="1"/>
  <c r="Z766" i="10" s="1"/>
  <c r="O763" i="1"/>
  <c r="N763" i="1"/>
  <c r="P762" i="1"/>
  <c r="A765" i="10" s="1"/>
  <c r="Z765" i="10" s="1"/>
  <c r="O762" i="1"/>
  <c r="N762" i="1"/>
  <c r="P761" i="1"/>
  <c r="A764" i="10" s="1"/>
  <c r="Z764" i="10" s="1"/>
  <c r="O761" i="1"/>
  <c r="N761" i="1"/>
  <c r="Q760" i="1"/>
  <c r="O760" i="1"/>
  <c r="N760" i="1"/>
  <c r="P759" i="1"/>
  <c r="O759" i="1"/>
  <c r="N759" i="1"/>
  <c r="P758" i="1"/>
  <c r="O758" i="1"/>
  <c r="N758" i="1"/>
  <c r="P757" i="1"/>
  <c r="O757" i="1"/>
  <c r="N757" i="1"/>
  <c r="P756" i="1"/>
  <c r="O756" i="1"/>
  <c r="N756" i="1"/>
  <c r="P755" i="1"/>
  <c r="A758" i="10" s="1"/>
  <c r="Z758" i="10" s="1"/>
  <c r="O755" i="1"/>
  <c r="N755" i="1"/>
  <c r="P754" i="1"/>
  <c r="A757" i="10" s="1"/>
  <c r="O754" i="1"/>
  <c r="N754" i="1"/>
  <c r="P753" i="1"/>
  <c r="Q753" i="1" s="1"/>
  <c r="O753" i="1"/>
  <c r="N753" i="1"/>
  <c r="P752" i="1"/>
  <c r="A755" i="10" s="1"/>
  <c r="O752" i="1"/>
  <c r="N752" i="1"/>
  <c r="P751" i="1"/>
  <c r="O751" i="1"/>
  <c r="N751" i="1"/>
  <c r="P750" i="1"/>
  <c r="O750" i="1"/>
  <c r="N750" i="1"/>
  <c r="P749" i="1"/>
  <c r="A752" i="10" s="1"/>
  <c r="Z752" i="10" s="1"/>
  <c r="O749" i="1"/>
  <c r="N749" i="1"/>
  <c r="P748" i="1"/>
  <c r="O748" i="1"/>
  <c r="N748" i="1"/>
  <c r="P747" i="1"/>
  <c r="A750" i="10" s="1"/>
  <c r="Z750" i="10" s="1"/>
  <c r="O747" i="1"/>
  <c r="N747" i="1"/>
  <c r="P746" i="1"/>
  <c r="Q746" i="1" s="1"/>
  <c r="O746" i="1"/>
  <c r="N746" i="1"/>
  <c r="Q745" i="1"/>
  <c r="O745" i="1"/>
  <c r="N745" i="1"/>
  <c r="A747" i="10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742" i="10" s="1"/>
  <c r="Z742" i="10" s="1"/>
  <c r="O739" i="1"/>
  <c r="N739" i="1"/>
  <c r="P738" i="1"/>
  <c r="A741" i="10" s="1"/>
  <c r="Z741" i="10" s="1"/>
  <c r="O738" i="1"/>
  <c r="N738" i="1"/>
  <c r="P737" i="1"/>
  <c r="O737" i="1"/>
  <c r="N737" i="1"/>
  <c r="P736" i="1"/>
  <c r="Q736" i="1" s="1"/>
  <c r="O736" i="1"/>
  <c r="N736" i="1"/>
  <c r="P735" i="1"/>
  <c r="O735" i="1"/>
  <c r="N735" i="1"/>
  <c r="P734" i="1"/>
  <c r="A737" i="10" s="1"/>
  <c r="Z737" i="10" s="1"/>
  <c r="O734" i="1"/>
  <c r="N734" i="1"/>
  <c r="P733" i="1"/>
  <c r="A736" i="10" s="1"/>
  <c r="Z736" i="10" s="1"/>
  <c r="O733" i="1"/>
  <c r="N733" i="1"/>
  <c r="P732" i="1"/>
  <c r="O732" i="1"/>
  <c r="N732" i="1"/>
  <c r="Q731" i="1"/>
  <c r="O731" i="1"/>
  <c r="N731" i="1"/>
  <c r="P730" i="1"/>
  <c r="A733" i="10" s="1"/>
  <c r="O730" i="1"/>
  <c r="N730" i="1"/>
  <c r="P729" i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A728" i="10" s="1"/>
  <c r="O725" i="1"/>
  <c r="N725" i="1"/>
  <c r="P724" i="1"/>
  <c r="O724" i="1"/>
  <c r="N724" i="1"/>
  <c r="O723" i="1"/>
  <c r="N723" i="1"/>
  <c r="P722" i="1"/>
  <c r="Q722" i="1" s="1"/>
  <c r="O722" i="1"/>
  <c r="N722" i="1"/>
  <c r="O721" i="1"/>
  <c r="N721" i="1"/>
  <c r="A723" i="10"/>
  <c r="Z723" i="10" s="1"/>
  <c r="O720" i="1"/>
  <c r="N720" i="1"/>
  <c r="Q719" i="1"/>
  <c r="O719" i="1"/>
  <c r="N719" i="1"/>
  <c r="P718" i="1"/>
  <c r="O718" i="1"/>
  <c r="N718" i="1"/>
  <c r="P717" i="1"/>
  <c r="A720" i="10" s="1"/>
  <c r="Z720" i="10" s="1"/>
  <c r="O717" i="1"/>
  <c r="N717" i="1"/>
  <c r="P716" i="1"/>
  <c r="O716" i="1"/>
  <c r="N716" i="1"/>
  <c r="P715" i="1"/>
  <c r="A718" i="10" s="1"/>
  <c r="Z718" i="10" s="1"/>
  <c r="O715" i="1"/>
  <c r="N715" i="1"/>
  <c r="P714" i="1"/>
  <c r="A717" i="10" s="1"/>
  <c r="Z717" i="10" s="1"/>
  <c r="O714" i="1"/>
  <c r="N714" i="1"/>
  <c r="P713" i="1"/>
  <c r="O713" i="1"/>
  <c r="N713" i="1"/>
  <c r="P712" i="1"/>
  <c r="A715" i="10" s="1"/>
  <c r="Z715" i="10" s="1"/>
  <c r="O712" i="1"/>
  <c r="N712" i="1"/>
  <c r="P711" i="1"/>
  <c r="A714" i="10" s="1"/>
  <c r="Z714" i="10" s="1"/>
  <c r="O711" i="1"/>
  <c r="N711" i="1"/>
  <c r="P710" i="1"/>
  <c r="O710" i="1"/>
  <c r="N710" i="1"/>
  <c r="A712" i="10"/>
  <c r="O709" i="1"/>
  <c r="N709" i="1"/>
  <c r="O708" i="1"/>
  <c r="N708" i="1"/>
  <c r="P707" i="1"/>
  <c r="A710" i="10" s="1"/>
  <c r="Z710" i="10" s="1"/>
  <c r="O707" i="1"/>
  <c r="N707" i="1"/>
  <c r="P706" i="1"/>
  <c r="A709" i="10" s="1"/>
  <c r="Z709" i="10" s="1"/>
  <c r="O706" i="1"/>
  <c r="N706" i="1"/>
  <c r="P705" i="1"/>
  <c r="O705" i="1"/>
  <c r="N705" i="1"/>
  <c r="P704" i="1"/>
  <c r="Q704" i="1" s="1"/>
  <c r="O704" i="1"/>
  <c r="N704" i="1"/>
  <c r="P703" i="1"/>
  <c r="A706" i="10" s="1"/>
  <c r="Z706" i="10" s="1"/>
  <c r="O703" i="1"/>
  <c r="N703" i="1"/>
  <c r="P702" i="1"/>
  <c r="O702" i="1"/>
  <c r="N702" i="1"/>
  <c r="P701" i="1"/>
  <c r="A704" i="10" s="1"/>
  <c r="Z704" i="10" s="1"/>
  <c r="O701" i="1"/>
  <c r="N701" i="1"/>
  <c r="P700" i="1"/>
  <c r="Q700" i="1" s="1"/>
  <c r="O700" i="1"/>
  <c r="N700" i="1"/>
  <c r="P699" i="1"/>
  <c r="Q699" i="1" s="1"/>
  <c r="O699" i="1"/>
  <c r="N699" i="1"/>
  <c r="P698" i="1"/>
  <c r="A701" i="10" s="1"/>
  <c r="Z701" i="10" s="1"/>
  <c r="O698" i="1"/>
  <c r="N698" i="1"/>
  <c r="P697" i="1"/>
  <c r="O697" i="1"/>
  <c r="N697" i="1"/>
  <c r="P696" i="1"/>
  <c r="Q696" i="1" s="1"/>
  <c r="O696" i="1"/>
  <c r="N696" i="1"/>
  <c r="P695" i="1"/>
  <c r="A698" i="10" s="1"/>
  <c r="Z698" i="10" s="1"/>
  <c r="O695" i="1"/>
  <c r="N695" i="1"/>
  <c r="P694" i="1"/>
  <c r="O694" i="1"/>
  <c r="N694" i="1"/>
  <c r="A696" i="10"/>
  <c r="Z696" i="10" s="1"/>
  <c r="O693" i="1"/>
  <c r="N693" i="1"/>
  <c r="P692" i="1"/>
  <c r="A695" i="10" s="1"/>
  <c r="Z695" i="10" s="1"/>
  <c r="O692" i="1"/>
  <c r="N692" i="1"/>
  <c r="P691" i="1"/>
  <c r="O691" i="1"/>
  <c r="N691" i="1"/>
  <c r="P690" i="1"/>
  <c r="A693" i="10" s="1"/>
  <c r="Z693" i="10" s="1"/>
  <c r="O690" i="1"/>
  <c r="N690" i="1"/>
  <c r="P689" i="1"/>
  <c r="O689" i="1"/>
  <c r="N689" i="1"/>
  <c r="P688" i="1"/>
  <c r="A691" i="10" s="1"/>
  <c r="Z691" i="10" s="1"/>
  <c r="O688" i="1"/>
  <c r="N688" i="1"/>
  <c r="P687" i="1"/>
  <c r="O687" i="1"/>
  <c r="N687" i="1"/>
  <c r="P686" i="1"/>
  <c r="O686" i="1"/>
  <c r="N686" i="1"/>
  <c r="P685" i="1"/>
  <c r="A688" i="10" s="1"/>
  <c r="Z688" i="10" s="1"/>
  <c r="O685" i="1"/>
  <c r="N685" i="1"/>
  <c r="P684" i="1"/>
  <c r="A687" i="10" s="1"/>
  <c r="Z687" i="10" s="1"/>
  <c r="O684" i="1"/>
  <c r="N684" i="1"/>
  <c r="P683" i="1"/>
  <c r="A686" i="10" s="1"/>
  <c r="Z686" i="10" s="1"/>
  <c r="O683" i="1"/>
  <c r="N683" i="1"/>
  <c r="P682" i="1"/>
  <c r="A685" i="10" s="1"/>
  <c r="Z685" i="10" s="1"/>
  <c r="O682" i="1"/>
  <c r="N682" i="1"/>
  <c r="P681" i="1"/>
  <c r="O681" i="1"/>
  <c r="N681" i="1"/>
  <c r="P680" i="1"/>
  <c r="A683" i="10" s="1"/>
  <c r="Z683" i="10" s="1"/>
  <c r="O680" i="1"/>
  <c r="N680" i="1"/>
  <c r="P679" i="1"/>
  <c r="O679" i="1"/>
  <c r="N679" i="1"/>
  <c r="P678" i="1"/>
  <c r="O678" i="1"/>
  <c r="N678" i="1"/>
  <c r="P677" i="1"/>
  <c r="A680" i="10" s="1"/>
  <c r="Z680" i="10" s="1"/>
  <c r="O677" i="1"/>
  <c r="N677" i="1"/>
  <c r="P676" i="1"/>
  <c r="A679" i="10" s="1"/>
  <c r="Z679" i="10" s="1"/>
  <c r="O676" i="1"/>
  <c r="N676" i="1"/>
  <c r="P675" i="1"/>
  <c r="A678" i="10" s="1"/>
  <c r="Z678" i="10" s="1"/>
  <c r="O675" i="1"/>
  <c r="N675" i="1"/>
  <c r="Q674" i="1"/>
  <c r="O674" i="1"/>
  <c r="N674" i="1"/>
  <c r="O673" i="1"/>
  <c r="N673" i="1"/>
  <c r="P672" i="1"/>
  <c r="A675" i="10" s="1"/>
  <c r="Z675" i="10" s="1"/>
  <c r="O672" i="1"/>
  <c r="N672" i="1"/>
  <c r="P671" i="1"/>
  <c r="Q671" i="1" s="1"/>
  <c r="O671" i="1"/>
  <c r="N671" i="1"/>
  <c r="P670" i="1"/>
  <c r="O670" i="1"/>
  <c r="N670" i="1"/>
  <c r="P669" i="1"/>
  <c r="A672" i="10" s="1"/>
  <c r="Z672" i="10" s="1"/>
  <c r="O669" i="1"/>
  <c r="N669" i="1"/>
  <c r="A671" i="10"/>
  <c r="Z671" i="10" s="1"/>
  <c r="O668" i="1"/>
  <c r="N668" i="1"/>
  <c r="P667" i="1"/>
  <c r="A670" i="10" s="1"/>
  <c r="Z670" i="10" s="1"/>
  <c r="O667" i="1"/>
  <c r="N667" i="1"/>
  <c r="P666" i="1"/>
  <c r="A669" i="10" s="1"/>
  <c r="Z669" i="10" s="1"/>
  <c r="O666" i="1"/>
  <c r="N666" i="1"/>
  <c r="P665" i="1"/>
  <c r="O665" i="1"/>
  <c r="N665" i="1"/>
  <c r="P664" i="1"/>
  <c r="A667" i="10" s="1"/>
  <c r="Z667" i="10" s="1"/>
  <c r="O664" i="1"/>
  <c r="N664" i="1"/>
  <c r="P663" i="1"/>
  <c r="O663" i="1"/>
  <c r="N663" i="1"/>
  <c r="P662" i="1"/>
  <c r="O662" i="1"/>
  <c r="N662" i="1"/>
  <c r="P661" i="1"/>
  <c r="O661" i="1"/>
  <c r="N661" i="1"/>
  <c r="P660" i="1"/>
  <c r="Q660" i="1" s="1"/>
  <c r="O660" i="1"/>
  <c r="N660" i="1"/>
  <c r="P659" i="1"/>
  <c r="A662" i="10" s="1"/>
  <c r="Z662" i="10" s="1"/>
  <c r="O659" i="1"/>
  <c r="N659" i="1"/>
  <c r="P658" i="1"/>
  <c r="Q658" i="1" s="1"/>
  <c r="O658" i="1"/>
  <c r="N658" i="1"/>
  <c r="P657" i="1"/>
  <c r="O657" i="1"/>
  <c r="N657" i="1"/>
  <c r="P656" i="1"/>
  <c r="A659" i="10" s="1"/>
  <c r="Z659" i="10" s="1"/>
  <c r="O656" i="1"/>
  <c r="N656" i="1"/>
  <c r="P655" i="1"/>
  <c r="O655" i="1"/>
  <c r="N655" i="1"/>
  <c r="P654" i="1"/>
  <c r="O654" i="1"/>
  <c r="N654" i="1"/>
  <c r="P653" i="1"/>
  <c r="O653" i="1"/>
  <c r="N653" i="1"/>
  <c r="P652" i="1"/>
  <c r="O652" i="1"/>
  <c r="N652" i="1"/>
  <c r="P651" i="1"/>
  <c r="O651" i="1"/>
  <c r="N651" i="1"/>
  <c r="P650" i="1"/>
  <c r="A653" i="10" s="1"/>
  <c r="Z653" i="10" s="1"/>
  <c r="O650" i="1"/>
  <c r="N650" i="1"/>
  <c r="P649" i="1"/>
  <c r="A652" i="10" s="1"/>
  <c r="Z652" i="10" s="1"/>
  <c r="O649" i="1"/>
  <c r="N649" i="1"/>
  <c r="P648" i="1"/>
  <c r="A651" i="10" s="1"/>
  <c r="Z651" i="10" s="1"/>
  <c r="O648" i="1"/>
  <c r="N648" i="1"/>
  <c r="O647" i="1"/>
  <c r="N647" i="1"/>
  <c r="P646" i="1"/>
  <c r="Q646" i="1" s="1"/>
  <c r="O646" i="1"/>
  <c r="N646" i="1"/>
  <c r="P645" i="1"/>
  <c r="O645" i="1"/>
  <c r="N645" i="1"/>
  <c r="P644" i="1"/>
  <c r="A647" i="10" s="1"/>
  <c r="Z647" i="10" s="1"/>
  <c r="O644" i="1"/>
  <c r="N644" i="1"/>
  <c r="P643" i="1"/>
  <c r="Q643" i="1" s="1"/>
  <c r="O643" i="1"/>
  <c r="N643" i="1"/>
  <c r="P642" i="1"/>
  <c r="A645" i="10" s="1"/>
  <c r="Z645" i="10" s="1"/>
  <c r="O642" i="1"/>
  <c r="N642" i="1"/>
  <c r="P641" i="1"/>
  <c r="A644" i="10" s="1"/>
  <c r="Z644" i="10" s="1"/>
  <c r="O641" i="1"/>
  <c r="N641" i="1"/>
  <c r="P640" i="1"/>
  <c r="A643" i="10" s="1"/>
  <c r="Z643" i="10" s="1"/>
  <c r="O640" i="1"/>
  <c r="N640" i="1"/>
  <c r="P639" i="1"/>
  <c r="A642" i="10" s="1"/>
  <c r="Z642" i="10" s="1"/>
  <c r="O639" i="1"/>
  <c r="N639" i="1"/>
  <c r="P638" i="1"/>
  <c r="O638" i="1"/>
  <c r="N638" i="1"/>
  <c r="P637" i="1"/>
  <c r="A640" i="10" s="1"/>
  <c r="Z640" i="10" s="1"/>
  <c r="O637" i="1"/>
  <c r="N637" i="1"/>
  <c r="P636" i="1"/>
  <c r="A639" i="10" s="1"/>
  <c r="Z639" i="10" s="1"/>
  <c r="O636" i="1"/>
  <c r="N636" i="1"/>
  <c r="A638" i="10"/>
  <c r="O635" i="1"/>
  <c r="N635" i="1"/>
  <c r="P634" i="1"/>
  <c r="A637" i="10" s="1"/>
  <c r="Z637" i="10" s="1"/>
  <c r="O634" i="1"/>
  <c r="N634" i="1"/>
  <c r="P633" i="1"/>
  <c r="O633" i="1"/>
  <c r="N633" i="1"/>
  <c r="P632" i="1"/>
  <c r="A635" i="10" s="1"/>
  <c r="Z635" i="10" s="1"/>
  <c r="O632" i="1"/>
  <c r="N632" i="1"/>
  <c r="P631" i="1"/>
  <c r="A634" i="10" s="1"/>
  <c r="Z634" i="10" s="1"/>
  <c r="O631" i="1"/>
  <c r="N631" i="1"/>
  <c r="P630" i="1"/>
  <c r="A633" i="10" s="1"/>
  <c r="Z633" i="10" s="1"/>
  <c r="O630" i="1"/>
  <c r="N630" i="1"/>
  <c r="P629" i="1"/>
  <c r="A632" i="10" s="1"/>
  <c r="Z632" i="10" s="1"/>
  <c r="O629" i="1"/>
  <c r="N629" i="1"/>
  <c r="P628" i="1"/>
  <c r="A631" i="10" s="1"/>
  <c r="Z631" i="10" s="1"/>
  <c r="O628" i="1"/>
  <c r="N628" i="1"/>
  <c r="Q627" i="1"/>
  <c r="O627" i="1"/>
  <c r="N627" i="1"/>
  <c r="P626" i="1"/>
  <c r="A629" i="10" s="1"/>
  <c r="Z629" i="10" s="1"/>
  <c r="O626" i="1"/>
  <c r="N626" i="1"/>
  <c r="P625" i="1"/>
  <c r="O625" i="1"/>
  <c r="N625" i="1"/>
  <c r="P624" i="1"/>
  <c r="A627" i="10" s="1"/>
  <c r="O624" i="1"/>
  <c r="N624" i="1"/>
  <c r="O623" i="1"/>
  <c r="N623" i="1"/>
  <c r="P622" i="1"/>
  <c r="O622" i="1"/>
  <c r="N622" i="1"/>
  <c r="P621" i="1"/>
  <c r="A624" i="10" s="1"/>
  <c r="Z624" i="10" s="1"/>
  <c r="O621" i="1"/>
  <c r="N621" i="1"/>
  <c r="A623" i="10"/>
  <c r="Z623" i="10" s="1"/>
  <c r="O620" i="1"/>
  <c r="N620" i="1"/>
  <c r="P619" i="1"/>
  <c r="A622" i="10" s="1"/>
  <c r="Z622" i="10" s="1"/>
  <c r="O619" i="1"/>
  <c r="N619" i="1"/>
  <c r="P618" i="1"/>
  <c r="A621" i="10" s="1"/>
  <c r="Z621" i="10" s="1"/>
  <c r="O618" i="1"/>
  <c r="N618" i="1"/>
  <c r="P617" i="1"/>
  <c r="A620" i="10" s="1"/>
  <c r="Z620" i="10" s="1"/>
  <c r="O617" i="1"/>
  <c r="N617" i="1"/>
  <c r="P616" i="1"/>
  <c r="A619" i="10" s="1"/>
  <c r="Z619" i="10" s="1"/>
  <c r="O616" i="1"/>
  <c r="N616" i="1"/>
  <c r="P615" i="1"/>
  <c r="Q615" i="1" s="1"/>
  <c r="O615" i="1"/>
  <c r="N615" i="1"/>
  <c r="P614" i="1"/>
  <c r="O614" i="1"/>
  <c r="N614" i="1"/>
  <c r="A616" i="10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612" i="10" s="1"/>
  <c r="Z612" i="10" s="1"/>
  <c r="O609" i="1"/>
  <c r="N609" i="1"/>
  <c r="P608" i="1"/>
  <c r="A611" i="10" s="1"/>
  <c r="Z611" i="10" s="1"/>
  <c r="O608" i="1"/>
  <c r="N608" i="1"/>
  <c r="P607" i="1"/>
  <c r="O607" i="1"/>
  <c r="N607" i="1"/>
  <c r="P606" i="1"/>
  <c r="O606" i="1"/>
  <c r="N606" i="1"/>
  <c r="P605" i="1"/>
  <c r="A608" i="10" s="1"/>
  <c r="Z608" i="10" s="1"/>
  <c r="O605" i="1"/>
  <c r="N605" i="1"/>
  <c r="P604" i="1"/>
  <c r="Q604" i="1" s="1"/>
  <c r="O604" i="1"/>
  <c r="N604" i="1"/>
  <c r="A606" i="10"/>
  <c r="Z606" i="10" s="1"/>
  <c r="O603" i="1"/>
  <c r="N603" i="1"/>
  <c r="P602" i="1"/>
  <c r="A605" i="10" s="1"/>
  <c r="Z605" i="10" s="1"/>
  <c r="O602" i="1"/>
  <c r="N602" i="1"/>
  <c r="P601" i="1"/>
  <c r="A604" i="10" s="1"/>
  <c r="Z604" i="10" s="1"/>
  <c r="O601" i="1"/>
  <c r="N601" i="1"/>
  <c r="P600" i="1"/>
  <c r="A603" i="10" s="1"/>
  <c r="Z603" i="10" s="1"/>
  <c r="O600" i="1"/>
  <c r="N600" i="1"/>
  <c r="P599" i="1"/>
  <c r="O599" i="1"/>
  <c r="N599" i="1"/>
  <c r="P598" i="1"/>
  <c r="O598" i="1"/>
  <c r="N598" i="1"/>
  <c r="P597" i="1"/>
  <c r="O597" i="1"/>
  <c r="N597" i="1"/>
  <c r="P596" i="1"/>
  <c r="A599" i="10" s="1"/>
  <c r="Z599" i="10" s="1"/>
  <c r="O596" i="1"/>
  <c r="N596" i="1"/>
  <c r="P595" i="1"/>
  <c r="A598" i="10" s="1"/>
  <c r="Z598" i="10" s="1"/>
  <c r="O595" i="1"/>
  <c r="N595" i="1"/>
  <c r="P594" i="1"/>
  <c r="A597" i="10" s="1"/>
  <c r="Z597" i="10" s="1"/>
  <c r="O594" i="1"/>
  <c r="N594" i="1"/>
  <c r="P593" i="1"/>
  <c r="Q593" i="1" s="1"/>
  <c r="O593" i="1"/>
  <c r="N593" i="1"/>
  <c r="P592" i="1"/>
  <c r="A595" i="10" s="1"/>
  <c r="Z595" i="10" s="1"/>
  <c r="O592" i="1"/>
  <c r="N592" i="1"/>
  <c r="P591" i="1"/>
  <c r="O591" i="1"/>
  <c r="N591" i="1"/>
  <c r="A593" i="10"/>
  <c r="Z593" i="10" s="1"/>
  <c r="O590" i="1"/>
  <c r="N590" i="1"/>
  <c r="P589" i="1"/>
  <c r="O589" i="1"/>
  <c r="N589" i="1"/>
  <c r="Q588" i="1"/>
  <c r="O588" i="1"/>
  <c r="N588" i="1"/>
  <c r="P587" i="1"/>
  <c r="A590" i="10" s="1"/>
  <c r="Z590" i="10" s="1"/>
  <c r="O587" i="1"/>
  <c r="N587" i="1"/>
  <c r="P586" i="1"/>
  <c r="A589" i="10" s="1"/>
  <c r="Z589" i="10" s="1"/>
  <c r="O586" i="1"/>
  <c r="N586" i="1"/>
  <c r="P585" i="1"/>
  <c r="A588" i="10" s="1"/>
  <c r="Z588" i="10" s="1"/>
  <c r="O585" i="1"/>
  <c r="N585" i="1"/>
  <c r="P584" i="1"/>
  <c r="A587" i="10" s="1"/>
  <c r="Z587" i="10" s="1"/>
  <c r="O584" i="1"/>
  <c r="N584" i="1"/>
  <c r="P583" i="1"/>
  <c r="O583" i="1"/>
  <c r="N583" i="1"/>
  <c r="P582" i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581" i="10" s="1"/>
  <c r="Z581" i="10" s="1"/>
  <c r="O578" i="1"/>
  <c r="N578" i="1"/>
  <c r="P577" i="1"/>
  <c r="A580" i="10" s="1"/>
  <c r="Z580" i="10" s="1"/>
  <c r="O577" i="1"/>
  <c r="N577" i="1"/>
  <c r="P576" i="1"/>
  <c r="A579" i="10" s="1"/>
  <c r="Z579" i="10" s="1"/>
  <c r="O576" i="1"/>
  <c r="N576" i="1"/>
  <c r="P575" i="1"/>
  <c r="O575" i="1"/>
  <c r="N575" i="1"/>
  <c r="P574" i="1"/>
  <c r="Q574" i="1" s="1"/>
  <c r="O574" i="1"/>
  <c r="N574" i="1"/>
  <c r="P573" i="1"/>
  <c r="A576" i="10" s="1"/>
  <c r="Z576" i="10" s="1"/>
  <c r="O573" i="1"/>
  <c r="N573" i="1"/>
  <c r="P572" i="1"/>
  <c r="Q572" i="1" s="1"/>
  <c r="O572" i="1"/>
  <c r="N572" i="1"/>
  <c r="P571" i="1"/>
  <c r="O571" i="1"/>
  <c r="N571" i="1"/>
  <c r="P570" i="1"/>
  <c r="A573" i="10" s="1"/>
  <c r="Z573" i="10" s="1"/>
  <c r="O570" i="1"/>
  <c r="N570" i="1"/>
  <c r="P569" i="1"/>
  <c r="A572" i="10" s="1"/>
  <c r="Z572" i="10" s="1"/>
  <c r="O569" i="1"/>
  <c r="N569" i="1"/>
  <c r="P568" i="1"/>
  <c r="A571" i="10" s="1"/>
  <c r="Z571" i="10" s="1"/>
  <c r="O568" i="1"/>
  <c r="N568" i="1"/>
  <c r="O567" i="1"/>
  <c r="N567" i="1"/>
  <c r="P566" i="1"/>
  <c r="O566" i="1"/>
  <c r="N566" i="1"/>
  <c r="P565" i="1"/>
  <c r="A568" i="10" s="1"/>
  <c r="Z568" i="10" s="1"/>
  <c r="O565" i="1"/>
  <c r="N565" i="1"/>
  <c r="P564" i="1"/>
  <c r="A567" i="10" s="1"/>
  <c r="Z567" i="10" s="1"/>
  <c r="O564" i="1"/>
  <c r="N564" i="1"/>
  <c r="A566" i="10"/>
  <c r="Z566" i="10" s="1"/>
  <c r="O563" i="1"/>
  <c r="N563" i="1"/>
  <c r="P562" i="1"/>
  <c r="A565" i="10" s="1"/>
  <c r="Z565" i="10" s="1"/>
  <c r="O562" i="1"/>
  <c r="N562" i="1"/>
  <c r="P561" i="1"/>
  <c r="A564" i="10" s="1"/>
  <c r="Z564" i="10" s="1"/>
  <c r="O561" i="1"/>
  <c r="N561" i="1"/>
  <c r="P560" i="1"/>
  <c r="A563" i="10" s="1"/>
  <c r="Z563" i="10" s="1"/>
  <c r="O560" i="1"/>
  <c r="N560" i="1"/>
  <c r="P559" i="1"/>
  <c r="O559" i="1"/>
  <c r="N559" i="1"/>
  <c r="P558" i="1"/>
  <c r="A561" i="10" s="1"/>
  <c r="Z561" i="10" s="1"/>
  <c r="O558" i="1"/>
  <c r="N558" i="1"/>
  <c r="P557" i="1"/>
  <c r="A560" i="10" s="1"/>
  <c r="Z560" i="10" s="1"/>
  <c r="O557" i="1"/>
  <c r="N557" i="1"/>
  <c r="P556" i="1"/>
  <c r="A559" i="10" s="1"/>
  <c r="Z559" i="10" s="1"/>
  <c r="O556" i="1"/>
  <c r="N556" i="1"/>
  <c r="P555" i="1"/>
  <c r="A558" i="10" s="1"/>
  <c r="Z558" i="10" s="1"/>
  <c r="O555" i="1"/>
  <c r="N555" i="1"/>
  <c r="A557" i="10"/>
  <c r="Z557" i="10" s="1"/>
  <c r="O554" i="1"/>
  <c r="N554" i="1"/>
  <c r="P553" i="1"/>
  <c r="A556" i="10" s="1"/>
  <c r="Z556" i="10" s="1"/>
  <c r="O553" i="1"/>
  <c r="N553" i="1"/>
  <c r="P552" i="1"/>
  <c r="A555" i="10" s="1"/>
  <c r="Z555" i="10" s="1"/>
  <c r="O552" i="1"/>
  <c r="N552" i="1"/>
  <c r="P551" i="1"/>
  <c r="O551" i="1"/>
  <c r="N551" i="1"/>
  <c r="P550" i="1"/>
  <c r="A553" i="10" s="1"/>
  <c r="Z553" i="10" s="1"/>
  <c r="O550" i="1"/>
  <c r="N550" i="1"/>
  <c r="P549" i="1"/>
  <c r="A552" i="10" s="1"/>
  <c r="Z552" i="10" s="1"/>
  <c r="O549" i="1"/>
  <c r="N549" i="1"/>
  <c r="P548" i="1"/>
  <c r="Q548" i="1" s="1"/>
  <c r="O548" i="1"/>
  <c r="N548" i="1"/>
  <c r="P547" i="1"/>
  <c r="Q547" i="1" s="1"/>
  <c r="O547" i="1"/>
  <c r="N547" i="1"/>
  <c r="P546" i="1"/>
  <c r="A549" i="10" s="1"/>
  <c r="Z549" i="10" s="1"/>
  <c r="O546" i="1"/>
  <c r="N546" i="1"/>
  <c r="Q545" i="1"/>
  <c r="O545" i="1"/>
  <c r="N545" i="1"/>
  <c r="P544" i="1"/>
  <c r="A547" i="10" s="1"/>
  <c r="Z547" i="10" s="1"/>
  <c r="O544" i="1"/>
  <c r="N544" i="1"/>
  <c r="O543" i="1"/>
  <c r="N543" i="1"/>
  <c r="A545" i="10"/>
  <c r="Z545" i="10" s="1"/>
  <c r="O542" i="1"/>
  <c r="N542" i="1"/>
  <c r="A544" i="10"/>
  <c r="Z544" i="10" s="1"/>
  <c r="O541" i="1"/>
  <c r="N541" i="1"/>
  <c r="A543" i="10"/>
  <c r="Z543" i="10" s="1"/>
  <c r="O540" i="1"/>
  <c r="N540" i="1"/>
  <c r="P539" i="1"/>
  <c r="Q539" i="1" s="1"/>
  <c r="O539" i="1"/>
  <c r="N539" i="1"/>
  <c r="A541" i="10"/>
  <c r="Z541" i="10" s="1"/>
  <c r="O538" i="1"/>
  <c r="N538" i="1"/>
  <c r="P537" i="1"/>
  <c r="Q537" i="1" s="1"/>
  <c r="O537" i="1"/>
  <c r="N537" i="1"/>
  <c r="P536" i="1"/>
  <c r="A539" i="10" s="1"/>
  <c r="Z539" i="10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532" i="10" s="1"/>
  <c r="Z532" i="10" s="1"/>
  <c r="O529" i="1"/>
  <c r="N529" i="1"/>
  <c r="P528" i="1"/>
  <c r="A531" i="10" s="1"/>
  <c r="Z531" i="10" s="1"/>
  <c r="O528" i="1"/>
  <c r="N528" i="1"/>
  <c r="P527" i="1"/>
  <c r="O527" i="1"/>
  <c r="N527" i="1"/>
  <c r="P526" i="1"/>
  <c r="O526" i="1"/>
  <c r="N526" i="1"/>
  <c r="P525" i="1"/>
  <c r="O525" i="1"/>
  <c r="N525" i="1"/>
  <c r="P524" i="1"/>
  <c r="Q524" i="1" s="1"/>
  <c r="O524" i="1"/>
  <c r="N524" i="1"/>
  <c r="P523" i="1"/>
  <c r="A526" i="10" s="1"/>
  <c r="Z526" i="10" s="1"/>
  <c r="O523" i="1"/>
  <c r="N523" i="1"/>
  <c r="P522" i="1"/>
  <c r="A525" i="10" s="1"/>
  <c r="Z525" i="10" s="1"/>
  <c r="O522" i="1"/>
  <c r="N522" i="1"/>
  <c r="P521" i="1"/>
  <c r="Q521" i="1" s="1"/>
  <c r="O521" i="1"/>
  <c r="N521" i="1"/>
  <c r="P520" i="1"/>
  <c r="A523" i="10" s="1"/>
  <c r="Z523" i="10" s="1"/>
  <c r="O520" i="1"/>
  <c r="N520" i="1"/>
  <c r="P519" i="1"/>
  <c r="O519" i="1"/>
  <c r="N519" i="1"/>
  <c r="P518" i="1"/>
  <c r="A521" i="10" s="1"/>
  <c r="Z521" i="10" s="1"/>
  <c r="O518" i="1"/>
  <c r="N518" i="1"/>
  <c r="A520" i="10"/>
  <c r="Z520" i="10" s="1"/>
  <c r="O517" i="1"/>
  <c r="N517" i="1"/>
  <c r="P516" i="1"/>
  <c r="A519" i="10" s="1"/>
  <c r="Z519" i="10" s="1"/>
  <c r="O516" i="1"/>
  <c r="N516" i="1"/>
  <c r="P515" i="1"/>
  <c r="A518" i="10" s="1"/>
  <c r="Z518" i="10" s="1"/>
  <c r="O515" i="1"/>
  <c r="N515" i="1"/>
  <c r="A517" i="10"/>
  <c r="Z517" i="10" s="1"/>
  <c r="O514" i="1"/>
  <c r="N514" i="1"/>
  <c r="P513" i="1"/>
  <c r="A516" i="10" s="1"/>
  <c r="Z516" i="10" s="1"/>
  <c r="O513" i="1"/>
  <c r="N513" i="1"/>
  <c r="A515" i="10"/>
  <c r="Z515" i="10" s="1"/>
  <c r="O512" i="1"/>
  <c r="N512" i="1"/>
  <c r="P511" i="1"/>
  <c r="O511" i="1"/>
  <c r="N511" i="1"/>
  <c r="P510" i="1"/>
  <c r="Q510" i="1" s="1"/>
  <c r="O510" i="1"/>
  <c r="N510" i="1"/>
  <c r="P509" i="1"/>
  <c r="A512" i="10" s="1"/>
  <c r="Z512" i="10" s="1"/>
  <c r="O509" i="1"/>
  <c r="N509" i="1"/>
  <c r="Q508" i="1"/>
  <c r="O508" i="1"/>
  <c r="N508" i="1"/>
  <c r="A510" i="10"/>
  <c r="Z510" i="10" s="1"/>
  <c r="O507" i="1"/>
  <c r="N507" i="1"/>
  <c r="P506" i="1"/>
  <c r="A509" i="10" s="1"/>
  <c r="Z509" i="10" s="1"/>
  <c r="O506" i="1"/>
  <c r="N506" i="1"/>
  <c r="P505" i="1"/>
  <c r="A508" i="10" s="1"/>
  <c r="Z508" i="10" s="1"/>
  <c r="O505" i="1"/>
  <c r="N505" i="1"/>
  <c r="A507" i="10"/>
  <c r="Z507" i="10" s="1"/>
  <c r="O504" i="1"/>
  <c r="N504" i="1"/>
  <c r="P503" i="1"/>
  <c r="O503" i="1"/>
  <c r="N503" i="1"/>
  <c r="P502" i="1"/>
  <c r="A505" i="10" s="1"/>
  <c r="Z505" i="10" s="1"/>
  <c r="O502" i="1"/>
  <c r="N502" i="1"/>
  <c r="P501" i="1"/>
  <c r="A504" i="10" s="1"/>
  <c r="Z504" i="10" s="1"/>
  <c r="O501" i="1"/>
  <c r="N501" i="1"/>
  <c r="P500" i="1"/>
  <c r="A503" i="10" s="1"/>
  <c r="Z503" i="10" s="1"/>
  <c r="O500" i="1"/>
  <c r="N500" i="1"/>
  <c r="P499" i="1"/>
  <c r="A502" i="10" s="1"/>
  <c r="Z502" i="10" s="1"/>
  <c r="O499" i="1"/>
  <c r="N499" i="1"/>
  <c r="P498" i="1"/>
  <c r="Q498" i="1" s="1"/>
  <c r="O498" i="1"/>
  <c r="N498" i="1"/>
  <c r="P497" i="1"/>
  <c r="A500" i="10" s="1"/>
  <c r="Z500" i="10" s="1"/>
  <c r="O497" i="1"/>
  <c r="N497" i="1"/>
  <c r="P496" i="1"/>
  <c r="A499" i="10" s="1"/>
  <c r="Z499" i="10" s="1"/>
  <c r="O496" i="1"/>
  <c r="N496" i="1"/>
  <c r="P495" i="1"/>
  <c r="O495" i="1"/>
  <c r="N495" i="1"/>
  <c r="P494" i="1"/>
  <c r="Q494" i="1" s="1"/>
  <c r="O494" i="1"/>
  <c r="N494" i="1"/>
  <c r="P493" i="1"/>
  <c r="A496" i="10" s="1"/>
  <c r="Z496" i="10" s="1"/>
  <c r="O493" i="1"/>
  <c r="N493" i="1"/>
  <c r="P492" i="1"/>
  <c r="Q492" i="1" s="1"/>
  <c r="O492" i="1"/>
  <c r="N492" i="1"/>
  <c r="P491" i="1"/>
  <c r="Q491" i="1" s="1"/>
  <c r="O491" i="1"/>
  <c r="N491" i="1"/>
  <c r="P490" i="1"/>
  <c r="O490" i="1"/>
  <c r="N490" i="1"/>
  <c r="P489" i="1"/>
  <c r="A492" i="10" s="1"/>
  <c r="Z492" i="10" s="1"/>
  <c r="O489" i="1"/>
  <c r="N489" i="1"/>
  <c r="P488" i="1"/>
  <c r="A491" i="10" s="1"/>
  <c r="Z491" i="10" s="1"/>
  <c r="O488" i="1"/>
  <c r="N488" i="1"/>
  <c r="P487" i="1"/>
  <c r="O487" i="1"/>
  <c r="N487" i="1"/>
  <c r="P486" i="1"/>
  <c r="A489" i="10" s="1"/>
  <c r="Z489" i="10" s="1"/>
  <c r="O486" i="1"/>
  <c r="N486" i="1"/>
  <c r="P485" i="1"/>
  <c r="A488" i="10" s="1"/>
  <c r="Z488" i="10" s="1"/>
  <c r="O485" i="1"/>
  <c r="N485" i="1"/>
  <c r="P484" i="1"/>
  <c r="A487" i="10" s="1"/>
  <c r="Z487" i="10" s="1"/>
  <c r="O484" i="1"/>
  <c r="N484" i="1"/>
  <c r="P483" i="1"/>
  <c r="A486" i="10" s="1"/>
  <c r="Z486" i="10" s="1"/>
  <c r="O483" i="1"/>
  <c r="N483" i="1"/>
  <c r="A485" i="10"/>
  <c r="Z485" i="10" s="1"/>
  <c r="O482" i="1"/>
  <c r="N482" i="1"/>
  <c r="P481" i="1"/>
  <c r="Q481" i="1" s="1"/>
  <c r="O481" i="1"/>
  <c r="N481" i="1"/>
  <c r="A483" i="10"/>
  <c r="Z483" i="10" s="1"/>
  <c r="O480" i="1"/>
  <c r="N480" i="1"/>
  <c r="P479" i="1"/>
  <c r="O479" i="1"/>
  <c r="N479" i="1"/>
  <c r="P478" i="1"/>
  <c r="O478" i="1"/>
  <c r="N478" i="1"/>
  <c r="P477" i="1"/>
  <c r="A480" i="10" s="1"/>
  <c r="Z480" i="10" s="1"/>
  <c r="O477" i="1"/>
  <c r="N477" i="1"/>
  <c r="P476" i="1"/>
  <c r="A479" i="10" s="1"/>
  <c r="Z479" i="10" s="1"/>
  <c r="O476" i="1"/>
  <c r="N476" i="1"/>
  <c r="A478" i="10"/>
  <c r="O475" i="1"/>
  <c r="N475" i="1"/>
  <c r="P474" i="1"/>
  <c r="A477" i="10" s="1"/>
  <c r="Z477" i="10" s="1"/>
  <c r="O474" i="1"/>
  <c r="N474" i="1"/>
  <c r="P473" i="1"/>
  <c r="O473" i="1"/>
  <c r="N473" i="1"/>
  <c r="P472" i="1"/>
  <c r="A475" i="10" s="1"/>
  <c r="Z475" i="10" s="1"/>
  <c r="O472" i="1"/>
  <c r="N472" i="1"/>
  <c r="P471" i="1"/>
  <c r="O471" i="1"/>
  <c r="N471" i="1"/>
  <c r="P470" i="1"/>
  <c r="A473" i="10" s="1"/>
  <c r="Z473" i="10" s="1"/>
  <c r="O470" i="1"/>
  <c r="N470" i="1"/>
  <c r="P469" i="1"/>
  <c r="A472" i="10" s="1"/>
  <c r="Z472" i="10" s="1"/>
  <c r="O469" i="1"/>
  <c r="N469" i="1"/>
  <c r="O468" i="1"/>
  <c r="N468" i="1"/>
  <c r="P467" i="1"/>
  <c r="A470" i="10" s="1"/>
  <c r="Z470" i="10" s="1"/>
  <c r="O467" i="1"/>
  <c r="N467" i="1"/>
  <c r="A469" i="10"/>
  <c r="O466" i="1"/>
  <c r="N466" i="1"/>
  <c r="P465" i="1"/>
  <c r="A468" i="10" s="1"/>
  <c r="Z468" i="10" s="1"/>
  <c r="O465" i="1"/>
  <c r="N465" i="1"/>
  <c r="P464" i="1"/>
  <c r="A467" i="10" s="1"/>
  <c r="Z467" i="10" s="1"/>
  <c r="O464" i="1"/>
  <c r="N464" i="1"/>
  <c r="P463" i="1"/>
  <c r="O463" i="1"/>
  <c r="N463" i="1"/>
  <c r="P462" i="1"/>
  <c r="A465" i="10" s="1"/>
  <c r="Z465" i="10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461" i="10" s="1"/>
  <c r="Z461" i="10" s="1"/>
  <c r="O458" i="1"/>
  <c r="N458" i="1"/>
  <c r="P457" i="1"/>
  <c r="A460" i="10" s="1"/>
  <c r="Z460" i="10" s="1"/>
  <c r="O457" i="1"/>
  <c r="N457" i="1"/>
  <c r="P456" i="1"/>
  <c r="A459" i="10" s="1"/>
  <c r="Z459" i="10" s="1"/>
  <c r="O456" i="1"/>
  <c r="N456" i="1"/>
  <c r="P455" i="1"/>
  <c r="Q455" i="1" s="1"/>
  <c r="O455" i="1"/>
  <c r="N455" i="1"/>
  <c r="P454" i="1"/>
  <c r="A457" i="10" s="1"/>
  <c r="Z457" i="10" s="1"/>
  <c r="O454" i="1"/>
  <c r="N454" i="1"/>
  <c r="P453" i="1"/>
  <c r="A456" i="10" s="1"/>
  <c r="Z456" i="10" s="1"/>
  <c r="O453" i="1"/>
  <c r="N453" i="1"/>
  <c r="P452" i="1"/>
  <c r="O452" i="1"/>
  <c r="N452" i="1"/>
  <c r="O451" i="1"/>
  <c r="N451" i="1"/>
  <c r="P450" i="1"/>
  <c r="A453" i="10" s="1"/>
  <c r="Z453" i="10" s="1"/>
  <c r="O450" i="1"/>
  <c r="N450" i="1"/>
  <c r="O449" i="1"/>
  <c r="N449" i="1"/>
  <c r="P448" i="1"/>
  <c r="A451" i="10" s="1"/>
  <c r="Z451" i="10" s="1"/>
  <c r="O448" i="1"/>
  <c r="N448" i="1"/>
  <c r="P447" i="1"/>
  <c r="O447" i="1"/>
  <c r="N447" i="1"/>
  <c r="P446" i="1"/>
  <c r="Q446" i="1" s="1"/>
  <c r="O446" i="1"/>
  <c r="N446" i="1"/>
  <c r="A448" i="10"/>
  <c r="Z448" i="10" s="1"/>
  <c r="O445" i="1"/>
  <c r="N445" i="1"/>
  <c r="P444" i="1"/>
  <c r="Q444" i="1" s="1"/>
  <c r="O444" i="1"/>
  <c r="N444" i="1"/>
  <c r="A446" i="10"/>
  <c r="O443" i="1"/>
  <c r="N443" i="1"/>
  <c r="P442" i="1"/>
  <c r="A445" i="10" s="1"/>
  <c r="Z445" i="10" s="1"/>
  <c r="O442" i="1"/>
  <c r="N442" i="1"/>
  <c r="P441" i="1"/>
  <c r="O441" i="1"/>
  <c r="N441" i="1"/>
  <c r="P440" i="1"/>
  <c r="A443" i="10" s="1"/>
  <c r="Z443" i="10" s="1"/>
  <c r="O440" i="1"/>
  <c r="N440" i="1"/>
  <c r="Q439" i="1"/>
  <c r="O439" i="1"/>
  <c r="N439" i="1"/>
  <c r="P438" i="1"/>
  <c r="A441" i="10" s="1"/>
  <c r="Z441" i="10" s="1"/>
  <c r="O438" i="1"/>
  <c r="N438" i="1"/>
  <c r="P437" i="1"/>
  <c r="A440" i="10" s="1"/>
  <c r="Z440" i="10" s="1"/>
  <c r="O437" i="1"/>
  <c r="N437" i="1"/>
  <c r="P436" i="1"/>
  <c r="Q436" i="1" s="1"/>
  <c r="O436" i="1"/>
  <c r="N436" i="1"/>
  <c r="P435" i="1"/>
  <c r="A438" i="10" s="1"/>
  <c r="Z438" i="10" s="1"/>
  <c r="O435" i="1"/>
  <c r="N435" i="1"/>
  <c r="P434" i="1"/>
  <c r="A437" i="10" s="1"/>
  <c r="Z437" i="10" s="1"/>
  <c r="O434" i="1"/>
  <c r="N434" i="1"/>
  <c r="P433" i="1"/>
  <c r="O433" i="1"/>
  <c r="N433" i="1"/>
  <c r="P432" i="1"/>
  <c r="A435" i="10" s="1"/>
  <c r="Z435" i="10" s="1"/>
  <c r="O432" i="1"/>
  <c r="N432" i="1"/>
  <c r="P431" i="1"/>
  <c r="Q431" i="1" s="1"/>
  <c r="O431" i="1"/>
  <c r="N431" i="1"/>
  <c r="P430" i="1"/>
  <c r="Q430" i="1" s="1"/>
  <c r="O430" i="1"/>
  <c r="N430" i="1"/>
  <c r="A432" i="10"/>
  <c r="Z432" i="10" s="1"/>
  <c r="O429" i="1"/>
  <c r="N429" i="1"/>
  <c r="P428" i="1"/>
  <c r="A431" i="10" s="1"/>
  <c r="Z431" i="10" s="1"/>
  <c r="O428" i="1"/>
  <c r="N428" i="1"/>
  <c r="P427" i="1"/>
  <c r="Q427" i="1" s="1"/>
  <c r="O427" i="1"/>
  <c r="N427" i="1"/>
  <c r="P426" i="1"/>
  <c r="A429" i="10" s="1"/>
  <c r="Z429" i="10" s="1"/>
  <c r="O426" i="1"/>
  <c r="N426" i="1"/>
  <c r="O425" i="1"/>
  <c r="N425" i="1"/>
  <c r="A427" i="10"/>
  <c r="Z427" i="10" s="1"/>
  <c r="O424" i="1"/>
  <c r="N424" i="1"/>
  <c r="P423" i="1"/>
  <c r="A426" i="10" s="1"/>
  <c r="Z426" i="10" s="1"/>
  <c r="O423" i="1"/>
  <c r="N423" i="1"/>
  <c r="P422" i="1"/>
  <c r="Q422" i="1" s="1"/>
  <c r="O422" i="1"/>
  <c r="N422" i="1"/>
  <c r="P421" i="1"/>
  <c r="A424" i="10" s="1"/>
  <c r="Z424" i="10" s="1"/>
  <c r="O421" i="1"/>
  <c r="N421" i="1"/>
  <c r="P420" i="1"/>
  <c r="Q420" i="1" s="1"/>
  <c r="O420" i="1"/>
  <c r="N420" i="1"/>
  <c r="P419" i="1"/>
  <c r="A422" i="10" s="1"/>
  <c r="Z422" i="10" s="1"/>
  <c r="O419" i="1"/>
  <c r="N419" i="1"/>
  <c r="P418" i="1"/>
  <c r="A421" i="10" s="1"/>
  <c r="Z421" i="10" s="1"/>
  <c r="O418" i="1"/>
  <c r="N418" i="1"/>
  <c r="P417" i="1"/>
  <c r="O417" i="1"/>
  <c r="N417" i="1"/>
  <c r="P416" i="1"/>
  <c r="A419" i="10" s="1"/>
  <c r="Z419" i="10" s="1"/>
  <c r="O416" i="1"/>
  <c r="N416" i="1"/>
  <c r="P415" i="1"/>
  <c r="A418" i="10" s="1"/>
  <c r="Z418" i="10" s="1"/>
  <c r="O415" i="1"/>
  <c r="N415" i="1"/>
  <c r="P414" i="1"/>
  <c r="Q414" i="1" s="1"/>
  <c r="O414" i="1"/>
  <c r="N414" i="1"/>
  <c r="P413" i="1"/>
  <c r="A416" i="10" s="1"/>
  <c r="Z416" i="10" s="1"/>
  <c r="O413" i="1"/>
  <c r="N413" i="1"/>
  <c r="A415" i="10"/>
  <c r="Z415" i="10" s="1"/>
  <c r="O412" i="1"/>
  <c r="N412" i="1"/>
  <c r="A414" i="10"/>
  <c r="Z414" i="10" s="1"/>
  <c r="O411" i="1"/>
  <c r="N411" i="1"/>
  <c r="Q410" i="1"/>
  <c r="O410" i="1"/>
  <c r="N410" i="1"/>
  <c r="O409" i="1"/>
  <c r="N409" i="1"/>
  <c r="A411" i="10"/>
  <c r="Z411" i="10" s="1"/>
  <c r="O408" i="1"/>
  <c r="N408" i="1"/>
  <c r="P407" i="1"/>
  <c r="Q407" i="1" s="1"/>
  <c r="O407" i="1"/>
  <c r="N407" i="1"/>
  <c r="P406" i="1"/>
  <c r="A409" i="10" s="1"/>
  <c r="Z409" i="10" s="1"/>
  <c r="O406" i="1"/>
  <c r="N406" i="1"/>
  <c r="P405" i="1"/>
  <c r="A408" i="10" s="1"/>
  <c r="Z408" i="10" s="1"/>
  <c r="O405" i="1"/>
  <c r="N405" i="1"/>
  <c r="P404" i="1"/>
  <c r="Q404" i="1" s="1"/>
  <c r="O404" i="1"/>
  <c r="N404" i="1"/>
  <c r="P403" i="1"/>
  <c r="A406" i="10" s="1"/>
  <c r="Z406" i="10" s="1"/>
  <c r="O403" i="1"/>
  <c r="N403" i="1"/>
  <c r="P402" i="1"/>
  <c r="A405" i="10" s="1"/>
  <c r="Z405" i="10" s="1"/>
  <c r="O402" i="1"/>
  <c r="N402" i="1"/>
  <c r="P401" i="1"/>
  <c r="O401" i="1"/>
  <c r="N401" i="1"/>
  <c r="P400" i="1"/>
  <c r="A403" i="10" s="1"/>
  <c r="Z403" i="10" s="1"/>
  <c r="O400" i="1"/>
  <c r="N400" i="1"/>
  <c r="P399" i="1"/>
  <c r="A402" i="10" s="1"/>
  <c r="Z402" i="10" s="1"/>
  <c r="O399" i="1"/>
  <c r="N399" i="1"/>
  <c r="P398" i="1"/>
  <c r="A401" i="10" s="1"/>
  <c r="Z401" i="10" s="1"/>
  <c r="O398" i="1"/>
  <c r="N398" i="1"/>
  <c r="P397" i="1"/>
  <c r="O397" i="1"/>
  <c r="N397" i="1"/>
  <c r="P396" i="1"/>
  <c r="O396" i="1"/>
  <c r="N396" i="1"/>
  <c r="P395" i="1"/>
  <c r="A398" i="10" s="1"/>
  <c r="Z398" i="10" s="1"/>
  <c r="O395" i="1"/>
  <c r="N395" i="1"/>
  <c r="P394" i="1"/>
  <c r="A397" i="10" s="1"/>
  <c r="Z397" i="10" s="1"/>
  <c r="O394" i="1"/>
  <c r="N394" i="1"/>
  <c r="P393" i="1"/>
  <c r="O393" i="1"/>
  <c r="N393" i="1"/>
  <c r="P392" i="1"/>
  <c r="A395" i="10" s="1"/>
  <c r="Z395" i="10" s="1"/>
  <c r="O392" i="1"/>
  <c r="N392" i="1"/>
  <c r="P391" i="1"/>
  <c r="Q391" i="1" s="1"/>
  <c r="O391" i="1"/>
  <c r="N391" i="1"/>
  <c r="P390" i="1"/>
  <c r="Q390" i="1" s="1"/>
  <c r="O390" i="1"/>
  <c r="N390" i="1"/>
  <c r="A392" i="10"/>
  <c r="Z392" i="10" s="1"/>
  <c r="O389" i="1"/>
  <c r="N389" i="1"/>
  <c r="P388" i="1"/>
  <c r="Q388" i="1" s="1"/>
  <c r="O388" i="1"/>
  <c r="N388" i="1"/>
  <c r="P387" i="1"/>
  <c r="Q387" i="1" s="1"/>
  <c r="O387" i="1"/>
  <c r="N387" i="1"/>
  <c r="P386" i="1"/>
  <c r="A389" i="10" s="1"/>
  <c r="Z389" i="10" s="1"/>
  <c r="O386" i="1"/>
  <c r="N386" i="1"/>
  <c r="P385" i="1"/>
  <c r="O385" i="1"/>
  <c r="N385" i="1"/>
  <c r="P384" i="1"/>
  <c r="A387" i="10" s="1"/>
  <c r="Z387" i="10" s="1"/>
  <c r="O384" i="1"/>
  <c r="N384" i="1"/>
  <c r="P383" i="1"/>
  <c r="A386" i="10" s="1"/>
  <c r="Z386" i="10" s="1"/>
  <c r="O383" i="1"/>
  <c r="N383" i="1"/>
  <c r="P382" i="1"/>
  <c r="Q382" i="1" s="1"/>
  <c r="O382" i="1"/>
  <c r="N382" i="1"/>
  <c r="P381" i="1"/>
  <c r="A384" i="10" s="1"/>
  <c r="Z384" i="10" s="1"/>
  <c r="O381" i="1"/>
  <c r="N381" i="1"/>
  <c r="P380" i="1"/>
  <c r="Q380" i="1" s="1"/>
  <c r="O380" i="1"/>
  <c r="N380" i="1"/>
  <c r="P379" i="1"/>
  <c r="Q379" i="1" s="1"/>
  <c r="O379" i="1"/>
  <c r="N379" i="1"/>
  <c r="P378" i="1"/>
  <c r="A381" i="10" s="1"/>
  <c r="Z381" i="10" s="1"/>
  <c r="O378" i="1"/>
  <c r="N378" i="1"/>
  <c r="P377" i="1"/>
  <c r="O377" i="1"/>
  <c r="N377" i="1"/>
  <c r="P376" i="1"/>
  <c r="A379" i="10" s="1"/>
  <c r="Z379" i="10" s="1"/>
  <c r="O376" i="1"/>
  <c r="N376" i="1"/>
  <c r="P375" i="1"/>
  <c r="A378" i="10" s="1"/>
  <c r="Z378" i="10" s="1"/>
  <c r="O375" i="1"/>
  <c r="N375" i="1"/>
  <c r="P374" i="1"/>
  <c r="A377" i="10" s="1"/>
  <c r="Z377" i="10" s="1"/>
  <c r="O374" i="1"/>
  <c r="N374" i="1"/>
  <c r="P373" i="1"/>
  <c r="A376" i="10" s="1"/>
  <c r="Z376" i="10" s="1"/>
  <c r="O373" i="1"/>
  <c r="N373" i="1"/>
  <c r="P372" i="1"/>
  <c r="A375" i="10" s="1"/>
  <c r="Z375" i="10" s="1"/>
  <c r="O372" i="1"/>
  <c r="N372" i="1"/>
  <c r="A374" i="10"/>
  <c r="Z374" i="10" s="1"/>
  <c r="O371" i="1"/>
  <c r="N371" i="1"/>
  <c r="P370" i="1"/>
  <c r="A373" i="10" s="1"/>
  <c r="Z373" i="10" s="1"/>
  <c r="O370" i="1"/>
  <c r="N370" i="1"/>
  <c r="P369" i="1"/>
  <c r="O369" i="1"/>
  <c r="N369" i="1"/>
  <c r="P368" i="1"/>
  <c r="A371" i="10" s="1"/>
  <c r="Z371" i="10" s="1"/>
  <c r="O368" i="1"/>
  <c r="N368" i="1"/>
  <c r="P367" i="1"/>
  <c r="Q367" i="1" s="1"/>
  <c r="O367" i="1"/>
  <c r="N367" i="1"/>
  <c r="P366" i="1"/>
  <c r="Q366" i="1" s="1"/>
  <c r="O366" i="1"/>
  <c r="N366" i="1"/>
  <c r="P365" i="1"/>
  <c r="A368" i="10" s="1"/>
  <c r="Z368" i="10" s="1"/>
  <c r="O365" i="1"/>
  <c r="N365" i="1"/>
  <c r="P364" i="1"/>
  <c r="Q364" i="1" s="1"/>
  <c r="O364" i="1"/>
  <c r="N364" i="1"/>
  <c r="A366" i="10"/>
  <c r="Z366" i="10" s="1"/>
  <c r="O363" i="1"/>
  <c r="N363" i="1"/>
  <c r="P362" i="1"/>
  <c r="A365" i="10" s="1"/>
  <c r="Z365" i="10" s="1"/>
  <c r="O362" i="1"/>
  <c r="N362" i="1"/>
  <c r="P361" i="1"/>
  <c r="O361" i="1"/>
  <c r="N361" i="1"/>
  <c r="P360" i="1"/>
  <c r="A363" i="10" s="1"/>
  <c r="Z363" i="10" s="1"/>
  <c r="O360" i="1"/>
  <c r="N360" i="1"/>
  <c r="P359" i="1"/>
  <c r="A362" i="10" s="1"/>
  <c r="Z362" i="10" s="1"/>
  <c r="O359" i="1"/>
  <c r="N359" i="1"/>
  <c r="P358" i="1"/>
  <c r="A361" i="10" s="1"/>
  <c r="Z361" i="10" s="1"/>
  <c r="O358" i="1"/>
  <c r="N358" i="1"/>
  <c r="P357" i="1"/>
  <c r="A360" i="10" s="1"/>
  <c r="Z360" i="10" s="1"/>
  <c r="O357" i="1"/>
  <c r="N357" i="1"/>
  <c r="P356" i="1"/>
  <c r="A359" i="10" s="1"/>
  <c r="Z359" i="10" s="1"/>
  <c r="O356" i="1"/>
  <c r="N356" i="1"/>
  <c r="P355" i="1"/>
  <c r="Q355" i="1" s="1"/>
  <c r="O355" i="1"/>
  <c r="N355" i="1"/>
  <c r="P354" i="1"/>
  <c r="A357" i="10" s="1"/>
  <c r="Z357" i="10" s="1"/>
  <c r="O354" i="1"/>
  <c r="N354" i="1"/>
  <c r="P353" i="1"/>
  <c r="O353" i="1"/>
  <c r="N353" i="1"/>
  <c r="P352" i="1"/>
  <c r="A355" i="10" s="1"/>
  <c r="Z355" i="10" s="1"/>
  <c r="O352" i="1"/>
  <c r="N352" i="1"/>
  <c r="O351" i="1"/>
  <c r="N351" i="1"/>
  <c r="O350" i="1"/>
  <c r="N350" i="1"/>
  <c r="P349" i="1"/>
  <c r="A352" i="10" s="1"/>
  <c r="Z352" i="10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347" i="10" s="1"/>
  <c r="Z347" i="10" s="1"/>
  <c r="O344" i="1"/>
  <c r="N344" i="1"/>
  <c r="P343" i="1"/>
  <c r="O343" i="1"/>
  <c r="N343" i="1"/>
  <c r="P342" i="1"/>
  <c r="A345" i="10" s="1"/>
  <c r="Z345" i="10" s="1"/>
  <c r="O342" i="1"/>
  <c r="N342" i="1"/>
  <c r="P341" i="1"/>
  <c r="A344" i="10" s="1"/>
  <c r="Z344" i="10" s="1"/>
  <c r="O341" i="1"/>
  <c r="N341" i="1"/>
  <c r="P340" i="1"/>
  <c r="A343" i="10" s="1"/>
  <c r="Z343" i="10" s="1"/>
  <c r="O340" i="1"/>
  <c r="N340" i="1"/>
  <c r="P339" i="1"/>
  <c r="A342" i="10" s="1"/>
  <c r="Z342" i="10" s="1"/>
  <c r="O339" i="1"/>
  <c r="N339" i="1"/>
  <c r="P338" i="1"/>
  <c r="A341" i="10" s="1"/>
  <c r="Z341" i="10" s="1"/>
  <c r="O338" i="1"/>
  <c r="N338" i="1"/>
  <c r="P337" i="1"/>
  <c r="A340" i="10" s="1"/>
  <c r="Z340" i="10" s="1"/>
  <c r="O337" i="1"/>
  <c r="N337" i="1"/>
  <c r="P336" i="1"/>
  <c r="A339" i="10" s="1"/>
  <c r="Z339" i="10" s="1"/>
  <c r="O336" i="1"/>
  <c r="N336" i="1"/>
  <c r="P335" i="1"/>
  <c r="O335" i="1"/>
  <c r="N335" i="1"/>
  <c r="P334" i="1"/>
  <c r="O334" i="1"/>
  <c r="N334" i="1"/>
  <c r="P333" i="1"/>
  <c r="A336" i="10" s="1"/>
  <c r="Z336" i="10" s="1"/>
  <c r="O333" i="1"/>
  <c r="N333" i="1"/>
  <c r="P332" i="1"/>
  <c r="O332" i="1"/>
  <c r="N332" i="1"/>
  <c r="P331" i="1"/>
  <c r="A334" i="10" s="1"/>
  <c r="Z334" i="10" s="1"/>
  <c r="O331" i="1"/>
  <c r="N331" i="1"/>
  <c r="P330" i="1"/>
  <c r="A333" i="10" s="1"/>
  <c r="Z333" i="10" s="1"/>
  <c r="O330" i="1"/>
  <c r="N330" i="1"/>
  <c r="P329" i="1"/>
  <c r="A332" i="10" s="1"/>
  <c r="Z332" i="10" s="1"/>
  <c r="O329" i="1"/>
  <c r="N329" i="1"/>
  <c r="P328" i="1"/>
  <c r="A331" i="10" s="1"/>
  <c r="Z331" i="10" s="1"/>
  <c r="O328" i="1"/>
  <c r="N328" i="1"/>
  <c r="P327" i="1"/>
  <c r="Q327" i="1" s="1"/>
  <c r="O327" i="1"/>
  <c r="N327" i="1"/>
  <c r="P326" i="1"/>
  <c r="A329" i="10" s="1"/>
  <c r="Z329" i="10" s="1"/>
  <c r="O326" i="1"/>
  <c r="N326" i="1"/>
  <c r="P325" i="1"/>
  <c r="Q325" i="1" s="1"/>
  <c r="O325" i="1"/>
  <c r="N325" i="1"/>
  <c r="P324" i="1"/>
  <c r="O324" i="1"/>
  <c r="N324" i="1"/>
  <c r="P323" i="1"/>
  <c r="A326" i="10" s="1"/>
  <c r="Z326" i="10" s="1"/>
  <c r="O323" i="1"/>
  <c r="N323" i="1"/>
  <c r="P322" i="1"/>
  <c r="Q322" i="1" s="1"/>
  <c r="O322" i="1"/>
  <c r="N322" i="1"/>
  <c r="P321" i="1"/>
  <c r="A324" i="10" s="1"/>
  <c r="Z324" i="10" s="1"/>
  <c r="O321" i="1"/>
  <c r="N321" i="1"/>
  <c r="P320" i="1"/>
  <c r="A323" i="10" s="1"/>
  <c r="Z323" i="10" s="1"/>
  <c r="O320" i="1"/>
  <c r="N320" i="1"/>
  <c r="P319" i="1"/>
  <c r="A322" i="10" s="1"/>
  <c r="Z322" i="10" s="1"/>
  <c r="O319" i="1"/>
  <c r="N319" i="1"/>
  <c r="P318" i="1"/>
  <c r="A321" i="10" s="1"/>
  <c r="Z321" i="10" s="1"/>
  <c r="O318" i="1"/>
  <c r="N318" i="1"/>
  <c r="P317" i="1"/>
  <c r="A320" i="10" s="1"/>
  <c r="Z320" i="10" s="1"/>
  <c r="O317" i="1"/>
  <c r="N317" i="1"/>
  <c r="P316" i="1"/>
  <c r="O316" i="1"/>
  <c r="N316" i="1"/>
  <c r="P315" i="1"/>
  <c r="A318" i="10" s="1"/>
  <c r="Z318" i="10" s="1"/>
  <c r="O315" i="1"/>
  <c r="N315" i="1"/>
  <c r="P314" i="1"/>
  <c r="A317" i="10" s="1"/>
  <c r="Z317" i="10" s="1"/>
  <c r="O314" i="1"/>
  <c r="N314" i="1"/>
  <c r="O313" i="1"/>
  <c r="N313" i="1"/>
  <c r="P312" i="1"/>
  <c r="A315" i="10" s="1"/>
  <c r="Z315" i="10" s="1"/>
  <c r="O312" i="1"/>
  <c r="N312" i="1"/>
  <c r="P311" i="1"/>
  <c r="Q311" i="1" s="1"/>
  <c r="O311" i="1"/>
  <c r="N311" i="1"/>
  <c r="P310" i="1"/>
  <c r="A313" i="10" s="1"/>
  <c r="Z313" i="10" s="1"/>
  <c r="O310" i="1"/>
  <c r="N310" i="1"/>
  <c r="A312" i="10"/>
  <c r="O309" i="1"/>
  <c r="N309" i="1"/>
  <c r="P308" i="1"/>
  <c r="O308" i="1"/>
  <c r="N308" i="1"/>
  <c r="P307" i="1"/>
  <c r="Q307" i="1" s="1"/>
  <c r="O307" i="1"/>
  <c r="N307" i="1"/>
  <c r="P306" i="1"/>
  <c r="A309" i="10" s="1"/>
  <c r="Z309" i="10" s="1"/>
  <c r="O306" i="1"/>
  <c r="N306" i="1"/>
  <c r="P305" i="1"/>
  <c r="O305" i="1"/>
  <c r="N305" i="1"/>
  <c r="P304" i="1"/>
  <c r="A307" i="10" s="1"/>
  <c r="Z307" i="10" s="1"/>
  <c r="O304" i="1"/>
  <c r="N304" i="1"/>
  <c r="P303" i="1"/>
  <c r="A306" i="10" s="1"/>
  <c r="Z306" i="10" s="1"/>
  <c r="O303" i="1"/>
  <c r="N303" i="1"/>
  <c r="P302" i="1"/>
  <c r="Q302" i="1" s="1"/>
  <c r="O302" i="1"/>
  <c r="N302" i="1"/>
  <c r="P301" i="1"/>
  <c r="A304" i="10" s="1"/>
  <c r="Z304" i="10" s="1"/>
  <c r="O301" i="1"/>
  <c r="N301" i="1"/>
  <c r="P300" i="1"/>
  <c r="A303" i="10" s="1"/>
  <c r="Z303" i="10" s="1"/>
  <c r="O300" i="1"/>
  <c r="N300" i="1"/>
  <c r="P299" i="1"/>
  <c r="A302" i="10" s="1"/>
  <c r="Z302" i="10" s="1"/>
  <c r="O299" i="1"/>
  <c r="N299" i="1"/>
  <c r="P298" i="1"/>
  <c r="Q298" i="1" s="1"/>
  <c r="O298" i="1"/>
  <c r="N298" i="1"/>
  <c r="P297" i="1"/>
  <c r="O297" i="1"/>
  <c r="N297" i="1"/>
  <c r="P296" i="1"/>
  <c r="A299" i="10" s="1"/>
  <c r="Z299" i="10" s="1"/>
  <c r="O296" i="1"/>
  <c r="N296" i="1"/>
  <c r="P295" i="1"/>
  <c r="A298" i="10" s="1"/>
  <c r="Z298" i="10" s="1"/>
  <c r="O295" i="1"/>
  <c r="N295" i="1"/>
  <c r="P294" i="1"/>
  <c r="A297" i="10" s="1"/>
  <c r="Z297" i="10" s="1"/>
  <c r="O294" i="1"/>
  <c r="N294" i="1"/>
  <c r="P293" i="1"/>
  <c r="A296" i="10" s="1"/>
  <c r="Z296" i="10" s="1"/>
  <c r="O293" i="1"/>
  <c r="N293" i="1"/>
  <c r="P292" i="1"/>
  <c r="Q292" i="1" s="1"/>
  <c r="O292" i="1"/>
  <c r="N292" i="1"/>
  <c r="P291" i="1"/>
  <c r="A294" i="10" s="1"/>
  <c r="Z294" i="10" s="1"/>
  <c r="O291" i="1"/>
  <c r="N291" i="1"/>
  <c r="P290" i="1"/>
  <c r="A293" i="10" s="1"/>
  <c r="Z293" i="10" s="1"/>
  <c r="O290" i="1"/>
  <c r="N290" i="1"/>
  <c r="P289" i="1"/>
  <c r="O289" i="1"/>
  <c r="N289" i="1"/>
  <c r="P288" i="1"/>
  <c r="A291" i="10" s="1"/>
  <c r="Z291" i="10" s="1"/>
  <c r="O288" i="1"/>
  <c r="N288" i="1"/>
  <c r="P287" i="1"/>
  <c r="Q287" i="1" s="1"/>
  <c r="O287" i="1"/>
  <c r="N287" i="1"/>
  <c r="P286" i="1"/>
  <c r="Q286" i="1" s="1"/>
  <c r="O286" i="1"/>
  <c r="N286" i="1"/>
  <c r="P285" i="1"/>
  <c r="A288" i="10" s="1"/>
  <c r="Z288" i="10" s="1"/>
  <c r="O285" i="1"/>
  <c r="N285" i="1"/>
  <c r="O284" i="1"/>
  <c r="N284" i="1"/>
  <c r="A286" i="10"/>
  <c r="Z286" i="10" s="1"/>
  <c r="O283" i="1"/>
  <c r="N283" i="1"/>
  <c r="P282" i="1"/>
  <c r="A285" i="10" s="1"/>
  <c r="Z285" i="10" s="1"/>
  <c r="O282" i="1"/>
  <c r="N282" i="1"/>
  <c r="P281" i="1"/>
  <c r="A284" i="10" s="1"/>
  <c r="Z284" i="10" s="1"/>
  <c r="O281" i="1"/>
  <c r="N281" i="1"/>
  <c r="P280" i="1"/>
  <c r="A283" i="10" s="1"/>
  <c r="Z283" i="10" s="1"/>
  <c r="O280" i="1"/>
  <c r="N280" i="1"/>
  <c r="P279" i="1"/>
  <c r="Q279" i="1" s="1"/>
  <c r="O279" i="1"/>
  <c r="N279" i="1"/>
  <c r="P278" i="1"/>
  <c r="A281" i="10" s="1"/>
  <c r="Z281" i="10" s="1"/>
  <c r="O278" i="1"/>
  <c r="N278" i="1"/>
  <c r="A280" i="10"/>
  <c r="Z280" i="10" s="1"/>
  <c r="O277" i="1"/>
  <c r="N277" i="1"/>
  <c r="P276" i="1"/>
  <c r="A279" i="10" s="1"/>
  <c r="Z279" i="10" s="1"/>
  <c r="O276" i="1"/>
  <c r="N276" i="1"/>
  <c r="A278" i="10"/>
  <c r="Z278" i="10" s="1"/>
  <c r="O275" i="1"/>
  <c r="N275" i="1"/>
  <c r="P274" i="1"/>
  <c r="A277" i="10" s="1"/>
  <c r="Z277" i="10" s="1"/>
  <c r="O274" i="1"/>
  <c r="N274" i="1"/>
  <c r="P273" i="1"/>
  <c r="O273" i="1"/>
  <c r="N273" i="1"/>
  <c r="P272" i="1"/>
  <c r="A275" i="10" s="1"/>
  <c r="Z275" i="10" s="1"/>
  <c r="O272" i="1"/>
  <c r="N272" i="1"/>
  <c r="P271" i="1"/>
  <c r="Q271" i="1" s="1"/>
  <c r="O271" i="1"/>
  <c r="N271" i="1"/>
  <c r="P270" i="1"/>
  <c r="Q270" i="1" s="1"/>
  <c r="O270" i="1"/>
  <c r="N270" i="1"/>
  <c r="P269" i="1"/>
  <c r="O269" i="1"/>
  <c r="N269" i="1"/>
  <c r="P268" i="1"/>
  <c r="O268" i="1"/>
  <c r="N268" i="1"/>
  <c r="P267" i="1"/>
  <c r="Q267" i="1" s="1"/>
  <c r="O267" i="1"/>
  <c r="N267" i="1"/>
  <c r="P266" i="1"/>
  <c r="A269" i="10" s="1"/>
  <c r="Z269" i="10" s="1"/>
  <c r="O266" i="1"/>
  <c r="N266" i="1"/>
  <c r="P265" i="1"/>
  <c r="A268" i="10" s="1"/>
  <c r="Z268" i="10" s="1"/>
  <c r="O265" i="1"/>
  <c r="N265" i="1"/>
  <c r="P264" i="1"/>
  <c r="A267" i="10" s="1"/>
  <c r="Z267" i="10" s="1"/>
  <c r="O264" i="1"/>
  <c r="N264" i="1"/>
  <c r="P263" i="1"/>
  <c r="A266" i="10" s="1"/>
  <c r="Z266" i="10" s="1"/>
  <c r="O263" i="1"/>
  <c r="N263" i="1"/>
  <c r="P262" i="1"/>
  <c r="A265" i="10" s="1"/>
  <c r="Z265" i="10" s="1"/>
  <c r="O262" i="1"/>
  <c r="N262" i="1"/>
  <c r="P261" i="1"/>
  <c r="Q261" i="1" s="1"/>
  <c r="O261" i="1"/>
  <c r="N261" i="1"/>
  <c r="P260" i="1"/>
  <c r="A263" i="10" s="1"/>
  <c r="Z263" i="10" s="1"/>
  <c r="O260" i="1"/>
  <c r="N260" i="1"/>
  <c r="A262" i="10"/>
  <c r="Z262" i="10" s="1"/>
  <c r="O259" i="1"/>
  <c r="N259" i="1"/>
  <c r="P258" i="1"/>
  <c r="Q258" i="1" s="1"/>
  <c r="O258" i="1"/>
  <c r="N258" i="1"/>
  <c r="P257" i="1"/>
  <c r="A260" i="10" s="1"/>
  <c r="Z260" i="10" s="1"/>
  <c r="O257" i="1"/>
  <c r="N257" i="1"/>
  <c r="P256" i="1"/>
  <c r="A259" i="10" s="1"/>
  <c r="Z259" i="10" s="1"/>
  <c r="O256" i="1"/>
  <c r="N256" i="1"/>
  <c r="P255" i="1"/>
  <c r="A258" i="10" s="1"/>
  <c r="Z258" i="10" s="1"/>
  <c r="O255" i="1"/>
  <c r="N255" i="1"/>
  <c r="P254" i="1"/>
  <c r="Q254" i="1" s="1"/>
  <c r="O254" i="1"/>
  <c r="N254" i="1"/>
  <c r="A256" i="10"/>
  <c r="Z256" i="10" s="1"/>
  <c r="O253" i="1"/>
  <c r="N253" i="1"/>
  <c r="P252" i="1"/>
  <c r="Q252" i="1" s="1"/>
  <c r="O252" i="1"/>
  <c r="N252" i="1"/>
  <c r="P251" i="1"/>
  <c r="A254" i="10" s="1"/>
  <c r="Z254" i="10" s="1"/>
  <c r="O251" i="1"/>
  <c r="N251" i="1"/>
  <c r="P250" i="1"/>
  <c r="A253" i="10" s="1"/>
  <c r="Z253" i="10" s="1"/>
  <c r="O250" i="1"/>
  <c r="N250" i="1"/>
  <c r="P249" i="1"/>
  <c r="A252" i="10" s="1"/>
  <c r="Z252" i="10" s="1"/>
  <c r="O249" i="1"/>
  <c r="N249" i="1"/>
  <c r="P248" i="1"/>
  <c r="A251" i="10" s="1"/>
  <c r="Z251" i="10" s="1"/>
  <c r="O248" i="1"/>
  <c r="N248" i="1"/>
  <c r="P247" i="1"/>
  <c r="Q247" i="1" s="1"/>
  <c r="O247" i="1"/>
  <c r="N247" i="1"/>
  <c r="P246" i="1"/>
  <c r="Q246" i="1" s="1"/>
  <c r="O246" i="1"/>
  <c r="N246" i="1"/>
  <c r="P245" i="1"/>
  <c r="A248" i="10" s="1"/>
  <c r="Z248" i="10" s="1"/>
  <c r="O245" i="1"/>
  <c r="N245" i="1"/>
  <c r="P244" i="1"/>
  <c r="Q244" i="1" s="1"/>
  <c r="O244" i="1"/>
  <c r="N244" i="1"/>
  <c r="P243" i="1"/>
  <c r="A246" i="10" s="1"/>
  <c r="Z246" i="10" s="1"/>
  <c r="O243" i="1"/>
  <c r="N243" i="1"/>
  <c r="A245" i="10"/>
  <c r="Z245" i="10" s="1"/>
  <c r="O242" i="1"/>
  <c r="N242" i="1"/>
  <c r="P241" i="1"/>
  <c r="A244" i="10" s="1"/>
  <c r="Z244" i="10" s="1"/>
  <c r="O241" i="1"/>
  <c r="N241" i="1"/>
  <c r="P240" i="1"/>
  <c r="A243" i="10" s="1"/>
  <c r="Z243" i="10" s="1"/>
  <c r="O240" i="1"/>
  <c r="N240" i="1"/>
  <c r="P239" i="1"/>
  <c r="A242" i="10" s="1"/>
  <c r="Z242" i="10" s="1"/>
  <c r="O239" i="1"/>
  <c r="N239" i="1"/>
  <c r="P238" i="1"/>
  <c r="Q238" i="1" s="1"/>
  <c r="O238" i="1"/>
  <c r="N238" i="1"/>
  <c r="P237" i="1"/>
  <c r="Q237" i="1" s="1"/>
  <c r="O237" i="1"/>
  <c r="N237" i="1"/>
  <c r="P236" i="1"/>
  <c r="A239" i="10" s="1"/>
  <c r="Z239" i="10" s="1"/>
  <c r="O236" i="1"/>
  <c r="N236" i="1"/>
  <c r="P235" i="1"/>
  <c r="Q235" i="1" s="1"/>
  <c r="O235" i="1"/>
  <c r="N235" i="1"/>
  <c r="A237" i="10"/>
  <c r="Z237" i="10" s="1"/>
  <c r="O234" i="1"/>
  <c r="N234" i="1"/>
  <c r="O233" i="1"/>
  <c r="N233" i="1"/>
  <c r="P232" i="1"/>
  <c r="A235" i="10" s="1"/>
  <c r="Z235" i="10" s="1"/>
  <c r="O232" i="1"/>
  <c r="N232" i="1"/>
  <c r="P231" i="1"/>
  <c r="Q231" i="1" s="1"/>
  <c r="O231" i="1"/>
  <c r="N231" i="1"/>
  <c r="O230" i="1"/>
  <c r="N230" i="1"/>
  <c r="P229" i="1"/>
  <c r="A232" i="10" s="1"/>
  <c r="Z232" i="10" s="1"/>
  <c r="O229" i="1"/>
  <c r="N229" i="1"/>
  <c r="P228" i="1"/>
  <c r="A231" i="10" s="1"/>
  <c r="Z231" i="10" s="1"/>
  <c r="O228" i="1"/>
  <c r="N228" i="1"/>
  <c r="A230" i="10"/>
  <c r="Z230" i="10" s="1"/>
  <c r="O227" i="1"/>
  <c r="N227" i="1"/>
  <c r="P226" i="1"/>
  <c r="A229" i="10" s="1"/>
  <c r="Z229" i="10" s="1"/>
  <c r="O226" i="1"/>
  <c r="N226" i="1"/>
  <c r="P225" i="1"/>
  <c r="O225" i="1"/>
  <c r="N225" i="1"/>
  <c r="P224" i="1"/>
  <c r="A227" i="10" s="1"/>
  <c r="Z227" i="10" s="1"/>
  <c r="O224" i="1"/>
  <c r="N224" i="1"/>
  <c r="P223" i="1"/>
  <c r="O223" i="1"/>
  <c r="N223" i="1"/>
  <c r="P222" i="1"/>
  <c r="A225" i="10" s="1"/>
  <c r="Z225" i="10" s="1"/>
  <c r="O222" i="1"/>
  <c r="N222" i="1"/>
  <c r="P221" i="1"/>
  <c r="A224" i="10" s="1"/>
  <c r="Z224" i="10" s="1"/>
  <c r="O221" i="1"/>
  <c r="N221" i="1"/>
  <c r="P220" i="1"/>
  <c r="A223" i="10" s="1"/>
  <c r="Z223" i="10" s="1"/>
  <c r="O220" i="1"/>
  <c r="N220" i="1"/>
  <c r="P219" i="1"/>
  <c r="A222" i="10" s="1"/>
  <c r="Z222" i="10" s="1"/>
  <c r="O219" i="1"/>
  <c r="N219" i="1"/>
  <c r="P218" i="1"/>
  <c r="Q218" i="1" s="1"/>
  <c r="O218" i="1"/>
  <c r="N218" i="1"/>
  <c r="P217" i="1"/>
  <c r="O217" i="1"/>
  <c r="N217" i="1"/>
  <c r="P216" i="1"/>
  <c r="A219" i="10" s="1"/>
  <c r="Z219" i="10" s="1"/>
  <c r="O216" i="1"/>
  <c r="N216" i="1"/>
  <c r="P215" i="1"/>
  <c r="Q215" i="1" s="1"/>
  <c r="O215" i="1"/>
  <c r="N215" i="1"/>
  <c r="P214" i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213" i="10" s="1"/>
  <c r="Z213" i="10" s="1"/>
  <c r="O210" i="1"/>
  <c r="N210" i="1"/>
  <c r="P209" i="1"/>
  <c r="O209" i="1"/>
  <c r="N209" i="1"/>
  <c r="P208" i="1"/>
  <c r="A211" i="10" s="1"/>
  <c r="Z211" i="10" s="1"/>
  <c r="O208" i="1"/>
  <c r="N208" i="1"/>
  <c r="P207" i="1"/>
  <c r="A210" i="10" s="1"/>
  <c r="Z210" i="10" s="1"/>
  <c r="O207" i="1"/>
  <c r="N207" i="1"/>
  <c r="P206" i="1"/>
  <c r="O206" i="1"/>
  <c r="N206" i="1"/>
  <c r="P205" i="1"/>
  <c r="Q205" i="1" s="1"/>
  <c r="O205" i="1"/>
  <c r="N205" i="1"/>
  <c r="P204" i="1"/>
  <c r="Q204" i="1" s="1"/>
  <c r="O204" i="1"/>
  <c r="N204" i="1"/>
  <c r="P203" i="1"/>
  <c r="A206" i="10" s="1"/>
  <c r="Z206" i="10" s="1"/>
  <c r="O203" i="1"/>
  <c r="N203" i="1"/>
  <c r="P202" i="1"/>
  <c r="A205" i="10" s="1"/>
  <c r="Z205" i="10" s="1"/>
  <c r="O202" i="1"/>
  <c r="N202" i="1"/>
  <c r="A204" i="10"/>
  <c r="Z204" i="10" s="1"/>
  <c r="O201" i="1"/>
  <c r="N201" i="1"/>
  <c r="P200" i="1"/>
  <c r="A203" i="10" s="1"/>
  <c r="Z203" i="10" s="1"/>
  <c r="O200" i="1"/>
  <c r="N200" i="1"/>
  <c r="P199" i="1"/>
  <c r="O199" i="1"/>
  <c r="N199" i="1"/>
  <c r="P198" i="1"/>
  <c r="A201" i="10" s="1"/>
  <c r="Z201" i="10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197" i="10" s="1"/>
  <c r="Z197" i="10" s="1"/>
  <c r="O194" i="1"/>
  <c r="N194" i="1"/>
  <c r="P193" i="1"/>
  <c r="O193" i="1"/>
  <c r="N193" i="1"/>
  <c r="P192" i="1"/>
  <c r="A195" i="10" s="1"/>
  <c r="Z195" i="10" s="1"/>
  <c r="O192" i="1"/>
  <c r="N192" i="1"/>
  <c r="P191" i="1"/>
  <c r="A194" i="10" s="1"/>
  <c r="Z194" i="10" s="1"/>
  <c r="O191" i="1"/>
  <c r="N191" i="1"/>
  <c r="P190" i="1"/>
  <c r="O190" i="1"/>
  <c r="N190" i="1"/>
  <c r="P189" i="1"/>
  <c r="A192" i="10" s="1"/>
  <c r="Z192" i="10" s="1"/>
  <c r="O189" i="1"/>
  <c r="N189" i="1"/>
  <c r="A191" i="10"/>
  <c r="Z191" i="10" s="1"/>
  <c r="O188" i="1"/>
  <c r="N188" i="1"/>
  <c r="P187" i="1"/>
  <c r="A190" i="10" s="1"/>
  <c r="Z190" i="10" s="1"/>
  <c r="O187" i="1"/>
  <c r="N187" i="1"/>
  <c r="P186" i="1"/>
  <c r="Q186" i="1" s="1"/>
  <c r="O186" i="1"/>
  <c r="N186" i="1"/>
  <c r="P185" i="1"/>
  <c r="O185" i="1"/>
  <c r="N185" i="1"/>
  <c r="P184" i="1"/>
  <c r="A187" i="10" s="1"/>
  <c r="Z187" i="10" s="1"/>
  <c r="O184" i="1"/>
  <c r="N184" i="1"/>
  <c r="Q183" i="1"/>
  <c r="O183" i="1"/>
  <c r="N183" i="1"/>
  <c r="P182" i="1"/>
  <c r="A185" i="10" s="1"/>
  <c r="Z185" i="10" s="1"/>
  <c r="O182" i="1"/>
  <c r="N182" i="1"/>
  <c r="P181" i="1"/>
  <c r="Q181" i="1" s="1"/>
  <c r="O181" i="1"/>
  <c r="N181" i="1"/>
  <c r="P180" i="1"/>
  <c r="Q180" i="1" s="1"/>
  <c r="O180" i="1"/>
  <c r="N180" i="1"/>
  <c r="P179" i="1"/>
  <c r="A182" i="10" s="1"/>
  <c r="Z182" i="10" s="1"/>
  <c r="O179" i="1"/>
  <c r="N179" i="1"/>
  <c r="P178" i="1"/>
  <c r="Q178" i="1" s="1"/>
  <c r="O178" i="1"/>
  <c r="N178" i="1"/>
  <c r="P177" i="1"/>
  <c r="O177" i="1"/>
  <c r="N177" i="1"/>
  <c r="P176" i="1"/>
  <c r="A179" i="10" s="1"/>
  <c r="Z179" i="10" s="1"/>
  <c r="O176" i="1"/>
  <c r="N176" i="1"/>
  <c r="P175" i="1"/>
  <c r="O175" i="1"/>
  <c r="N175" i="1"/>
  <c r="P174" i="1"/>
  <c r="A177" i="10" s="1"/>
  <c r="Z177" i="10" s="1"/>
  <c r="O174" i="1"/>
  <c r="N174" i="1"/>
  <c r="P173" i="1"/>
  <c r="A176" i="10" s="1"/>
  <c r="Z176" i="10" s="1"/>
  <c r="O173" i="1"/>
  <c r="N173" i="1"/>
  <c r="P172" i="1"/>
  <c r="Q172" i="1" s="1"/>
  <c r="O172" i="1"/>
  <c r="N172" i="1"/>
  <c r="P171" i="1"/>
  <c r="A174" i="10" s="1"/>
  <c r="Z174" i="10" s="1"/>
  <c r="O171" i="1"/>
  <c r="N171" i="1"/>
  <c r="P170" i="1"/>
  <c r="A173" i="10" s="1"/>
  <c r="Z173" i="10" s="1"/>
  <c r="O170" i="1"/>
  <c r="N170" i="1"/>
  <c r="P169" i="1"/>
  <c r="A172" i="10" s="1"/>
  <c r="Z172" i="10" s="1"/>
  <c r="O169" i="1"/>
  <c r="N169" i="1"/>
  <c r="P168" i="1"/>
  <c r="A171" i="10" s="1"/>
  <c r="Z171" i="10" s="1"/>
  <c r="O168" i="1"/>
  <c r="N168" i="1"/>
  <c r="P167" i="1"/>
  <c r="A170" i="10" s="1"/>
  <c r="Z170" i="10" s="1"/>
  <c r="O167" i="1"/>
  <c r="N167" i="1"/>
  <c r="P166" i="1"/>
  <c r="O166" i="1"/>
  <c r="N166" i="1"/>
  <c r="P165" i="1"/>
  <c r="A168" i="10" s="1"/>
  <c r="Z168" i="10" s="1"/>
  <c r="O165" i="1"/>
  <c r="N165" i="1"/>
  <c r="P164" i="1"/>
  <c r="Q164" i="1" s="1"/>
  <c r="O164" i="1"/>
  <c r="N164" i="1"/>
  <c r="P163" i="1"/>
  <c r="Q163" i="1" s="1"/>
  <c r="O163" i="1"/>
  <c r="N163" i="1"/>
  <c r="P162" i="1"/>
  <c r="A165" i="10" s="1"/>
  <c r="Z165" i="10" s="1"/>
  <c r="O162" i="1"/>
  <c r="N162" i="1"/>
  <c r="P161" i="1"/>
  <c r="O161" i="1"/>
  <c r="N161" i="1"/>
  <c r="P160" i="1"/>
  <c r="A163" i="10" s="1"/>
  <c r="Z163" i="10" s="1"/>
  <c r="O160" i="1"/>
  <c r="N160" i="1"/>
  <c r="P159" i="1"/>
  <c r="Q159" i="1" s="1"/>
  <c r="O159" i="1"/>
  <c r="N159" i="1"/>
  <c r="P158" i="1"/>
  <c r="A161" i="10" s="1"/>
  <c r="Z161" i="10" s="1"/>
  <c r="O158" i="1"/>
  <c r="N158" i="1"/>
  <c r="P157" i="1"/>
  <c r="A160" i="10" s="1"/>
  <c r="Z160" i="10" s="1"/>
  <c r="O157" i="1"/>
  <c r="N157" i="1"/>
  <c r="P156" i="1"/>
  <c r="O156" i="1"/>
  <c r="N156" i="1"/>
  <c r="P155" i="1"/>
  <c r="A158" i="10" s="1"/>
  <c r="Z158" i="10" s="1"/>
  <c r="O155" i="1"/>
  <c r="N155" i="1"/>
  <c r="P154" i="1"/>
  <c r="Q154" i="1" s="1"/>
  <c r="O154" i="1"/>
  <c r="N154" i="1"/>
  <c r="O153" i="1"/>
  <c r="N153" i="1"/>
  <c r="P152" i="1"/>
  <c r="A155" i="10" s="1"/>
  <c r="Z155" i="10" s="1"/>
  <c r="O152" i="1"/>
  <c r="N152" i="1"/>
  <c r="Q151" i="1"/>
  <c r="O151" i="1"/>
  <c r="N151" i="1"/>
  <c r="P150" i="1"/>
  <c r="A153" i="10" s="1"/>
  <c r="Z153" i="10" s="1"/>
  <c r="O150" i="1"/>
  <c r="N150" i="1"/>
  <c r="P149" i="1"/>
  <c r="Q149" i="1" s="1"/>
  <c r="O149" i="1"/>
  <c r="N149" i="1"/>
  <c r="P148" i="1"/>
  <c r="A151" i="10" s="1"/>
  <c r="Z151" i="10" s="1"/>
  <c r="O148" i="1"/>
  <c r="N148" i="1"/>
  <c r="P147" i="1"/>
  <c r="A150" i="10" s="1"/>
  <c r="Z150" i="10" s="1"/>
  <c r="O147" i="1"/>
  <c r="N147" i="1"/>
  <c r="P146" i="1"/>
  <c r="A149" i="10" s="1"/>
  <c r="Z149" i="10" s="1"/>
  <c r="O146" i="1"/>
  <c r="N146" i="1"/>
  <c r="P145" i="1"/>
  <c r="O145" i="1"/>
  <c r="N145" i="1"/>
  <c r="P144" i="1"/>
  <c r="A147" i="10" s="1"/>
  <c r="Z147" i="10" s="1"/>
  <c r="O144" i="1"/>
  <c r="N144" i="1"/>
  <c r="P143" i="1"/>
  <c r="O143" i="1"/>
  <c r="N143" i="1"/>
  <c r="P142" i="1"/>
  <c r="A145" i="10" s="1"/>
  <c r="Z145" i="10" s="1"/>
  <c r="O142" i="1"/>
  <c r="N142" i="1"/>
  <c r="P141" i="1"/>
  <c r="Q141" i="1" s="1"/>
  <c r="O141" i="1"/>
  <c r="N141" i="1"/>
  <c r="P140" i="1"/>
  <c r="A143" i="10" s="1"/>
  <c r="Z143" i="10" s="1"/>
  <c r="O140" i="1"/>
  <c r="N140" i="1"/>
  <c r="P139" i="1"/>
  <c r="A142" i="10" s="1"/>
  <c r="Z142" i="10" s="1"/>
  <c r="O139" i="1"/>
  <c r="N139" i="1"/>
  <c r="P138" i="1"/>
  <c r="A141" i="10" s="1"/>
  <c r="Z141" i="10" s="1"/>
  <c r="O138" i="1"/>
  <c r="N138" i="1"/>
  <c r="P137" i="1"/>
  <c r="O137" i="1"/>
  <c r="N137" i="1"/>
  <c r="P136" i="1"/>
  <c r="A139" i="10" s="1"/>
  <c r="Z139" i="10" s="1"/>
  <c r="O136" i="1"/>
  <c r="N136" i="1"/>
  <c r="O135" i="1"/>
  <c r="N135" i="1"/>
  <c r="P134" i="1"/>
  <c r="O134" i="1"/>
  <c r="N134" i="1"/>
  <c r="P133" i="1"/>
  <c r="Q133" i="1" s="1"/>
  <c r="O133" i="1"/>
  <c r="N133" i="1"/>
  <c r="P132" i="1"/>
  <c r="Q132" i="1" s="1"/>
  <c r="O132" i="1"/>
  <c r="N132" i="1"/>
  <c r="P131" i="1"/>
  <c r="A134" i="10" s="1"/>
  <c r="Z134" i="10" s="1"/>
  <c r="O131" i="1"/>
  <c r="N131" i="1"/>
  <c r="P130" i="1"/>
  <c r="A133" i="10" s="1"/>
  <c r="Z133" i="10" s="1"/>
  <c r="O130" i="1"/>
  <c r="N130" i="1"/>
  <c r="P129" i="1"/>
  <c r="A132" i="10" s="1"/>
  <c r="Z132" i="10" s="1"/>
  <c r="O129" i="1"/>
  <c r="N129" i="1"/>
  <c r="P128" i="1"/>
  <c r="A131" i="10" s="1"/>
  <c r="Z131" i="10" s="1"/>
  <c r="O128" i="1"/>
  <c r="N128" i="1"/>
  <c r="P127" i="1"/>
  <c r="A130" i="10" s="1"/>
  <c r="Z130" i="10" s="1"/>
  <c r="O127" i="1"/>
  <c r="N127" i="1"/>
  <c r="P126" i="1"/>
  <c r="O126" i="1"/>
  <c r="N126" i="1"/>
  <c r="P125" i="1"/>
  <c r="A128" i="10" s="1"/>
  <c r="Z128" i="10" s="1"/>
  <c r="O125" i="1"/>
  <c r="N125" i="1"/>
  <c r="P124" i="1"/>
  <c r="A127" i="10" s="1"/>
  <c r="Z127" i="10" s="1"/>
  <c r="O124" i="1"/>
  <c r="N124" i="1"/>
  <c r="P123" i="1"/>
  <c r="Q123" i="1" s="1"/>
  <c r="O123" i="1"/>
  <c r="N123" i="1"/>
  <c r="P122" i="1"/>
  <c r="A125" i="10" s="1"/>
  <c r="Z125" i="10" s="1"/>
  <c r="O122" i="1"/>
  <c r="N122" i="1"/>
  <c r="Q121" i="1"/>
  <c r="O121" i="1"/>
  <c r="N121" i="1"/>
  <c r="P120" i="1"/>
  <c r="A123" i="10" s="1"/>
  <c r="Z123" i="10" s="1"/>
  <c r="O120" i="1"/>
  <c r="N120" i="1"/>
  <c r="P119" i="1"/>
  <c r="A122" i="10" s="1"/>
  <c r="Z122" i="10" s="1"/>
  <c r="O119" i="1"/>
  <c r="N119" i="1"/>
  <c r="O118" i="1"/>
  <c r="N118" i="1"/>
  <c r="A120" i="10"/>
  <c r="O117" i="1"/>
  <c r="N117" i="1"/>
  <c r="P116" i="1"/>
  <c r="A119" i="10" s="1"/>
  <c r="Z119" i="10" s="1"/>
  <c r="O116" i="1"/>
  <c r="N116" i="1"/>
  <c r="P115" i="1"/>
  <c r="A118" i="10" s="1"/>
  <c r="Z118" i="10" s="1"/>
  <c r="O115" i="1"/>
  <c r="N115" i="1"/>
  <c r="P114" i="1"/>
  <c r="Q114" i="1" s="1"/>
  <c r="O114" i="1"/>
  <c r="N114" i="1"/>
  <c r="P113" i="1"/>
  <c r="Q113" i="1" s="1"/>
  <c r="O113" i="1"/>
  <c r="N113" i="1"/>
  <c r="P112" i="1"/>
  <c r="A115" i="10" s="1"/>
  <c r="Z115" i="10" s="1"/>
  <c r="O112" i="1"/>
  <c r="N112" i="1"/>
  <c r="P111" i="1"/>
  <c r="A114" i="10" s="1"/>
  <c r="Z114" i="10" s="1"/>
  <c r="O111" i="1"/>
  <c r="N111" i="1"/>
  <c r="P110" i="1"/>
  <c r="A113" i="10" s="1"/>
  <c r="Z113" i="10" s="1"/>
  <c r="O110" i="1"/>
  <c r="N110" i="1"/>
  <c r="P109" i="1"/>
  <c r="A112" i="10" s="1"/>
  <c r="Z112" i="10" s="1"/>
  <c r="O109" i="1"/>
  <c r="N109" i="1"/>
  <c r="P108" i="1"/>
  <c r="Q108" i="1" s="1"/>
  <c r="O108" i="1"/>
  <c r="N108" i="1"/>
  <c r="P107" i="1"/>
  <c r="A110" i="10" s="1"/>
  <c r="Z110" i="10" s="1"/>
  <c r="O107" i="1"/>
  <c r="N107" i="1"/>
  <c r="P106" i="1"/>
  <c r="A109" i="10" s="1"/>
  <c r="Z109" i="10" s="1"/>
  <c r="O106" i="1"/>
  <c r="N106" i="1"/>
  <c r="A108" i="10"/>
  <c r="Z108" i="10" s="1"/>
  <c r="O105" i="1"/>
  <c r="N105" i="1"/>
  <c r="A107" i="10"/>
  <c r="Z107" i="10" s="1"/>
  <c r="O104" i="1"/>
  <c r="N104" i="1"/>
  <c r="O103" i="1"/>
  <c r="N103" i="1"/>
  <c r="P102" i="1"/>
  <c r="A105" i="10" s="1"/>
  <c r="Z105" i="10" s="1"/>
  <c r="O102" i="1"/>
  <c r="N102" i="1"/>
  <c r="A104" i="10"/>
  <c r="Z104" i="10" s="1"/>
  <c r="O101" i="1"/>
  <c r="N101" i="1"/>
  <c r="P100" i="1"/>
  <c r="A103" i="10" s="1"/>
  <c r="Z103" i="10" s="1"/>
  <c r="O100" i="1"/>
  <c r="N100" i="1"/>
  <c r="P99" i="1"/>
  <c r="A102" i="10" s="1"/>
  <c r="Z102" i="10" s="1"/>
  <c r="O99" i="1"/>
  <c r="N99" i="1"/>
  <c r="P98" i="1"/>
  <c r="A101" i="10" s="1"/>
  <c r="Z101" i="10" s="1"/>
  <c r="O98" i="1"/>
  <c r="N98" i="1"/>
  <c r="P97" i="1"/>
  <c r="A100" i="10" s="1"/>
  <c r="Z100" i="10" s="1"/>
  <c r="O97" i="1"/>
  <c r="N97" i="1"/>
  <c r="P96" i="1"/>
  <c r="A99" i="10" s="1"/>
  <c r="Z99" i="10" s="1"/>
  <c r="O96" i="1"/>
  <c r="N96" i="1"/>
  <c r="O95" i="1"/>
  <c r="N95" i="1"/>
  <c r="A97" i="10"/>
  <c r="Z97" i="10" s="1"/>
  <c r="O94" i="1"/>
  <c r="N94" i="1"/>
  <c r="P93" i="1"/>
  <c r="A96" i="10" s="1"/>
  <c r="Z96" i="10" s="1"/>
  <c r="O93" i="1"/>
  <c r="N93" i="1"/>
  <c r="P92" i="1"/>
  <c r="Q92" i="1" s="1"/>
  <c r="O92" i="1"/>
  <c r="N92" i="1"/>
  <c r="P91" i="1"/>
  <c r="O91" i="1"/>
  <c r="N91" i="1"/>
  <c r="P90" i="1"/>
  <c r="A93" i="10" s="1"/>
  <c r="Z93" i="10" s="1"/>
  <c r="O90" i="1"/>
  <c r="N90" i="1"/>
  <c r="P89" i="1"/>
  <c r="A92" i="10" s="1"/>
  <c r="Z92" i="10" s="1"/>
  <c r="O89" i="1"/>
  <c r="N89" i="1"/>
  <c r="P88" i="1"/>
  <c r="A91" i="10" s="1"/>
  <c r="Z91" i="10" s="1"/>
  <c r="O88" i="1"/>
  <c r="N88" i="1"/>
  <c r="P87" i="1"/>
  <c r="A90" i="10" s="1"/>
  <c r="Z90" i="10" s="1"/>
  <c r="O87" i="1"/>
  <c r="N87" i="1"/>
  <c r="P86" i="1"/>
  <c r="O86" i="1"/>
  <c r="N86" i="1"/>
  <c r="P85" i="1"/>
  <c r="Q85" i="1" s="1"/>
  <c r="O85" i="1"/>
  <c r="N85" i="1"/>
  <c r="P84" i="1"/>
  <c r="A87" i="10" s="1"/>
  <c r="Z87" i="10" s="1"/>
  <c r="O84" i="1"/>
  <c r="N84" i="1"/>
  <c r="P83" i="1"/>
  <c r="A86" i="10" s="1"/>
  <c r="Z86" i="10" s="1"/>
  <c r="O83" i="1"/>
  <c r="N83" i="1"/>
  <c r="P82" i="1"/>
  <c r="Q82" i="1" s="1"/>
  <c r="O82" i="1"/>
  <c r="N82" i="1"/>
  <c r="P81" i="1"/>
  <c r="A84" i="10" s="1"/>
  <c r="Z84" i="10" s="1"/>
  <c r="O81" i="1"/>
  <c r="N81" i="1"/>
  <c r="P80" i="1"/>
  <c r="A83" i="10" s="1"/>
  <c r="Z83" i="10" s="1"/>
  <c r="O80" i="1"/>
  <c r="N80" i="1"/>
  <c r="P79" i="1"/>
  <c r="A82" i="10" s="1"/>
  <c r="Z82" i="10" s="1"/>
  <c r="O79" i="1"/>
  <c r="N79" i="1"/>
  <c r="P78" i="1"/>
  <c r="A81" i="10" s="1"/>
  <c r="Z81" i="10" s="1"/>
  <c r="O78" i="1"/>
  <c r="N78" i="1"/>
  <c r="Q77" i="1"/>
  <c r="O77" i="1"/>
  <c r="N77" i="1"/>
  <c r="P76" i="1"/>
  <c r="A79" i="10" s="1"/>
  <c r="Z79" i="10" s="1"/>
  <c r="O76" i="1"/>
  <c r="N76" i="1"/>
  <c r="P75" i="1"/>
  <c r="A78" i="10" s="1"/>
  <c r="Z78" i="10" s="1"/>
  <c r="O75" i="1"/>
  <c r="N75" i="1"/>
  <c r="A77" i="10"/>
  <c r="Z77" i="10" s="1"/>
  <c r="O74" i="1"/>
  <c r="N74" i="1"/>
  <c r="A76" i="10"/>
  <c r="Z76" i="10" s="1"/>
  <c r="O73" i="1"/>
  <c r="N73" i="1"/>
  <c r="A75" i="10"/>
  <c r="Z75" i="10" s="1"/>
  <c r="O72" i="1"/>
  <c r="N72" i="1"/>
  <c r="P71" i="1"/>
  <c r="O71" i="1"/>
  <c r="N71" i="1"/>
  <c r="P70" i="1"/>
  <c r="A73" i="10" s="1"/>
  <c r="Z73" i="10" s="1"/>
  <c r="O70" i="1"/>
  <c r="N70" i="1"/>
  <c r="P69" i="1"/>
  <c r="Q69" i="1" s="1"/>
  <c r="O69" i="1"/>
  <c r="N69" i="1"/>
  <c r="P68" i="1"/>
  <c r="Q68" i="1" s="1"/>
  <c r="O68" i="1"/>
  <c r="N68" i="1"/>
  <c r="A70" i="10"/>
  <c r="Z70" i="10" s="1"/>
  <c r="O67" i="1"/>
  <c r="N67" i="1"/>
  <c r="P66" i="1"/>
  <c r="Q66" i="1" s="1"/>
  <c r="O66" i="1"/>
  <c r="N66" i="1"/>
  <c r="P65" i="1"/>
  <c r="A68" i="10" s="1"/>
  <c r="Z68" i="10" s="1"/>
  <c r="O65" i="1"/>
  <c r="N65" i="1"/>
  <c r="A67" i="10"/>
  <c r="Z67" i="10" s="1"/>
  <c r="O64" i="1"/>
  <c r="N64" i="1"/>
  <c r="P63" i="1"/>
  <c r="A66" i="10" s="1"/>
  <c r="Z66" i="10" s="1"/>
  <c r="O63" i="1"/>
  <c r="N63" i="1"/>
  <c r="P62" i="1"/>
  <c r="A65" i="10" s="1"/>
  <c r="Z65" i="10" s="1"/>
  <c r="O62" i="1"/>
  <c r="N62" i="1"/>
  <c r="P61" i="1"/>
  <c r="A64" i="10" s="1"/>
  <c r="Z64" i="10" s="1"/>
  <c r="O61" i="1"/>
  <c r="N61" i="1"/>
  <c r="P60" i="1"/>
  <c r="A63" i="10" s="1"/>
  <c r="Z63" i="10" s="1"/>
  <c r="O60" i="1"/>
  <c r="N60" i="1"/>
  <c r="P59" i="1"/>
  <c r="A62" i="10" s="1"/>
  <c r="Z62" i="10" s="1"/>
  <c r="O59" i="1"/>
  <c r="N59" i="1"/>
  <c r="P58" i="1"/>
  <c r="A61" i="10" s="1"/>
  <c r="Z61" i="10" s="1"/>
  <c r="O58" i="1"/>
  <c r="N58" i="1"/>
  <c r="P57" i="1"/>
  <c r="A60" i="10" s="1"/>
  <c r="Z60" i="10" s="1"/>
  <c r="O57" i="1"/>
  <c r="N57" i="1"/>
  <c r="P56" i="1"/>
  <c r="A59" i="10" s="1"/>
  <c r="Z59" i="10" s="1"/>
  <c r="O56" i="1"/>
  <c r="N56" i="1"/>
  <c r="O55" i="1"/>
  <c r="N55" i="1"/>
  <c r="P54" i="1"/>
  <c r="O54" i="1"/>
  <c r="N54" i="1"/>
  <c r="P53" i="1"/>
  <c r="A56" i="10" s="1"/>
  <c r="Z56" i="10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O49" i="1"/>
  <c r="N49" i="1"/>
  <c r="P48" i="1"/>
  <c r="A51" i="10" s="1"/>
  <c r="Z51" i="10" s="1"/>
  <c r="O48" i="1"/>
  <c r="N48" i="1"/>
  <c r="P47" i="1"/>
  <c r="A50" i="10" s="1"/>
  <c r="Z50" i="10" s="1"/>
  <c r="O47" i="1"/>
  <c r="N47" i="1"/>
  <c r="P46" i="1"/>
  <c r="A49" i="10" s="1"/>
  <c r="Z49" i="10" s="1"/>
  <c r="O46" i="1"/>
  <c r="N46" i="1"/>
  <c r="P45" i="1"/>
  <c r="Q45" i="1" s="1"/>
  <c r="O45" i="1"/>
  <c r="N45" i="1"/>
  <c r="P44" i="1"/>
  <c r="A47" i="10" s="1"/>
  <c r="Z47" i="10" s="1"/>
  <c r="O44" i="1"/>
  <c r="N44" i="1"/>
  <c r="A46" i="10"/>
  <c r="Z46" i="10" s="1"/>
  <c r="O43" i="1"/>
  <c r="N43" i="1"/>
  <c r="Q42" i="1"/>
  <c r="O42" i="1"/>
  <c r="N42" i="1"/>
  <c r="P41" i="1"/>
  <c r="O41" i="1"/>
  <c r="N41" i="1"/>
  <c r="P40" i="1"/>
  <c r="A43" i="10" s="1"/>
  <c r="Z43" i="10" s="1"/>
  <c r="O40" i="1"/>
  <c r="N40" i="1"/>
  <c r="P39" i="1"/>
  <c r="A42" i="10" s="1"/>
  <c r="Z42" i="10" s="1"/>
  <c r="O39" i="1"/>
  <c r="N39" i="1"/>
  <c r="P38" i="1"/>
  <c r="A41" i="10" s="1"/>
  <c r="Z41" i="10" s="1"/>
  <c r="O38" i="1"/>
  <c r="N38" i="1"/>
  <c r="P37" i="1"/>
  <c r="A40" i="10" s="1"/>
  <c r="Z40" i="10" s="1"/>
  <c r="O37" i="1"/>
  <c r="N37" i="1"/>
  <c r="P36" i="1"/>
  <c r="Q36" i="1" s="1"/>
  <c r="O36" i="1"/>
  <c r="N36" i="1"/>
  <c r="P35" i="1"/>
  <c r="A38" i="10" s="1"/>
  <c r="Z38" i="10" s="1"/>
  <c r="O35" i="1"/>
  <c r="N35" i="1"/>
  <c r="P34" i="1"/>
  <c r="Q34" i="1" s="1"/>
  <c r="O34" i="1"/>
  <c r="N34" i="1"/>
  <c r="P33" i="1"/>
  <c r="Q33" i="1" s="1"/>
  <c r="O33" i="1"/>
  <c r="N33" i="1"/>
  <c r="P32" i="1"/>
  <c r="A35" i="10" s="1"/>
  <c r="Z35" i="10" s="1"/>
  <c r="O32" i="1"/>
  <c r="N32" i="1"/>
  <c r="A34" i="10"/>
  <c r="Z34" i="10" s="1"/>
  <c r="O31" i="1"/>
  <c r="N31" i="1"/>
  <c r="O30" i="1"/>
  <c r="N30" i="1"/>
  <c r="A32" i="10"/>
  <c r="Z32" i="10" s="1"/>
  <c r="O29" i="1"/>
  <c r="N29" i="1"/>
  <c r="P28" i="1"/>
  <c r="Q28" i="1" s="1"/>
  <c r="O28" i="1"/>
  <c r="N28" i="1"/>
  <c r="O27" i="1"/>
  <c r="N27" i="1"/>
  <c r="P26" i="1"/>
  <c r="A29" i="10" s="1"/>
  <c r="Z29" i="10" s="1"/>
  <c r="O26" i="1"/>
  <c r="N26" i="1"/>
  <c r="Q25" i="1"/>
  <c r="O25" i="1"/>
  <c r="N25" i="1"/>
  <c r="P24" i="1"/>
  <c r="A27" i="10" s="1"/>
  <c r="Z27" i="10" s="1"/>
  <c r="O24" i="1"/>
  <c r="N24" i="1"/>
  <c r="P23" i="1"/>
  <c r="A26" i="10" s="1"/>
  <c r="Z26" i="10" s="1"/>
  <c r="O23" i="1"/>
  <c r="N23" i="1"/>
  <c r="P22" i="1"/>
  <c r="A25" i="10" s="1"/>
  <c r="Z25" i="10" s="1"/>
  <c r="O22" i="1"/>
  <c r="N22" i="1"/>
  <c r="A24" i="10"/>
  <c r="Z24" i="10" s="1"/>
  <c r="O21" i="1"/>
  <c r="N21" i="1"/>
  <c r="P20" i="1"/>
  <c r="A23" i="10" s="1"/>
  <c r="Z23" i="10" s="1"/>
  <c r="O20" i="1"/>
  <c r="N20" i="1"/>
  <c r="P19" i="1"/>
  <c r="A22" i="10" s="1"/>
  <c r="Z22" i="10" s="1"/>
  <c r="O19" i="1"/>
  <c r="N19" i="1"/>
  <c r="P18" i="1"/>
  <c r="A21" i="10" s="1"/>
  <c r="Z21" i="10" s="1"/>
  <c r="O18" i="1"/>
  <c r="N18" i="1"/>
  <c r="O17" i="1"/>
  <c r="N17" i="1"/>
  <c r="P16" i="1"/>
  <c r="A19" i="10" s="1"/>
  <c r="Z19" i="10" s="1"/>
  <c r="O16" i="1"/>
  <c r="N16" i="1"/>
  <c r="P15" i="1"/>
  <c r="A18" i="10" s="1"/>
  <c r="Z18" i="10" s="1"/>
  <c r="O15" i="1"/>
  <c r="N15" i="1"/>
  <c r="P14" i="1"/>
  <c r="A17" i="10" s="1"/>
  <c r="Z17" i="10" s="1"/>
  <c r="O14" i="1"/>
  <c r="N14" i="1"/>
  <c r="Q13" i="1"/>
  <c r="O13" i="1"/>
  <c r="N13" i="1"/>
  <c r="O12" i="1"/>
  <c r="N12" i="1"/>
  <c r="O11" i="1"/>
  <c r="N11" i="1"/>
  <c r="O10" i="1"/>
  <c r="N10" i="1"/>
  <c r="A12" i="10"/>
  <c r="Z12" i="10" s="1"/>
  <c r="O9" i="1"/>
  <c r="N9" i="1"/>
  <c r="P8" i="1"/>
  <c r="A11" i="10" s="1"/>
  <c r="Z11" i="10" s="1"/>
  <c r="O8" i="1"/>
  <c r="N8" i="1"/>
  <c r="O7" i="1"/>
  <c r="N7" i="1"/>
  <c r="P6" i="1"/>
  <c r="A9" i="10" s="1"/>
  <c r="Z9" i="10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5" i="10" s="1"/>
  <c r="O2" i="1"/>
  <c r="N2" i="1"/>
  <c r="A8" i="10"/>
  <c r="Z8" i="10" s="1"/>
  <c r="A10" i="10"/>
  <c r="A13" i="10"/>
  <c r="A14" i="10"/>
  <c r="Z14" i="10" s="1"/>
  <c r="A15" i="10"/>
  <c r="A16" i="10"/>
  <c r="A20" i="10"/>
  <c r="A30" i="10"/>
  <c r="A33" i="10"/>
  <c r="Z33" i="10" s="1"/>
  <c r="A44" i="10"/>
  <c r="Z44" i="10" s="1"/>
  <c r="A52" i="10"/>
  <c r="Z52" i="10" s="1"/>
  <c r="A54" i="10"/>
  <c r="Z54" i="10" s="1"/>
  <c r="A57" i="10"/>
  <c r="Z57" i="10" s="1"/>
  <c r="A58" i="10"/>
  <c r="Z58" i="10" s="1"/>
  <c r="A74" i="10"/>
  <c r="Z74" i="10" s="1"/>
  <c r="A89" i="10"/>
  <c r="Z89" i="10" s="1"/>
  <c r="A94" i="10"/>
  <c r="Z94" i="10" s="1"/>
  <c r="A98" i="10"/>
  <c r="Z98" i="10" s="1"/>
  <c r="A106" i="10"/>
  <c r="Z106" i="10" s="1"/>
  <c r="A116" i="10"/>
  <c r="Z116" i="10" s="1"/>
  <c r="A121" i="10"/>
  <c r="A124" i="10"/>
  <c r="Z124" i="10" s="1"/>
  <c r="A129" i="10"/>
  <c r="Z129" i="10" s="1"/>
  <c r="A137" i="10"/>
  <c r="Z137" i="10" s="1"/>
  <c r="A138" i="10"/>
  <c r="A140" i="10"/>
  <c r="Z140" i="10" s="1"/>
  <c r="A146" i="10"/>
  <c r="Z146" i="10" s="1"/>
  <c r="A148" i="10"/>
  <c r="Z148" i="10" s="1"/>
  <c r="A156" i="10"/>
  <c r="Z156" i="10" s="1"/>
  <c r="A159" i="10"/>
  <c r="Z159" i="10" s="1"/>
  <c r="A164" i="10"/>
  <c r="Z164" i="10" s="1"/>
  <c r="A169" i="10"/>
  <c r="Z169" i="10" s="1"/>
  <c r="A175" i="10"/>
  <c r="Z175" i="10" s="1"/>
  <c r="A178" i="10"/>
  <c r="Z178" i="10" s="1"/>
  <c r="A180" i="10"/>
  <c r="Z180" i="10" s="1"/>
  <c r="A188" i="10"/>
  <c r="Z188" i="10" s="1"/>
  <c r="A193" i="10"/>
  <c r="Z193" i="10" s="1"/>
  <c r="A196" i="10"/>
  <c r="Z196" i="10" s="1"/>
  <c r="A200" i="10"/>
  <c r="Z200" i="10" s="1"/>
  <c r="A202" i="10"/>
  <c r="Z202" i="10" s="1"/>
  <c r="A209" i="10"/>
  <c r="Z209" i="10" s="1"/>
  <c r="A212" i="10"/>
  <c r="Z212" i="10" s="1"/>
  <c r="A217" i="10"/>
  <c r="Z217" i="10" s="1"/>
  <c r="A218" i="10"/>
  <c r="Z218" i="10" s="1"/>
  <c r="A220" i="10"/>
  <c r="Z220" i="10" s="1"/>
  <c r="A226" i="10"/>
  <c r="Z226" i="10" s="1"/>
  <c r="A228" i="10"/>
  <c r="Z228" i="10" s="1"/>
  <c r="A233" i="10"/>
  <c r="Z233" i="10" s="1"/>
  <c r="A236" i="10"/>
  <c r="Z236" i="10" s="1"/>
  <c r="A241" i="10"/>
  <c r="Z241" i="10" s="1"/>
  <c r="A247" i="10"/>
  <c r="Z247" i="10" s="1"/>
  <c r="A250" i="10"/>
  <c r="Z250" i="10" s="1"/>
  <c r="A255" i="10"/>
  <c r="Z255" i="10" s="1"/>
  <c r="A257" i="10"/>
  <c r="Z257" i="10" s="1"/>
  <c r="A264" i="10"/>
  <c r="Z264" i="10" s="1"/>
  <c r="A271" i="10"/>
  <c r="Z271" i="10" s="1"/>
  <c r="A272" i="10"/>
  <c r="Z272" i="10" s="1"/>
  <c r="A276" i="10"/>
  <c r="Z276" i="10" s="1"/>
  <c r="A287" i="10"/>
  <c r="Z287" i="10" s="1"/>
  <c r="A289" i="10"/>
  <c r="Z289" i="10" s="1"/>
  <c r="A292" i="10"/>
  <c r="Z292" i="10" s="1"/>
  <c r="A295" i="10"/>
  <c r="Z295" i="10" s="1"/>
  <c r="A300" i="10"/>
  <c r="Z300" i="10" s="1"/>
  <c r="A308" i="10"/>
  <c r="Z308" i="10" s="1"/>
  <c r="A310" i="10"/>
  <c r="Z310" i="10" s="1"/>
  <c r="A311" i="10"/>
  <c r="Z311" i="10" s="1"/>
  <c r="A314" i="10"/>
  <c r="Z314" i="10" s="1"/>
  <c r="A316" i="10"/>
  <c r="A319" i="10"/>
  <c r="Z319" i="10" s="1"/>
  <c r="A327" i="10"/>
  <c r="Z327" i="10" s="1"/>
  <c r="A330" i="10"/>
  <c r="Z330" i="10" s="1"/>
  <c r="A335" i="10"/>
  <c r="Z335" i="10" s="1"/>
  <c r="A337" i="10"/>
  <c r="Z337" i="10" s="1"/>
  <c r="A338" i="10"/>
  <c r="Z338" i="10" s="1"/>
  <c r="A346" i="10"/>
  <c r="Z346" i="10" s="1"/>
  <c r="A348" i="10"/>
  <c r="A350" i="10"/>
  <c r="A353" i="10"/>
  <c r="A354" i="10"/>
  <c r="A356" i="10"/>
  <c r="Z356" i="10" s="1"/>
  <c r="A364" i="10"/>
  <c r="Z364" i="10" s="1"/>
  <c r="A367" i="10"/>
  <c r="Z367" i="10" s="1"/>
  <c r="A370" i="10"/>
  <c r="Z370" i="10" s="1"/>
  <c r="A372" i="10"/>
  <c r="Z372" i="10" s="1"/>
  <c r="A380" i="10"/>
  <c r="Z380" i="10" s="1"/>
  <c r="A388" i="10"/>
  <c r="Z388" i="10" s="1"/>
  <c r="A394" i="10"/>
  <c r="Z394" i="10" s="1"/>
  <c r="A396" i="10"/>
  <c r="Z396" i="10" s="1"/>
  <c r="A399" i="10"/>
  <c r="Z399" i="10" s="1"/>
  <c r="A400" i="10"/>
  <c r="Z400" i="10" s="1"/>
  <c r="A404" i="10"/>
  <c r="Z404" i="10" s="1"/>
  <c r="A407" i="10"/>
  <c r="Z407" i="10" s="1"/>
  <c r="A410" i="10"/>
  <c r="Z410" i="10" s="1"/>
  <c r="A412" i="10"/>
  <c r="Z412" i="10" s="1"/>
  <c r="A420" i="10"/>
  <c r="Z420" i="10" s="1"/>
  <c r="A428" i="10"/>
  <c r="Z428" i="10" s="1"/>
  <c r="A434" i="10"/>
  <c r="Z434" i="10" s="1"/>
  <c r="A436" i="10"/>
  <c r="Z436" i="10" s="1"/>
  <c r="A439" i="10"/>
  <c r="Z439" i="10" s="1"/>
  <c r="A442" i="10"/>
  <c r="Z442" i="10" s="1"/>
  <c r="A444" i="10"/>
  <c r="Z444" i="10" s="1"/>
  <c r="A450" i="10"/>
  <c r="Z450" i="10" s="1"/>
  <c r="A452" i="10"/>
  <c r="Z452" i="10" s="1"/>
  <c r="A454" i="10"/>
  <c r="A455" i="10"/>
  <c r="Z455" i="10" s="1"/>
  <c r="A463" i="10"/>
  <c r="Z463" i="10" s="1"/>
  <c r="A466" i="10"/>
  <c r="Z466" i="10" s="1"/>
  <c r="A471" i="10"/>
  <c r="A474" i="10"/>
  <c r="Z474" i="10" s="1"/>
  <c r="A476" i="10"/>
  <c r="Z476" i="10" s="1"/>
  <c r="A481" i="10"/>
  <c r="Z481" i="10" s="1"/>
  <c r="A482" i="10"/>
  <c r="Z482" i="10" s="1"/>
  <c r="A490" i="10"/>
  <c r="Z490" i="10" s="1"/>
  <c r="A493" i="10"/>
  <c r="Z493" i="10" s="1"/>
  <c r="A497" i="10"/>
  <c r="Z497" i="10" s="1"/>
  <c r="A498" i="10"/>
  <c r="Z498" i="10" s="1"/>
  <c r="A506" i="10"/>
  <c r="Z506" i="10" s="1"/>
  <c r="A514" i="10"/>
  <c r="Z514" i="10" s="1"/>
  <c r="A522" i="10"/>
  <c r="Z522" i="10" s="1"/>
  <c r="A524" i="10"/>
  <c r="Z524" i="10" s="1"/>
  <c r="A528" i="10"/>
  <c r="Z528" i="10" s="1"/>
  <c r="A529" i="10"/>
  <c r="Z529" i="10" s="1"/>
  <c r="A530" i="10"/>
  <c r="Z530" i="10" s="1"/>
  <c r="A536" i="10"/>
  <c r="Z536" i="10" s="1"/>
  <c r="A537" i="10"/>
  <c r="Z537" i="10" s="1"/>
  <c r="A538" i="10"/>
  <c r="Z538" i="10" s="1"/>
  <c r="A542" i="10"/>
  <c r="Z542" i="10" s="1"/>
  <c r="A546" i="10"/>
  <c r="Z546" i="10" s="1"/>
  <c r="A554" i="10"/>
  <c r="Z554" i="10" s="1"/>
  <c r="A562" i="10"/>
  <c r="Z562" i="10" s="1"/>
  <c r="A569" i="10"/>
  <c r="Z569" i="10" s="1"/>
  <c r="A570" i="10"/>
  <c r="Z570" i="10" s="1"/>
  <c r="A574" i="10"/>
  <c r="Z574" i="10" s="1"/>
  <c r="A577" i="10"/>
  <c r="Z577" i="10" s="1"/>
  <c r="A578" i="10"/>
  <c r="Z578" i="10" s="1"/>
  <c r="A584" i="10"/>
  <c r="Z584" i="10" s="1"/>
  <c r="A585" i="10"/>
  <c r="Z585" i="10" s="1"/>
  <c r="A586" i="10"/>
  <c r="Z586" i="10" s="1"/>
  <c r="A592" i="10"/>
  <c r="Z592" i="10" s="1"/>
  <c r="A594" i="10"/>
  <c r="Z594" i="10" s="1"/>
  <c r="A600" i="10"/>
  <c r="Z600" i="10" s="1"/>
  <c r="A601" i="10"/>
  <c r="Z601" i="10" s="1"/>
  <c r="A602" i="10"/>
  <c r="Z602" i="10" s="1"/>
  <c r="A609" i="10"/>
  <c r="Z609" i="10" s="1"/>
  <c r="A610" i="10"/>
  <c r="Z610" i="10" s="1"/>
  <c r="A615" i="10"/>
  <c r="A617" i="10"/>
  <c r="Z617" i="10" s="1"/>
  <c r="A625" i="10"/>
  <c r="Z625" i="10" s="1"/>
  <c r="A626" i="10"/>
  <c r="A628" i="10"/>
  <c r="Z628" i="10" s="1"/>
  <c r="A636" i="10"/>
  <c r="Z636" i="10" s="1"/>
  <c r="A641" i="10"/>
  <c r="Z641" i="10" s="1"/>
  <c r="A648" i="10"/>
  <c r="Z648" i="10" s="1"/>
  <c r="A649" i="10"/>
  <c r="Z649" i="10" s="1"/>
  <c r="A650" i="10"/>
  <c r="Z650" i="10" s="1"/>
  <c r="A654" i="10"/>
  <c r="Z654" i="10" s="1"/>
  <c r="A655" i="10"/>
  <c r="Z655" i="10" s="1"/>
  <c r="A656" i="10"/>
  <c r="Z656" i="10" s="1"/>
  <c r="A657" i="10"/>
  <c r="Z657" i="10" s="1"/>
  <c r="A658" i="10"/>
  <c r="Z658" i="10" s="1"/>
  <c r="A660" i="10"/>
  <c r="Z660" i="10" s="1"/>
  <c r="A663" i="10"/>
  <c r="Z663" i="10" s="1"/>
  <c r="A664" i="10"/>
  <c r="Z664" i="10" s="1"/>
  <c r="A665" i="10"/>
  <c r="Z665" i="10" s="1"/>
  <c r="A666" i="10"/>
  <c r="Z666" i="10" s="1"/>
  <c r="A668" i="10"/>
  <c r="Z668" i="10" s="1"/>
  <c r="A673" i="10"/>
  <c r="Z673" i="10" s="1"/>
  <c r="A674" i="10"/>
  <c r="Z674" i="10" s="1"/>
  <c r="A676" i="10"/>
  <c r="A681" i="10"/>
  <c r="A682" i="10"/>
  <c r="Z682" i="10" s="1"/>
  <c r="A684" i="10"/>
  <c r="Z684" i="10" s="1"/>
  <c r="A689" i="10"/>
  <c r="Z689" i="10" s="1"/>
  <c r="A690" i="10"/>
  <c r="Z690" i="10" s="1"/>
  <c r="A692" i="10"/>
  <c r="Z692" i="10" s="1"/>
  <c r="A694" i="10"/>
  <c r="Z694" i="10" s="1"/>
  <c r="A697" i="10"/>
  <c r="Z697" i="10" s="1"/>
  <c r="A700" i="10"/>
  <c r="Z700" i="10" s="1"/>
  <c r="A705" i="10"/>
  <c r="Z705" i="10" s="1"/>
  <c r="A708" i="10"/>
  <c r="Z708" i="10" s="1"/>
  <c r="A711" i="10"/>
  <c r="A713" i="10"/>
  <c r="Z713" i="10" s="1"/>
  <c r="A716" i="10"/>
  <c r="Z716" i="10" s="1"/>
  <c r="A719" i="10"/>
  <c r="Z719" i="10" s="1"/>
  <c r="A721" i="10"/>
  <c r="Z721" i="10" s="1"/>
  <c r="A722" i="10"/>
  <c r="Z722" i="10" s="1"/>
  <c r="A724" i="10"/>
  <c r="Z724" i="10" s="1"/>
  <c r="A726" i="10"/>
  <c r="A727" i="10"/>
  <c r="Z727" i="10" s="1"/>
  <c r="A730" i="10"/>
  <c r="A732" i="10"/>
  <c r="A735" i="10"/>
  <c r="Z735" i="10" s="1"/>
  <c r="A738" i="10"/>
  <c r="A740" i="10"/>
  <c r="Z740" i="10" s="1"/>
  <c r="A743" i="10"/>
  <c r="A745" i="10"/>
  <c r="A746" i="10"/>
  <c r="A748" i="10"/>
  <c r="Z748" i="10" s="1"/>
  <c r="A749" i="10"/>
  <c r="Z749" i="10" s="1"/>
  <c r="A751" i="10"/>
  <c r="A753" i="10"/>
  <c r="A754" i="10"/>
  <c r="Z754" i="10" s="1"/>
  <c r="A759" i="10"/>
  <c r="Z759" i="10" s="1"/>
  <c r="A760" i="10"/>
  <c r="Z760" i="10" s="1"/>
  <c r="A761" i="10"/>
  <c r="A762" i="10"/>
  <c r="A767" i="10"/>
  <c r="Z767" i="10" s="1"/>
  <c r="A768" i="10"/>
  <c r="A769" i="10"/>
  <c r="A770" i="10"/>
  <c r="Z770" i="10" s="1"/>
  <c r="A772" i="10"/>
  <c r="Z772" i="10" s="1"/>
  <c r="A773" i="10"/>
  <c r="A775" i="10"/>
  <c r="A777" i="10"/>
  <c r="Z777" i="10" s="1"/>
  <c r="A778" i="10"/>
  <c r="A780" i="10"/>
  <c r="A783" i="10"/>
  <c r="Z783" i="10" s="1"/>
  <c r="A784" i="10"/>
  <c r="A785" i="10"/>
  <c r="A786" i="10"/>
  <c r="Z786" i="10" s="1"/>
  <c r="A791" i="10"/>
  <c r="A792" i="10"/>
  <c r="Z792" i="10" s="1"/>
  <c r="A793" i="10"/>
  <c r="Z793" i="10" s="1"/>
  <c r="A794" i="10"/>
  <c r="Z794" i="10" s="1"/>
  <c r="A799" i="10"/>
  <c r="A800" i="10"/>
  <c r="A801" i="10"/>
  <c r="A807" i="10"/>
  <c r="Z807" i="10" s="1"/>
  <c r="A808" i="10"/>
  <c r="Z808" i="10" s="1"/>
  <c r="A809" i="10"/>
  <c r="A813" i="10"/>
  <c r="A815" i="10"/>
  <c r="A818" i="10"/>
  <c r="Z818" i="10" s="1"/>
  <c r="A823" i="10"/>
  <c r="A824" i="10"/>
  <c r="A825" i="10"/>
  <c r="Z825" i="10" s="1"/>
  <c r="A828" i="10"/>
  <c r="A831" i="10"/>
  <c r="Z831" i="10" s="1"/>
  <c r="A832" i="10"/>
  <c r="Z832" i="10" s="1"/>
  <c r="A833" i="10"/>
  <c r="D6" i="10"/>
  <c r="E6" i="10"/>
  <c r="F6" i="10"/>
  <c r="G6" i="10"/>
  <c r="H6" i="10"/>
  <c r="I6" i="10"/>
  <c r="K6" i="10"/>
  <c r="L6" i="10"/>
  <c r="D7" i="10"/>
  <c r="E7" i="10"/>
  <c r="F7" i="10"/>
  <c r="G7" i="10"/>
  <c r="H7" i="10"/>
  <c r="I7" i="10"/>
  <c r="K7" i="10"/>
  <c r="L7" i="10"/>
  <c r="D8" i="10"/>
  <c r="E8" i="10"/>
  <c r="F8" i="10"/>
  <c r="G8" i="10"/>
  <c r="H8" i="10"/>
  <c r="I8" i="10"/>
  <c r="K8" i="10"/>
  <c r="L8" i="10"/>
  <c r="D9" i="10"/>
  <c r="E9" i="10"/>
  <c r="F9" i="10"/>
  <c r="G9" i="10"/>
  <c r="H9" i="10"/>
  <c r="I9" i="10"/>
  <c r="K9" i="10"/>
  <c r="L9" i="10"/>
  <c r="D10" i="10"/>
  <c r="E10" i="10"/>
  <c r="F10" i="10"/>
  <c r="G10" i="10"/>
  <c r="H10" i="10"/>
  <c r="I10" i="10"/>
  <c r="K10" i="10"/>
  <c r="L10" i="10"/>
  <c r="D11" i="10"/>
  <c r="E11" i="10"/>
  <c r="F11" i="10"/>
  <c r="G11" i="10"/>
  <c r="H11" i="10"/>
  <c r="I11" i="10"/>
  <c r="K11" i="10"/>
  <c r="L11" i="10"/>
  <c r="D12" i="10"/>
  <c r="E12" i="10"/>
  <c r="F12" i="10"/>
  <c r="G12" i="10"/>
  <c r="H12" i="10"/>
  <c r="I12" i="10"/>
  <c r="K12" i="10"/>
  <c r="L12" i="10"/>
  <c r="D13" i="10"/>
  <c r="E13" i="10"/>
  <c r="F13" i="10"/>
  <c r="G13" i="10"/>
  <c r="H13" i="10"/>
  <c r="I13" i="10"/>
  <c r="K13" i="10"/>
  <c r="L13" i="10"/>
  <c r="D14" i="10"/>
  <c r="E14" i="10"/>
  <c r="F14" i="10"/>
  <c r="G14" i="10"/>
  <c r="H14" i="10"/>
  <c r="I14" i="10"/>
  <c r="K14" i="10"/>
  <c r="L14" i="10"/>
  <c r="D15" i="10"/>
  <c r="E15" i="10"/>
  <c r="F15" i="10"/>
  <c r="G15" i="10"/>
  <c r="H15" i="10"/>
  <c r="I15" i="10"/>
  <c r="K15" i="10"/>
  <c r="L15" i="10"/>
  <c r="D16" i="10"/>
  <c r="E16" i="10"/>
  <c r="F16" i="10"/>
  <c r="G16" i="10"/>
  <c r="H16" i="10"/>
  <c r="I16" i="10"/>
  <c r="K16" i="10"/>
  <c r="L16" i="10"/>
  <c r="D17" i="10"/>
  <c r="E17" i="10"/>
  <c r="F17" i="10"/>
  <c r="G17" i="10"/>
  <c r="H17" i="10"/>
  <c r="I17" i="10"/>
  <c r="K17" i="10"/>
  <c r="L17" i="10"/>
  <c r="D18" i="10"/>
  <c r="E18" i="10"/>
  <c r="F18" i="10"/>
  <c r="G18" i="10"/>
  <c r="H18" i="10"/>
  <c r="I18" i="10"/>
  <c r="K18" i="10"/>
  <c r="L18" i="10"/>
  <c r="D19" i="10"/>
  <c r="E19" i="10"/>
  <c r="F19" i="10"/>
  <c r="G19" i="10"/>
  <c r="H19" i="10"/>
  <c r="I19" i="10"/>
  <c r="K19" i="10"/>
  <c r="L19" i="10"/>
  <c r="D20" i="10"/>
  <c r="E20" i="10"/>
  <c r="F20" i="10"/>
  <c r="G20" i="10"/>
  <c r="H20" i="10"/>
  <c r="I20" i="10"/>
  <c r="K20" i="10"/>
  <c r="L20" i="10"/>
  <c r="D21" i="10"/>
  <c r="E21" i="10"/>
  <c r="F21" i="10"/>
  <c r="G21" i="10"/>
  <c r="H21" i="10"/>
  <c r="I21" i="10"/>
  <c r="K21" i="10"/>
  <c r="L21" i="10"/>
  <c r="D22" i="10"/>
  <c r="E22" i="10"/>
  <c r="F22" i="10"/>
  <c r="G22" i="10"/>
  <c r="H22" i="10"/>
  <c r="I22" i="10"/>
  <c r="K22" i="10"/>
  <c r="L22" i="10"/>
  <c r="D23" i="10"/>
  <c r="E23" i="10"/>
  <c r="F23" i="10"/>
  <c r="G23" i="10"/>
  <c r="H23" i="10"/>
  <c r="I23" i="10"/>
  <c r="K23" i="10"/>
  <c r="L23" i="10"/>
  <c r="D24" i="10"/>
  <c r="E24" i="10"/>
  <c r="F24" i="10"/>
  <c r="G24" i="10"/>
  <c r="H24" i="10"/>
  <c r="I24" i="10"/>
  <c r="K24" i="10"/>
  <c r="L24" i="10"/>
  <c r="D25" i="10"/>
  <c r="E25" i="10"/>
  <c r="F25" i="10"/>
  <c r="G25" i="10"/>
  <c r="H25" i="10"/>
  <c r="I25" i="10"/>
  <c r="K25" i="10"/>
  <c r="L25" i="10"/>
  <c r="D26" i="10"/>
  <c r="E26" i="10"/>
  <c r="F26" i="10"/>
  <c r="G26" i="10"/>
  <c r="H26" i="10"/>
  <c r="I26" i="10"/>
  <c r="K26" i="10"/>
  <c r="L26" i="10"/>
  <c r="D27" i="10"/>
  <c r="E27" i="10"/>
  <c r="F27" i="10"/>
  <c r="G27" i="10"/>
  <c r="H27" i="10"/>
  <c r="I27" i="10"/>
  <c r="K27" i="10"/>
  <c r="L27" i="10"/>
  <c r="D28" i="10"/>
  <c r="E28" i="10"/>
  <c r="F28" i="10"/>
  <c r="G28" i="10"/>
  <c r="H28" i="10"/>
  <c r="I28" i="10"/>
  <c r="K28" i="10"/>
  <c r="L28" i="10"/>
  <c r="D29" i="10"/>
  <c r="E29" i="10"/>
  <c r="F29" i="10"/>
  <c r="G29" i="10"/>
  <c r="H29" i="10"/>
  <c r="I29" i="10"/>
  <c r="K29" i="10"/>
  <c r="L29" i="10"/>
  <c r="D30" i="10"/>
  <c r="E30" i="10"/>
  <c r="F30" i="10"/>
  <c r="G30" i="10"/>
  <c r="H30" i="10"/>
  <c r="I30" i="10"/>
  <c r="K30" i="10"/>
  <c r="L30" i="10"/>
  <c r="D31" i="10"/>
  <c r="E31" i="10"/>
  <c r="F31" i="10"/>
  <c r="G31" i="10"/>
  <c r="H31" i="10"/>
  <c r="I31" i="10"/>
  <c r="K31" i="10"/>
  <c r="L31" i="10"/>
  <c r="D32" i="10"/>
  <c r="E32" i="10"/>
  <c r="F32" i="10"/>
  <c r="G32" i="10"/>
  <c r="H32" i="10"/>
  <c r="I32" i="10"/>
  <c r="K32" i="10"/>
  <c r="L32" i="10"/>
  <c r="D33" i="10"/>
  <c r="E33" i="10"/>
  <c r="F33" i="10"/>
  <c r="G33" i="10"/>
  <c r="H33" i="10"/>
  <c r="I33" i="10"/>
  <c r="K33" i="10"/>
  <c r="L33" i="10"/>
  <c r="D34" i="10"/>
  <c r="E34" i="10"/>
  <c r="F34" i="10"/>
  <c r="G34" i="10"/>
  <c r="H34" i="10"/>
  <c r="I34" i="10"/>
  <c r="K34" i="10"/>
  <c r="L34" i="10"/>
  <c r="D35" i="10"/>
  <c r="E35" i="10"/>
  <c r="F35" i="10"/>
  <c r="G35" i="10"/>
  <c r="H35" i="10"/>
  <c r="I35" i="10"/>
  <c r="K35" i="10"/>
  <c r="L35" i="10"/>
  <c r="D36" i="10"/>
  <c r="E36" i="10"/>
  <c r="F36" i="10"/>
  <c r="G36" i="10"/>
  <c r="H36" i="10"/>
  <c r="I36" i="10"/>
  <c r="K36" i="10"/>
  <c r="L36" i="10"/>
  <c r="D37" i="10"/>
  <c r="E37" i="10"/>
  <c r="F37" i="10"/>
  <c r="G37" i="10"/>
  <c r="H37" i="10"/>
  <c r="I37" i="10"/>
  <c r="K37" i="10"/>
  <c r="L37" i="10"/>
  <c r="D38" i="10"/>
  <c r="E38" i="10"/>
  <c r="F38" i="10"/>
  <c r="G38" i="10"/>
  <c r="H38" i="10"/>
  <c r="I38" i="10"/>
  <c r="K38" i="10"/>
  <c r="L38" i="10"/>
  <c r="D39" i="10"/>
  <c r="E39" i="10"/>
  <c r="F39" i="10"/>
  <c r="G39" i="10"/>
  <c r="H39" i="10"/>
  <c r="I39" i="10"/>
  <c r="K39" i="10"/>
  <c r="L39" i="10"/>
  <c r="D40" i="10"/>
  <c r="E40" i="10"/>
  <c r="F40" i="10"/>
  <c r="G40" i="10"/>
  <c r="H40" i="10"/>
  <c r="I40" i="10"/>
  <c r="K40" i="10"/>
  <c r="L40" i="10"/>
  <c r="D41" i="10"/>
  <c r="E41" i="10"/>
  <c r="F41" i="10"/>
  <c r="G41" i="10"/>
  <c r="H41" i="10"/>
  <c r="I41" i="10"/>
  <c r="K41" i="10"/>
  <c r="L41" i="10"/>
  <c r="D42" i="10"/>
  <c r="E42" i="10"/>
  <c r="F42" i="10"/>
  <c r="G42" i="10"/>
  <c r="H42" i="10"/>
  <c r="I42" i="10"/>
  <c r="K42" i="10"/>
  <c r="L42" i="10"/>
  <c r="D43" i="10"/>
  <c r="E43" i="10"/>
  <c r="F43" i="10"/>
  <c r="G43" i="10"/>
  <c r="H43" i="10"/>
  <c r="I43" i="10"/>
  <c r="K43" i="10"/>
  <c r="L43" i="10"/>
  <c r="D44" i="10"/>
  <c r="E44" i="10"/>
  <c r="F44" i="10"/>
  <c r="G44" i="10"/>
  <c r="H44" i="10"/>
  <c r="I44" i="10"/>
  <c r="K44" i="10"/>
  <c r="L44" i="10"/>
  <c r="D45" i="10"/>
  <c r="E45" i="10"/>
  <c r="F45" i="10"/>
  <c r="G45" i="10"/>
  <c r="H45" i="10"/>
  <c r="I45" i="10"/>
  <c r="K45" i="10"/>
  <c r="L45" i="10"/>
  <c r="D46" i="10"/>
  <c r="E46" i="10"/>
  <c r="F46" i="10"/>
  <c r="G46" i="10"/>
  <c r="H46" i="10"/>
  <c r="I46" i="10"/>
  <c r="K46" i="10"/>
  <c r="L46" i="10"/>
  <c r="D47" i="10"/>
  <c r="E47" i="10"/>
  <c r="F47" i="10"/>
  <c r="G47" i="10"/>
  <c r="H47" i="10"/>
  <c r="I47" i="10"/>
  <c r="K47" i="10"/>
  <c r="L47" i="10"/>
  <c r="D48" i="10"/>
  <c r="E48" i="10"/>
  <c r="F48" i="10"/>
  <c r="G48" i="10"/>
  <c r="H48" i="10"/>
  <c r="I48" i="10"/>
  <c r="K48" i="10"/>
  <c r="L48" i="10"/>
  <c r="D49" i="10"/>
  <c r="E49" i="10"/>
  <c r="F49" i="10"/>
  <c r="G49" i="10"/>
  <c r="H49" i="10"/>
  <c r="I49" i="10"/>
  <c r="K49" i="10"/>
  <c r="L49" i="10"/>
  <c r="D50" i="10"/>
  <c r="E50" i="10"/>
  <c r="F50" i="10"/>
  <c r="G50" i="10"/>
  <c r="H50" i="10"/>
  <c r="I50" i="10"/>
  <c r="K50" i="10"/>
  <c r="L50" i="10"/>
  <c r="D51" i="10"/>
  <c r="E51" i="10"/>
  <c r="F51" i="10"/>
  <c r="G51" i="10"/>
  <c r="H51" i="10"/>
  <c r="I51" i="10"/>
  <c r="K51" i="10"/>
  <c r="L51" i="10"/>
  <c r="D52" i="10"/>
  <c r="E52" i="10"/>
  <c r="F52" i="10"/>
  <c r="G52" i="10"/>
  <c r="H52" i="10"/>
  <c r="I52" i="10"/>
  <c r="K52" i="10"/>
  <c r="L52" i="10"/>
  <c r="D53" i="10"/>
  <c r="E53" i="10"/>
  <c r="F53" i="10"/>
  <c r="G53" i="10"/>
  <c r="H53" i="10"/>
  <c r="I53" i="10"/>
  <c r="K53" i="10"/>
  <c r="L53" i="10"/>
  <c r="D54" i="10"/>
  <c r="E54" i="10"/>
  <c r="F54" i="10"/>
  <c r="G54" i="10"/>
  <c r="H54" i="10"/>
  <c r="I54" i="10"/>
  <c r="K54" i="10"/>
  <c r="L54" i="10"/>
  <c r="D55" i="10"/>
  <c r="E55" i="10"/>
  <c r="F55" i="10"/>
  <c r="G55" i="10"/>
  <c r="H55" i="10"/>
  <c r="I55" i="10"/>
  <c r="K55" i="10"/>
  <c r="L55" i="10"/>
  <c r="D56" i="10"/>
  <c r="E56" i="10"/>
  <c r="F56" i="10"/>
  <c r="G56" i="10"/>
  <c r="H56" i="10"/>
  <c r="I56" i="10"/>
  <c r="K56" i="10"/>
  <c r="L56" i="10"/>
  <c r="D57" i="10"/>
  <c r="E57" i="10"/>
  <c r="F57" i="10"/>
  <c r="G57" i="10"/>
  <c r="H57" i="10"/>
  <c r="I57" i="10"/>
  <c r="K57" i="10"/>
  <c r="L57" i="10"/>
  <c r="D58" i="10"/>
  <c r="E58" i="10"/>
  <c r="F58" i="10"/>
  <c r="G58" i="10"/>
  <c r="H58" i="10"/>
  <c r="I58" i="10"/>
  <c r="K58" i="10"/>
  <c r="L58" i="10"/>
  <c r="D59" i="10"/>
  <c r="E59" i="10"/>
  <c r="F59" i="10"/>
  <c r="G59" i="10"/>
  <c r="H59" i="10"/>
  <c r="I59" i="10"/>
  <c r="K59" i="10"/>
  <c r="L59" i="10"/>
  <c r="D60" i="10"/>
  <c r="E60" i="10"/>
  <c r="F60" i="10"/>
  <c r="G60" i="10"/>
  <c r="H60" i="10"/>
  <c r="I60" i="10"/>
  <c r="K60" i="10"/>
  <c r="L60" i="10"/>
  <c r="D61" i="10"/>
  <c r="E61" i="10"/>
  <c r="F61" i="10"/>
  <c r="G61" i="10"/>
  <c r="H61" i="10"/>
  <c r="I61" i="10"/>
  <c r="K61" i="10"/>
  <c r="L61" i="10"/>
  <c r="D62" i="10"/>
  <c r="E62" i="10"/>
  <c r="F62" i="10"/>
  <c r="G62" i="10"/>
  <c r="H62" i="10"/>
  <c r="I62" i="10"/>
  <c r="K62" i="10"/>
  <c r="L62" i="10"/>
  <c r="D63" i="10"/>
  <c r="E63" i="10"/>
  <c r="F63" i="10"/>
  <c r="G63" i="10"/>
  <c r="H63" i="10"/>
  <c r="I63" i="10"/>
  <c r="K63" i="10"/>
  <c r="L63" i="10"/>
  <c r="D64" i="10"/>
  <c r="E64" i="10"/>
  <c r="F64" i="10"/>
  <c r="G64" i="10"/>
  <c r="H64" i="10"/>
  <c r="I64" i="10"/>
  <c r="K64" i="10"/>
  <c r="L64" i="10"/>
  <c r="D65" i="10"/>
  <c r="E65" i="10"/>
  <c r="F65" i="10"/>
  <c r="G65" i="10"/>
  <c r="H65" i="10"/>
  <c r="I65" i="10"/>
  <c r="K65" i="10"/>
  <c r="L65" i="10"/>
  <c r="D66" i="10"/>
  <c r="E66" i="10"/>
  <c r="F66" i="10"/>
  <c r="G66" i="10"/>
  <c r="H66" i="10"/>
  <c r="I66" i="10"/>
  <c r="K66" i="10"/>
  <c r="L66" i="10"/>
  <c r="D67" i="10"/>
  <c r="E67" i="10"/>
  <c r="F67" i="10"/>
  <c r="G67" i="10"/>
  <c r="H67" i="10"/>
  <c r="I67" i="10"/>
  <c r="K67" i="10"/>
  <c r="L67" i="10"/>
  <c r="D68" i="10"/>
  <c r="E68" i="10"/>
  <c r="F68" i="10"/>
  <c r="G68" i="10"/>
  <c r="H68" i="10"/>
  <c r="I68" i="10"/>
  <c r="K68" i="10"/>
  <c r="L68" i="10"/>
  <c r="D69" i="10"/>
  <c r="E69" i="10"/>
  <c r="F69" i="10"/>
  <c r="G69" i="10"/>
  <c r="H69" i="10"/>
  <c r="I69" i="10"/>
  <c r="K69" i="10"/>
  <c r="L69" i="10"/>
  <c r="D70" i="10"/>
  <c r="E70" i="10"/>
  <c r="F70" i="10"/>
  <c r="G70" i="10"/>
  <c r="H70" i="10"/>
  <c r="I70" i="10"/>
  <c r="K70" i="10"/>
  <c r="L70" i="10"/>
  <c r="D71" i="10"/>
  <c r="E71" i="10"/>
  <c r="F71" i="10"/>
  <c r="G71" i="10"/>
  <c r="H71" i="10"/>
  <c r="I71" i="10"/>
  <c r="K71" i="10"/>
  <c r="L71" i="10"/>
  <c r="D72" i="10"/>
  <c r="E72" i="10"/>
  <c r="F72" i="10"/>
  <c r="G72" i="10"/>
  <c r="H72" i="10"/>
  <c r="I72" i="10"/>
  <c r="K72" i="10"/>
  <c r="L72" i="10"/>
  <c r="D73" i="10"/>
  <c r="E73" i="10"/>
  <c r="F73" i="10"/>
  <c r="G73" i="10"/>
  <c r="H73" i="10"/>
  <c r="I73" i="10"/>
  <c r="K73" i="10"/>
  <c r="L73" i="10"/>
  <c r="D74" i="10"/>
  <c r="E74" i="10"/>
  <c r="F74" i="10"/>
  <c r="G74" i="10"/>
  <c r="H74" i="10"/>
  <c r="I74" i="10"/>
  <c r="K74" i="10"/>
  <c r="L74" i="10"/>
  <c r="D75" i="10"/>
  <c r="E75" i="10"/>
  <c r="F75" i="10"/>
  <c r="G75" i="10"/>
  <c r="H75" i="10"/>
  <c r="I75" i="10"/>
  <c r="K75" i="10"/>
  <c r="L75" i="10"/>
  <c r="D76" i="10"/>
  <c r="E76" i="10"/>
  <c r="F76" i="10"/>
  <c r="G76" i="10"/>
  <c r="H76" i="10"/>
  <c r="I76" i="10"/>
  <c r="K76" i="10"/>
  <c r="L76" i="10"/>
  <c r="D77" i="10"/>
  <c r="E77" i="10"/>
  <c r="F77" i="10"/>
  <c r="G77" i="10"/>
  <c r="H77" i="10"/>
  <c r="I77" i="10"/>
  <c r="K77" i="10"/>
  <c r="L77" i="10"/>
  <c r="D78" i="10"/>
  <c r="E78" i="10"/>
  <c r="F78" i="10"/>
  <c r="G78" i="10"/>
  <c r="H78" i="10"/>
  <c r="I78" i="10"/>
  <c r="K78" i="10"/>
  <c r="L78" i="10"/>
  <c r="D79" i="10"/>
  <c r="E79" i="10"/>
  <c r="F79" i="10"/>
  <c r="G79" i="10"/>
  <c r="H79" i="10"/>
  <c r="I79" i="10"/>
  <c r="K79" i="10"/>
  <c r="L79" i="10"/>
  <c r="D80" i="10"/>
  <c r="E80" i="10"/>
  <c r="F80" i="10"/>
  <c r="G80" i="10"/>
  <c r="H80" i="10"/>
  <c r="I80" i="10"/>
  <c r="K80" i="10"/>
  <c r="L80" i="10"/>
  <c r="D81" i="10"/>
  <c r="E81" i="10"/>
  <c r="F81" i="10"/>
  <c r="G81" i="10"/>
  <c r="H81" i="10"/>
  <c r="I81" i="10"/>
  <c r="K81" i="10"/>
  <c r="L81" i="10"/>
  <c r="D82" i="10"/>
  <c r="E82" i="10"/>
  <c r="F82" i="10"/>
  <c r="G82" i="10"/>
  <c r="H82" i="10"/>
  <c r="I82" i="10"/>
  <c r="K82" i="10"/>
  <c r="L82" i="10"/>
  <c r="D83" i="10"/>
  <c r="E83" i="10"/>
  <c r="F83" i="10"/>
  <c r="G83" i="10"/>
  <c r="H83" i="10"/>
  <c r="I83" i="10"/>
  <c r="K83" i="10"/>
  <c r="L83" i="10"/>
  <c r="D84" i="10"/>
  <c r="E84" i="10"/>
  <c r="F84" i="10"/>
  <c r="G84" i="10"/>
  <c r="H84" i="10"/>
  <c r="I84" i="10"/>
  <c r="K84" i="10"/>
  <c r="L84" i="10"/>
  <c r="D85" i="10"/>
  <c r="E85" i="10"/>
  <c r="F85" i="10"/>
  <c r="G85" i="10"/>
  <c r="H85" i="10"/>
  <c r="I85" i="10"/>
  <c r="K85" i="10"/>
  <c r="L85" i="10"/>
  <c r="D86" i="10"/>
  <c r="E86" i="10"/>
  <c r="F86" i="10"/>
  <c r="G86" i="10"/>
  <c r="H86" i="10"/>
  <c r="I86" i="10"/>
  <c r="K86" i="10"/>
  <c r="L86" i="10"/>
  <c r="D87" i="10"/>
  <c r="E87" i="10"/>
  <c r="F87" i="10"/>
  <c r="G87" i="10"/>
  <c r="H87" i="10"/>
  <c r="I87" i="10"/>
  <c r="K87" i="10"/>
  <c r="L87" i="10"/>
  <c r="D88" i="10"/>
  <c r="E88" i="10"/>
  <c r="F88" i="10"/>
  <c r="G88" i="10"/>
  <c r="H88" i="10"/>
  <c r="I88" i="10"/>
  <c r="K88" i="10"/>
  <c r="L88" i="10"/>
  <c r="D89" i="10"/>
  <c r="E89" i="10"/>
  <c r="F89" i="10"/>
  <c r="G89" i="10"/>
  <c r="H89" i="10"/>
  <c r="I89" i="10"/>
  <c r="K89" i="10"/>
  <c r="L89" i="10"/>
  <c r="D90" i="10"/>
  <c r="E90" i="10"/>
  <c r="F90" i="10"/>
  <c r="G90" i="10"/>
  <c r="H90" i="10"/>
  <c r="I90" i="10"/>
  <c r="K90" i="10"/>
  <c r="L90" i="10"/>
  <c r="D91" i="10"/>
  <c r="E91" i="10"/>
  <c r="F91" i="10"/>
  <c r="G91" i="10"/>
  <c r="H91" i="10"/>
  <c r="I91" i="10"/>
  <c r="K91" i="10"/>
  <c r="L91" i="10"/>
  <c r="D92" i="10"/>
  <c r="E92" i="10"/>
  <c r="F92" i="10"/>
  <c r="G92" i="10"/>
  <c r="H92" i="10"/>
  <c r="I92" i="10"/>
  <c r="K92" i="10"/>
  <c r="L92" i="10"/>
  <c r="D93" i="10"/>
  <c r="E93" i="10"/>
  <c r="F93" i="10"/>
  <c r="G93" i="10"/>
  <c r="H93" i="10"/>
  <c r="I93" i="10"/>
  <c r="K93" i="10"/>
  <c r="L93" i="10"/>
  <c r="D94" i="10"/>
  <c r="E94" i="10"/>
  <c r="F94" i="10"/>
  <c r="G94" i="10"/>
  <c r="H94" i="10"/>
  <c r="I94" i="10"/>
  <c r="K94" i="10"/>
  <c r="L94" i="10"/>
  <c r="D95" i="10"/>
  <c r="E95" i="10"/>
  <c r="F95" i="10"/>
  <c r="G95" i="10"/>
  <c r="H95" i="10"/>
  <c r="I95" i="10"/>
  <c r="K95" i="10"/>
  <c r="L95" i="10"/>
  <c r="D96" i="10"/>
  <c r="E96" i="10"/>
  <c r="F96" i="10"/>
  <c r="G96" i="10"/>
  <c r="H96" i="10"/>
  <c r="I96" i="10"/>
  <c r="K96" i="10"/>
  <c r="L96" i="10"/>
  <c r="D97" i="10"/>
  <c r="E97" i="10"/>
  <c r="F97" i="10"/>
  <c r="G97" i="10"/>
  <c r="H97" i="10"/>
  <c r="I97" i="10"/>
  <c r="K97" i="10"/>
  <c r="L97" i="10"/>
  <c r="D98" i="10"/>
  <c r="E98" i="10"/>
  <c r="F98" i="10"/>
  <c r="G98" i="10"/>
  <c r="H98" i="10"/>
  <c r="I98" i="10"/>
  <c r="K98" i="10"/>
  <c r="L98" i="10"/>
  <c r="D99" i="10"/>
  <c r="E99" i="10"/>
  <c r="F99" i="10"/>
  <c r="G99" i="10"/>
  <c r="H99" i="10"/>
  <c r="I99" i="10"/>
  <c r="K99" i="10"/>
  <c r="L99" i="10"/>
  <c r="D100" i="10"/>
  <c r="E100" i="10"/>
  <c r="F100" i="10"/>
  <c r="G100" i="10"/>
  <c r="H100" i="10"/>
  <c r="I100" i="10"/>
  <c r="K100" i="10"/>
  <c r="L100" i="10"/>
  <c r="D101" i="10"/>
  <c r="E101" i="10"/>
  <c r="F101" i="10"/>
  <c r="G101" i="10"/>
  <c r="H101" i="10"/>
  <c r="I101" i="10"/>
  <c r="K101" i="10"/>
  <c r="L101" i="10"/>
  <c r="D102" i="10"/>
  <c r="E102" i="10"/>
  <c r="F102" i="10"/>
  <c r="G102" i="10"/>
  <c r="H102" i="10"/>
  <c r="I102" i="10"/>
  <c r="K102" i="10"/>
  <c r="L102" i="10"/>
  <c r="D103" i="10"/>
  <c r="E103" i="10"/>
  <c r="F103" i="10"/>
  <c r="G103" i="10"/>
  <c r="H103" i="10"/>
  <c r="I103" i="10"/>
  <c r="K103" i="10"/>
  <c r="L103" i="10"/>
  <c r="D104" i="10"/>
  <c r="E104" i="10"/>
  <c r="F104" i="10"/>
  <c r="G104" i="10"/>
  <c r="H104" i="10"/>
  <c r="I104" i="10"/>
  <c r="K104" i="10"/>
  <c r="L104" i="10"/>
  <c r="D105" i="10"/>
  <c r="E105" i="10"/>
  <c r="F105" i="10"/>
  <c r="G105" i="10"/>
  <c r="H105" i="10"/>
  <c r="I105" i="10"/>
  <c r="K105" i="10"/>
  <c r="L105" i="10"/>
  <c r="D106" i="10"/>
  <c r="E106" i="10"/>
  <c r="F106" i="10"/>
  <c r="G106" i="10"/>
  <c r="H106" i="10"/>
  <c r="I106" i="10"/>
  <c r="K106" i="10"/>
  <c r="L106" i="10"/>
  <c r="D107" i="10"/>
  <c r="E107" i="10"/>
  <c r="F107" i="10"/>
  <c r="G107" i="10"/>
  <c r="H107" i="10"/>
  <c r="I107" i="10"/>
  <c r="K107" i="10"/>
  <c r="L107" i="10"/>
  <c r="D108" i="10"/>
  <c r="E108" i="10"/>
  <c r="F108" i="10"/>
  <c r="G108" i="10"/>
  <c r="H108" i="10"/>
  <c r="I108" i="10"/>
  <c r="K108" i="10"/>
  <c r="L108" i="10"/>
  <c r="D109" i="10"/>
  <c r="E109" i="10"/>
  <c r="F109" i="10"/>
  <c r="G109" i="10"/>
  <c r="H109" i="10"/>
  <c r="I109" i="10"/>
  <c r="K109" i="10"/>
  <c r="L109" i="10"/>
  <c r="D110" i="10"/>
  <c r="E110" i="10"/>
  <c r="F110" i="10"/>
  <c r="G110" i="10"/>
  <c r="H110" i="10"/>
  <c r="I110" i="10"/>
  <c r="K110" i="10"/>
  <c r="L110" i="10"/>
  <c r="D111" i="10"/>
  <c r="E111" i="10"/>
  <c r="F111" i="10"/>
  <c r="G111" i="10"/>
  <c r="H111" i="10"/>
  <c r="I111" i="10"/>
  <c r="K111" i="10"/>
  <c r="L111" i="10"/>
  <c r="D112" i="10"/>
  <c r="E112" i="10"/>
  <c r="F112" i="10"/>
  <c r="G112" i="10"/>
  <c r="H112" i="10"/>
  <c r="I112" i="10"/>
  <c r="K112" i="10"/>
  <c r="L112" i="10"/>
  <c r="D113" i="10"/>
  <c r="E113" i="10"/>
  <c r="F113" i="10"/>
  <c r="G113" i="10"/>
  <c r="H113" i="10"/>
  <c r="I113" i="10"/>
  <c r="K113" i="10"/>
  <c r="L113" i="10"/>
  <c r="D114" i="10"/>
  <c r="E114" i="10"/>
  <c r="F114" i="10"/>
  <c r="G114" i="10"/>
  <c r="H114" i="10"/>
  <c r="I114" i="10"/>
  <c r="K114" i="10"/>
  <c r="L114" i="10"/>
  <c r="D115" i="10"/>
  <c r="E115" i="10"/>
  <c r="F115" i="10"/>
  <c r="G115" i="10"/>
  <c r="H115" i="10"/>
  <c r="I115" i="10"/>
  <c r="K115" i="10"/>
  <c r="L115" i="10"/>
  <c r="D116" i="10"/>
  <c r="E116" i="10"/>
  <c r="F116" i="10"/>
  <c r="G116" i="10"/>
  <c r="H116" i="10"/>
  <c r="I116" i="10"/>
  <c r="K116" i="10"/>
  <c r="L116" i="10"/>
  <c r="D117" i="10"/>
  <c r="E117" i="10"/>
  <c r="F117" i="10"/>
  <c r="G117" i="10"/>
  <c r="H117" i="10"/>
  <c r="I117" i="10"/>
  <c r="K117" i="10"/>
  <c r="L117" i="10"/>
  <c r="D118" i="10"/>
  <c r="E118" i="10"/>
  <c r="F118" i="10"/>
  <c r="G118" i="10"/>
  <c r="H118" i="10"/>
  <c r="I118" i="10"/>
  <c r="K118" i="10"/>
  <c r="L118" i="10"/>
  <c r="D119" i="10"/>
  <c r="E119" i="10"/>
  <c r="F119" i="10"/>
  <c r="G119" i="10"/>
  <c r="H119" i="10"/>
  <c r="I119" i="10"/>
  <c r="K119" i="10"/>
  <c r="L119" i="10"/>
  <c r="D120" i="10"/>
  <c r="E120" i="10"/>
  <c r="F120" i="10"/>
  <c r="G120" i="10"/>
  <c r="H120" i="10"/>
  <c r="I120" i="10"/>
  <c r="K120" i="10"/>
  <c r="L120" i="10"/>
  <c r="D121" i="10"/>
  <c r="E121" i="10"/>
  <c r="F121" i="10"/>
  <c r="G121" i="10"/>
  <c r="H121" i="10"/>
  <c r="I121" i="10"/>
  <c r="K121" i="10"/>
  <c r="L121" i="10"/>
  <c r="D122" i="10"/>
  <c r="E122" i="10"/>
  <c r="F122" i="10"/>
  <c r="G122" i="10"/>
  <c r="H122" i="10"/>
  <c r="I122" i="10"/>
  <c r="K122" i="10"/>
  <c r="L122" i="10"/>
  <c r="D123" i="10"/>
  <c r="E123" i="10"/>
  <c r="F123" i="10"/>
  <c r="G123" i="10"/>
  <c r="H123" i="10"/>
  <c r="I123" i="10"/>
  <c r="K123" i="10"/>
  <c r="L123" i="10"/>
  <c r="D124" i="10"/>
  <c r="E124" i="10"/>
  <c r="F124" i="10"/>
  <c r="G124" i="10"/>
  <c r="H124" i="10"/>
  <c r="I124" i="10"/>
  <c r="K124" i="10"/>
  <c r="L124" i="10"/>
  <c r="D125" i="10"/>
  <c r="E125" i="10"/>
  <c r="F125" i="10"/>
  <c r="G125" i="10"/>
  <c r="H125" i="10"/>
  <c r="I125" i="10"/>
  <c r="K125" i="10"/>
  <c r="L125" i="10"/>
  <c r="D126" i="10"/>
  <c r="E126" i="10"/>
  <c r="F126" i="10"/>
  <c r="G126" i="10"/>
  <c r="H126" i="10"/>
  <c r="I126" i="10"/>
  <c r="K126" i="10"/>
  <c r="L126" i="10"/>
  <c r="D127" i="10"/>
  <c r="E127" i="10"/>
  <c r="F127" i="10"/>
  <c r="G127" i="10"/>
  <c r="H127" i="10"/>
  <c r="I127" i="10"/>
  <c r="K127" i="10"/>
  <c r="L127" i="10"/>
  <c r="D128" i="10"/>
  <c r="E128" i="10"/>
  <c r="F128" i="10"/>
  <c r="G128" i="10"/>
  <c r="H128" i="10"/>
  <c r="I128" i="10"/>
  <c r="K128" i="10"/>
  <c r="L128" i="10"/>
  <c r="D129" i="10"/>
  <c r="E129" i="10"/>
  <c r="F129" i="10"/>
  <c r="G129" i="10"/>
  <c r="H129" i="10"/>
  <c r="I129" i="10"/>
  <c r="K129" i="10"/>
  <c r="L129" i="10"/>
  <c r="D130" i="10"/>
  <c r="E130" i="10"/>
  <c r="F130" i="10"/>
  <c r="G130" i="10"/>
  <c r="H130" i="10"/>
  <c r="I130" i="10"/>
  <c r="K130" i="10"/>
  <c r="L130" i="10"/>
  <c r="D131" i="10"/>
  <c r="E131" i="10"/>
  <c r="F131" i="10"/>
  <c r="G131" i="10"/>
  <c r="H131" i="10"/>
  <c r="I131" i="10"/>
  <c r="K131" i="10"/>
  <c r="L131" i="10"/>
  <c r="D132" i="10"/>
  <c r="E132" i="10"/>
  <c r="F132" i="10"/>
  <c r="G132" i="10"/>
  <c r="H132" i="10"/>
  <c r="I132" i="10"/>
  <c r="K132" i="10"/>
  <c r="L132" i="10"/>
  <c r="D133" i="10"/>
  <c r="E133" i="10"/>
  <c r="F133" i="10"/>
  <c r="G133" i="10"/>
  <c r="H133" i="10"/>
  <c r="I133" i="10"/>
  <c r="K133" i="10"/>
  <c r="L133" i="10"/>
  <c r="D134" i="10"/>
  <c r="E134" i="10"/>
  <c r="F134" i="10"/>
  <c r="G134" i="10"/>
  <c r="H134" i="10"/>
  <c r="I134" i="10"/>
  <c r="K134" i="10"/>
  <c r="L134" i="10"/>
  <c r="D135" i="10"/>
  <c r="E135" i="10"/>
  <c r="F135" i="10"/>
  <c r="G135" i="10"/>
  <c r="H135" i="10"/>
  <c r="I135" i="10"/>
  <c r="K135" i="10"/>
  <c r="L135" i="10"/>
  <c r="D136" i="10"/>
  <c r="E136" i="10"/>
  <c r="F136" i="10"/>
  <c r="G136" i="10"/>
  <c r="H136" i="10"/>
  <c r="I136" i="10"/>
  <c r="K136" i="10"/>
  <c r="L136" i="10"/>
  <c r="D137" i="10"/>
  <c r="E137" i="10"/>
  <c r="F137" i="10"/>
  <c r="G137" i="10"/>
  <c r="H137" i="10"/>
  <c r="I137" i="10"/>
  <c r="K137" i="10"/>
  <c r="L137" i="10"/>
  <c r="D138" i="10"/>
  <c r="E138" i="10"/>
  <c r="F138" i="10"/>
  <c r="G138" i="10"/>
  <c r="H138" i="10"/>
  <c r="I138" i="10"/>
  <c r="K138" i="10"/>
  <c r="L138" i="10"/>
  <c r="D139" i="10"/>
  <c r="E139" i="10"/>
  <c r="F139" i="10"/>
  <c r="G139" i="10"/>
  <c r="H139" i="10"/>
  <c r="I139" i="10"/>
  <c r="K139" i="10"/>
  <c r="L139" i="10"/>
  <c r="D140" i="10"/>
  <c r="E140" i="10"/>
  <c r="F140" i="10"/>
  <c r="G140" i="10"/>
  <c r="H140" i="10"/>
  <c r="I140" i="10"/>
  <c r="K140" i="10"/>
  <c r="L140" i="10"/>
  <c r="D141" i="10"/>
  <c r="E141" i="10"/>
  <c r="F141" i="10"/>
  <c r="G141" i="10"/>
  <c r="H141" i="10"/>
  <c r="I141" i="10"/>
  <c r="K141" i="10"/>
  <c r="L141" i="10"/>
  <c r="D142" i="10"/>
  <c r="E142" i="10"/>
  <c r="F142" i="10"/>
  <c r="G142" i="10"/>
  <c r="H142" i="10"/>
  <c r="I142" i="10"/>
  <c r="K142" i="10"/>
  <c r="L142" i="10"/>
  <c r="D143" i="10"/>
  <c r="E143" i="10"/>
  <c r="F143" i="10"/>
  <c r="G143" i="10"/>
  <c r="H143" i="10"/>
  <c r="I143" i="10"/>
  <c r="K143" i="10"/>
  <c r="L143" i="10"/>
  <c r="D144" i="10"/>
  <c r="E144" i="10"/>
  <c r="F144" i="10"/>
  <c r="G144" i="10"/>
  <c r="H144" i="10"/>
  <c r="I144" i="10"/>
  <c r="K144" i="10"/>
  <c r="L144" i="10"/>
  <c r="D145" i="10"/>
  <c r="E145" i="10"/>
  <c r="F145" i="10"/>
  <c r="G145" i="10"/>
  <c r="H145" i="10"/>
  <c r="I145" i="10"/>
  <c r="K145" i="10"/>
  <c r="L145" i="10"/>
  <c r="D146" i="10"/>
  <c r="E146" i="10"/>
  <c r="F146" i="10"/>
  <c r="G146" i="10"/>
  <c r="H146" i="10"/>
  <c r="I146" i="10"/>
  <c r="K146" i="10"/>
  <c r="L146" i="10"/>
  <c r="D147" i="10"/>
  <c r="E147" i="10"/>
  <c r="F147" i="10"/>
  <c r="G147" i="10"/>
  <c r="H147" i="10"/>
  <c r="I147" i="10"/>
  <c r="K147" i="10"/>
  <c r="L147" i="10"/>
  <c r="D148" i="10"/>
  <c r="E148" i="10"/>
  <c r="F148" i="10"/>
  <c r="G148" i="10"/>
  <c r="H148" i="10"/>
  <c r="I148" i="10"/>
  <c r="K148" i="10"/>
  <c r="L148" i="10"/>
  <c r="D149" i="10"/>
  <c r="E149" i="10"/>
  <c r="F149" i="10"/>
  <c r="G149" i="10"/>
  <c r="H149" i="10"/>
  <c r="I149" i="10"/>
  <c r="K149" i="10"/>
  <c r="L149" i="10"/>
  <c r="D150" i="10"/>
  <c r="E150" i="10"/>
  <c r="F150" i="10"/>
  <c r="G150" i="10"/>
  <c r="H150" i="10"/>
  <c r="I150" i="10"/>
  <c r="K150" i="10"/>
  <c r="L150" i="10"/>
  <c r="D151" i="10"/>
  <c r="E151" i="10"/>
  <c r="F151" i="10"/>
  <c r="G151" i="10"/>
  <c r="H151" i="10"/>
  <c r="I151" i="10"/>
  <c r="K151" i="10"/>
  <c r="L151" i="10"/>
  <c r="D152" i="10"/>
  <c r="E152" i="10"/>
  <c r="F152" i="10"/>
  <c r="G152" i="10"/>
  <c r="H152" i="10"/>
  <c r="I152" i="10"/>
  <c r="K152" i="10"/>
  <c r="L152" i="10"/>
  <c r="D153" i="10"/>
  <c r="E153" i="10"/>
  <c r="F153" i="10"/>
  <c r="G153" i="10"/>
  <c r="H153" i="10"/>
  <c r="I153" i="10"/>
  <c r="K153" i="10"/>
  <c r="L153" i="10"/>
  <c r="D154" i="10"/>
  <c r="E154" i="10"/>
  <c r="F154" i="10"/>
  <c r="G154" i="10"/>
  <c r="H154" i="10"/>
  <c r="I154" i="10"/>
  <c r="K154" i="10"/>
  <c r="L154" i="10"/>
  <c r="D155" i="10"/>
  <c r="E155" i="10"/>
  <c r="F155" i="10"/>
  <c r="G155" i="10"/>
  <c r="H155" i="10"/>
  <c r="I155" i="10"/>
  <c r="K155" i="10"/>
  <c r="L155" i="10"/>
  <c r="D156" i="10"/>
  <c r="E156" i="10"/>
  <c r="F156" i="10"/>
  <c r="G156" i="10"/>
  <c r="H156" i="10"/>
  <c r="I156" i="10"/>
  <c r="K156" i="10"/>
  <c r="L156" i="10"/>
  <c r="D157" i="10"/>
  <c r="E157" i="10"/>
  <c r="F157" i="10"/>
  <c r="G157" i="10"/>
  <c r="H157" i="10"/>
  <c r="I157" i="10"/>
  <c r="K157" i="10"/>
  <c r="L157" i="10"/>
  <c r="D158" i="10"/>
  <c r="E158" i="10"/>
  <c r="F158" i="10"/>
  <c r="G158" i="10"/>
  <c r="H158" i="10"/>
  <c r="I158" i="10"/>
  <c r="K158" i="10"/>
  <c r="L158" i="10"/>
  <c r="D159" i="10"/>
  <c r="E159" i="10"/>
  <c r="F159" i="10"/>
  <c r="G159" i="10"/>
  <c r="H159" i="10"/>
  <c r="I159" i="10"/>
  <c r="K159" i="10"/>
  <c r="L159" i="10"/>
  <c r="D160" i="10"/>
  <c r="E160" i="10"/>
  <c r="F160" i="10"/>
  <c r="G160" i="10"/>
  <c r="H160" i="10"/>
  <c r="I160" i="10"/>
  <c r="K160" i="10"/>
  <c r="L160" i="10"/>
  <c r="D161" i="10"/>
  <c r="E161" i="10"/>
  <c r="F161" i="10"/>
  <c r="G161" i="10"/>
  <c r="H161" i="10"/>
  <c r="I161" i="10"/>
  <c r="K161" i="10"/>
  <c r="L161" i="10"/>
  <c r="D162" i="10"/>
  <c r="E162" i="10"/>
  <c r="F162" i="10"/>
  <c r="G162" i="10"/>
  <c r="H162" i="10"/>
  <c r="I162" i="10"/>
  <c r="K162" i="10"/>
  <c r="L162" i="10"/>
  <c r="D163" i="10"/>
  <c r="E163" i="10"/>
  <c r="F163" i="10"/>
  <c r="G163" i="10"/>
  <c r="H163" i="10"/>
  <c r="I163" i="10"/>
  <c r="K163" i="10"/>
  <c r="L163" i="10"/>
  <c r="D164" i="10"/>
  <c r="E164" i="10"/>
  <c r="F164" i="10"/>
  <c r="G164" i="10"/>
  <c r="H164" i="10"/>
  <c r="I164" i="10"/>
  <c r="K164" i="10"/>
  <c r="L164" i="10"/>
  <c r="D165" i="10"/>
  <c r="E165" i="10"/>
  <c r="F165" i="10"/>
  <c r="G165" i="10"/>
  <c r="H165" i="10"/>
  <c r="I165" i="10"/>
  <c r="K165" i="10"/>
  <c r="L165" i="10"/>
  <c r="D166" i="10"/>
  <c r="E166" i="10"/>
  <c r="F166" i="10"/>
  <c r="G166" i="10"/>
  <c r="H166" i="10"/>
  <c r="I166" i="10"/>
  <c r="K166" i="10"/>
  <c r="L166" i="10"/>
  <c r="D167" i="10"/>
  <c r="E167" i="10"/>
  <c r="F167" i="10"/>
  <c r="G167" i="10"/>
  <c r="H167" i="10"/>
  <c r="I167" i="10"/>
  <c r="K167" i="10"/>
  <c r="L167" i="10"/>
  <c r="D168" i="10"/>
  <c r="E168" i="10"/>
  <c r="F168" i="10"/>
  <c r="G168" i="10"/>
  <c r="H168" i="10"/>
  <c r="I168" i="10"/>
  <c r="K168" i="10"/>
  <c r="L168" i="10"/>
  <c r="D169" i="10"/>
  <c r="E169" i="10"/>
  <c r="F169" i="10"/>
  <c r="G169" i="10"/>
  <c r="H169" i="10"/>
  <c r="I169" i="10"/>
  <c r="K169" i="10"/>
  <c r="L169" i="10"/>
  <c r="D170" i="10"/>
  <c r="E170" i="10"/>
  <c r="F170" i="10"/>
  <c r="G170" i="10"/>
  <c r="H170" i="10"/>
  <c r="I170" i="10"/>
  <c r="K170" i="10"/>
  <c r="L170" i="10"/>
  <c r="D171" i="10"/>
  <c r="E171" i="10"/>
  <c r="F171" i="10"/>
  <c r="G171" i="10"/>
  <c r="H171" i="10"/>
  <c r="I171" i="10"/>
  <c r="K171" i="10"/>
  <c r="L171" i="10"/>
  <c r="D172" i="10"/>
  <c r="E172" i="10"/>
  <c r="F172" i="10"/>
  <c r="G172" i="10"/>
  <c r="H172" i="10"/>
  <c r="I172" i="10"/>
  <c r="K172" i="10"/>
  <c r="L172" i="10"/>
  <c r="D173" i="10"/>
  <c r="E173" i="10"/>
  <c r="F173" i="10"/>
  <c r="G173" i="10"/>
  <c r="H173" i="10"/>
  <c r="I173" i="10"/>
  <c r="K173" i="10"/>
  <c r="L173" i="10"/>
  <c r="D174" i="10"/>
  <c r="E174" i="10"/>
  <c r="F174" i="10"/>
  <c r="G174" i="10"/>
  <c r="H174" i="10"/>
  <c r="I174" i="10"/>
  <c r="K174" i="10"/>
  <c r="L174" i="10"/>
  <c r="D175" i="10"/>
  <c r="E175" i="10"/>
  <c r="F175" i="10"/>
  <c r="G175" i="10"/>
  <c r="H175" i="10"/>
  <c r="I175" i="10"/>
  <c r="K175" i="10"/>
  <c r="L175" i="10"/>
  <c r="D176" i="10"/>
  <c r="E176" i="10"/>
  <c r="F176" i="10"/>
  <c r="G176" i="10"/>
  <c r="H176" i="10"/>
  <c r="I176" i="10"/>
  <c r="K176" i="10"/>
  <c r="L176" i="10"/>
  <c r="D177" i="10"/>
  <c r="E177" i="10"/>
  <c r="F177" i="10"/>
  <c r="G177" i="10"/>
  <c r="H177" i="10"/>
  <c r="I177" i="10"/>
  <c r="K177" i="10"/>
  <c r="L177" i="10"/>
  <c r="D178" i="10"/>
  <c r="E178" i="10"/>
  <c r="F178" i="10"/>
  <c r="G178" i="10"/>
  <c r="H178" i="10"/>
  <c r="I178" i="10"/>
  <c r="K178" i="10"/>
  <c r="L178" i="10"/>
  <c r="D179" i="10"/>
  <c r="E179" i="10"/>
  <c r="F179" i="10"/>
  <c r="G179" i="10"/>
  <c r="H179" i="10"/>
  <c r="I179" i="10"/>
  <c r="K179" i="10"/>
  <c r="L179" i="10"/>
  <c r="D180" i="10"/>
  <c r="E180" i="10"/>
  <c r="F180" i="10"/>
  <c r="G180" i="10"/>
  <c r="H180" i="10"/>
  <c r="I180" i="10"/>
  <c r="K180" i="10"/>
  <c r="L180" i="10"/>
  <c r="D181" i="10"/>
  <c r="E181" i="10"/>
  <c r="F181" i="10"/>
  <c r="G181" i="10"/>
  <c r="H181" i="10"/>
  <c r="I181" i="10"/>
  <c r="K181" i="10"/>
  <c r="L181" i="10"/>
  <c r="D182" i="10"/>
  <c r="E182" i="10"/>
  <c r="F182" i="10"/>
  <c r="G182" i="10"/>
  <c r="H182" i="10"/>
  <c r="I182" i="10"/>
  <c r="K182" i="10"/>
  <c r="L182" i="10"/>
  <c r="D183" i="10"/>
  <c r="E183" i="10"/>
  <c r="F183" i="10"/>
  <c r="G183" i="10"/>
  <c r="H183" i="10"/>
  <c r="I183" i="10"/>
  <c r="K183" i="10"/>
  <c r="L183" i="10"/>
  <c r="D184" i="10"/>
  <c r="E184" i="10"/>
  <c r="F184" i="10"/>
  <c r="G184" i="10"/>
  <c r="H184" i="10"/>
  <c r="I184" i="10"/>
  <c r="K184" i="10"/>
  <c r="L184" i="10"/>
  <c r="D185" i="10"/>
  <c r="E185" i="10"/>
  <c r="F185" i="10"/>
  <c r="G185" i="10"/>
  <c r="H185" i="10"/>
  <c r="I185" i="10"/>
  <c r="K185" i="10"/>
  <c r="L185" i="10"/>
  <c r="D186" i="10"/>
  <c r="E186" i="10"/>
  <c r="F186" i="10"/>
  <c r="G186" i="10"/>
  <c r="H186" i="10"/>
  <c r="I186" i="10"/>
  <c r="K186" i="10"/>
  <c r="L186" i="10"/>
  <c r="D187" i="10"/>
  <c r="E187" i="10"/>
  <c r="F187" i="10"/>
  <c r="G187" i="10"/>
  <c r="H187" i="10"/>
  <c r="I187" i="10"/>
  <c r="K187" i="10"/>
  <c r="L187" i="10"/>
  <c r="D188" i="10"/>
  <c r="E188" i="10"/>
  <c r="F188" i="10"/>
  <c r="G188" i="10"/>
  <c r="H188" i="10"/>
  <c r="I188" i="10"/>
  <c r="K188" i="10"/>
  <c r="L188" i="10"/>
  <c r="D189" i="10"/>
  <c r="E189" i="10"/>
  <c r="F189" i="10"/>
  <c r="G189" i="10"/>
  <c r="H189" i="10"/>
  <c r="I189" i="10"/>
  <c r="K189" i="10"/>
  <c r="L189" i="10"/>
  <c r="D190" i="10"/>
  <c r="E190" i="10"/>
  <c r="F190" i="10"/>
  <c r="G190" i="10"/>
  <c r="H190" i="10"/>
  <c r="I190" i="10"/>
  <c r="K190" i="10"/>
  <c r="L190" i="10"/>
  <c r="D191" i="10"/>
  <c r="E191" i="10"/>
  <c r="F191" i="10"/>
  <c r="G191" i="10"/>
  <c r="H191" i="10"/>
  <c r="I191" i="10"/>
  <c r="K191" i="10"/>
  <c r="L191" i="10"/>
  <c r="D192" i="10"/>
  <c r="E192" i="10"/>
  <c r="F192" i="10"/>
  <c r="G192" i="10"/>
  <c r="H192" i="10"/>
  <c r="I192" i="10"/>
  <c r="K192" i="10"/>
  <c r="L192" i="10"/>
  <c r="D193" i="10"/>
  <c r="E193" i="10"/>
  <c r="F193" i="10"/>
  <c r="G193" i="10"/>
  <c r="H193" i="10"/>
  <c r="I193" i="10"/>
  <c r="K193" i="10"/>
  <c r="L193" i="10"/>
  <c r="D194" i="10"/>
  <c r="E194" i="10"/>
  <c r="F194" i="10"/>
  <c r="G194" i="10"/>
  <c r="H194" i="10"/>
  <c r="I194" i="10"/>
  <c r="K194" i="10"/>
  <c r="L194" i="10"/>
  <c r="D195" i="10"/>
  <c r="E195" i="10"/>
  <c r="F195" i="10"/>
  <c r="G195" i="10"/>
  <c r="H195" i="10"/>
  <c r="I195" i="10"/>
  <c r="K195" i="10"/>
  <c r="L195" i="10"/>
  <c r="D196" i="10"/>
  <c r="E196" i="10"/>
  <c r="F196" i="10"/>
  <c r="G196" i="10"/>
  <c r="H196" i="10"/>
  <c r="I196" i="10"/>
  <c r="K196" i="10"/>
  <c r="L196" i="10"/>
  <c r="D197" i="10"/>
  <c r="E197" i="10"/>
  <c r="F197" i="10"/>
  <c r="G197" i="10"/>
  <c r="H197" i="10"/>
  <c r="I197" i="10"/>
  <c r="K197" i="10"/>
  <c r="L197" i="10"/>
  <c r="D198" i="10"/>
  <c r="E198" i="10"/>
  <c r="F198" i="10"/>
  <c r="G198" i="10"/>
  <c r="H198" i="10"/>
  <c r="I198" i="10"/>
  <c r="K198" i="10"/>
  <c r="L198" i="10"/>
  <c r="D199" i="10"/>
  <c r="E199" i="10"/>
  <c r="F199" i="10"/>
  <c r="G199" i="10"/>
  <c r="H199" i="10"/>
  <c r="I199" i="10"/>
  <c r="K199" i="10"/>
  <c r="L199" i="10"/>
  <c r="D200" i="10"/>
  <c r="E200" i="10"/>
  <c r="F200" i="10"/>
  <c r="G200" i="10"/>
  <c r="H200" i="10"/>
  <c r="I200" i="10"/>
  <c r="K200" i="10"/>
  <c r="L200" i="10"/>
  <c r="D201" i="10"/>
  <c r="E201" i="10"/>
  <c r="F201" i="10"/>
  <c r="G201" i="10"/>
  <c r="H201" i="10"/>
  <c r="I201" i="10"/>
  <c r="K201" i="10"/>
  <c r="L201" i="10"/>
  <c r="D202" i="10"/>
  <c r="E202" i="10"/>
  <c r="F202" i="10"/>
  <c r="G202" i="10"/>
  <c r="H202" i="10"/>
  <c r="I202" i="10"/>
  <c r="K202" i="10"/>
  <c r="L202" i="10"/>
  <c r="D203" i="10"/>
  <c r="E203" i="10"/>
  <c r="F203" i="10"/>
  <c r="G203" i="10"/>
  <c r="H203" i="10"/>
  <c r="I203" i="10"/>
  <c r="K203" i="10"/>
  <c r="L203" i="10"/>
  <c r="D204" i="10"/>
  <c r="E204" i="10"/>
  <c r="F204" i="10"/>
  <c r="G204" i="10"/>
  <c r="H204" i="10"/>
  <c r="I204" i="10"/>
  <c r="K204" i="10"/>
  <c r="L204" i="10"/>
  <c r="D205" i="10"/>
  <c r="E205" i="10"/>
  <c r="F205" i="10"/>
  <c r="G205" i="10"/>
  <c r="H205" i="10"/>
  <c r="I205" i="10"/>
  <c r="K205" i="10"/>
  <c r="L205" i="10"/>
  <c r="D206" i="10"/>
  <c r="E206" i="10"/>
  <c r="F206" i="10"/>
  <c r="G206" i="10"/>
  <c r="H206" i="10"/>
  <c r="I206" i="10"/>
  <c r="K206" i="10"/>
  <c r="L206" i="10"/>
  <c r="D207" i="10"/>
  <c r="E207" i="10"/>
  <c r="F207" i="10"/>
  <c r="G207" i="10"/>
  <c r="H207" i="10"/>
  <c r="I207" i="10"/>
  <c r="K207" i="10"/>
  <c r="L207" i="10"/>
  <c r="D208" i="10"/>
  <c r="E208" i="10"/>
  <c r="F208" i="10"/>
  <c r="G208" i="10"/>
  <c r="H208" i="10"/>
  <c r="I208" i="10"/>
  <c r="K208" i="10"/>
  <c r="L208" i="10"/>
  <c r="D209" i="10"/>
  <c r="E209" i="10"/>
  <c r="F209" i="10"/>
  <c r="G209" i="10"/>
  <c r="H209" i="10"/>
  <c r="I209" i="10"/>
  <c r="K209" i="10"/>
  <c r="L209" i="10"/>
  <c r="D210" i="10"/>
  <c r="E210" i="10"/>
  <c r="F210" i="10"/>
  <c r="G210" i="10"/>
  <c r="H210" i="10"/>
  <c r="I210" i="10"/>
  <c r="K210" i="10"/>
  <c r="L210" i="10"/>
  <c r="D211" i="10"/>
  <c r="E211" i="10"/>
  <c r="F211" i="10"/>
  <c r="G211" i="10"/>
  <c r="H211" i="10"/>
  <c r="I211" i="10"/>
  <c r="K211" i="10"/>
  <c r="L211" i="10"/>
  <c r="D212" i="10"/>
  <c r="E212" i="10"/>
  <c r="F212" i="10"/>
  <c r="G212" i="10"/>
  <c r="H212" i="10"/>
  <c r="I212" i="10"/>
  <c r="K212" i="10"/>
  <c r="L212" i="10"/>
  <c r="D213" i="10"/>
  <c r="E213" i="10"/>
  <c r="F213" i="10"/>
  <c r="G213" i="10"/>
  <c r="H213" i="10"/>
  <c r="I213" i="10"/>
  <c r="K213" i="10"/>
  <c r="L213" i="10"/>
  <c r="D214" i="10"/>
  <c r="E214" i="10"/>
  <c r="F214" i="10"/>
  <c r="G214" i="10"/>
  <c r="H214" i="10"/>
  <c r="I214" i="10"/>
  <c r="K214" i="10"/>
  <c r="L214" i="10"/>
  <c r="D215" i="10"/>
  <c r="E215" i="10"/>
  <c r="F215" i="10"/>
  <c r="G215" i="10"/>
  <c r="H215" i="10"/>
  <c r="I215" i="10"/>
  <c r="K215" i="10"/>
  <c r="L215" i="10"/>
  <c r="D216" i="10"/>
  <c r="E216" i="10"/>
  <c r="F216" i="10"/>
  <c r="G216" i="10"/>
  <c r="H216" i="10"/>
  <c r="I216" i="10"/>
  <c r="K216" i="10"/>
  <c r="L216" i="10"/>
  <c r="D217" i="10"/>
  <c r="E217" i="10"/>
  <c r="F217" i="10"/>
  <c r="G217" i="10"/>
  <c r="H217" i="10"/>
  <c r="I217" i="10"/>
  <c r="K217" i="10"/>
  <c r="L217" i="10"/>
  <c r="D218" i="10"/>
  <c r="E218" i="10"/>
  <c r="F218" i="10"/>
  <c r="G218" i="10"/>
  <c r="H218" i="10"/>
  <c r="I218" i="10"/>
  <c r="K218" i="10"/>
  <c r="L218" i="10"/>
  <c r="D219" i="10"/>
  <c r="E219" i="10"/>
  <c r="F219" i="10"/>
  <c r="G219" i="10"/>
  <c r="H219" i="10"/>
  <c r="I219" i="10"/>
  <c r="K219" i="10"/>
  <c r="L219" i="10"/>
  <c r="D220" i="10"/>
  <c r="E220" i="10"/>
  <c r="F220" i="10"/>
  <c r="G220" i="10"/>
  <c r="H220" i="10"/>
  <c r="I220" i="10"/>
  <c r="K220" i="10"/>
  <c r="L220" i="10"/>
  <c r="D221" i="10"/>
  <c r="E221" i="10"/>
  <c r="F221" i="10"/>
  <c r="G221" i="10"/>
  <c r="H221" i="10"/>
  <c r="I221" i="10"/>
  <c r="K221" i="10"/>
  <c r="L221" i="10"/>
  <c r="D222" i="10"/>
  <c r="E222" i="10"/>
  <c r="F222" i="10"/>
  <c r="G222" i="10"/>
  <c r="H222" i="10"/>
  <c r="I222" i="10"/>
  <c r="K222" i="10"/>
  <c r="L222" i="10"/>
  <c r="D223" i="10"/>
  <c r="E223" i="10"/>
  <c r="F223" i="10"/>
  <c r="G223" i="10"/>
  <c r="H223" i="10"/>
  <c r="I223" i="10"/>
  <c r="K223" i="10"/>
  <c r="L223" i="10"/>
  <c r="D224" i="10"/>
  <c r="E224" i="10"/>
  <c r="F224" i="10"/>
  <c r="G224" i="10"/>
  <c r="H224" i="10"/>
  <c r="I224" i="10"/>
  <c r="K224" i="10"/>
  <c r="L224" i="10"/>
  <c r="D225" i="10"/>
  <c r="E225" i="10"/>
  <c r="F225" i="10"/>
  <c r="G225" i="10"/>
  <c r="H225" i="10"/>
  <c r="I225" i="10"/>
  <c r="K225" i="10"/>
  <c r="L225" i="10"/>
  <c r="D226" i="10"/>
  <c r="E226" i="10"/>
  <c r="F226" i="10"/>
  <c r="G226" i="10"/>
  <c r="H226" i="10"/>
  <c r="I226" i="10"/>
  <c r="K226" i="10"/>
  <c r="L226" i="10"/>
  <c r="D227" i="10"/>
  <c r="E227" i="10"/>
  <c r="F227" i="10"/>
  <c r="G227" i="10"/>
  <c r="H227" i="10"/>
  <c r="I227" i="10"/>
  <c r="K227" i="10"/>
  <c r="L227" i="10"/>
  <c r="D228" i="10"/>
  <c r="E228" i="10"/>
  <c r="F228" i="10"/>
  <c r="G228" i="10"/>
  <c r="H228" i="10"/>
  <c r="I228" i="10"/>
  <c r="K228" i="10"/>
  <c r="L228" i="10"/>
  <c r="D229" i="10"/>
  <c r="E229" i="10"/>
  <c r="F229" i="10"/>
  <c r="G229" i="10"/>
  <c r="H229" i="10"/>
  <c r="I229" i="10"/>
  <c r="K229" i="10"/>
  <c r="L229" i="10"/>
  <c r="D230" i="10"/>
  <c r="E230" i="10"/>
  <c r="F230" i="10"/>
  <c r="G230" i="10"/>
  <c r="H230" i="10"/>
  <c r="I230" i="10"/>
  <c r="K230" i="10"/>
  <c r="L230" i="10"/>
  <c r="D231" i="10"/>
  <c r="E231" i="10"/>
  <c r="F231" i="10"/>
  <c r="G231" i="10"/>
  <c r="H231" i="10"/>
  <c r="I231" i="10"/>
  <c r="K231" i="10"/>
  <c r="L231" i="10"/>
  <c r="D232" i="10"/>
  <c r="E232" i="10"/>
  <c r="F232" i="10"/>
  <c r="G232" i="10"/>
  <c r="H232" i="10"/>
  <c r="I232" i="10"/>
  <c r="K232" i="10"/>
  <c r="L232" i="10"/>
  <c r="D233" i="10"/>
  <c r="E233" i="10"/>
  <c r="F233" i="10"/>
  <c r="G233" i="10"/>
  <c r="H233" i="10"/>
  <c r="I233" i="10"/>
  <c r="K233" i="10"/>
  <c r="L233" i="10"/>
  <c r="D234" i="10"/>
  <c r="E234" i="10"/>
  <c r="F234" i="10"/>
  <c r="G234" i="10"/>
  <c r="H234" i="10"/>
  <c r="I234" i="10"/>
  <c r="K234" i="10"/>
  <c r="L234" i="10"/>
  <c r="D235" i="10"/>
  <c r="E235" i="10"/>
  <c r="F235" i="10"/>
  <c r="G235" i="10"/>
  <c r="H235" i="10"/>
  <c r="I235" i="10"/>
  <c r="K235" i="10"/>
  <c r="L235" i="10"/>
  <c r="D236" i="10"/>
  <c r="E236" i="10"/>
  <c r="F236" i="10"/>
  <c r="G236" i="10"/>
  <c r="H236" i="10"/>
  <c r="I236" i="10"/>
  <c r="K236" i="10"/>
  <c r="L236" i="10"/>
  <c r="D237" i="10"/>
  <c r="E237" i="10"/>
  <c r="F237" i="10"/>
  <c r="G237" i="10"/>
  <c r="H237" i="10"/>
  <c r="I237" i="10"/>
  <c r="K237" i="10"/>
  <c r="L237" i="10"/>
  <c r="D238" i="10"/>
  <c r="E238" i="10"/>
  <c r="F238" i="10"/>
  <c r="G238" i="10"/>
  <c r="H238" i="10"/>
  <c r="I238" i="10"/>
  <c r="K238" i="10"/>
  <c r="L238" i="10"/>
  <c r="D239" i="10"/>
  <c r="E239" i="10"/>
  <c r="F239" i="10"/>
  <c r="G239" i="10"/>
  <c r="H239" i="10"/>
  <c r="I239" i="10"/>
  <c r="K239" i="10"/>
  <c r="L239" i="10"/>
  <c r="D240" i="10"/>
  <c r="E240" i="10"/>
  <c r="F240" i="10"/>
  <c r="G240" i="10"/>
  <c r="H240" i="10"/>
  <c r="I240" i="10"/>
  <c r="K240" i="10"/>
  <c r="L240" i="10"/>
  <c r="D241" i="10"/>
  <c r="E241" i="10"/>
  <c r="F241" i="10"/>
  <c r="G241" i="10"/>
  <c r="H241" i="10"/>
  <c r="I241" i="10"/>
  <c r="K241" i="10"/>
  <c r="L241" i="10"/>
  <c r="D242" i="10"/>
  <c r="E242" i="10"/>
  <c r="F242" i="10"/>
  <c r="G242" i="10"/>
  <c r="H242" i="10"/>
  <c r="I242" i="10"/>
  <c r="K242" i="10"/>
  <c r="L242" i="10"/>
  <c r="D243" i="10"/>
  <c r="E243" i="10"/>
  <c r="F243" i="10"/>
  <c r="G243" i="10"/>
  <c r="H243" i="10"/>
  <c r="I243" i="10"/>
  <c r="K243" i="10"/>
  <c r="L243" i="10"/>
  <c r="D244" i="10"/>
  <c r="E244" i="10"/>
  <c r="F244" i="10"/>
  <c r="G244" i="10"/>
  <c r="H244" i="10"/>
  <c r="I244" i="10"/>
  <c r="K244" i="10"/>
  <c r="L244" i="10"/>
  <c r="D245" i="10"/>
  <c r="E245" i="10"/>
  <c r="F245" i="10"/>
  <c r="G245" i="10"/>
  <c r="H245" i="10"/>
  <c r="I245" i="10"/>
  <c r="K245" i="10"/>
  <c r="L245" i="10"/>
  <c r="D246" i="10"/>
  <c r="E246" i="10"/>
  <c r="F246" i="10"/>
  <c r="G246" i="10"/>
  <c r="H246" i="10"/>
  <c r="I246" i="10"/>
  <c r="K246" i="10"/>
  <c r="L246" i="10"/>
  <c r="D247" i="10"/>
  <c r="E247" i="10"/>
  <c r="F247" i="10"/>
  <c r="G247" i="10"/>
  <c r="H247" i="10"/>
  <c r="I247" i="10"/>
  <c r="K247" i="10"/>
  <c r="L247" i="10"/>
  <c r="D248" i="10"/>
  <c r="E248" i="10"/>
  <c r="F248" i="10"/>
  <c r="G248" i="10"/>
  <c r="H248" i="10"/>
  <c r="I248" i="10"/>
  <c r="K248" i="10"/>
  <c r="L248" i="10"/>
  <c r="D249" i="10"/>
  <c r="E249" i="10"/>
  <c r="F249" i="10"/>
  <c r="G249" i="10"/>
  <c r="H249" i="10"/>
  <c r="I249" i="10"/>
  <c r="K249" i="10"/>
  <c r="L249" i="10"/>
  <c r="D250" i="10"/>
  <c r="E250" i="10"/>
  <c r="F250" i="10"/>
  <c r="G250" i="10"/>
  <c r="H250" i="10"/>
  <c r="I250" i="10"/>
  <c r="K250" i="10"/>
  <c r="L250" i="10"/>
  <c r="D251" i="10"/>
  <c r="E251" i="10"/>
  <c r="F251" i="10"/>
  <c r="G251" i="10"/>
  <c r="H251" i="10"/>
  <c r="I251" i="10"/>
  <c r="K251" i="10"/>
  <c r="L251" i="10"/>
  <c r="D252" i="10"/>
  <c r="E252" i="10"/>
  <c r="F252" i="10"/>
  <c r="G252" i="10"/>
  <c r="H252" i="10"/>
  <c r="I252" i="10"/>
  <c r="K252" i="10"/>
  <c r="L252" i="10"/>
  <c r="D253" i="10"/>
  <c r="E253" i="10"/>
  <c r="F253" i="10"/>
  <c r="G253" i="10"/>
  <c r="H253" i="10"/>
  <c r="I253" i="10"/>
  <c r="K253" i="10"/>
  <c r="L253" i="10"/>
  <c r="D254" i="10"/>
  <c r="E254" i="10"/>
  <c r="F254" i="10"/>
  <c r="G254" i="10"/>
  <c r="H254" i="10"/>
  <c r="I254" i="10"/>
  <c r="K254" i="10"/>
  <c r="L254" i="10"/>
  <c r="D255" i="10"/>
  <c r="E255" i="10"/>
  <c r="F255" i="10"/>
  <c r="G255" i="10"/>
  <c r="H255" i="10"/>
  <c r="I255" i="10"/>
  <c r="K255" i="10"/>
  <c r="L255" i="10"/>
  <c r="D256" i="10"/>
  <c r="E256" i="10"/>
  <c r="F256" i="10"/>
  <c r="G256" i="10"/>
  <c r="H256" i="10"/>
  <c r="I256" i="10"/>
  <c r="K256" i="10"/>
  <c r="L256" i="10"/>
  <c r="D257" i="10"/>
  <c r="E257" i="10"/>
  <c r="F257" i="10"/>
  <c r="G257" i="10"/>
  <c r="H257" i="10"/>
  <c r="I257" i="10"/>
  <c r="K257" i="10"/>
  <c r="L257" i="10"/>
  <c r="D258" i="10"/>
  <c r="E258" i="10"/>
  <c r="F258" i="10"/>
  <c r="G258" i="10"/>
  <c r="H258" i="10"/>
  <c r="I258" i="10"/>
  <c r="K258" i="10"/>
  <c r="L258" i="10"/>
  <c r="D259" i="10"/>
  <c r="E259" i="10"/>
  <c r="F259" i="10"/>
  <c r="G259" i="10"/>
  <c r="H259" i="10"/>
  <c r="I259" i="10"/>
  <c r="K259" i="10"/>
  <c r="L259" i="10"/>
  <c r="D260" i="10"/>
  <c r="E260" i="10"/>
  <c r="F260" i="10"/>
  <c r="G260" i="10"/>
  <c r="H260" i="10"/>
  <c r="I260" i="10"/>
  <c r="K260" i="10"/>
  <c r="L260" i="10"/>
  <c r="D261" i="10"/>
  <c r="E261" i="10"/>
  <c r="F261" i="10"/>
  <c r="G261" i="10"/>
  <c r="H261" i="10"/>
  <c r="I261" i="10"/>
  <c r="K261" i="10"/>
  <c r="L261" i="10"/>
  <c r="D262" i="10"/>
  <c r="E262" i="10"/>
  <c r="F262" i="10"/>
  <c r="G262" i="10"/>
  <c r="H262" i="10"/>
  <c r="I262" i="10"/>
  <c r="K262" i="10"/>
  <c r="L262" i="10"/>
  <c r="D263" i="10"/>
  <c r="E263" i="10"/>
  <c r="F263" i="10"/>
  <c r="G263" i="10"/>
  <c r="H263" i="10"/>
  <c r="I263" i="10"/>
  <c r="K263" i="10"/>
  <c r="L263" i="10"/>
  <c r="D264" i="10"/>
  <c r="E264" i="10"/>
  <c r="F264" i="10"/>
  <c r="G264" i="10"/>
  <c r="H264" i="10"/>
  <c r="I264" i="10"/>
  <c r="K264" i="10"/>
  <c r="L264" i="10"/>
  <c r="D265" i="10"/>
  <c r="E265" i="10"/>
  <c r="F265" i="10"/>
  <c r="G265" i="10"/>
  <c r="H265" i="10"/>
  <c r="I265" i="10"/>
  <c r="K265" i="10"/>
  <c r="L265" i="10"/>
  <c r="D266" i="10"/>
  <c r="E266" i="10"/>
  <c r="F266" i="10"/>
  <c r="G266" i="10"/>
  <c r="H266" i="10"/>
  <c r="I266" i="10"/>
  <c r="K266" i="10"/>
  <c r="L266" i="10"/>
  <c r="D267" i="10"/>
  <c r="E267" i="10"/>
  <c r="F267" i="10"/>
  <c r="G267" i="10"/>
  <c r="H267" i="10"/>
  <c r="I267" i="10"/>
  <c r="K267" i="10"/>
  <c r="L267" i="10"/>
  <c r="D268" i="10"/>
  <c r="E268" i="10"/>
  <c r="F268" i="10"/>
  <c r="G268" i="10"/>
  <c r="H268" i="10"/>
  <c r="I268" i="10"/>
  <c r="K268" i="10"/>
  <c r="L268" i="10"/>
  <c r="D269" i="10"/>
  <c r="E269" i="10"/>
  <c r="F269" i="10"/>
  <c r="G269" i="10"/>
  <c r="H269" i="10"/>
  <c r="I269" i="10"/>
  <c r="K269" i="10"/>
  <c r="L269" i="10"/>
  <c r="D270" i="10"/>
  <c r="E270" i="10"/>
  <c r="F270" i="10"/>
  <c r="G270" i="10"/>
  <c r="H270" i="10"/>
  <c r="I270" i="10"/>
  <c r="K270" i="10"/>
  <c r="L270" i="10"/>
  <c r="D271" i="10"/>
  <c r="E271" i="10"/>
  <c r="F271" i="10"/>
  <c r="G271" i="10"/>
  <c r="H271" i="10"/>
  <c r="I271" i="10"/>
  <c r="K271" i="10"/>
  <c r="L271" i="10"/>
  <c r="D272" i="10"/>
  <c r="E272" i="10"/>
  <c r="F272" i="10"/>
  <c r="G272" i="10"/>
  <c r="H272" i="10"/>
  <c r="I272" i="10"/>
  <c r="K272" i="10"/>
  <c r="L272" i="10"/>
  <c r="D273" i="10"/>
  <c r="E273" i="10"/>
  <c r="F273" i="10"/>
  <c r="G273" i="10"/>
  <c r="H273" i="10"/>
  <c r="I273" i="10"/>
  <c r="K273" i="10"/>
  <c r="L273" i="10"/>
  <c r="D274" i="10"/>
  <c r="E274" i="10"/>
  <c r="F274" i="10"/>
  <c r="G274" i="10"/>
  <c r="H274" i="10"/>
  <c r="I274" i="10"/>
  <c r="K274" i="10"/>
  <c r="L274" i="10"/>
  <c r="D275" i="10"/>
  <c r="E275" i="10"/>
  <c r="F275" i="10"/>
  <c r="G275" i="10"/>
  <c r="H275" i="10"/>
  <c r="I275" i="10"/>
  <c r="K275" i="10"/>
  <c r="L275" i="10"/>
  <c r="D276" i="10"/>
  <c r="E276" i="10"/>
  <c r="F276" i="10"/>
  <c r="G276" i="10"/>
  <c r="H276" i="10"/>
  <c r="I276" i="10"/>
  <c r="K276" i="10"/>
  <c r="L276" i="10"/>
  <c r="D277" i="10"/>
  <c r="E277" i="10"/>
  <c r="F277" i="10"/>
  <c r="G277" i="10"/>
  <c r="H277" i="10"/>
  <c r="I277" i="10"/>
  <c r="K277" i="10"/>
  <c r="L277" i="10"/>
  <c r="D278" i="10"/>
  <c r="E278" i="10"/>
  <c r="F278" i="10"/>
  <c r="G278" i="10"/>
  <c r="H278" i="10"/>
  <c r="I278" i="10"/>
  <c r="K278" i="10"/>
  <c r="L278" i="10"/>
  <c r="D279" i="10"/>
  <c r="E279" i="10"/>
  <c r="F279" i="10"/>
  <c r="G279" i="10"/>
  <c r="H279" i="10"/>
  <c r="I279" i="10"/>
  <c r="K279" i="10"/>
  <c r="L279" i="10"/>
  <c r="D280" i="10"/>
  <c r="E280" i="10"/>
  <c r="F280" i="10"/>
  <c r="G280" i="10"/>
  <c r="H280" i="10"/>
  <c r="I280" i="10"/>
  <c r="K280" i="10"/>
  <c r="L280" i="10"/>
  <c r="D281" i="10"/>
  <c r="E281" i="10"/>
  <c r="F281" i="10"/>
  <c r="G281" i="10"/>
  <c r="H281" i="10"/>
  <c r="I281" i="10"/>
  <c r="K281" i="10"/>
  <c r="L281" i="10"/>
  <c r="D282" i="10"/>
  <c r="E282" i="10"/>
  <c r="F282" i="10"/>
  <c r="G282" i="10"/>
  <c r="H282" i="10"/>
  <c r="I282" i="10"/>
  <c r="K282" i="10"/>
  <c r="L282" i="10"/>
  <c r="D283" i="10"/>
  <c r="E283" i="10"/>
  <c r="F283" i="10"/>
  <c r="G283" i="10"/>
  <c r="H283" i="10"/>
  <c r="I283" i="10"/>
  <c r="K283" i="10"/>
  <c r="L283" i="10"/>
  <c r="D284" i="10"/>
  <c r="E284" i="10"/>
  <c r="F284" i="10"/>
  <c r="G284" i="10"/>
  <c r="H284" i="10"/>
  <c r="I284" i="10"/>
  <c r="K284" i="10"/>
  <c r="L284" i="10"/>
  <c r="D285" i="10"/>
  <c r="E285" i="10"/>
  <c r="F285" i="10"/>
  <c r="G285" i="10"/>
  <c r="H285" i="10"/>
  <c r="I285" i="10"/>
  <c r="K285" i="10"/>
  <c r="L285" i="10"/>
  <c r="D286" i="10"/>
  <c r="E286" i="10"/>
  <c r="F286" i="10"/>
  <c r="G286" i="10"/>
  <c r="H286" i="10"/>
  <c r="I286" i="10"/>
  <c r="K286" i="10"/>
  <c r="L286" i="10"/>
  <c r="D287" i="10"/>
  <c r="E287" i="10"/>
  <c r="F287" i="10"/>
  <c r="G287" i="10"/>
  <c r="H287" i="10"/>
  <c r="I287" i="10"/>
  <c r="K287" i="10"/>
  <c r="L287" i="10"/>
  <c r="D288" i="10"/>
  <c r="E288" i="10"/>
  <c r="F288" i="10"/>
  <c r="G288" i="10"/>
  <c r="H288" i="10"/>
  <c r="I288" i="10"/>
  <c r="K288" i="10"/>
  <c r="L288" i="10"/>
  <c r="D289" i="10"/>
  <c r="E289" i="10"/>
  <c r="F289" i="10"/>
  <c r="G289" i="10"/>
  <c r="H289" i="10"/>
  <c r="I289" i="10"/>
  <c r="K289" i="10"/>
  <c r="L289" i="10"/>
  <c r="D290" i="10"/>
  <c r="E290" i="10"/>
  <c r="F290" i="10"/>
  <c r="G290" i="10"/>
  <c r="H290" i="10"/>
  <c r="I290" i="10"/>
  <c r="K290" i="10"/>
  <c r="L290" i="10"/>
  <c r="D291" i="10"/>
  <c r="E291" i="10"/>
  <c r="F291" i="10"/>
  <c r="G291" i="10"/>
  <c r="H291" i="10"/>
  <c r="I291" i="10"/>
  <c r="K291" i="10"/>
  <c r="L291" i="10"/>
  <c r="D292" i="10"/>
  <c r="E292" i="10"/>
  <c r="F292" i="10"/>
  <c r="G292" i="10"/>
  <c r="H292" i="10"/>
  <c r="I292" i="10"/>
  <c r="K292" i="10"/>
  <c r="L292" i="10"/>
  <c r="D293" i="10"/>
  <c r="E293" i="10"/>
  <c r="F293" i="10"/>
  <c r="G293" i="10"/>
  <c r="H293" i="10"/>
  <c r="I293" i="10"/>
  <c r="K293" i="10"/>
  <c r="L293" i="10"/>
  <c r="D294" i="10"/>
  <c r="E294" i="10"/>
  <c r="F294" i="10"/>
  <c r="G294" i="10"/>
  <c r="H294" i="10"/>
  <c r="I294" i="10"/>
  <c r="K294" i="10"/>
  <c r="L294" i="10"/>
  <c r="D295" i="10"/>
  <c r="E295" i="10"/>
  <c r="F295" i="10"/>
  <c r="G295" i="10"/>
  <c r="H295" i="10"/>
  <c r="I295" i="10"/>
  <c r="K295" i="10"/>
  <c r="L295" i="10"/>
  <c r="D296" i="10"/>
  <c r="E296" i="10"/>
  <c r="F296" i="10"/>
  <c r="G296" i="10"/>
  <c r="H296" i="10"/>
  <c r="I296" i="10"/>
  <c r="K296" i="10"/>
  <c r="L296" i="10"/>
  <c r="D297" i="10"/>
  <c r="E297" i="10"/>
  <c r="F297" i="10"/>
  <c r="G297" i="10"/>
  <c r="H297" i="10"/>
  <c r="I297" i="10"/>
  <c r="K297" i="10"/>
  <c r="L297" i="10"/>
  <c r="D298" i="10"/>
  <c r="E298" i="10"/>
  <c r="F298" i="10"/>
  <c r="G298" i="10"/>
  <c r="H298" i="10"/>
  <c r="I298" i="10"/>
  <c r="K298" i="10"/>
  <c r="L298" i="10"/>
  <c r="D299" i="10"/>
  <c r="E299" i="10"/>
  <c r="F299" i="10"/>
  <c r="G299" i="10"/>
  <c r="H299" i="10"/>
  <c r="I299" i="10"/>
  <c r="K299" i="10"/>
  <c r="L299" i="10"/>
  <c r="D300" i="10"/>
  <c r="E300" i="10"/>
  <c r="F300" i="10"/>
  <c r="G300" i="10"/>
  <c r="H300" i="10"/>
  <c r="I300" i="10"/>
  <c r="K300" i="10"/>
  <c r="L300" i="10"/>
  <c r="D301" i="10"/>
  <c r="E301" i="10"/>
  <c r="F301" i="10"/>
  <c r="G301" i="10"/>
  <c r="H301" i="10"/>
  <c r="I301" i="10"/>
  <c r="K301" i="10"/>
  <c r="L301" i="10"/>
  <c r="D302" i="10"/>
  <c r="E302" i="10"/>
  <c r="F302" i="10"/>
  <c r="G302" i="10"/>
  <c r="H302" i="10"/>
  <c r="I302" i="10"/>
  <c r="K302" i="10"/>
  <c r="L302" i="10"/>
  <c r="D303" i="10"/>
  <c r="E303" i="10"/>
  <c r="F303" i="10"/>
  <c r="G303" i="10"/>
  <c r="H303" i="10"/>
  <c r="I303" i="10"/>
  <c r="K303" i="10"/>
  <c r="L303" i="10"/>
  <c r="D304" i="10"/>
  <c r="E304" i="10"/>
  <c r="F304" i="10"/>
  <c r="G304" i="10"/>
  <c r="H304" i="10"/>
  <c r="I304" i="10"/>
  <c r="K304" i="10"/>
  <c r="L304" i="10"/>
  <c r="D305" i="10"/>
  <c r="E305" i="10"/>
  <c r="F305" i="10"/>
  <c r="G305" i="10"/>
  <c r="H305" i="10"/>
  <c r="I305" i="10"/>
  <c r="K305" i="10"/>
  <c r="L305" i="10"/>
  <c r="D306" i="10"/>
  <c r="E306" i="10"/>
  <c r="F306" i="10"/>
  <c r="G306" i="10"/>
  <c r="H306" i="10"/>
  <c r="I306" i="10"/>
  <c r="K306" i="10"/>
  <c r="L306" i="10"/>
  <c r="D307" i="10"/>
  <c r="E307" i="10"/>
  <c r="F307" i="10"/>
  <c r="G307" i="10"/>
  <c r="H307" i="10"/>
  <c r="I307" i="10"/>
  <c r="K307" i="10"/>
  <c r="L307" i="10"/>
  <c r="D308" i="10"/>
  <c r="E308" i="10"/>
  <c r="F308" i="10"/>
  <c r="G308" i="10"/>
  <c r="H308" i="10"/>
  <c r="I308" i="10"/>
  <c r="K308" i="10"/>
  <c r="L308" i="10"/>
  <c r="D309" i="10"/>
  <c r="E309" i="10"/>
  <c r="F309" i="10"/>
  <c r="G309" i="10"/>
  <c r="H309" i="10"/>
  <c r="I309" i="10"/>
  <c r="K309" i="10"/>
  <c r="L309" i="10"/>
  <c r="D310" i="10"/>
  <c r="E310" i="10"/>
  <c r="F310" i="10"/>
  <c r="G310" i="10"/>
  <c r="H310" i="10"/>
  <c r="I310" i="10"/>
  <c r="K310" i="10"/>
  <c r="L310" i="10"/>
  <c r="D311" i="10"/>
  <c r="E311" i="10"/>
  <c r="F311" i="10"/>
  <c r="G311" i="10"/>
  <c r="H311" i="10"/>
  <c r="I311" i="10"/>
  <c r="K311" i="10"/>
  <c r="L311" i="10"/>
  <c r="D312" i="10"/>
  <c r="E312" i="10"/>
  <c r="F312" i="10"/>
  <c r="G312" i="10"/>
  <c r="H312" i="10"/>
  <c r="I312" i="10"/>
  <c r="K312" i="10"/>
  <c r="L312" i="10"/>
  <c r="D313" i="10"/>
  <c r="E313" i="10"/>
  <c r="F313" i="10"/>
  <c r="G313" i="10"/>
  <c r="H313" i="10"/>
  <c r="I313" i="10"/>
  <c r="K313" i="10"/>
  <c r="L313" i="10"/>
  <c r="D314" i="10"/>
  <c r="E314" i="10"/>
  <c r="F314" i="10"/>
  <c r="G314" i="10"/>
  <c r="H314" i="10"/>
  <c r="I314" i="10"/>
  <c r="K314" i="10"/>
  <c r="L314" i="10"/>
  <c r="D315" i="10"/>
  <c r="E315" i="10"/>
  <c r="F315" i="10"/>
  <c r="G315" i="10"/>
  <c r="H315" i="10"/>
  <c r="I315" i="10"/>
  <c r="K315" i="10"/>
  <c r="L315" i="10"/>
  <c r="D316" i="10"/>
  <c r="E316" i="10"/>
  <c r="F316" i="10"/>
  <c r="G316" i="10"/>
  <c r="H316" i="10"/>
  <c r="I316" i="10"/>
  <c r="K316" i="10"/>
  <c r="L316" i="10"/>
  <c r="D317" i="10"/>
  <c r="E317" i="10"/>
  <c r="F317" i="10"/>
  <c r="G317" i="10"/>
  <c r="H317" i="10"/>
  <c r="I317" i="10"/>
  <c r="K317" i="10"/>
  <c r="L317" i="10"/>
  <c r="D318" i="10"/>
  <c r="E318" i="10"/>
  <c r="F318" i="10"/>
  <c r="G318" i="10"/>
  <c r="H318" i="10"/>
  <c r="I318" i="10"/>
  <c r="K318" i="10"/>
  <c r="L318" i="10"/>
  <c r="D319" i="10"/>
  <c r="E319" i="10"/>
  <c r="F319" i="10"/>
  <c r="G319" i="10"/>
  <c r="H319" i="10"/>
  <c r="I319" i="10"/>
  <c r="K319" i="10"/>
  <c r="L319" i="10"/>
  <c r="D320" i="10"/>
  <c r="E320" i="10"/>
  <c r="F320" i="10"/>
  <c r="G320" i="10"/>
  <c r="H320" i="10"/>
  <c r="I320" i="10"/>
  <c r="K320" i="10"/>
  <c r="L320" i="10"/>
  <c r="D321" i="10"/>
  <c r="E321" i="10"/>
  <c r="F321" i="10"/>
  <c r="G321" i="10"/>
  <c r="H321" i="10"/>
  <c r="I321" i="10"/>
  <c r="K321" i="10"/>
  <c r="L321" i="10"/>
  <c r="D322" i="10"/>
  <c r="E322" i="10"/>
  <c r="F322" i="10"/>
  <c r="G322" i="10"/>
  <c r="H322" i="10"/>
  <c r="I322" i="10"/>
  <c r="K322" i="10"/>
  <c r="L322" i="10"/>
  <c r="D323" i="10"/>
  <c r="E323" i="10"/>
  <c r="F323" i="10"/>
  <c r="G323" i="10"/>
  <c r="H323" i="10"/>
  <c r="I323" i="10"/>
  <c r="K323" i="10"/>
  <c r="L323" i="10"/>
  <c r="D324" i="10"/>
  <c r="E324" i="10"/>
  <c r="F324" i="10"/>
  <c r="G324" i="10"/>
  <c r="H324" i="10"/>
  <c r="I324" i="10"/>
  <c r="K324" i="10"/>
  <c r="L324" i="10"/>
  <c r="D325" i="10"/>
  <c r="E325" i="10"/>
  <c r="F325" i="10"/>
  <c r="G325" i="10"/>
  <c r="H325" i="10"/>
  <c r="I325" i="10"/>
  <c r="K325" i="10"/>
  <c r="L325" i="10"/>
  <c r="D326" i="10"/>
  <c r="E326" i="10"/>
  <c r="F326" i="10"/>
  <c r="G326" i="10"/>
  <c r="H326" i="10"/>
  <c r="I326" i="10"/>
  <c r="K326" i="10"/>
  <c r="L326" i="10"/>
  <c r="D327" i="10"/>
  <c r="E327" i="10"/>
  <c r="F327" i="10"/>
  <c r="G327" i="10"/>
  <c r="H327" i="10"/>
  <c r="I327" i="10"/>
  <c r="K327" i="10"/>
  <c r="L327" i="10"/>
  <c r="D328" i="10"/>
  <c r="E328" i="10"/>
  <c r="F328" i="10"/>
  <c r="G328" i="10"/>
  <c r="H328" i="10"/>
  <c r="I328" i="10"/>
  <c r="K328" i="10"/>
  <c r="L328" i="10"/>
  <c r="D329" i="10"/>
  <c r="E329" i="10"/>
  <c r="F329" i="10"/>
  <c r="G329" i="10"/>
  <c r="H329" i="10"/>
  <c r="I329" i="10"/>
  <c r="K329" i="10"/>
  <c r="L329" i="10"/>
  <c r="D330" i="10"/>
  <c r="E330" i="10"/>
  <c r="F330" i="10"/>
  <c r="G330" i="10"/>
  <c r="H330" i="10"/>
  <c r="I330" i="10"/>
  <c r="K330" i="10"/>
  <c r="L330" i="10"/>
  <c r="D331" i="10"/>
  <c r="E331" i="10"/>
  <c r="F331" i="10"/>
  <c r="G331" i="10"/>
  <c r="H331" i="10"/>
  <c r="I331" i="10"/>
  <c r="K331" i="10"/>
  <c r="L331" i="10"/>
  <c r="D332" i="10"/>
  <c r="E332" i="10"/>
  <c r="F332" i="10"/>
  <c r="G332" i="10"/>
  <c r="H332" i="10"/>
  <c r="I332" i="10"/>
  <c r="K332" i="10"/>
  <c r="L332" i="10"/>
  <c r="D333" i="10"/>
  <c r="E333" i="10"/>
  <c r="F333" i="10"/>
  <c r="G333" i="10"/>
  <c r="H333" i="10"/>
  <c r="I333" i="10"/>
  <c r="K333" i="10"/>
  <c r="L333" i="10"/>
  <c r="D334" i="10"/>
  <c r="E334" i="10"/>
  <c r="F334" i="10"/>
  <c r="G334" i="10"/>
  <c r="H334" i="10"/>
  <c r="I334" i="10"/>
  <c r="K334" i="10"/>
  <c r="L334" i="10"/>
  <c r="D335" i="10"/>
  <c r="E335" i="10"/>
  <c r="F335" i="10"/>
  <c r="G335" i="10"/>
  <c r="H335" i="10"/>
  <c r="I335" i="10"/>
  <c r="K335" i="10"/>
  <c r="L335" i="10"/>
  <c r="D336" i="10"/>
  <c r="E336" i="10"/>
  <c r="F336" i="10"/>
  <c r="G336" i="10"/>
  <c r="H336" i="10"/>
  <c r="I336" i="10"/>
  <c r="K336" i="10"/>
  <c r="L336" i="10"/>
  <c r="D337" i="10"/>
  <c r="E337" i="10"/>
  <c r="F337" i="10"/>
  <c r="G337" i="10"/>
  <c r="H337" i="10"/>
  <c r="I337" i="10"/>
  <c r="K337" i="10"/>
  <c r="L337" i="10"/>
  <c r="D338" i="10"/>
  <c r="E338" i="10"/>
  <c r="F338" i="10"/>
  <c r="G338" i="10"/>
  <c r="H338" i="10"/>
  <c r="I338" i="10"/>
  <c r="K338" i="10"/>
  <c r="L338" i="10"/>
  <c r="D339" i="10"/>
  <c r="E339" i="10"/>
  <c r="F339" i="10"/>
  <c r="G339" i="10"/>
  <c r="H339" i="10"/>
  <c r="I339" i="10"/>
  <c r="K339" i="10"/>
  <c r="L339" i="10"/>
  <c r="D340" i="10"/>
  <c r="E340" i="10"/>
  <c r="F340" i="10"/>
  <c r="G340" i="10"/>
  <c r="H340" i="10"/>
  <c r="I340" i="10"/>
  <c r="K340" i="10"/>
  <c r="L340" i="10"/>
  <c r="D341" i="10"/>
  <c r="E341" i="10"/>
  <c r="F341" i="10"/>
  <c r="G341" i="10"/>
  <c r="H341" i="10"/>
  <c r="I341" i="10"/>
  <c r="K341" i="10"/>
  <c r="L341" i="10"/>
  <c r="D342" i="10"/>
  <c r="E342" i="10"/>
  <c r="F342" i="10"/>
  <c r="G342" i="10"/>
  <c r="H342" i="10"/>
  <c r="I342" i="10"/>
  <c r="K342" i="10"/>
  <c r="L342" i="10"/>
  <c r="D343" i="10"/>
  <c r="E343" i="10"/>
  <c r="F343" i="10"/>
  <c r="G343" i="10"/>
  <c r="H343" i="10"/>
  <c r="I343" i="10"/>
  <c r="K343" i="10"/>
  <c r="L343" i="10"/>
  <c r="D344" i="10"/>
  <c r="E344" i="10"/>
  <c r="F344" i="10"/>
  <c r="G344" i="10"/>
  <c r="H344" i="10"/>
  <c r="I344" i="10"/>
  <c r="K344" i="10"/>
  <c r="L344" i="10"/>
  <c r="D345" i="10"/>
  <c r="E345" i="10"/>
  <c r="F345" i="10"/>
  <c r="G345" i="10"/>
  <c r="H345" i="10"/>
  <c r="I345" i="10"/>
  <c r="K345" i="10"/>
  <c r="L345" i="10"/>
  <c r="D346" i="10"/>
  <c r="E346" i="10"/>
  <c r="F346" i="10"/>
  <c r="G346" i="10"/>
  <c r="H346" i="10"/>
  <c r="I346" i="10"/>
  <c r="K346" i="10"/>
  <c r="L346" i="10"/>
  <c r="D347" i="10"/>
  <c r="E347" i="10"/>
  <c r="F347" i="10"/>
  <c r="G347" i="10"/>
  <c r="H347" i="10"/>
  <c r="I347" i="10"/>
  <c r="K347" i="10"/>
  <c r="L347" i="10"/>
  <c r="D348" i="10"/>
  <c r="E348" i="10"/>
  <c r="F348" i="10"/>
  <c r="G348" i="10"/>
  <c r="H348" i="10"/>
  <c r="I348" i="10"/>
  <c r="K348" i="10"/>
  <c r="L348" i="10"/>
  <c r="D349" i="10"/>
  <c r="E349" i="10"/>
  <c r="F349" i="10"/>
  <c r="G349" i="10"/>
  <c r="H349" i="10"/>
  <c r="I349" i="10"/>
  <c r="K349" i="10"/>
  <c r="L349" i="10"/>
  <c r="D350" i="10"/>
  <c r="E350" i="10"/>
  <c r="F350" i="10"/>
  <c r="G350" i="10"/>
  <c r="H350" i="10"/>
  <c r="I350" i="10"/>
  <c r="K350" i="10"/>
  <c r="L350" i="10"/>
  <c r="D351" i="10"/>
  <c r="E351" i="10"/>
  <c r="F351" i="10"/>
  <c r="G351" i="10"/>
  <c r="H351" i="10"/>
  <c r="I351" i="10"/>
  <c r="K351" i="10"/>
  <c r="L351" i="10"/>
  <c r="D352" i="10"/>
  <c r="E352" i="10"/>
  <c r="F352" i="10"/>
  <c r="G352" i="10"/>
  <c r="H352" i="10"/>
  <c r="I352" i="10"/>
  <c r="K352" i="10"/>
  <c r="L352" i="10"/>
  <c r="D353" i="10"/>
  <c r="E353" i="10"/>
  <c r="F353" i="10"/>
  <c r="G353" i="10"/>
  <c r="H353" i="10"/>
  <c r="I353" i="10"/>
  <c r="K353" i="10"/>
  <c r="L353" i="10"/>
  <c r="D354" i="10"/>
  <c r="E354" i="10"/>
  <c r="F354" i="10"/>
  <c r="G354" i="10"/>
  <c r="H354" i="10"/>
  <c r="I354" i="10"/>
  <c r="K354" i="10"/>
  <c r="L354" i="10"/>
  <c r="D355" i="10"/>
  <c r="E355" i="10"/>
  <c r="F355" i="10"/>
  <c r="G355" i="10"/>
  <c r="H355" i="10"/>
  <c r="I355" i="10"/>
  <c r="K355" i="10"/>
  <c r="L355" i="10"/>
  <c r="D356" i="10"/>
  <c r="E356" i="10"/>
  <c r="F356" i="10"/>
  <c r="G356" i="10"/>
  <c r="H356" i="10"/>
  <c r="I356" i="10"/>
  <c r="K356" i="10"/>
  <c r="L356" i="10"/>
  <c r="D357" i="10"/>
  <c r="E357" i="10"/>
  <c r="F357" i="10"/>
  <c r="G357" i="10"/>
  <c r="H357" i="10"/>
  <c r="I357" i="10"/>
  <c r="K357" i="10"/>
  <c r="L357" i="10"/>
  <c r="D358" i="10"/>
  <c r="E358" i="10"/>
  <c r="F358" i="10"/>
  <c r="G358" i="10"/>
  <c r="H358" i="10"/>
  <c r="I358" i="10"/>
  <c r="K358" i="10"/>
  <c r="L358" i="10"/>
  <c r="D359" i="10"/>
  <c r="E359" i="10"/>
  <c r="F359" i="10"/>
  <c r="G359" i="10"/>
  <c r="H359" i="10"/>
  <c r="I359" i="10"/>
  <c r="K359" i="10"/>
  <c r="L359" i="10"/>
  <c r="D360" i="10"/>
  <c r="E360" i="10"/>
  <c r="F360" i="10"/>
  <c r="G360" i="10"/>
  <c r="H360" i="10"/>
  <c r="I360" i="10"/>
  <c r="K360" i="10"/>
  <c r="L360" i="10"/>
  <c r="D361" i="10"/>
  <c r="E361" i="10"/>
  <c r="F361" i="10"/>
  <c r="G361" i="10"/>
  <c r="H361" i="10"/>
  <c r="I361" i="10"/>
  <c r="K361" i="10"/>
  <c r="L361" i="10"/>
  <c r="D362" i="10"/>
  <c r="E362" i="10"/>
  <c r="F362" i="10"/>
  <c r="G362" i="10"/>
  <c r="H362" i="10"/>
  <c r="I362" i="10"/>
  <c r="K362" i="10"/>
  <c r="L362" i="10"/>
  <c r="D363" i="10"/>
  <c r="E363" i="10"/>
  <c r="F363" i="10"/>
  <c r="G363" i="10"/>
  <c r="H363" i="10"/>
  <c r="I363" i="10"/>
  <c r="K363" i="10"/>
  <c r="L363" i="10"/>
  <c r="D364" i="10"/>
  <c r="E364" i="10"/>
  <c r="F364" i="10"/>
  <c r="G364" i="10"/>
  <c r="H364" i="10"/>
  <c r="I364" i="10"/>
  <c r="K364" i="10"/>
  <c r="L364" i="10"/>
  <c r="D365" i="10"/>
  <c r="E365" i="10"/>
  <c r="F365" i="10"/>
  <c r="G365" i="10"/>
  <c r="H365" i="10"/>
  <c r="I365" i="10"/>
  <c r="K365" i="10"/>
  <c r="L365" i="10"/>
  <c r="D366" i="10"/>
  <c r="E366" i="10"/>
  <c r="F366" i="10"/>
  <c r="G366" i="10"/>
  <c r="H366" i="10"/>
  <c r="I366" i="10"/>
  <c r="K366" i="10"/>
  <c r="L366" i="10"/>
  <c r="D367" i="10"/>
  <c r="E367" i="10"/>
  <c r="F367" i="10"/>
  <c r="G367" i="10"/>
  <c r="H367" i="10"/>
  <c r="I367" i="10"/>
  <c r="K367" i="10"/>
  <c r="L367" i="10"/>
  <c r="D368" i="10"/>
  <c r="E368" i="10"/>
  <c r="F368" i="10"/>
  <c r="G368" i="10"/>
  <c r="H368" i="10"/>
  <c r="I368" i="10"/>
  <c r="K368" i="10"/>
  <c r="L368" i="10"/>
  <c r="D369" i="10"/>
  <c r="E369" i="10"/>
  <c r="F369" i="10"/>
  <c r="G369" i="10"/>
  <c r="H369" i="10"/>
  <c r="I369" i="10"/>
  <c r="K369" i="10"/>
  <c r="L369" i="10"/>
  <c r="D370" i="10"/>
  <c r="E370" i="10"/>
  <c r="F370" i="10"/>
  <c r="G370" i="10"/>
  <c r="H370" i="10"/>
  <c r="I370" i="10"/>
  <c r="K370" i="10"/>
  <c r="L370" i="10"/>
  <c r="D371" i="10"/>
  <c r="E371" i="10"/>
  <c r="F371" i="10"/>
  <c r="G371" i="10"/>
  <c r="H371" i="10"/>
  <c r="I371" i="10"/>
  <c r="K371" i="10"/>
  <c r="L371" i="10"/>
  <c r="D372" i="10"/>
  <c r="E372" i="10"/>
  <c r="F372" i="10"/>
  <c r="G372" i="10"/>
  <c r="H372" i="10"/>
  <c r="I372" i="10"/>
  <c r="K372" i="10"/>
  <c r="L372" i="10"/>
  <c r="D373" i="10"/>
  <c r="E373" i="10"/>
  <c r="F373" i="10"/>
  <c r="G373" i="10"/>
  <c r="H373" i="10"/>
  <c r="I373" i="10"/>
  <c r="K373" i="10"/>
  <c r="L373" i="10"/>
  <c r="D374" i="10"/>
  <c r="E374" i="10"/>
  <c r="F374" i="10"/>
  <c r="G374" i="10"/>
  <c r="H374" i="10"/>
  <c r="I374" i="10"/>
  <c r="K374" i="10"/>
  <c r="L374" i="10"/>
  <c r="D375" i="10"/>
  <c r="E375" i="10"/>
  <c r="F375" i="10"/>
  <c r="G375" i="10"/>
  <c r="H375" i="10"/>
  <c r="I375" i="10"/>
  <c r="K375" i="10"/>
  <c r="L375" i="10"/>
  <c r="D376" i="10"/>
  <c r="E376" i="10"/>
  <c r="F376" i="10"/>
  <c r="G376" i="10"/>
  <c r="H376" i="10"/>
  <c r="I376" i="10"/>
  <c r="K376" i="10"/>
  <c r="L376" i="10"/>
  <c r="D377" i="10"/>
  <c r="E377" i="10"/>
  <c r="F377" i="10"/>
  <c r="G377" i="10"/>
  <c r="H377" i="10"/>
  <c r="I377" i="10"/>
  <c r="K377" i="10"/>
  <c r="L377" i="10"/>
  <c r="D378" i="10"/>
  <c r="E378" i="10"/>
  <c r="F378" i="10"/>
  <c r="G378" i="10"/>
  <c r="H378" i="10"/>
  <c r="I378" i="10"/>
  <c r="K378" i="10"/>
  <c r="L378" i="10"/>
  <c r="D379" i="10"/>
  <c r="E379" i="10"/>
  <c r="F379" i="10"/>
  <c r="G379" i="10"/>
  <c r="H379" i="10"/>
  <c r="I379" i="10"/>
  <c r="K379" i="10"/>
  <c r="L379" i="10"/>
  <c r="D380" i="10"/>
  <c r="E380" i="10"/>
  <c r="F380" i="10"/>
  <c r="G380" i="10"/>
  <c r="H380" i="10"/>
  <c r="I380" i="10"/>
  <c r="K380" i="10"/>
  <c r="L380" i="10"/>
  <c r="D381" i="10"/>
  <c r="E381" i="10"/>
  <c r="F381" i="10"/>
  <c r="G381" i="10"/>
  <c r="H381" i="10"/>
  <c r="I381" i="10"/>
  <c r="K381" i="10"/>
  <c r="L381" i="10"/>
  <c r="D382" i="10"/>
  <c r="E382" i="10"/>
  <c r="F382" i="10"/>
  <c r="G382" i="10"/>
  <c r="H382" i="10"/>
  <c r="I382" i="10"/>
  <c r="K382" i="10"/>
  <c r="L382" i="10"/>
  <c r="D383" i="10"/>
  <c r="E383" i="10"/>
  <c r="F383" i="10"/>
  <c r="G383" i="10"/>
  <c r="H383" i="10"/>
  <c r="I383" i="10"/>
  <c r="K383" i="10"/>
  <c r="L383" i="10"/>
  <c r="D384" i="10"/>
  <c r="E384" i="10"/>
  <c r="F384" i="10"/>
  <c r="G384" i="10"/>
  <c r="H384" i="10"/>
  <c r="I384" i="10"/>
  <c r="K384" i="10"/>
  <c r="L384" i="10"/>
  <c r="D385" i="10"/>
  <c r="E385" i="10"/>
  <c r="F385" i="10"/>
  <c r="G385" i="10"/>
  <c r="H385" i="10"/>
  <c r="I385" i="10"/>
  <c r="K385" i="10"/>
  <c r="L385" i="10"/>
  <c r="D386" i="10"/>
  <c r="E386" i="10"/>
  <c r="F386" i="10"/>
  <c r="G386" i="10"/>
  <c r="H386" i="10"/>
  <c r="I386" i="10"/>
  <c r="K386" i="10"/>
  <c r="L386" i="10"/>
  <c r="D387" i="10"/>
  <c r="E387" i="10"/>
  <c r="F387" i="10"/>
  <c r="G387" i="10"/>
  <c r="H387" i="10"/>
  <c r="I387" i="10"/>
  <c r="K387" i="10"/>
  <c r="L387" i="10"/>
  <c r="D388" i="10"/>
  <c r="E388" i="10"/>
  <c r="F388" i="10"/>
  <c r="G388" i="10"/>
  <c r="H388" i="10"/>
  <c r="I388" i="10"/>
  <c r="K388" i="10"/>
  <c r="L388" i="10"/>
  <c r="D389" i="10"/>
  <c r="E389" i="10"/>
  <c r="F389" i="10"/>
  <c r="G389" i="10"/>
  <c r="H389" i="10"/>
  <c r="I389" i="10"/>
  <c r="K389" i="10"/>
  <c r="L389" i="10"/>
  <c r="D390" i="10"/>
  <c r="E390" i="10"/>
  <c r="F390" i="10"/>
  <c r="G390" i="10"/>
  <c r="H390" i="10"/>
  <c r="I390" i="10"/>
  <c r="K390" i="10"/>
  <c r="L390" i="10"/>
  <c r="D391" i="10"/>
  <c r="E391" i="10"/>
  <c r="F391" i="10"/>
  <c r="G391" i="10"/>
  <c r="H391" i="10"/>
  <c r="I391" i="10"/>
  <c r="K391" i="10"/>
  <c r="L391" i="10"/>
  <c r="D392" i="10"/>
  <c r="E392" i="10"/>
  <c r="F392" i="10"/>
  <c r="G392" i="10"/>
  <c r="H392" i="10"/>
  <c r="I392" i="10"/>
  <c r="K392" i="10"/>
  <c r="L392" i="10"/>
  <c r="D393" i="10"/>
  <c r="E393" i="10"/>
  <c r="F393" i="10"/>
  <c r="G393" i="10"/>
  <c r="H393" i="10"/>
  <c r="I393" i="10"/>
  <c r="K393" i="10"/>
  <c r="L393" i="10"/>
  <c r="D394" i="10"/>
  <c r="E394" i="10"/>
  <c r="F394" i="10"/>
  <c r="G394" i="10"/>
  <c r="H394" i="10"/>
  <c r="I394" i="10"/>
  <c r="K394" i="10"/>
  <c r="L394" i="10"/>
  <c r="D395" i="10"/>
  <c r="E395" i="10"/>
  <c r="F395" i="10"/>
  <c r="G395" i="10"/>
  <c r="H395" i="10"/>
  <c r="I395" i="10"/>
  <c r="K395" i="10"/>
  <c r="L395" i="10"/>
  <c r="D396" i="10"/>
  <c r="E396" i="10"/>
  <c r="F396" i="10"/>
  <c r="G396" i="10"/>
  <c r="H396" i="10"/>
  <c r="I396" i="10"/>
  <c r="K396" i="10"/>
  <c r="L396" i="10"/>
  <c r="D397" i="10"/>
  <c r="E397" i="10"/>
  <c r="F397" i="10"/>
  <c r="G397" i="10"/>
  <c r="H397" i="10"/>
  <c r="I397" i="10"/>
  <c r="K397" i="10"/>
  <c r="L397" i="10"/>
  <c r="D398" i="10"/>
  <c r="E398" i="10"/>
  <c r="F398" i="10"/>
  <c r="G398" i="10"/>
  <c r="H398" i="10"/>
  <c r="I398" i="10"/>
  <c r="K398" i="10"/>
  <c r="L398" i="10"/>
  <c r="D399" i="10"/>
  <c r="E399" i="10"/>
  <c r="F399" i="10"/>
  <c r="G399" i="10"/>
  <c r="H399" i="10"/>
  <c r="I399" i="10"/>
  <c r="K399" i="10"/>
  <c r="L399" i="10"/>
  <c r="D400" i="10"/>
  <c r="E400" i="10"/>
  <c r="F400" i="10"/>
  <c r="G400" i="10"/>
  <c r="H400" i="10"/>
  <c r="I400" i="10"/>
  <c r="K400" i="10"/>
  <c r="L400" i="10"/>
  <c r="D401" i="10"/>
  <c r="E401" i="10"/>
  <c r="F401" i="10"/>
  <c r="G401" i="10"/>
  <c r="H401" i="10"/>
  <c r="I401" i="10"/>
  <c r="K401" i="10"/>
  <c r="L401" i="10"/>
  <c r="D402" i="10"/>
  <c r="E402" i="10"/>
  <c r="F402" i="10"/>
  <c r="G402" i="10"/>
  <c r="H402" i="10"/>
  <c r="I402" i="10"/>
  <c r="K402" i="10"/>
  <c r="L402" i="10"/>
  <c r="D403" i="10"/>
  <c r="E403" i="10"/>
  <c r="F403" i="10"/>
  <c r="G403" i="10"/>
  <c r="H403" i="10"/>
  <c r="I403" i="10"/>
  <c r="K403" i="10"/>
  <c r="L403" i="10"/>
  <c r="D404" i="10"/>
  <c r="E404" i="10"/>
  <c r="F404" i="10"/>
  <c r="G404" i="10"/>
  <c r="H404" i="10"/>
  <c r="I404" i="10"/>
  <c r="K404" i="10"/>
  <c r="L404" i="10"/>
  <c r="D405" i="10"/>
  <c r="E405" i="10"/>
  <c r="F405" i="10"/>
  <c r="G405" i="10"/>
  <c r="H405" i="10"/>
  <c r="I405" i="10"/>
  <c r="K405" i="10"/>
  <c r="L405" i="10"/>
  <c r="D406" i="10"/>
  <c r="E406" i="10"/>
  <c r="F406" i="10"/>
  <c r="G406" i="10"/>
  <c r="H406" i="10"/>
  <c r="I406" i="10"/>
  <c r="K406" i="10"/>
  <c r="L406" i="10"/>
  <c r="D407" i="10"/>
  <c r="E407" i="10"/>
  <c r="F407" i="10"/>
  <c r="G407" i="10"/>
  <c r="H407" i="10"/>
  <c r="I407" i="10"/>
  <c r="K407" i="10"/>
  <c r="L407" i="10"/>
  <c r="D408" i="10"/>
  <c r="E408" i="10"/>
  <c r="F408" i="10"/>
  <c r="G408" i="10"/>
  <c r="H408" i="10"/>
  <c r="I408" i="10"/>
  <c r="K408" i="10"/>
  <c r="L408" i="10"/>
  <c r="D409" i="10"/>
  <c r="E409" i="10"/>
  <c r="F409" i="10"/>
  <c r="G409" i="10"/>
  <c r="H409" i="10"/>
  <c r="I409" i="10"/>
  <c r="K409" i="10"/>
  <c r="L409" i="10"/>
  <c r="D410" i="10"/>
  <c r="E410" i="10"/>
  <c r="F410" i="10"/>
  <c r="G410" i="10"/>
  <c r="H410" i="10"/>
  <c r="I410" i="10"/>
  <c r="K410" i="10"/>
  <c r="L410" i="10"/>
  <c r="D411" i="10"/>
  <c r="E411" i="10"/>
  <c r="F411" i="10"/>
  <c r="G411" i="10"/>
  <c r="H411" i="10"/>
  <c r="I411" i="10"/>
  <c r="K411" i="10"/>
  <c r="L411" i="10"/>
  <c r="D412" i="10"/>
  <c r="E412" i="10"/>
  <c r="F412" i="10"/>
  <c r="G412" i="10"/>
  <c r="H412" i="10"/>
  <c r="I412" i="10"/>
  <c r="K412" i="10"/>
  <c r="L412" i="10"/>
  <c r="D413" i="10"/>
  <c r="E413" i="10"/>
  <c r="F413" i="10"/>
  <c r="G413" i="10"/>
  <c r="H413" i="10"/>
  <c r="I413" i="10"/>
  <c r="K413" i="10"/>
  <c r="L413" i="10"/>
  <c r="D414" i="10"/>
  <c r="E414" i="10"/>
  <c r="F414" i="10"/>
  <c r="G414" i="10"/>
  <c r="H414" i="10"/>
  <c r="I414" i="10"/>
  <c r="K414" i="10"/>
  <c r="L414" i="10"/>
  <c r="D415" i="10"/>
  <c r="E415" i="10"/>
  <c r="F415" i="10"/>
  <c r="G415" i="10"/>
  <c r="H415" i="10"/>
  <c r="I415" i="10"/>
  <c r="K415" i="10"/>
  <c r="L415" i="10"/>
  <c r="D416" i="10"/>
  <c r="E416" i="10"/>
  <c r="F416" i="10"/>
  <c r="G416" i="10"/>
  <c r="H416" i="10"/>
  <c r="I416" i="10"/>
  <c r="K416" i="10"/>
  <c r="L416" i="10"/>
  <c r="D417" i="10"/>
  <c r="E417" i="10"/>
  <c r="F417" i="10"/>
  <c r="G417" i="10"/>
  <c r="H417" i="10"/>
  <c r="I417" i="10"/>
  <c r="K417" i="10"/>
  <c r="L417" i="10"/>
  <c r="D418" i="10"/>
  <c r="E418" i="10"/>
  <c r="F418" i="10"/>
  <c r="G418" i="10"/>
  <c r="H418" i="10"/>
  <c r="I418" i="10"/>
  <c r="K418" i="10"/>
  <c r="L418" i="10"/>
  <c r="D419" i="10"/>
  <c r="E419" i="10"/>
  <c r="F419" i="10"/>
  <c r="G419" i="10"/>
  <c r="H419" i="10"/>
  <c r="I419" i="10"/>
  <c r="K419" i="10"/>
  <c r="L419" i="10"/>
  <c r="D420" i="10"/>
  <c r="E420" i="10"/>
  <c r="F420" i="10"/>
  <c r="G420" i="10"/>
  <c r="H420" i="10"/>
  <c r="I420" i="10"/>
  <c r="K420" i="10"/>
  <c r="L420" i="10"/>
  <c r="D421" i="10"/>
  <c r="E421" i="10"/>
  <c r="F421" i="10"/>
  <c r="G421" i="10"/>
  <c r="H421" i="10"/>
  <c r="I421" i="10"/>
  <c r="K421" i="10"/>
  <c r="L421" i="10"/>
  <c r="D422" i="10"/>
  <c r="E422" i="10"/>
  <c r="F422" i="10"/>
  <c r="G422" i="10"/>
  <c r="H422" i="10"/>
  <c r="I422" i="10"/>
  <c r="K422" i="10"/>
  <c r="L422" i="10"/>
  <c r="D423" i="10"/>
  <c r="E423" i="10"/>
  <c r="F423" i="10"/>
  <c r="G423" i="10"/>
  <c r="H423" i="10"/>
  <c r="I423" i="10"/>
  <c r="K423" i="10"/>
  <c r="L423" i="10"/>
  <c r="D424" i="10"/>
  <c r="E424" i="10"/>
  <c r="F424" i="10"/>
  <c r="G424" i="10"/>
  <c r="H424" i="10"/>
  <c r="I424" i="10"/>
  <c r="K424" i="10"/>
  <c r="L424" i="10"/>
  <c r="D425" i="10"/>
  <c r="E425" i="10"/>
  <c r="F425" i="10"/>
  <c r="G425" i="10"/>
  <c r="H425" i="10"/>
  <c r="I425" i="10"/>
  <c r="K425" i="10"/>
  <c r="L425" i="10"/>
  <c r="D426" i="10"/>
  <c r="E426" i="10"/>
  <c r="F426" i="10"/>
  <c r="G426" i="10"/>
  <c r="H426" i="10"/>
  <c r="I426" i="10"/>
  <c r="K426" i="10"/>
  <c r="L426" i="10"/>
  <c r="D427" i="10"/>
  <c r="E427" i="10"/>
  <c r="F427" i="10"/>
  <c r="G427" i="10"/>
  <c r="H427" i="10"/>
  <c r="I427" i="10"/>
  <c r="K427" i="10"/>
  <c r="L427" i="10"/>
  <c r="D428" i="10"/>
  <c r="E428" i="10"/>
  <c r="F428" i="10"/>
  <c r="G428" i="10"/>
  <c r="H428" i="10"/>
  <c r="I428" i="10"/>
  <c r="K428" i="10"/>
  <c r="L428" i="10"/>
  <c r="D429" i="10"/>
  <c r="E429" i="10"/>
  <c r="F429" i="10"/>
  <c r="G429" i="10"/>
  <c r="H429" i="10"/>
  <c r="I429" i="10"/>
  <c r="K429" i="10"/>
  <c r="L429" i="10"/>
  <c r="D430" i="10"/>
  <c r="E430" i="10"/>
  <c r="F430" i="10"/>
  <c r="G430" i="10"/>
  <c r="H430" i="10"/>
  <c r="I430" i="10"/>
  <c r="K430" i="10"/>
  <c r="L430" i="10"/>
  <c r="D431" i="10"/>
  <c r="E431" i="10"/>
  <c r="F431" i="10"/>
  <c r="G431" i="10"/>
  <c r="H431" i="10"/>
  <c r="I431" i="10"/>
  <c r="K431" i="10"/>
  <c r="L431" i="10"/>
  <c r="D432" i="10"/>
  <c r="E432" i="10"/>
  <c r="F432" i="10"/>
  <c r="G432" i="10"/>
  <c r="H432" i="10"/>
  <c r="I432" i="10"/>
  <c r="K432" i="10"/>
  <c r="L432" i="10"/>
  <c r="D433" i="10"/>
  <c r="E433" i="10"/>
  <c r="F433" i="10"/>
  <c r="G433" i="10"/>
  <c r="H433" i="10"/>
  <c r="I433" i="10"/>
  <c r="K433" i="10"/>
  <c r="L433" i="10"/>
  <c r="D434" i="10"/>
  <c r="E434" i="10"/>
  <c r="F434" i="10"/>
  <c r="G434" i="10"/>
  <c r="H434" i="10"/>
  <c r="I434" i="10"/>
  <c r="K434" i="10"/>
  <c r="L434" i="10"/>
  <c r="D435" i="10"/>
  <c r="E435" i="10"/>
  <c r="F435" i="10"/>
  <c r="G435" i="10"/>
  <c r="H435" i="10"/>
  <c r="I435" i="10"/>
  <c r="K435" i="10"/>
  <c r="L435" i="10"/>
  <c r="D436" i="10"/>
  <c r="E436" i="10"/>
  <c r="F436" i="10"/>
  <c r="G436" i="10"/>
  <c r="H436" i="10"/>
  <c r="I436" i="10"/>
  <c r="K436" i="10"/>
  <c r="L436" i="10"/>
  <c r="D437" i="10"/>
  <c r="E437" i="10"/>
  <c r="F437" i="10"/>
  <c r="G437" i="10"/>
  <c r="H437" i="10"/>
  <c r="I437" i="10"/>
  <c r="K437" i="10"/>
  <c r="L437" i="10"/>
  <c r="D438" i="10"/>
  <c r="E438" i="10"/>
  <c r="F438" i="10"/>
  <c r="G438" i="10"/>
  <c r="H438" i="10"/>
  <c r="I438" i="10"/>
  <c r="K438" i="10"/>
  <c r="L438" i="10"/>
  <c r="D439" i="10"/>
  <c r="E439" i="10"/>
  <c r="F439" i="10"/>
  <c r="G439" i="10"/>
  <c r="H439" i="10"/>
  <c r="I439" i="10"/>
  <c r="K439" i="10"/>
  <c r="L439" i="10"/>
  <c r="D440" i="10"/>
  <c r="E440" i="10"/>
  <c r="F440" i="10"/>
  <c r="G440" i="10"/>
  <c r="H440" i="10"/>
  <c r="I440" i="10"/>
  <c r="K440" i="10"/>
  <c r="L440" i="10"/>
  <c r="D441" i="10"/>
  <c r="E441" i="10"/>
  <c r="F441" i="10"/>
  <c r="G441" i="10"/>
  <c r="H441" i="10"/>
  <c r="I441" i="10"/>
  <c r="K441" i="10"/>
  <c r="L441" i="10"/>
  <c r="D442" i="10"/>
  <c r="E442" i="10"/>
  <c r="F442" i="10"/>
  <c r="G442" i="10"/>
  <c r="H442" i="10"/>
  <c r="I442" i="10"/>
  <c r="K442" i="10"/>
  <c r="L442" i="10"/>
  <c r="D443" i="10"/>
  <c r="E443" i="10"/>
  <c r="F443" i="10"/>
  <c r="G443" i="10"/>
  <c r="H443" i="10"/>
  <c r="I443" i="10"/>
  <c r="K443" i="10"/>
  <c r="L443" i="10"/>
  <c r="D444" i="10"/>
  <c r="E444" i="10"/>
  <c r="F444" i="10"/>
  <c r="G444" i="10"/>
  <c r="H444" i="10"/>
  <c r="I444" i="10"/>
  <c r="K444" i="10"/>
  <c r="L444" i="10"/>
  <c r="D445" i="10"/>
  <c r="E445" i="10"/>
  <c r="F445" i="10"/>
  <c r="G445" i="10"/>
  <c r="H445" i="10"/>
  <c r="I445" i="10"/>
  <c r="K445" i="10"/>
  <c r="L445" i="10"/>
  <c r="D446" i="10"/>
  <c r="E446" i="10"/>
  <c r="F446" i="10"/>
  <c r="G446" i="10"/>
  <c r="H446" i="10"/>
  <c r="I446" i="10"/>
  <c r="K446" i="10"/>
  <c r="L446" i="10"/>
  <c r="D447" i="10"/>
  <c r="E447" i="10"/>
  <c r="F447" i="10"/>
  <c r="G447" i="10"/>
  <c r="H447" i="10"/>
  <c r="I447" i="10"/>
  <c r="K447" i="10"/>
  <c r="L447" i="10"/>
  <c r="D448" i="10"/>
  <c r="E448" i="10"/>
  <c r="F448" i="10"/>
  <c r="G448" i="10"/>
  <c r="H448" i="10"/>
  <c r="I448" i="10"/>
  <c r="K448" i="10"/>
  <c r="L448" i="10"/>
  <c r="D449" i="10"/>
  <c r="E449" i="10"/>
  <c r="F449" i="10"/>
  <c r="G449" i="10"/>
  <c r="H449" i="10"/>
  <c r="I449" i="10"/>
  <c r="K449" i="10"/>
  <c r="L449" i="10"/>
  <c r="D450" i="10"/>
  <c r="E450" i="10"/>
  <c r="F450" i="10"/>
  <c r="G450" i="10"/>
  <c r="H450" i="10"/>
  <c r="I450" i="10"/>
  <c r="K450" i="10"/>
  <c r="L450" i="10"/>
  <c r="D451" i="10"/>
  <c r="E451" i="10"/>
  <c r="F451" i="10"/>
  <c r="G451" i="10"/>
  <c r="H451" i="10"/>
  <c r="I451" i="10"/>
  <c r="K451" i="10"/>
  <c r="L451" i="10"/>
  <c r="D452" i="10"/>
  <c r="E452" i="10"/>
  <c r="F452" i="10"/>
  <c r="G452" i="10"/>
  <c r="H452" i="10"/>
  <c r="I452" i="10"/>
  <c r="K452" i="10"/>
  <c r="L452" i="10"/>
  <c r="D453" i="10"/>
  <c r="E453" i="10"/>
  <c r="F453" i="10"/>
  <c r="G453" i="10"/>
  <c r="H453" i="10"/>
  <c r="I453" i="10"/>
  <c r="K453" i="10"/>
  <c r="L453" i="10"/>
  <c r="D454" i="10"/>
  <c r="E454" i="10"/>
  <c r="F454" i="10"/>
  <c r="G454" i="10"/>
  <c r="H454" i="10"/>
  <c r="I454" i="10"/>
  <c r="K454" i="10"/>
  <c r="L454" i="10"/>
  <c r="D455" i="10"/>
  <c r="E455" i="10"/>
  <c r="F455" i="10"/>
  <c r="G455" i="10"/>
  <c r="H455" i="10"/>
  <c r="I455" i="10"/>
  <c r="K455" i="10"/>
  <c r="L455" i="10"/>
  <c r="D456" i="10"/>
  <c r="E456" i="10"/>
  <c r="F456" i="10"/>
  <c r="G456" i="10"/>
  <c r="H456" i="10"/>
  <c r="I456" i="10"/>
  <c r="K456" i="10"/>
  <c r="L456" i="10"/>
  <c r="D457" i="10"/>
  <c r="E457" i="10"/>
  <c r="F457" i="10"/>
  <c r="G457" i="10"/>
  <c r="H457" i="10"/>
  <c r="I457" i="10"/>
  <c r="K457" i="10"/>
  <c r="L457" i="10"/>
  <c r="D458" i="10"/>
  <c r="E458" i="10"/>
  <c r="F458" i="10"/>
  <c r="G458" i="10"/>
  <c r="H458" i="10"/>
  <c r="I458" i="10"/>
  <c r="K458" i="10"/>
  <c r="L458" i="10"/>
  <c r="D459" i="10"/>
  <c r="E459" i="10"/>
  <c r="F459" i="10"/>
  <c r="G459" i="10"/>
  <c r="H459" i="10"/>
  <c r="I459" i="10"/>
  <c r="K459" i="10"/>
  <c r="L459" i="10"/>
  <c r="D460" i="10"/>
  <c r="E460" i="10"/>
  <c r="F460" i="10"/>
  <c r="G460" i="10"/>
  <c r="H460" i="10"/>
  <c r="I460" i="10"/>
  <c r="K460" i="10"/>
  <c r="L460" i="10"/>
  <c r="D461" i="10"/>
  <c r="E461" i="10"/>
  <c r="F461" i="10"/>
  <c r="G461" i="10"/>
  <c r="H461" i="10"/>
  <c r="I461" i="10"/>
  <c r="K461" i="10"/>
  <c r="L461" i="10"/>
  <c r="D462" i="10"/>
  <c r="E462" i="10"/>
  <c r="F462" i="10"/>
  <c r="G462" i="10"/>
  <c r="H462" i="10"/>
  <c r="I462" i="10"/>
  <c r="K462" i="10"/>
  <c r="L462" i="10"/>
  <c r="D463" i="10"/>
  <c r="E463" i="10"/>
  <c r="F463" i="10"/>
  <c r="G463" i="10"/>
  <c r="H463" i="10"/>
  <c r="I463" i="10"/>
  <c r="K463" i="10"/>
  <c r="L463" i="10"/>
  <c r="D464" i="10"/>
  <c r="E464" i="10"/>
  <c r="F464" i="10"/>
  <c r="G464" i="10"/>
  <c r="H464" i="10"/>
  <c r="I464" i="10"/>
  <c r="K464" i="10"/>
  <c r="L464" i="10"/>
  <c r="D465" i="10"/>
  <c r="E465" i="10"/>
  <c r="F465" i="10"/>
  <c r="G465" i="10"/>
  <c r="H465" i="10"/>
  <c r="I465" i="10"/>
  <c r="K465" i="10"/>
  <c r="L465" i="10"/>
  <c r="D466" i="10"/>
  <c r="E466" i="10"/>
  <c r="F466" i="10"/>
  <c r="G466" i="10"/>
  <c r="H466" i="10"/>
  <c r="I466" i="10"/>
  <c r="K466" i="10"/>
  <c r="L466" i="10"/>
  <c r="D467" i="10"/>
  <c r="E467" i="10"/>
  <c r="F467" i="10"/>
  <c r="G467" i="10"/>
  <c r="H467" i="10"/>
  <c r="I467" i="10"/>
  <c r="K467" i="10"/>
  <c r="L467" i="10"/>
  <c r="D468" i="10"/>
  <c r="E468" i="10"/>
  <c r="F468" i="10"/>
  <c r="G468" i="10"/>
  <c r="H468" i="10"/>
  <c r="I468" i="10"/>
  <c r="K468" i="10"/>
  <c r="L468" i="10"/>
  <c r="D469" i="10"/>
  <c r="E469" i="10"/>
  <c r="F469" i="10"/>
  <c r="G469" i="10"/>
  <c r="H469" i="10"/>
  <c r="I469" i="10"/>
  <c r="K469" i="10"/>
  <c r="L469" i="10"/>
  <c r="D470" i="10"/>
  <c r="E470" i="10"/>
  <c r="F470" i="10"/>
  <c r="G470" i="10"/>
  <c r="H470" i="10"/>
  <c r="I470" i="10"/>
  <c r="K470" i="10"/>
  <c r="L470" i="10"/>
  <c r="D471" i="10"/>
  <c r="E471" i="10"/>
  <c r="F471" i="10"/>
  <c r="G471" i="10"/>
  <c r="H471" i="10"/>
  <c r="I471" i="10"/>
  <c r="K471" i="10"/>
  <c r="L471" i="10"/>
  <c r="D472" i="10"/>
  <c r="E472" i="10"/>
  <c r="F472" i="10"/>
  <c r="G472" i="10"/>
  <c r="H472" i="10"/>
  <c r="I472" i="10"/>
  <c r="K472" i="10"/>
  <c r="L472" i="10"/>
  <c r="D473" i="10"/>
  <c r="E473" i="10"/>
  <c r="F473" i="10"/>
  <c r="G473" i="10"/>
  <c r="H473" i="10"/>
  <c r="I473" i="10"/>
  <c r="K473" i="10"/>
  <c r="L473" i="10"/>
  <c r="D474" i="10"/>
  <c r="E474" i="10"/>
  <c r="F474" i="10"/>
  <c r="G474" i="10"/>
  <c r="H474" i="10"/>
  <c r="I474" i="10"/>
  <c r="K474" i="10"/>
  <c r="L474" i="10"/>
  <c r="D475" i="10"/>
  <c r="E475" i="10"/>
  <c r="F475" i="10"/>
  <c r="G475" i="10"/>
  <c r="H475" i="10"/>
  <c r="I475" i="10"/>
  <c r="K475" i="10"/>
  <c r="L475" i="10"/>
  <c r="D476" i="10"/>
  <c r="E476" i="10"/>
  <c r="F476" i="10"/>
  <c r="G476" i="10"/>
  <c r="H476" i="10"/>
  <c r="I476" i="10"/>
  <c r="K476" i="10"/>
  <c r="L476" i="10"/>
  <c r="D477" i="10"/>
  <c r="E477" i="10"/>
  <c r="F477" i="10"/>
  <c r="G477" i="10"/>
  <c r="H477" i="10"/>
  <c r="I477" i="10"/>
  <c r="K477" i="10"/>
  <c r="L477" i="10"/>
  <c r="D478" i="10"/>
  <c r="E478" i="10"/>
  <c r="F478" i="10"/>
  <c r="G478" i="10"/>
  <c r="H478" i="10"/>
  <c r="I478" i="10"/>
  <c r="K478" i="10"/>
  <c r="L478" i="10"/>
  <c r="D479" i="10"/>
  <c r="E479" i="10"/>
  <c r="F479" i="10"/>
  <c r="G479" i="10"/>
  <c r="H479" i="10"/>
  <c r="I479" i="10"/>
  <c r="K479" i="10"/>
  <c r="L479" i="10"/>
  <c r="D480" i="10"/>
  <c r="E480" i="10"/>
  <c r="F480" i="10"/>
  <c r="G480" i="10"/>
  <c r="H480" i="10"/>
  <c r="I480" i="10"/>
  <c r="K480" i="10"/>
  <c r="L480" i="10"/>
  <c r="D481" i="10"/>
  <c r="E481" i="10"/>
  <c r="F481" i="10"/>
  <c r="G481" i="10"/>
  <c r="H481" i="10"/>
  <c r="I481" i="10"/>
  <c r="K481" i="10"/>
  <c r="L481" i="10"/>
  <c r="D482" i="10"/>
  <c r="E482" i="10"/>
  <c r="F482" i="10"/>
  <c r="G482" i="10"/>
  <c r="H482" i="10"/>
  <c r="I482" i="10"/>
  <c r="K482" i="10"/>
  <c r="L482" i="10"/>
  <c r="D483" i="10"/>
  <c r="E483" i="10"/>
  <c r="F483" i="10"/>
  <c r="G483" i="10"/>
  <c r="H483" i="10"/>
  <c r="I483" i="10"/>
  <c r="K483" i="10"/>
  <c r="L483" i="10"/>
  <c r="D484" i="10"/>
  <c r="E484" i="10"/>
  <c r="F484" i="10"/>
  <c r="G484" i="10"/>
  <c r="H484" i="10"/>
  <c r="I484" i="10"/>
  <c r="K484" i="10"/>
  <c r="L484" i="10"/>
  <c r="D485" i="10"/>
  <c r="E485" i="10"/>
  <c r="F485" i="10"/>
  <c r="G485" i="10"/>
  <c r="H485" i="10"/>
  <c r="I485" i="10"/>
  <c r="K485" i="10"/>
  <c r="L485" i="10"/>
  <c r="D486" i="10"/>
  <c r="E486" i="10"/>
  <c r="F486" i="10"/>
  <c r="G486" i="10"/>
  <c r="H486" i="10"/>
  <c r="I486" i="10"/>
  <c r="K486" i="10"/>
  <c r="L486" i="10"/>
  <c r="D487" i="10"/>
  <c r="E487" i="10"/>
  <c r="F487" i="10"/>
  <c r="G487" i="10"/>
  <c r="H487" i="10"/>
  <c r="I487" i="10"/>
  <c r="K487" i="10"/>
  <c r="L487" i="10"/>
  <c r="D488" i="10"/>
  <c r="E488" i="10"/>
  <c r="F488" i="10"/>
  <c r="G488" i="10"/>
  <c r="H488" i="10"/>
  <c r="I488" i="10"/>
  <c r="K488" i="10"/>
  <c r="L488" i="10"/>
  <c r="D489" i="10"/>
  <c r="E489" i="10"/>
  <c r="F489" i="10"/>
  <c r="G489" i="10"/>
  <c r="H489" i="10"/>
  <c r="I489" i="10"/>
  <c r="K489" i="10"/>
  <c r="L489" i="10"/>
  <c r="D490" i="10"/>
  <c r="E490" i="10"/>
  <c r="F490" i="10"/>
  <c r="G490" i="10"/>
  <c r="H490" i="10"/>
  <c r="I490" i="10"/>
  <c r="K490" i="10"/>
  <c r="L490" i="10"/>
  <c r="D491" i="10"/>
  <c r="E491" i="10"/>
  <c r="F491" i="10"/>
  <c r="G491" i="10"/>
  <c r="H491" i="10"/>
  <c r="I491" i="10"/>
  <c r="K491" i="10"/>
  <c r="L491" i="10"/>
  <c r="D492" i="10"/>
  <c r="E492" i="10"/>
  <c r="F492" i="10"/>
  <c r="G492" i="10"/>
  <c r="H492" i="10"/>
  <c r="I492" i="10"/>
  <c r="K492" i="10"/>
  <c r="L492" i="10"/>
  <c r="D493" i="10"/>
  <c r="E493" i="10"/>
  <c r="F493" i="10"/>
  <c r="G493" i="10"/>
  <c r="H493" i="10"/>
  <c r="I493" i="10"/>
  <c r="K493" i="10"/>
  <c r="L493" i="10"/>
  <c r="D494" i="10"/>
  <c r="E494" i="10"/>
  <c r="F494" i="10"/>
  <c r="G494" i="10"/>
  <c r="H494" i="10"/>
  <c r="I494" i="10"/>
  <c r="K494" i="10"/>
  <c r="L494" i="10"/>
  <c r="D495" i="10"/>
  <c r="E495" i="10"/>
  <c r="F495" i="10"/>
  <c r="G495" i="10"/>
  <c r="H495" i="10"/>
  <c r="I495" i="10"/>
  <c r="K495" i="10"/>
  <c r="L495" i="10"/>
  <c r="D496" i="10"/>
  <c r="E496" i="10"/>
  <c r="F496" i="10"/>
  <c r="G496" i="10"/>
  <c r="H496" i="10"/>
  <c r="I496" i="10"/>
  <c r="K496" i="10"/>
  <c r="L496" i="10"/>
  <c r="D497" i="10"/>
  <c r="E497" i="10"/>
  <c r="F497" i="10"/>
  <c r="G497" i="10"/>
  <c r="H497" i="10"/>
  <c r="I497" i="10"/>
  <c r="K497" i="10"/>
  <c r="L497" i="10"/>
  <c r="D498" i="10"/>
  <c r="E498" i="10"/>
  <c r="F498" i="10"/>
  <c r="G498" i="10"/>
  <c r="H498" i="10"/>
  <c r="I498" i="10"/>
  <c r="K498" i="10"/>
  <c r="L498" i="10"/>
  <c r="D499" i="10"/>
  <c r="E499" i="10"/>
  <c r="F499" i="10"/>
  <c r="G499" i="10"/>
  <c r="H499" i="10"/>
  <c r="I499" i="10"/>
  <c r="K499" i="10"/>
  <c r="L499" i="10"/>
  <c r="D500" i="10"/>
  <c r="E500" i="10"/>
  <c r="F500" i="10"/>
  <c r="G500" i="10"/>
  <c r="H500" i="10"/>
  <c r="I500" i="10"/>
  <c r="K500" i="10"/>
  <c r="L500" i="10"/>
  <c r="D501" i="10"/>
  <c r="E501" i="10"/>
  <c r="F501" i="10"/>
  <c r="G501" i="10"/>
  <c r="H501" i="10"/>
  <c r="I501" i="10"/>
  <c r="K501" i="10"/>
  <c r="L501" i="10"/>
  <c r="D502" i="10"/>
  <c r="E502" i="10"/>
  <c r="F502" i="10"/>
  <c r="G502" i="10"/>
  <c r="H502" i="10"/>
  <c r="I502" i="10"/>
  <c r="K502" i="10"/>
  <c r="L502" i="10"/>
  <c r="D503" i="10"/>
  <c r="E503" i="10"/>
  <c r="F503" i="10"/>
  <c r="G503" i="10"/>
  <c r="H503" i="10"/>
  <c r="I503" i="10"/>
  <c r="K503" i="10"/>
  <c r="L503" i="10"/>
  <c r="D504" i="10"/>
  <c r="E504" i="10"/>
  <c r="F504" i="10"/>
  <c r="G504" i="10"/>
  <c r="H504" i="10"/>
  <c r="I504" i="10"/>
  <c r="K504" i="10"/>
  <c r="L504" i="10"/>
  <c r="D505" i="10"/>
  <c r="E505" i="10"/>
  <c r="F505" i="10"/>
  <c r="G505" i="10"/>
  <c r="H505" i="10"/>
  <c r="I505" i="10"/>
  <c r="K505" i="10"/>
  <c r="L505" i="10"/>
  <c r="D506" i="10"/>
  <c r="E506" i="10"/>
  <c r="F506" i="10"/>
  <c r="G506" i="10"/>
  <c r="H506" i="10"/>
  <c r="I506" i="10"/>
  <c r="K506" i="10"/>
  <c r="L506" i="10"/>
  <c r="D507" i="10"/>
  <c r="E507" i="10"/>
  <c r="F507" i="10"/>
  <c r="G507" i="10"/>
  <c r="H507" i="10"/>
  <c r="I507" i="10"/>
  <c r="K507" i="10"/>
  <c r="L507" i="10"/>
  <c r="D508" i="10"/>
  <c r="E508" i="10"/>
  <c r="F508" i="10"/>
  <c r="G508" i="10"/>
  <c r="H508" i="10"/>
  <c r="I508" i="10"/>
  <c r="K508" i="10"/>
  <c r="L508" i="10"/>
  <c r="D509" i="10"/>
  <c r="E509" i="10"/>
  <c r="F509" i="10"/>
  <c r="G509" i="10"/>
  <c r="H509" i="10"/>
  <c r="I509" i="10"/>
  <c r="K509" i="10"/>
  <c r="L509" i="10"/>
  <c r="D510" i="10"/>
  <c r="E510" i="10"/>
  <c r="F510" i="10"/>
  <c r="G510" i="10"/>
  <c r="H510" i="10"/>
  <c r="I510" i="10"/>
  <c r="K510" i="10"/>
  <c r="L510" i="10"/>
  <c r="D511" i="10"/>
  <c r="E511" i="10"/>
  <c r="F511" i="10"/>
  <c r="G511" i="10"/>
  <c r="H511" i="10"/>
  <c r="I511" i="10"/>
  <c r="K511" i="10"/>
  <c r="L511" i="10"/>
  <c r="D512" i="10"/>
  <c r="E512" i="10"/>
  <c r="F512" i="10"/>
  <c r="G512" i="10"/>
  <c r="H512" i="10"/>
  <c r="I512" i="10"/>
  <c r="K512" i="10"/>
  <c r="L512" i="10"/>
  <c r="D513" i="10"/>
  <c r="E513" i="10"/>
  <c r="F513" i="10"/>
  <c r="G513" i="10"/>
  <c r="H513" i="10"/>
  <c r="I513" i="10"/>
  <c r="K513" i="10"/>
  <c r="L513" i="10"/>
  <c r="D514" i="10"/>
  <c r="E514" i="10"/>
  <c r="F514" i="10"/>
  <c r="G514" i="10"/>
  <c r="H514" i="10"/>
  <c r="I514" i="10"/>
  <c r="K514" i="10"/>
  <c r="L514" i="10"/>
  <c r="D515" i="10"/>
  <c r="E515" i="10"/>
  <c r="F515" i="10"/>
  <c r="G515" i="10"/>
  <c r="H515" i="10"/>
  <c r="I515" i="10"/>
  <c r="K515" i="10"/>
  <c r="L515" i="10"/>
  <c r="D516" i="10"/>
  <c r="E516" i="10"/>
  <c r="F516" i="10"/>
  <c r="G516" i="10"/>
  <c r="H516" i="10"/>
  <c r="I516" i="10"/>
  <c r="K516" i="10"/>
  <c r="L516" i="10"/>
  <c r="D517" i="10"/>
  <c r="E517" i="10"/>
  <c r="F517" i="10"/>
  <c r="G517" i="10"/>
  <c r="H517" i="10"/>
  <c r="I517" i="10"/>
  <c r="K517" i="10"/>
  <c r="L517" i="10"/>
  <c r="D518" i="10"/>
  <c r="E518" i="10"/>
  <c r="F518" i="10"/>
  <c r="G518" i="10"/>
  <c r="H518" i="10"/>
  <c r="I518" i="10"/>
  <c r="K518" i="10"/>
  <c r="L518" i="10"/>
  <c r="D519" i="10"/>
  <c r="E519" i="10"/>
  <c r="F519" i="10"/>
  <c r="G519" i="10"/>
  <c r="H519" i="10"/>
  <c r="I519" i="10"/>
  <c r="K519" i="10"/>
  <c r="L519" i="10"/>
  <c r="D520" i="10"/>
  <c r="E520" i="10"/>
  <c r="F520" i="10"/>
  <c r="G520" i="10"/>
  <c r="H520" i="10"/>
  <c r="I520" i="10"/>
  <c r="K520" i="10"/>
  <c r="L520" i="10"/>
  <c r="D521" i="10"/>
  <c r="E521" i="10"/>
  <c r="F521" i="10"/>
  <c r="G521" i="10"/>
  <c r="H521" i="10"/>
  <c r="I521" i="10"/>
  <c r="K521" i="10"/>
  <c r="L521" i="10"/>
  <c r="D522" i="10"/>
  <c r="E522" i="10"/>
  <c r="F522" i="10"/>
  <c r="G522" i="10"/>
  <c r="H522" i="10"/>
  <c r="I522" i="10"/>
  <c r="K522" i="10"/>
  <c r="L522" i="10"/>
  <c r="D523" i="10"/>
  <c r="E523" i="10"/>
  <c r="F523" i="10"/>
  <c r="G523" i="10"/>
  <c r="H523" i="10"/>
  <c r="I523" i="10"/>
  <c r="K523" i="10"/>
  <c r="L523" i="10"/>
  <c r="D524" i="10"/>
  <c r="E524" i="10"/>
  <c r="F524" i="10"/>
  <c r="G524" i="10"/>
  <c r="H524" i="10"/>
  <c r="I524" i="10"/>
  <c r="K524" i="10"/>
  <c r="L524" i="10"/>
  <c r="D525" i="10"/>
  <c r="E525" i="10"/>
  <c r="F525" i="10"/>
  <c r="G525" i="10"/>
  <c r="H525" i="10"/>
  <c r="I525" i="10"/>
  <c r="K525" i="10"/>
  <c r="L525" i="10"/>
  <c r="D526" i="10"/>
  <c r="E526" i="10"/>
  <c r="F526" i="10"/>
  <c r="G526" i="10"/>
  <c r="H526" i="10"/>
  <c r="I526" i="10"/>
  <c r="K526" i="10"/>
  <c r="L526" i="10"/>
  <c r="D527" i="10"/>
  <c r="E527" i="10"/>
  <c r="F527" i="10"/>
  <c r="G527" i="10"/>
  <c r="H527" i="10"/>
  <c r="I527" i="10"/>
  <c r="K527" i="10"/>
  <c r="L527" i="10"/>
  <c r="D528" i="10"/>
  <c r="E528" i="10"/>
  <c r="F528" i="10"/>
  <c r="G528" i="10"/>
  <c r="H528" i="10"/>
  <c r="I528" i="10"/>
  <c r="K528" i="10"/>
  <c r="L528" i="10"/>
  <c r="D529" i="10"/>
  <c r="E529" i="10"/>
  <c r="F529" i="10"/>
  <c r="G529" i="10"/>
  <c r="H529" i="10"/>
  <c r="I529" i="10"/>
  <c r="K529" i="10"/>
  <c r="L529" i="10"/>
  <c r="D530" i="10"/>
  <c r="E530" i="10"/>
  <c r="F530" i="10"/>
  <c r="G530" i="10"/>
  <c r="H530" i="10"/>
  <c r="I530" i="10"/>
  <c r="K530" i="10"/>
  <c r="L530" i="10"/>
  <c r="D531" i="10"/>
  <c r="E531" i="10"/>
  <c r="F531" i="10"/>
  <c r="G531" i="10"/>
  <c r="H531" i="10"/>
  <c r="I531" i="10"/>
  <c r="K531" i="10"/>
  <c r="L531" i="10"/>
  <c r="D532" i="10"/>
  <c r="E532" i="10"/>
  <c r="F532" i="10"/>
  <c r="G532" i="10"/>
  <c r="H532" i="10"/>
  <c r="I532" i="10"/>
  <c r="K532" i="10"/>
  <c r="L532" i="10"/>
  <c r="D533" i="10"/>
  <c r="E533" i="10"/>
  <c r="F533" i="10"/>
  <c r="G533" i="10"/>
  <c r="H533" i="10"/>
  <c r="I533" i="10"/>
  <c r="K533" i="10"/>
  <c r="L533" i="10"/>
  <c r="D534" i="10"/>
  <c r="E534" i="10"/>
  <c r="F534" i="10"/>
  <c r="G534" i="10"/>
  <c r="H534" i="10"/>
  <c r="I534" i="10"/>
  <c r="K534" i="10"/>
  <c r="L534" i="10"/>
  <c r="D535" i="10"/>
  <c r="E535" i="10"/>
  <c r="F535" i="10"/>
  <c r="G535" i="10"/>
  <c r="H535" i="10"/>
  <c r="I535" i="10"/>
  <c r="K535" i="10"/>
  <c r="L535" i="10"/>
  <c r="D536" i="10"/>
  <c r="E536" i="10"/>
  <c r="F536" i="10"/>
  <c r="G536" i="10"/>
  <c r="H536" i="10"/>
  <c r="I536" i="10"/>
  <c r="K536" i="10"/>
  <c r="L536" i="10"/>
  <c r="D537" i="10"/>
  <c r="E537" i="10"/>
  <c r="F537" i="10"/>
  <c r="G537" i="10"/>
  <c r="H537" i="10"/>
  <c r="I537" i="10"/>
  <c r="K537" i="10"/>
  <c r="L537" i="10"/>
  <c r="D538" i="10"/>
  <c r="E538" i="10"/>
  <c r="F538" i="10"/>
  <c r="G538" i="10"/>
  <c r="H538" i="10"/>
  <c r="I538" i="10"/>
  <c r="K538" i="10"/>
  <c r="L538" i="10"/>
  <c r="D539" i="10"/>
  <c r="E539" i="10"/>
  <c r="F539" i="10"/>
  <c r="G539" i="10"/>
  <c r="H539" i="10"/>
  <c r="I539" i="10"/>
  <c r="K539" i="10"/>
  <c r="L539" i="10"/>
  <c r="D540" i="10"/>
  <c r="E540" i="10"/>
  <c r="F540" i="10"/>
  <c r="G540" i="10"/>
  <c r="H540" i="10"/>
  <c r="I540" i="10"/>
  <c r="K540" i="10"/>
  <c r="L540" i="10"/>
  <c r="D541" i="10"/>
  <c r="E541" i="10"/>
  <c r="F541" i="10"/>
  <c r="G541" i="10"/>
  <c r="H541" i="10"/>
  <c r="I541" i="10"/>
  <c r="K541" i="10"/>
  <c r="L541" i="10"/>
  <c r="D542" i="10"/>
  <c r="E542" i="10"/>
  <c r="F542" i="10"/>
  <c r="G542" i="10"/>
  <c r="H542" i="10"/>
  <c r="I542" i="10"/>
  <c r="K542" i="10"/>
  <c r="L542" i="10"/>
  <c r="D543" i="10"/>
  <c r="E543" i="10"/>
  <c r="F543" i="10"/>
  <c r="G543" i="10"/>
  <c r="H543" i="10"/>
  <c r="I543" i="10"/>
  <c r="K543" i="10"/>
  <c r="L543" i="10"/>
  <c r="D544" i="10"/>
  <c r="E544" i="10"/>
  <c r="F544" i="10"/>
  <c r="G544" i="10"/>
  <c r="H544" i="10"/>
  <c r="I544" i="10"/>
  <c r="K544" i="10"/>
  <c r="L544" i="10"/>
  <c r="D545" i="10"/>
  <c r="E545" i="10"/>
  <c r="F545" i="10"/>
  <c r="G545" i="10"/>
  <c r="H545" i="10"/>
  <c r="I545" i="10"/>
  <c r="K545" i="10"/>
  <c r="L545" i="10"/>
  <c r="D546" i="10"/>
  <c r="E546" i="10"/>
  <c r="F546" i="10"/>
  <c r="G546" i="10"/>
  <c r="H546" i="10"/>
  <c r="I546" i="10"/>
  <c r="K546" i="10"/>
  <c r="L546" i="10"/>
  <c r="D547" i="10"/>
  <c r="E547" i="10"/>
  <c r="F547" i="10"/>
  <c r="G547" i="10"/>
  <c r="H547" i="10"/>
  <c r="I547" i="10"/>
  <c r="K547" i="10"/>
  <c r="L547" i="10"/>
  <c r="D548" i="10"/>
  <c r="E548" i="10"/>
  <c r="F548" i="10"/>
  <c r="G548" i="10"/>
  <c r="H548" i="10"/>
  <c r="I548" i="10"/>
  <c r="K548" i="10"/>
  <c r="L548" i="10"/>
  <c r="D549" i="10"/>
  <c r="E549" i="10"/>
  <c r="F549" i="10"/>
  <c r="G549" i="10"/>
  <c r="H549" i="10"/>
  <c r="I549" i="10"/>
  <c r="K549" i="10"/>
  <c r="L549" i="10"/>
  <c r="D550" i="10"/>
  <c r="E550" i="10"/>
  <c r="F550" i="10"/>
  <c r="G550" i="10"/>
  <c r="H550" i="10"/>
  <c r="I550" i="10"/>
  <c r="K550" i="10"/>
  <c r="L550" i="10"/>
  <c r="D551" i="10"/>
  <c r="E551" i="10"/>
  <c r="F551" i="10"/>
  <c r="G551" i="10"/>
  <c r="H551" i="10"/>
  <c r="I551" i="10"/>
  <c r="K551" i="10"/>
  <c r="L551" i="10"/>
  <c r="D552" i="10"/>
  <c r="E552" i="10"/>
  <c r="F552" i="10"/>
  <c r="G552" i="10"/>
  <c r="H552" i="10"/>
  <c r="I552" i="10"/>
  <c r="K552" i="10"/>
  <c r="L552" i="10"/>
  <c r="D553" i="10"/>
  <c r="E553" i="10"/>
  <c r="F553" i="10"/>
  <c r="G553" i="10"/>
  <c r="H553" i="10"/>
  <c r="I553" i="10"/>
  <c r="K553" i="10"/>
  <c r="L553" i="10"/>
  <c r="D554" i="10"/>
  <c r="E554" i="10"/>
  <c r="F554" i="10"/>
  <c r="G554" i="10"/>
  <c r="H554" i="10"/>
  <c r="I554" i="10"/>
  <c r="K554" i="10"/>
  <c r="L554" i="10"/>
  <c r="D555" i="10"/>
  <c r="E555" i="10"/>
  <c r="F555" i="10"/>
  <c r="G555" i="10"/>
  <c r="H555" i="10"/>
  <c r="I555" i="10"/>
  <c r="K555" i="10"/>
  <c r="L555" i="10"/>
  <c r="D556" i="10"/>
  <c r="E556" i="10"/>
  <c r="F556" i="10"/>
  <c r="G556" i="10"/>
  <c r="H556" i="10"/>
  <c r="I556" i="10"/>
  <c r="K556" i="10"/>
  <c r="L556" i="10"/>
  <c r="D557" i="10"/>
  <c r="E557" i="10"/>
  <c r="F557" i="10"/>
  <c r="G557" i="10"/>
  <c r="H557" i="10"/>
  <c r="I557" i="10"/>
  <c r="K557" i="10"/>
  <c r="L557" i="10"/>
  <c r="D558" i="10"/>
  <c r="E558" i="10"/>
  <c r="F558" i="10"/>
  <c r="G558" i="10"/>
  <c r="H558" i="10"/>
  <c r="I558" i="10"/>
  <c r="K558" i="10"/>
  <c r="L558" i="10"/>
  <c r="D559" i="10"/>
  <c r="E559" i="10"/>
  <c r="F559" i="10"/>
  <c r="G559" i="10"/>
  <c r="H559" i="10"/>
  <c r="I559" i="10"/>
  <c r="K559" i="10"/>
  <c r="L559" i="10"/>
  <c r="D560" i="10"/>
  <c r="E560" i="10"/>
  <c r="F560" i="10"/>
  <c r="G560" i="10"/>
  <c r="H560" i="10"/>
  <c r="I560" i="10"/>
  <c r="K560" i="10"/>
  <c r="L560" i="10"/>
  <c r="D561" i="10"/>
  <c r="E561" i="10"/>
  <c r="F561" i="10"/>
  <c r="G561" i="10"/>
  <c r="H561" i="10"/>
  <c r="I561" i="10"/>
  <c r="K561" i="10"/>
  <c r="L561" i="10"/>
  <c r="D562" i="10"/>
  <c r="E562" i="10"/>
  <c r="F562" i="10"/>
  <c r="G562" i="10"/>
  <c r="H562" i="10"/>
  <c r="I562" i="10"/>
  <c r="K562" i="10"/>
  <c r="L562" i="10"/>
  <c r="D563" i="10"/>
  <c r="E563" i="10"/>
  <c r="F563" i="10"/>
  <c r="G563" i="10"/>
  <c r="H563" i="10"/>
  <c r="I563" i="10"/>
  <c r="K563" i="10"/>
  <c r="L563" i="10"/>
  <c r="D564" i="10"/>
  <c r="E564" i="10"/>
  <c r="F564" i="10"/>
  <c r="G564" i="10"/>
  <c r="H564" i="10"/>
  <c r="I564" i="10"/>
  <c r="K564" i="10"/>
  <c r="L564" i="10"/>
  <c r="D565" i="10"/>
  <c r="E565" i="10"/>
  <c r="F565" i="10"/>
  <c r="G565" i="10"/>
  <c r="H565" i="10"/>
  <c r="I565" i="10"/>
  <c r="K565" i="10"/>
  <c r="L565" i="10"/>
  <c r="D566" i="10"/>
  <c r="E566" i="10"/>
  <c r="F566" i="10"/>
  <c r="G566" i="10"/>
  <c r="H566" i="10"/>
  <c r="I566" i="10"/>
  <c r="K566" i="10"/>
  <c r="L566" i="10"/>
  <c r="D567" i="10"/>
  <c r="E567" i="10"/>
  <c r="F567" i="10"/>
  <c r="G567" i="10"/>
  <c r="H567" i="10"/>
  <c r="I567" i="10"/>
  <c r="K567" i="10"/>
  <c r="L567" i="10"/>
  <c r="D568" i="10"/>
  <c r="E568" i="10"/>
  <c r="F568" i="10"/>
  <c r="G568" i="10"/>
  <c r="H568" i="10"/>
  <c r="I568" i="10"/>
  <c r="K568" i="10"/>
  <c r="L568" i="10"/>
  <c r="D569" i="10"/>
  <c r="E569" i="10"/>
  <c r="F569" i="10"/>
  <c r="G569" i="10"/>
  <c r="H569" i="10"/>
  <c r="I569" i="10"/>
  <c r="K569" i="10"/>
  <c r="L569" i="10"/>
  <c r="D570" i="10"/>
  <c r="E570" i="10"/>
  <c r="F570" i="10"/>
  <c r="G570" i="10"/>
  <c r="H570" i="10"/>
  <c r="I570" i="10"/>
  <c r="K570" i="10"/>
  <c r="L570" i="10"/>
  <c r="D571" i="10"/>
  <c r="E571" i="10"/>
  <c r="F571" i="10"/>
  <c r="G571" i="10"/>
  <c r="H571" i="10"/>
  <c r="I571" i="10"/>
  <c r="K571" i="10"/>
  <c r="L571" i="10"/>
  <c r="D572" i="10"/>
  <c r="E572" i="10"/>
  <c r="F572" i="10"/>
  <c r="G572" i="10"/>
  <c r="H572" i="10"/>
  <c r="I572" i="10"/>
  <c r="K572" i="10"/>
  <c r="L572" i="10"/>
  <c r="D573" i="10"/>
  <c r="E573" i="10"/>
  <c r="F573" i="10"/>
  <c r="G573" i="10"/>
  <c r="H573" i="10"/>
  <c r="I573" i="10"/>
  <c r="K573" i="10"/>
  <c r="L573" i="10"/>
  <c r="D574" i="10"/>
  <c r="E574" i="10"/>
  <c r="F574" i="10"/>
  <c r="G574" i="10"/>
  <c r="H574" i="10"/>
  <c r="I574" i="10"/>
  <c r="K574" i="10"/>
  <c r="L574" i="10"/>
  <c r="D575" i="10"/>
  <c r="E575" i="10"/>
  <c r="F575" i="10"/>
  <c r="G575" i="10"/>
  <c r="H575" i="10"/>
  <c r="I575" i="10"/>
  <c r="K575" i="10"/>
  <c r="L575" i="10"/>
  <c r="D576" i="10"/>
  <c r="E576" i="10"/>
  <c r="F576" i="10"/>
  <c r="G576" i="10"/>
  <c r="H576" i="10"/>
  <c r="I576" i="10"/>
  <c r="K576" i="10"/>
  <c r="L576" i="10"/>
  <c r="D577" i="10"/>
  <c r="E577" i="10"/>
  <c r="F577" i="10"/>
  <c r="G577" i="10"/>
  <c r="H577" i="10"/>
  <c r="I577" i="10"/>
  <c r="K577" i="10"/>
  <c r="L577" i="10"/>
  <c r="D578" i="10"/>
  <c r="E578" i="10"/>
  <c r="F578" i="10"/>
  <c r="G578" i="10"/>
  <c r="H578" i="10"/>
  <c r="I578" i="10"/>
  <c r="K578" i="10"/>
  <c r="L578" i="10"/>
  <c r="D579" i="10"/>
  <c r="E579" i="10"/>
  <c r="F579" i="10"/>
  <c r="G579" i="10"/>
  <c r="H579" i="10"/>
  <c r="I579" i="10"/>
  <c r="K579" i="10"/>
  <c r="L579" i="10"/>
  <c r="D580" i="10"/>
  <c r="E580" i="10"/>
  <c r="F580" i="10"/>
  <c r="G580" i="10"/>
  <c r="H580" i="10"/>
  <c r="I580" i="10"/>
  <c r="K580" i="10"/>
  <c r="L580" i="10"/>
  <c r="D581" i="10"/>
  <c r="E581" i="10"/>
  <c r="F581" i="10"/>
  <c r="G581" i="10"/>
  <c r="H581" i="10"/>
  <c r="I581" i="10"/>
  <c r="K581" i="10"/>
  <c r="L581" i="10"/>
  <c r="D582" i="10"/>
  <c r="E582" i="10"/>
  <c r="F582" i="10"/>
  <c r="G582" i="10"/>
  <c r="H582" i="10"/>
  <c r="I582" i="10"/>
  <c r="K582" i="10"/>
  <c r="L582" i="10"/>
  <c r="D583" i="10"/>
  <c r="E583" i="10"/>
  <c r="F583" i="10"/>
  <c r="G583" i="10"/>
  <c r="H583" i="10"/>
  <c r="I583" i="10"/>
  <c r="K583" i="10"/>
  <c r="L583" i="10"/>
  <c r="D584" i="10"/>
  <c r="E584" i="10"/>
  <c r="F584" i="10"/>
  <c r="G584" i="10"/>
  <c r="H584" i="10"/>
  <c r="I584" i="10"/>
  <c r="K584" i="10"/>
  <c r="L584" i="10"/>
  <c r="D585" i="10"/>
  <c r="E585" i="10"/>
  <c r="F585" i="10"/>
  <c r="G585" i="10"/>
  <c r="H585" i="10"/>
  <c r="I585" i="10"/>
  <c r="K585" i="10"/>
  <c r="L585" i="10"/>
  <c r="D586" i="10"/>
  <c r="E586" i="10"/>
  <c r="F586" i="10"/>
  <c r="G586" i="10"/>
  <c r="H586" i="10"/>
  <c r="I586" i="10"/>
  <c r="K586" i="10"/>
  <c r="L586" i="10"/>
  <c r="D587" i="10"/>
  <c r="E587" i="10"/>
  <c r="F587" i="10"/>
  <c r="G587" i="10"/>
  <c r="H587" i="10"/>
  <c r="I587" i="10"/>
  <c r="K587" i="10"/>
  <c r="L587" i="10"/>
  <c r="D588" i="10"/>
  <c r="E588" i="10"/>
  <c r="F588" i="10"/>
  <c r="G588" i="10"/>
  <c r="H588" i="10"/>
  <c r="I588" i="10"/>
  <c r="K588" i="10"/>
  <c r="L588" i="10"/>
  <c r="D589" i="10"/>
  <c r="E589" i="10"/>
  <c r="F589" i="10"/>
  <c r="G589" i="10"/>
  <c r="H589" i="10"/>
  <c r="I589" i="10"/>
  <c r="K589" i="10"/>
  <c r="L589" i="10"/>
  <c r="D590" i="10"/>
  <c r="E590" i="10"/>
  <c r="F590" i="10"/>
  <c r="G590" i="10"/>
  <c r="H590" i="10"/>
  <c r="I590" i="10"/>
  <c r="K590" i="10"/>
  <c r="L590" i="10"/>
  <c r="D591" i="10"/>
  <c r="E591" i="10"/>
  <c r="F591" i="10"/>
  <c r="G591" i="10"/>
  <c r="H591" i="10"/>
  <c r="I591" i="10"/>
  <c r="K591" i="10"/>
  <c r="L591" i="10"/>
  <c r="D592" i="10"/>
  <c r="E592" i="10"/>
  <c r="F592" i="10"/>
  <c r="G592" i="10"/>
  <c r="H592" i="10"/>
  <c r="I592" i="10"/>
  <c r="K592" i="10"/>
  <c r="L592" i="10"/>
  <c r="D593" i="10"/>
  <c r="E593" i="10"/>
  <c r="F593" i="10"/>
  <c r="G593" i="10"/>
  <c r="H593" i="10"/>
  <c r="I593" i="10"/>
  <c r="K593" i="10"/>
  <c r="L593" i="10"/>
  <c r="D594" i="10"/>
  <c r="E594" i="10"/>
  <c r="F594" i="10"/>
  <c r="G594" i="10"/>
  <c r="H594" i="10"/>
  <c r="I594" i="10"/>
  <c r="K594" i="10"/>
  <c r="L594" i="10"/>
  <c r="D595" i="10"/>
  <c r="E595" i="10"/>
  <c r="F595" i="10"/>
  <c r="G595" i="10"/>
  <c r="H595" i="10"/>
  <c r="I595" i="10"/>
  <c r="K595" i="10"/>
  <c r="L595" i="10"/>
  <c r="D596" i="10"/>
  <c r="E596" i="10"/>
  <c r="F596" i="10"/>
  <c r="G596" i="10"/>
  <c r="H596" i="10"/>
  <c r="I596" i="10"/>
  <c r="K596" i="10"/>
  <c r="L596" i="10"/>
  <c r="D597" i="10"/>
  <c r="E597" i="10"/>
  <c r="F597" i="10"/>
  <c r="G597" i="10"/>
  <c r="H597" i="10"/>
  <c r="I597" i="10"/>
  <c r="K597" i="10"/>
  <c r="L597" i="10"/>
  <c r="D598" i="10"/>
  <c r="E598" i="10"/>
  <c r="F598" i="10"/>
  <c r="G598" i="10"/>
  <c r="H598" i="10"/>
  <c r="I598" i="10"/>
  <c r="K598" i="10"/>
  <c r="L598" i="10"/>
  <c r="D599" i="10"/>
  <c r="E599" i="10"/>
  <c r="F599" i="10"/>
  <c r="G599" i="10"/>
  <c r="H599" i="10"/>
  <c r="I599" i="10"/>
  <c r="K599" i="10"/>
  <c r="L599" i="10"/>
  <c r="D600" i="10"/>
  <c r="E600" i="10"/>
  <c r="F600" i="10"/>
  <c r="G600" i="10"/>
  <c r="H600" i="10"/>
  <c r="I600" i="10"/>
  <c r="K600" i="10"/>
  <c r="L600" i="10"/>
  <c r="D601" i="10"/>
  <c r="E601" i="10"/>
  <c r="F601" i="10"/>
  <c r="G601" i="10"/>
  <c r="H601" i="10"/>
  <c r="I601" i="10"/>
  <c r="K601" i="10"/>
  <c r="L601" i="10"/>
  <c r="D602" i="10"/>
  <c r="E602" i="10"/>
  <c r="F602" i="10"/>
  <c r="G602" i="10"/>
  <c r="H602" i="10"/>
  <c r="I602" i="10"/>
  <c r="K602" i="10"/>
  <c r="L602" i="10"/>
  <c r="D603" i="10"/>
  <c r="E603" i="10"/>
  <c r="F603" i="10"/>
  <c r="G603" i="10"/>
  <c r="H603" i="10"/>
  <c r="I603" i="10"/>
  <c r="K603" i="10"/>
  <c r="L603" i="10"/>
  <c r="D604" i="10"/>
  <c r="E604" i="10"/>
  <c r="F604" i="10"/>
  <c r="G604" i="10"/>
  <c r="H604" i="10"/>
  <c r="I604" i="10"/>
  <c r="K604" i="10"/>
  <c r="L604" i="10"/>
  <c r="D605" i="10"/>
  <c r="E605" i="10"/>
  <c r="F605" i="10"/>
  <c r="G605" i="10"/>
  <c r="H605" i="10"/>
  <c r="I605" i="10"/>
  <c r="K605" i="10"/>
  <c r="L605" i="10"/>
  <c r="D606" i="10"/>
  <c r="E606" i="10"/>
  <c r="F606" i="10"/>
  <c r="G606" i="10"/>
  <c r="H606" i="10"/>
  <c r="I606" i="10"/>
  <c r="K606" i="10"/>
  <c r="L606" i="10"/>
  <c r="D607" i="10"/>
  <c r="E607" i="10"/>
  <c r="F607" i="10"/>
  <c r="G607" i="10"/>
  <c r="H607" i="10"/>
  <c r="I607" i="10"/>
  <c r="K607" i="10"/>
  <c r="L607" i="10"/>
  <c r="D608" i="10"/>
  <c r="E608" i="10"/>
  <c r="F608" i="10"/>
  <c r="G608" i="10"/>
  <c r="H608" i="10"/>
  <c r="I608" i="10"/>
  <c r="K608" i="10"/>
  <c r="L608" i="10"/>
  <c r="D609" i="10"/>
  <c r="E609" i="10"/>
  <c r="F609" i="10"/>
  <c r="G609" i="10"/>
  <c r="H609" i="10"/>
  <c r="I609" i="10"/>
  <c r="K609" i="10"/>
  <c r="L609" i="10"/>
  <c r="D610" i="10"/>
  <c r="E610" i="10"/>
  <c r="F610" i="10"/>
  <c r="G610" i="10"/>
  <c r="H610" i="10"/>
  <c r="I610" i="10"/>
  <c r="K610" i="10"/>
  <c r="L610" i="10"/>
  <c r="D611" i="10"/>
  <c r="E611" i="10"/>
  <c r="F611" i="10"/>
  <c r="G611" i="10"/>
  <c r="H611" i="10"/>
  <c r="I611" i="10"/>
  <c r="K611" i="10"/>
  <c r="L611" i="10"/>
  <c r="D612" i="10"/>
  <c r="E612" i="10"/>
  <c r="F612" i="10"/>
  <c r="G612" i="10"/>
  <c r="H612" i="10"/>
  <c r="I612" i="10"/>
  <c r="K612" i="10"/>
  <c r="L612" i="10"/>
  <c r="D613" i="10"/>
  <c r="E613" i="10"/>
  <c r="F613" i="10"/>
  <c r="G613" i="10"/>
  <c r="H613" i="10"/>
  <c r="I613" i="10"/>
  <c r="K613" i="10"/>
  <c r="L613" i="10"/>
  <c r="D614" i="10"/>
  <c r="E614" i="10"/>
  <c r="F614" i="10"/>
  <c r="G614" i="10"/>
  <c r="H614" i="10"/>
  <c r="I614" i="10"/>
  <c r="K614" i="10"/>
  <c r="L614" i="10"/>
  <c r="D615" i="10"/>
  <c r="E615" i="10"/>
  <c r="F615" i="10"/>
  <c r="G615" i="10"/>
  <c r="H615" i="10"/>
  <c r="I615" i="10"/>
  <c r="K615" i="10"/>
  <c r="L615" i="10"/>
  <c r="D616" i="10"/>
  <c r="E616" i="10"/>
  <c r="F616" i="10"/>
  <c r="G616" i="10"/>
  <c r="H616" i="10"/>
  <c r="I616" i="10"/>
  <c r="K616" i="10"/>
  <c r="L616" i="10"/>
  <c r="D617" i="10"/>
  <c r="E617" i="10"/>
  <c r="F617" i="10"/>
  <c r="G617" i="10"/>
  <c r="H617" i="10"/>
  <c r="I617" i="10"/>
  <c r="K617" i="10"/>
  <c r="L617" i="10"/>
  <c r="D618" i="10"/>
  <c r="E618" i="10"/>
  <c r="F618" i="10"/>
  <c r="G618" i="10"/>
  <c r="H618" i="10"/>
  <c r="I618" i="10"/>
  <c r="K618" i="10"/>
  <c r="L618" i="10"/>
  <c r="D619" i="10"/>
  <c r="E619" i="10"/>
  <c r="F619" i="10"/>
  <c r="G619" i="10"/>
  <c r="H619" i="10"/>
  <c r="I619" i="10"/>
  <c r="K619" i="10"/>
  <c r="L619" i="10"/>
  <c r="D620" i="10"/>
  <c r="E620" i="10"/>
  <c r="F620" i="10"/>
  <c r="G620" i="10"/>
  <c r="H620" i="10"/>
  <c r="I620" i="10"/>
  <c r="K620" i="10"/>
  <c r="L620" i="10"/>
  <c r="D621" i="10"/>
  <c r="E621" i="10"/>
  <c r="F621" i="10"/>
  <c r="G621" i="10"/>
  <c r="H621" i="10"/>
  <c r="I621" i="10"/>
  <c r="K621" i="10"/>
  <c r="L621" i="10"/>
  <c r="D622" i="10"/>
  <c r="E622" i="10"/>
  <c r="F622" i="10"/>
  <c r="G622" i="10"/>
  <c r="H622" i="10"/>
  <c r="I622" i="10"/>
  <c r="K622" i="10"/>
  <c r="L622" i="10"/>
  <c r="D623" i="10"/>
  <c r="E623" i="10"/>
  <c r="F623" i="10"/>
  <c r="G623" i="10"/>
  <c r="H623" i="10"/>
  <c r="I623" i="10"/>
  <c r="K623" i="10"/>
  <c r="L623" i="10"/>
  <c r="D624" i="10"/>
  <c r="E624" i="10"/>
  <c r="F624" i="10"/>
  <c r="G624" i="10"/>
  <c r="H624" i="10"/>
  <c r="I624" i="10"/>
  <c r="K624" i="10"/>
  <c r="L624" i="10"/>
  <c r="D625" i="10"/>
  <c r="E625" i="10"/>
  <c r="F625" i="10"/>
  <c r="G625" i="10"/>
  <c r="H625" i="10"/>
  <c r="I625" i="10"/>
  <c r="K625" i="10"/>
  <c r="L625" i="10"/>
  <c r="D626" i="10"/>
  <c r="E626" i="10"/>
  <c r="F626" i="10"/>
  <c r="G626" i="10"/>
  <c r="H626" i="10"/>
  <c r="I626" i="10"/>
  <c r="K626" i="10"/>
  <c r="L626" i="10"/>
  <c r="D627" i="10"/>
  <c r="E627" i="10"/>
  <c r="F627" i="10"/>
  <c r="G627" i="10"/>
  <c r="H627" i="10"/>
  <c r="I627" i="10"/>
  <c r="K627" i="10"/>
  <c r="L627" i="10"/>
  <c r="D628" i="10"/>
  <c r="E628" i="10"/>
  <c r="F628" i="10"/>
  <c r="G628" i="10"/>
  <c r="H628" i="10"/>
  <c r="I628" i="10"/>
  <c r="K628" i="10"/>
  <c r="L628" i="10"/>
  <c r="D629" i="10"/>
  <c r="E629" i="10"/>
  <c r="F629" i="10"/>
  <c r="G629" i="10"/>
  <c r="H629" i="10"/>
  <c r="I629" i="10"/>
  <c r="K629" i="10"/>
  <c r="L629" i="10"/>
  <c r="D630" i="10"/>
  <c r="E630" i="10"/>
  <c r="F630" i="10"/>
  <c r="G630" i="10"/>
  <c r="H630" i="10"/>
  <c r="I630" i="10"/>
  <c r="K630" i="10"/>
  <c r="L630" i="10"/>
  <c r="D631" i="10"/>
  <c r="E631" i="10"/>
  <c r="F631" i="10"/>
  <c r="G631" i="10"/>
  <c r="H631" i="10"/>
  <c r="I631" i="10"/>
  <c r="K631" i="10"/>
  <c r="L631" i="10"/>
  <c r="D632" i="10"/>
  <c r="E632" i="10"/>
  <c r="F632" i="10"/>
  <c r="G632" i="10"/>
  <c r="H632" i="10"/>
  <c r="I632" i="10"/>
  <c r="K632" i="10"/>
  <c r="L632" i="10"/>
  <c r="D633" i="10"/>
  <c r="E633" i="10"/>
  <c r="F633" i="10"/>
  <c r="G633" i="10"/>
  <c r="H633" i="10"/>
  <c r="I633" i="10"/>
  <c r="K633" i="10"/>
  <c r="L633" i="10"/>
  <c r="D634" i="10"/>
  <c r="E634" i="10"/>
  <c r="F634" i="10"/>
  <c r="G634" i="10"/>
  <c r="H634" i="10"/>
  <c r="I634" i="10"/>
  <c r="K634" i="10"/>
  <c r="L634" i="10"/>
  <c r="D635" i="10"/>
  <c r="E635" i="10"/>
  <c r="F635" i="10"/>
  <c r="G635" i="10"/>
  <c r="H635" i="10"/>
  <c r="I635" i="10"/>
  <c r="K635" i="10"/>
  <c r="L635" i="10"/>
  <c r="D636" i="10"/>
  <c r="E636" i="10"/>
  <c r="F636" i="10"/>
  <c r="G636" i="10"/>
  <c r="H636" i="10"/>
  <c r="I636" i="10"/>
  <c r="K636" i="10"/>
  <c r="L636" i="10"/>
  <c r="D637" i="10"/>
  <c r="E637" i="10"/>
  <c r="F637" i="10"/>
  <c r="G637" i="10"/>
  <c r="H637" i="10"/>
  <c r="I637" i="10"/>
  <c r="K637" i="10"/>
  <c r="L637" i="10"/>
  <c r="D638" i="10"/>
  <c r="E638" i="10"/>
  <c r="F638" i="10"/>
  <c r="G638" i="10"/>
  <c r="H638" i="10"/>
  <c r="I638" i="10"/>
  <c r="K638" i="10"/>
  <c r="L638" i="10"/>
  <c r="D639" i="10"/>
  <c r="E639" i="10"/>
  <c r="F639" i="10"/>
  <c r="G639" i="10"/>
  <c r="H639" i="10"/>
  <c r="I639" i="10"/>
  <c r="K639" i="10"/>
  <c r="L639" i="10"/>
  <c r="D640" i="10"/>
  <c r="E640" i="10"/>
  <c r="F640" i="10"/>
  <c r="G640" i="10"/>
  <c r="H640" i="10"/>
  <c r="I640" i="10"/>
  <c r="K640" i="10"/>
  <c r="L640" i="10"/>
  <c r="D641" i="10"/>
  <c r="E641" i="10"/>
  <c r="F641" i="10"/>
  <c r="G641" i="10"/>
  <c r="H641" i="10"/>
  <c r="I641" i="10"/>
  <c r="K641" i="10"/>
  <c r="L641" i="10"/>
  <c r="D642" i="10"/>
  <c r="E642" i="10"/>
  <c r="F642" i="10"/>
  <c r="G642" i="10"/>
  <c r="H642" i="10"/>
  <c r="I642" i="10"/>
  <c r="K642" i="10"/>
  <c r="L642" i="10"/>
  <c r="D643" i="10"/>
  <c r="E643" i="10"/>
  <c r="F643" i="10"/>
  <c r="G643" i="10"/>
  <c r="H643" i="10"/>
  <c r="I643" i="10"/>
  <c r="K643" i="10"/>
  <c r="L643" i="10"/>
  <c r="D644" i="10"/>
  <c r="E644" i="10"/>
  <c r="F644" i="10"/>
  <c r="G644" i="10"/>
  <c r="H644" i="10"/>
  <c r="I644" i="10"/>
  <c r="K644" i="10"/>
  <c r="L644" i="10"/>
  <c r="D645" i="10"/>
  <c r="E645" i="10"/>
  <c r="F645" i="10"/>
  <c r="G645" i="10"/>
  <c r="H645" i="10"/>
  <c r="I645" i="10"/>
  <c r="K645" i="10"/>
  <c r="L645" i="10"/>
  <c r="D646" i="10"/>
  <c r="E646" i="10"/>
  <c r="F646" i="10"/>
  <c r="G646" i="10"/>
  <c r="H646" i="10"/>
  <c r="I646" i="10"/>
  <c r="K646" i="10"/>
  <c r="L646" i="10"/>
  <c r="D647" i="10"/>
  <c r="E647" i="10"/>
  <c r="F647" i="10"/>
  <c r="G647" i="10"/>
  <c r="H647" i="10"/>
  <c r="I647" i="10"/>
  <c r="K647" i="10"/>
  <c r="L647" i="10"/>
  <c r="D648" i="10"/>
  <c r="E648" i="10"/>
  <c r="F648" i="10"/>
  <c r="G648" i="10"/>
  <c r="H648" i="10"/>
  <c r="I648" i="10"/>
  <c r="K648" i="10"/>
  <c r="L648" i="10"/>
  <c r="D649" i="10"/>
  <c r="E649" i="10"/>
  <c r="F649" i="10"/>
  <c r="G649" i="10"/>
  <c r="H649" i="10"/>
  <c r="I649" i="10"/>
  <c r="K649" i="10"/>
  <c r="L649" i="10"/>
  <c r="D650" i="10"/>
  <c r="E650" i="10"/>
  <c r="F650" i="10"/>
  <c r="G650" i="10"/>
  <c r="H650" i="10"/>
  <c r="I650" i="10"/>
  <c r="K650" i="10"/>
  <c r="L650" i="10"/>
  <c r="D651" i="10"/>
  <c r="E651" i="10"/>
  <c r="F651" i="10"/>
  <c r="G651" i="10"/>
  <c r="H651" i="10"/>
  <c r="I651" i="10"/>
  <c r="K651" i="10"/>
  <c r="L651" i="10"/>
  <c r="D652" i="10"/>
  <c r="E652" i="10"/>
  <c r="F652" i="10"/>
  <c r="G652" i="10"/>
  <c r="H652" i="10"/>
  <c r="I652" i="10"/>
  <c r="K652" i="10"/>
  <c r="L652" i="10"/>
  <c r="D653" i="10"/>
  <c r="E653" i="10"/>
  <c r="F653" i="10"/>
  <c r="G653" i="10"/>
  <c r="H653" i="10"/>
  <c r="I653" i="10"/>
  <c r="K653" i="10"/>
  <c r="L653" i="10"/>
  <c r="D654" i="10"/>
  <c r="E654" i="10"/>
  <c r="F654" i="10"/>
  <c r="G654" i="10"/>
  <c r="H654" i="10"/>
  <c r="I654" i="10"/>
  <c r="K654" i="10"/>
  <c r="L654" i="10"/>
  <c r="D655" i="10"/>
  <c r="E655" i="10"/>
  <c r="F655" i="10"/>
  <c r="G655" i="10"/>
  <c r="H655" i="10"/>
  <c r="I655" i="10"/>
  <c r="K655" i="10"/>
  <c r="L655" i="10"/>
  <c r="D656" i="10"/>
  <c r="E656" i="10"/>
  <c r="F656" i="10"/>
  <c r="G656" i="10"/>
  <c r="H656" i="10"/>
  <c r="I656" i="10"/>
  <c r="K656" i="10"/>
  <c r="L656" i="10"/>
  <c r="D657" i="10"/>
  <c r="E657" i="10"/>
  <c r="F657" i="10"/>
  <c r="G657" i="10"/>
  <c r="H657" i="10"/>
  <c r="I657" i="10"/>
  <c r="K657" i="10"/>
  <c r="L657" i="10"/>
  <c r="D658" i="10"/>
  <c r="E658" i="10"/>
  <c r="F658" i="10"/>
  <c r="G658" i="10"/>
  <c r="H658" i="10"/>
  <c r="I658" i="10"/>
  <c r="K658" i="10"/>
  <c r="L658" i="10"/>
  <c r="D659" i="10"/>
  <c r="E659" i="10"/>
  <c r="F659" i="10"/>
  <c r="G659" i="10"/>
  <c r="H659" i="10"/>
  <c r="I659" i="10"/>
  <c r="K659" i="10"/>
  <c r="L659" i="10"/>
  <c r="D660" i="10"/>
  <c r="E660" i="10"/>
  <c r="F660" i="10"/>
  <c r="G660" i="10"/>
  <c r="H660" i="10"/>
  <c r="I660" i="10"/>
  <c r="K660" i="10"/>
  <c r="L660" i="10"/>
  <c r="D661" i="10"/>
  <c r="E661" i="10"/>
  <c r="F661" i="10"/>
  <c r="G661" i="10"/>
  <c r="H661" i="10"/>
  <c r="I661" i="10"/>
  <c r="K661" i="10"/>
  <c r="L661" i="10"/>
  <c r="D662" i="10"/>
  <c r="E662" i="10"/>
  <c r="F662" i="10"/>
  <c r="G662" i="10"/>
  <c r="H662" i="10"/>
  <c r="I662" i="10"/>
  <c r="K662" i="10"/>
  <c r="L662" i="10"/>
  <c r="D663" i="10"/>
  <c r="E663" i="10"/>
  <c r="F663" i="10"/>
  <c r="G663" i="10"/>
  <c r="H663" i="10"/>
  <c r="I663" i="10"/>
  <c r="K663" i="10"/>
  <c r="L663" i="10"/>
  <c r="D664" i="10"/>
  <c r="E664" i="10"/>
  <c r="F664" i="10"/>
  <c r="G664" i="10"/>
  <c r="H664" i="10"/>
  <c r="I664" i="10"/>
  <c r="K664" i="10"/>
  <c r="L664" i="10"/>
  <c r="D665" i="10"/>
  <c r="E665" i="10"/>
  <c r="F665" i="10"/>
  <c r="G665" i="10"/>
  <c r="H665" i="10"/>
  <c r="I665" i="10"/>
  <c r="K665" i="10"/>
  <c r="L665" i="10"/>
  <c r="D666" i="10"/>
  <c r="E666" i="10"/>
  <c r="F666" i="10"/>
  <c r="G666" i="10"/>
  <c r="H666" i="10"/>
  <c r="I666" i="10"/>
  <c r="K666" i="10"/>
  <c r="L666" i="10"/>
  <c r="D667" i="10"/>
  <c r="E667" i="10"/>
  <c r="F667" i="10"/>
  <c r="G667" i="10"/>
  <c r="H667" i="10"/>
  <c r="I667" i="10"/>
  <c r="K667" i="10"/>
  <c r="L667" i="10"/>
  <c r="D668" i="10"/>
  <c r="E668" i="10"/>
  <c r="F668" i="10"/>
  <c r="G668" i="10"/>
  <c r="H668" i="10"/>
  <c r="I668" i="10"/>
  <c r="K668" i="10"/>
  <c r="L668" i="10"/>
  <c r="D669" i="10"/>
  <c r="E669" i="10"/>
  <c r="F669" i="10"/>
  <c r="G669" i="10"/>
  <c r="H669" i="10"/>
  <c r="I669" i="10"/>
  <c r="K669" i="10"/>
  <c r="L669" i="10"/>
  <c r="D670" i="10"/>
  <c r="E670" i="10"/>
  <c r="F670" i="10"/>
  <c r="G670" i="10"/>
  <c r="H670" i="10"/>
  <c r="I670" i="10"/>
  <c r="K670" i="10"/>
  <c r="L670" i="10"/>
  <c r="D671" i="10"/>
  <c r="E671" i="10"/>
  <c r="F671" i="10"/>
  <c r="G671" i="10"/>
  <c r="H671" i="10"/>
  <c r="I671" i="10"/>
  <c r="K671" i="10"/>
  <c r="L671" i="10"/>
  <c r="D672" i="10"/>
  <c r="E672" i="10"/>
  <c r="F672" i="10"/>
  <c r="G672" i="10"/>
  <c r="H672" i="10"/>
  <c r="I672" i="10"/>
  <c r="K672" i="10"/>
  <c r="L672" i="10"/>
  <c r="D673" i="10"/>
  <c r="E673" i="10"/>
  <c r="F673" i="10"/>
  <c r="G673" i="10"/>
  <c r="H673" i="10"/>
  <c r="I673" i="10"/>
  <c r="K673" i="10"/>
  <c r="L673" i="10"/>
  <c r="D674" i="10"/>
  <c r="E674" i="10"/>
  <c r="F674" i="10"/>
  <c r="G674" i="10"/>
  <c r="H674" i="10"/>
  <c r="I674" i="10"/>
  <c r="K674" i="10"/>
  <c r="L674" i="10"/>
  <c r="D675" i="10"/>
  <c r="E675" i="10"/>
  <c r="F675" i="10"/>
  <c r="G675" i="10"/>
  <c r="H675" i="10"/>
  <c r="I675" i="10"/>
  <c r="K675" i="10"/>
  <c r="L675" i="10"/>
  <c r="D676" i="10"/>
  <c r="E676" i="10"/>
  <c r="F676" i="10"/>
  <c r="G676" i="10"/>
  <c r="H676" i="10"/>
  <c r="I676" i="10"/>
  <c r="K676" i="10"/>
  <c r="L676" i="10"/>
  <c r="D677" i="10"/>
  <c r="E677" i="10"/>
  <c r="F677" i="10"/>
  <c r="G677" i="10"/>
  <c r="H677" i="10"/>
  <c r="I677" i="10"/>
  <c r="K677" i="10"/>
  <c r="L677" i="10"/>
  <c r="D678" i="10"/>
  <c r="E678" i="10"/>
  <c r="F678" i="10"/>
  <c r="G678" i="10"/>
  <c r="H678" i="10"/>
  <c r="I678" i="10"/>
  <c r="K678" i="10"/>
  <c r="L678" i="10"/>
  <c r="D679" i="10"/>
  <c r="E679" i="10"/>
  <c r="F679" i="10"/>
  <c r="G679" i="10"/>
  <c r="H679" i="10"/>
  <c r="I679" i="10"/>
  <c r="K679" i="10"/>
  <c r="L679" i="10"/>
  <c r="D680" i="10"/>
  <c r="E680" i="10"/>
  <c r="F680" i="10"/>
  <c r="G680" i="10"/>
  <c r="H680" i="10"/>
  <c r="I680" i="10"/>
  <c r="K680" i="10"/>
  <c r="L680" i="10"/>
  <c r="D681" i="10"/>
  <c r="E681" i="10"/>
  <c r="F681" i="10"/>
  <c r="G681" i="10"/>
  <c r="H681" i="10"/>
  <c r="I681" i="10"/>
  <c r="K681" i="10"/>
  <c r="L681" i="10"/>
  <c r="D682" i="10"/>
  <c r="E682" i="10"/>
  <c r="F682" i="10"/>
  <c r="G682" i="10"/>
  <c r="H682" i="10"/>
  <c r="I682" i="10"/>
  <c r="K682" i="10"/>
  <c r="L682" i="10"/>
  <c r="D683" i="10"/>
  <c r="E683" i="10"/>
  <c r="F683" i="10"/>
  <c r="G683" i="10"/>
  <c r="H683" i="10"/>
  <c r="I683" i="10"/>
  <c r="K683" i="10"/>
  <c r="L683" i="10"/>
  <c r="D684" i="10"/>
  <c r="E684" i="10"/>
  <c r="F684" i="10"/>
  <c r="G684" i="10"/>
  <c r="H684" i="10"/>
  <c r="I684" i="10"/>
  <c r="K684" i="10"/>
  <c r="L684" i="10"/>
  <c r="D685" i="10"/>
  <c r="E685" i="10"/>
  <c r="F685" i="10"/>
  <c r="G685" i="10"/>
  <c r="H685" i="10"/>
  <c r="I685" i="10"/>
  <c r="K685" i="10"/>
  <c r="L685" i="10"/>
  <c r="D686" i="10"/>
  <c r="E686" i="10"/>
  <c r="F686" i="10"/>
  <c r="G686" i="10"/>
  <c r="H686" i="10"/>
  <c r="I686" i="10"/>
  <c r="K686" i="10"/>
  <c r="L686" i="10"/>
  <c r="D687" i="10"/>
  <c r="E687" i="10"/>
  <c r="F687" i="10"/>
  <c r="G687" i="10"/>
  <c r="H687" i="10"/>
  <c r="I687" i="10"/>
  <c r="K687" i="10"/>
  <c r="L687" i="10"/>
  <c r="D688" i="10"/>
  <c r="E688" i="10"/>
  <c r="F688" i="10"/>
  <c r="G688" i="10"/>
  <c r="H688" i="10"/>
  <c r="I688" i="10"/>
  <c r="K688" i="10"/>
  <c r="L688" i="10"/>
  <c r="D689" i="10"/>
  <c r="E689" i="10"/>
  <c r="F689" i="10"/>
  <c r="G689" i="10"/>
  <c r="H689" i="10"/>
  <c r="I689" i="10"/>
  <c r="K689" i="10"/>
  <c r="L689" i="10"/>
  <c r="D690" i="10"/>
  <c r="E690" i="10"/>
  <c r="F690" i="10"/>
  <c r="G690" i="10"/>
  <c r="H690" i="10"/>
  <c r="I690" i="10"/>
  <c r="K690" i="10"/>
  <c r="L690" i="10"/>
  <c r="D691" i="10"/>
  <c r="E691" i="10"/>
  <c r="F691" i="10"/>
  <c r="G691" i="10"/>
  <c r="H691" i="10"/>
  <c r="I691" i="10"/>
  <c r="K691" i="10"/>
  <c r="L691" i="10"/>
  <c r="D692" i="10"/>
  <c r="E692" i="10"/>
  <c r="F692" i="10"/>
  <c r="G692" i="10"/>
  <c r="H692" i="10"/>
  <c r="I692" i="10"/>
  <c r="K692" i="10"/>
  <c r="L692" i="10"/>
  <c r="D693" i="10"/>
  <c r="E693" i="10"/>
  <c r="F693" i="10"/>
  <c r="G693" i="10"/>
  <c r="H693" i="10"/>
  <c r="I693" i="10"/>
  <c r="K693" i="10"/>
  <c r="L693" i="10"/>
  <c r="D694" i="10"/>
  <c r="E694" i="10"/>
  <c r="F694" i="10"/>
  <c r="G694" i="10"/>
  <c r="H694" i="10"/>
  <c r="I694" i="10"/>
  <c r="K694" i="10"/>
  <c r="L694" i="10"/>
  <c r="D695" i="10"/>
  <c r="E695" i="10"/>
  <c r="F695" i="10"/>
  <c r="G695" i="10"/>
  <c r="H695" i="10"/>
  <c r="I695" i="10"/>
  <c r="K695" i="10"/>
  <c r="L695" i="10"/>
  <c r="D696" i="10"/>
  <c r="E696" i="10"/>
  <c r="F696" i="10"/>
  <c r="G696" i="10"/>
  <c r="H696" i="10"/>
  <c r="I696" i="10"/>
  <c r="K696" i="10"/>
  <c r="L696" i="10"/>
  <c r="D697" i="10"/>
  <c r="E697" i="10"/>
  <c r="F697" i="10"/>
  <c r="G697" i="10"/>
  <c r="H697" i="10"/>
  <c r="I697" i="10"/>
  <c r="K697" i="10"/>
  <c r="L697" i="10"/>
  <c r="D698" i="10"/>
  <c r="E698" i="10"/>
  <c r="F698" i="10"/>
  <c r="G698" i="10"/>
  <c r="H698" i="10"/>
  <c r="I698" i="10"/>
  <c r="K698" i="10"/>
  <c r="L698" i="10"/>
  <c r="D699" i="10"/>
  <c r="E699" i="10"/>
  <c r="F699" i="10"/>
  <c r="G699" i="10"/>
  <c r="H699" i="10"/>
  <c r="I699" i="10"/>
  <c r="K699" i="10"/>
  <c r="L699" i="10"/>
  <c r="D700" i="10"/>
  <c r="E700" i="10"/>
  <c r="F700" i="10"/>
  <c r="G700" i="10"/>
  <c r="H700" i="10"/>
  <c r="I700" i="10"/>
  <c r="K700" i="10"/>
  <c r="L700" i="10"/>
  <c r="D701" i="10"/>
  <c r="E701" i="10"/>
  <c r="F701" i="10"/>
  <c r="G701" i="10"/>
  <c r="H701" i="10"/>
  <c r="I701" i="10"/>
  <c r="K701" i="10"/>
  <c r="L701" i="10"/>
  <c r="D702" i="10"/>
  <c r="E702" i="10"/>
  <c r="F702" i="10"/>
  <c r="G702" i="10"/>
  <c r="H702" i="10"/>
  <c r="I702" i="10"/>
  <c r="K702" i="10"/>
  <c r="L702" i="10"/>
  <c r="D703" i="10"/>
  <c r="E703" i="10"/>
  <c r="F703" i="10"/>
  <c r="G703" i="10"/>
  <c r="H703" i="10"/>
  <c r="I703" i="10"/>
  <c r="K703" i="10"/>
  <c r="L703" i="10"/>
  <c r="D704" i="10"/>
  <c r="E704" i="10"/>
  <c r="F704" i="10"/>
  <c r="G704" i="10"/>
  <c r="H704" i="10"/>
  <c r="I704" i="10"/>
  <c r="K704" i="10"/>
  <c r="L704" i="10"/>
  <c r="D705" i="10"/>
  <c r="E705" i="10"/>
  <c r="F705" i="10"/>
  <c r="G705" i="10"/>
  <c r="H705" i="10"/>
  <c r="I705" i="10"/>
  <c r="K705" i="10"/>
  <c r="L705" i="10"/>
  <c r="D706" i="10"/>
  <c r="E706" i="10"/>
  <c r="F706" i="10"/>
  <c r="G706" i="10"/>
  <c r="H706" i="10"/>
  <c r="I706" i="10"/>
  <c r="K706" i="10"/>
  <c r="L706" i="10"/>
  <c r="D707" i="10"/>
  <c r="E707" i="10"/>
  <c r="F707" i="10"/>
  <c r="G707" i="10"/>
  <c r="H707" i="10"/>
  <c r="I707" i="10"/>
  <c r="K707" i="10"/>
  <c r="L707" i="10"/>
  <c r="D708" i="10"/>
  <c r="E708" i="10"/>
  <c r="F708" i="10"/>
  <c r="G708" i="10"/>
  <c r="H708" i="10"/>
  <c r="I708" i="10"/>
  <c r="K708" i="10"/>
  <c r="L708" i="10"/>
  <c r="D709" i="10"/>
  <c r="E709" i="10"/>
  <c r="F709" i="10"/>
  <c r="G709" i="10"/>
  <c r="H709" i="10"/>
  <c r="I709" i="10"/>
  <c r="K709" i="10"/>
  <c r="L709" i="10"/>
  <c r="D710" i="10"/>
  <c r="E710" i="10"/>
  <c r="F710" i="10"/>
  <c r="G710" i="10"/>
  <c r="H710" i="10"/>
  <c r="I710" i="10"/>
  <c r="K710" i="10"/>
  <c r="L710" i="10"/>
  <c r="D711" i="10"/>
  <c r="E711" i="10"/>
  <c r="F711" i="10"/>
  <c r="G711" i="10"/>
  <c r="H711" i="10"/>
  <c r="I711" i="10"/>
  <c r="K711" i="10"/>
  <c r="L711" i="10"/>
  <c r="D712" i="10"/>
  <c r="E712" i="10"/>
  <c r="F712" i="10"/>
  <c r="G712" i="10"/>
  <c r="H712" i="10"/>
  <c r="I712" i="10"/>
  <c r="K712" i="10"/>
  <c r="L712" i="10"/>
  <c r="D713" i="10"/>
  <c r="E713" i="10"/>
  <c r="F713" i="10"/>
  <c r="G713" i="10"/>
  <c r="H713" i="10"/>
  <c r="I713" i="10"/>
  <c r="K713" i="10"/>
  <c r="L713" i="10"/>
  <c r="D714" i="10"/>
  <c r="E714" i="10"/>
  <c r="F714" i="10"/>
  <c r="G714" i="10"/>
  <c r="H714" i="10"/>
  <c r="I714" i="10"/>
  <c r="K714" i="10"/>
  <c r="L714" i="10"/>
  <c r="D715" i="10"/>
  <c r="E715" i="10"/>
  <c r="F715" i="10"/>
  <c r="G715" i="10"/>
  <c r="H715" i="10"/>
  <c r="I715" i="10"/>
  <c r="K715" i="10"/>
  <c r="L715" i="10"/>
  <c r="D716" i="10"/>
  <c r="E716" i="10"/>
  <c r="F716" i="10"/>
  <c r="G716" i="10"/>
  <c r="H716" i="10"/>
  <c r="I716" i="10"/>
  <c r="K716" i="10"/>
  <c r="L716" i="10"/>
  <c r="D717" i="10"/>
  <c r="E717" i="10"/>
  <c r="F717" i="10"/>
  <c r="G717" i="10"/>
  <c r="H717" i="10"/>
  <c r="I717" i="10"/>
  <c r="K717" i="10"/>
  <c r="L717" i="10"/>
  <c r="D718" i="10"/>
  <c r="E718" i="10"/>
  <c r="F718" i="10"/>
  <c r="G718" i="10"/>
  <c r="H718" i="10"/>
  <c r="I718" i="10"/>
  <c r="K718" i="10"/>
  <c r="L718" i="10"/>
  <c r="D719" i="10"/>
  <c r="E719" i="10"/>
  <c r="F719" i="10"/>
  <c r="G719" i="10"/>
  <c r="H719" i="10"/>
  <c r="I719" i="10"/>
  <c r="K719" i="10"/>
  <c r="L719" i="10"/>
  <c r="D720" i="10"/>
  <c r="E720" i="10"/>
  <c r="F720" i="10"/>
  <c r="G720" i="10"/>
  <c r="H720" i="10"/>
  <c r="I720" i="10"/>
  <c r="K720" i="10"/>
  <c r="L720" i="10"/>
  <c r="D721" i="10"/>
  <c r="E721" i="10"/>
  <c r="F721" i="10"/>
  <c r="G721" i="10"/>
  <c r="H721" i="10"/>
  <c r="I721" i="10"/>
  <c r="K721" i="10"/>
  <c r="L721" i="10"/>
  <c r="D722" i="10"/>
  <c r="E722" i="10"/>
  <c r="F722" i="10"/>
  <c r="G722" i="10"/>
  <c r="H722" i="10"/>
  <c r="I722" i="10"/>
  <c r="K722" i="10"/>
  <c r="L722" i="10"/>
  <c r="D723" i="10"/>
  <c r="E723" i="10"/>
  <c r="F723" i="10"/>
  <c r="G723" i="10"/>
  <c r="H723" i="10"/>
  <c r="I723" i="10"/>
  <c r="K723" i="10"/>
  <c r="L723" i="10"/>
  <c r="D724" i="10"/>
  <c r="E724" i="10"/>
  <c r="F724" i="10"/>
  <c r="G724" i="10"/>
  <c r="H724" i="10"/>
  <c r="I724" i="10"/>
  <c r="K724" i="10"/>
  <c r="L724" i="10"/>
  <c r="D725" i="10"/>
  <c r="E725" i="10"/>
  <c r="F725" i="10"/>
  <c r="G725" i="10"/>
  <c r="H725" i="10"/>
  <c r="I725" i="10"/>
  <c r="K725" i="10"/>
  <c r="L725" i="10"/>
  <c r="D726" i="10"/>
  <c r="E726" i="10"/>
  <c r="F726" i="10"/>
  <c r="G726" i="10"/>
  <c r="H726" i="10"/>
  <c r="I726" i="10"/>
  <c r="K726" i="10"/>
  <c r="L726" i="10"/>
  <c r="D727" i="10"/>
  <c r="E727" i="10"/>
  <c r="F727" i="10"/>
  <c r="G727" i="10"/>
  <c r="H727" i="10"/>
  <c r="I727" i="10"/>
  <c r="K727" i="10"/>
  <c r="L727" i="10"/>
  <c r="D728" i="10"/>
  <c r="E728" i="10"/>
  <c r="F728" i="10"/>
  <c r="G728" i="10"/>
  <c r="H728" i="10"/>
  <c r="I728" i="10"/>
  <c r="K728" i="10"/>
  <c r="L728" i="10"/>
  <c r="D729" i="10"/>
  <c r="E729" i="10"/>
  <c r="F729" i="10"/>
  <c r="G729" i="10"/>
  <c r="H729" i="10"/>
  <c r="I729" i="10"/>
  <c r="K729" i="10"/>
  <c r="L729" i="10"/>
  <c r="D730" i="10"/>
  <c r="E730" i="10"/>
  <c r="F730" i="10"/>
  <c r="G730" i="10"/>
  <c r="H730" i="10"/>
  <c r="I730" i="10"/>
  <c r="K730" i="10"/>
  <c r="L730" i="10"/>
  <c r="D731" i="10"/>
  <c r="E731" i="10"/>
  <c r="F731" i="10"/>
  <c r="G731" i="10"/>
  <c r="H731" i="10"/>
  <c r="I731" i="10"/>
  <c r="K731" i="10"/>
  <c r="L731" i="10"/>
  <c r="D732" i="10"/>
  <c r="E732" i="10"/>
  <c r="F732" i="10"/>
  <c r="G732" i="10"/>
  <c r="H732" i="10"/>
  <c r="I732" i="10"/>
  <c r="K732" i="10"/>
  <c r="L732" i="10"/>
  <c r="D733" i="10"/>
  <c r="E733" i="10"/>
  <c r="F733" i="10"/>
  <c r="G733" i="10"/>
  <c r="H733" i="10"/>
  <c r="I733" i="10"/>
  <c r="K733" i="10"/>
  <c r="L733" i="10"/>
  <c r="D734" i="10"/>
  <c r="E734" i="10"/>
  <c r="F734" i="10"/>
  <c r="G734" i="10"/>
  <c r="H734" i="10"/>
  <c r="I734" i="10"/>
  <c r="K734" i="10"/>
  <c r="L734" i="10"/>
  <c r="D735" i="10"/>
  <c r="E735" i="10"/>
  <c r="F735" i="10"/>
  <c r="G735" i="10"/>
  <c r="H735" i="10"/>
  <c r="I735" i="10"/>
  <c r="K735" i="10"/>
  <c r="L735" i="10"/>
  <c r="D736" i="10"/>
  <c r="E736" i="10"/>
  <c r="F736" i="10"/>
  <c r="G736" i="10"/>
  <c r="H736" i="10"/>
  <c r="I736" i="10"/>
  <c r="K736" i="10"/>
  <c r="L736" i="10"/>
  <c r="D737" i="10"/>
  <c r="E737" i="10"/>
  <c r="F737" i="10"/>
  <c r="G737" i="10"/>
  <c r="H737" i="10"/>
  <c r="I737" i="10"/>
  <c r="K737" i="10"/>
  <c r="L737" i="10"/>
  <c r="D738" i="10"/>
  <c r="E738" i="10"/>
  <c r="F738" i="10"/>
  <c r="G738" i="10"/>
  <c r="H738" i="10"/>
  <c r="I738" i="10"/>
  <c r="K738" i="10"/>
  <c r="L738" i="10"/>
  <c r="D739" i="10"/>
  <c r="E739" i="10"/>
  <c r="F739" i="10"/>
  <c r="G739" i="10"/>
  <c r="H739" i="10"/>
  <c r="I739" i="10"/>
  <c r="K739" i="10"/>
  <c r="L739" i="10"/>
  <c r="D740" i="10"/>
  <c r="E740" i="10"/>
  <c r="F740" i="10"/>
  <c r="G740" i="10"/>
  <c r="H740" i="10"/>
  <c r="I740" i="10"/>
  <c r="K740" i="10"/>
  <c r="L740" i="10"/>
  <c r="D741" i="10"/>
  <c r="E741" i="10"/>
  <c r="F741" i="10"/>
  <c r="G741" i="10"/>
  <c r="H741" i="10"/>
  <c r="I741" i="10"/>
  <c r="K741" i="10"/>
  <c r="L741" i="10"/>
  <c r="D742" i="10"/>
  <c r="E742" i="10"/>
  <c r="F742" i="10"/>
  <c r="G742" i="10"/>
  <c r="H742" i="10"/>
  <c r="I742" i="10"/>
  <c r="K742" i="10"/>
  <c r="L742" i="10"/>
  <c r="D743" i="10"/>
  <c r="E743" i="10"/>
  <c r="F743" i="10"/>
  <c r="G743" i="10"/>
  <c r="H743" i="10"/>
  <c r="I743" i="10"/>
  <c r="K743" i="10"/>
  <c r="L743" i="10"/>
  <c r="D744" i="10"/>
  <c r="E744" i="10"/>
  <c r="F744" i="10"/>
  <c r="G744" i="10"/>
  <c r="H744" i="10"/>
  <c r="I744" i="10"/>
  <c r="K744" i="10"/>
  <c r="L744" i="10"/>
  <c r="D745" i="10"/>
  <c r="E745" i="10"/>
  <c r="F745" i="10"/>
  <c r="G745" i="10"/>
  <c r="H745" i="10"/>
  <c r="I745" i="10"/>
  <c r="K745" i="10"/>
  <c r="L745" i="10"/>
  <c r="D746" i="10"/>
  <c r="E746" i="10"/>
  <c r="F746" i="10"/>
  <c r="G746" i="10"/>
  <c r="H746" i="10"/>
  <c r="I746" i="10"/>
  <c r="K746" i="10"/>
  <c r="L746" i="10"/>
  <c r="D747" i="10"/>
  <c r="E747" i="10"/>
  <c r="F747" i="10"/>
  <c r="G747" i="10"/>
  <c r="H747" i="10"/>
  <c r="I747" i="10"/>
  <c r="K747" i="10"/>
  <c r="L747" i="10"/>
  <c r="D748" i="10"/>
  <c r="E748" i="10"/>
  <c r="F748" i="10"/>
  <c r="G748" i="10"/>
  <c r="H748" i="10"/>
  <c r="I748" i="10"/>
  <c r="K748" i="10"/>
  <c r="L748" i="10"/>
  <c r="D749" i="10"/>
  <c r="E749" i="10"/>
  <c r="F749" i="10"/>
  <c r="G749" i="10"/>
  <c r="H749" i="10"/>
  <c r="I749" i="10"/>
  <c r="K749" i="10"/>
  <c r="L749" i="10"/>
  <c r="D750" i="10"/>
  <c r="E750" i="10"/>
  <c r="F750" i="10"/>
  <c r="G750" i="10"/>
  <c r="H750" i="10"/>
  <c r="I750" i="10"/>
  <c r="K750" i="10"/>
  <c r="L750" i="10"/>
  <c r="D751" i="10"/>
  <c r="E751" i="10"/>
  <c r="F751" i="10"/>
  <c r="G751" i="10"/>
  <c r="H751" i="10"/>
  <c r="I751" i="10"/>
  <c r="K751" i="10"/>
  <c r="L751" i="10"/>
  <c r="D752" i="10"/>
  <c r="E752" i="10"/>
  <c r="F752" i="10"/>
  <c r="G752" i="10"/>
  <c r="H752" i="10"/>
  <c r="I752" i="10"/>
  <c r="K752" i="10"/>
  <c r="L752" i="10"/>
  <c r="D753" i="10"/>
  <c r="E753" i="10"/>
  <c r="F753" i="10"/>
  <c r="G753" i="10"/>
  <c r="H753" i="10"/>
  <c r="I753" i="10"/>
  <c r="K753" i="10"/>
  <c r="L753" i="10"/>
  <c r="D754" i="10"/>
  <c r="E754" i="10"/>
  <c r="F754" i="10"/>
  <c r="G754" i="10"/>
  <c r="H754" i="10"/>
  <c r="I754" i="10"/>
  <c r="K754" i="10"/>
  <c r="L754" i="10"/>
  <c r="D755" i="10"/>
  <c r="E755" i="10"/>
  <c r="F755" i="10"/>
  <c r="G755" i="10"/>
  <c r="H755" i="10"/>
  <c r="I755" i="10"/>
  <c r="K755" i="10"/>
  <c r="L755" i="10"/>
  <c r="D756" i="10"/>
  <c r="E756" i="10"/>
  <c r="F756" i="10"/>
  <c r="G756" i="10"/>
  <c r="H756" i="10"/>
  <c r="I756" i="10"/>
  <c r="K756" i="10"/>
  <c r="L756" i="10"/>
  <c r="D757" i="10"/>
  <c r="E757" i="10"/>
  <c r="F757" i="10"/>
  <c r="G757" i="10"/>
  <c r="H757" i="10"/>
  <c r="I757" i="10"/>
  <c r="K757" i="10"/>
  <c r="L757" i="10"/>
  <c r="D758" i="10"/>
  <c r="E758" i="10"/>
  <c r="F758" i="10"/>
  <c r="G758" i="10"/>
  <c r="H758" i="10"/>
  <c r="I758" i="10"/>
  <c r="K758" i="10"/>
  <c r="L758" i="10"/>
  <c r="D759" i="10"/>
  <c r="E759" i="10"/>
  <c r="F759" i="10"/>
  <c r="G759" i="10"/>
  <c r="H759" i="10"/>
  <c r="I759" i="10"/>
  <c r="K759" i="10"/>
  <c r="L759" i="10"/>
  <c r="D760" i="10"/>
  <c r="E760" i="10"/>
  <c r="F760" i="10"/>
  <c r="G760" i="10"/>
  <c r="H760" i="10"/>
  <c r="I760" i="10"/>
  <c r="K760" i="10"/>
  <c r="L760" i="10"/>
  <c r="D761" i="10"/>
  <c r="E761" i="10"/>
  <c r="F761" i="10"/>
  <c r="G761" i="10"/>
  <c r="H761" i="10"/>
  <c r="I761" i="10"/>
  <c r="K761" i="10"/>
  <c r="L761" i="10"/>
  <c r="D762" i="10"/>
  <c r="E762" i="10"/>
  <c r="F762" i="10"/>
  <c r="G762" i="10"/>
  <c r="H762" i="10"/>
  <c r="I762" i="10"/>
  <c r="K762" i="10"/>
  <c r="L762" i="10"/>
  <c r="D763" i="10"/>
  <c r="E763" i="10"/>
  <c r="F763" i="10"/>
  <c r="G763" i="10"/>
  <c r="H763" i="10"/>
  <c r="I763" i="10"/>
  <c r="K763" i="10"/>
  <c r="L763" i="10"/>
  <c r="D764" i="10"/>
  <c r="E764" i="10"/>
  <c r="F764" i="10"/>
  <c r="G764" i="10"/>
  <c r="H764" i="10"/>
  <c r="I764" i="10"/>
  <c r="K764" i="10"/>
  <c r="L764" i="10"/>
  <c r="D765" i="10"/>
  <c r="E765" i="10"/>
  <c r="F765" i="10"/>
  <c r="G765" i="10"/>
  <c r="H765" i="10"/>
  <c r="I765" i="10"/>
  <c r="K765" i="10"/>
  <c r="L765" i="10"/>
  <c r="D766" i="10"/>
  <c r="E766" i="10"/>
  <c r="F766" i="10"/>
  <c r="G766" i="10"/>
  <c r="H766" i="10"/>
  <c r="I766" i="10"/>
  <c r="K766" i="10"/>
  <c r="L766" i="10"/>
  <c r="D767" i="10"/>
  <c r="E767" i="10"/>
  <c r="F767" i="10"/>
  <c r="G767" i="10"/>
  <c r="H767" i="10"/>
  <c r="I767" i="10"/>
  <c r="K767" i="10"/>
  <c r="L767" i="10"/>
  <c r="D768" i="10"/>
  <c r="E768" i="10"/>
  <c r="F768" i="10"/>
  <c r="G768" i="10"/>
  <c r="H768" i="10"/>
  <c r="I768" i="10"/>
  <c r="K768" i="10"/>
  <c r="L768" i="10"/>
  <c r="D769" i="10"/>
  <c r="E769" i="10"/>
  <c r="F769" i="10"/>
  <c r="G769" i="10"/>
  <c r="H769" i="10"/>
  <c r="I769" i="10"/>
  <c r="K769" i="10"/>
  <c r="L769" i="10"/>
  <c r="D770" i="10"/>
  <c r="E770" i="10"/>
  <c r="F770" i="10"/>
  <c r="G770" i="10"/>
  <c r="H770" i="10"/>
  <c r="I770" i="10"/>
  <c r="K770" i="10"/>
  <c r="L770" i="10"/>
  <c r="D771" i="10"/>
  <c r="E771" i="10"/>
  <c r="F771" i="10"/>
  <c r="G771" i="10"/>
  <c r="H771" i="10"/>
  <c r="I771" i="10"/>
  <c r="K771" i="10"/>
  <c r="L771" i="10"/>
  <c r="D772" i="10"/>
  <c r="E772" i="10"/>
  <c r="F772" i="10"/>
  <c r="G772" i="10"/>
  <c r="H772" i="10"/>
  <c r="I772" i="10"/>
  <c r="K772" i="10"/>
  <c r="L772" i="10"/>
  <c r="D773" i="10"/>
  <c r="E773" i="10"/>
  <c r="F773" i="10"/>
  <c r="G773" i="10"/>
  <c r="H773" i="10"/>
  <c r="I773" i="10"/>
  <c r="K773" i="10"/>
  <c r="L773" i="10"/>
  <c r="D774" i="10"/>
  <c r="E774" i="10"/>
  <c r="F774" i="10"/>
  <c r="G774" i="10"/>
  <c r="H774" i="10"/>
  <c r="I774" i="10"/>
  <c r="K774" i="10"/>
  <c r="L774" i="10"/>
  <c r="D775" i="10"/>
  <c r="E775" i="10"/>
  <c r="F775" i="10"/>
  <c r="G775" i="10"/>
  <c r="H775" i="10"/>
  <c r="I775" i="10"/>
  <c r="K775" i="10"/>
  <c r="L775" i="10"/>
  <c r="D776" i="10"/>
  <c r="E776" i="10"/>
  <c r="F776" i="10"/>
  <c r="G776" i="10"/>
  <c r="H776" i="10"/>
  <c r="I776" i="10"/>
  <c r="K776" i="10"/>
  <c r="L776" i="10"/>
  <c r="D777" i="10"/>
  <c r="E777" i="10"/>
  <c r="F777" i="10"/>
  <c r="G777" i="10"/>
  <c r="H777" i="10"/>
  <c r="I777" i="10"/>
  <c r="K777" i="10"/>
  <c r="L777" i="10"/>
  <c r="D778" i="10"/>
  <c r="E778" i="10"/>
  <c r="F778" i="10"/>
  <c r="G778" i="10"/>
  <c r="H778" i="10"/>
  <c r="I778" i="10"/>
  <c r="K778" i="10"/>
  <c r="L778" i="10"/>
  <c r="D779" i="10"/>
  <c r="E779" i="10"/>
  <c r="F779" i="10"/>
  <c r="G779" i="10"/>
  <c r="H779" i="10"/>
  <c r="I779" i="10"/>
  <c r="K779" i="10"/>
  <c r="L779" i="10"/>
  <c r="D780" i="10"/>
  <c r="E780" i="10"/>
  <c r="F780" i="10"/>
  <c r="G780" i="10"/>
  <c r="H780" i="10"/>
  <c r="I780" i="10"/>
  <c r="K780" i="10"/>
  <c r="L780" i="10"/>
  <c r="D781" i="10"/>
  <c r="E781" i="10"/>
  <c r="F781" i="10"/>
  <c r="G781" i="10"/>
  <c r="H781" i="10"/>
  <c r="I781" i="10"/>
  <c r="K781" i="10"/>
  <c r="L781" i="10"/>
  <c r="D782" i="10"/>
  <c r="E782" i="10"/>
  <c r="F782" i="10"/>
  <c r="G782" i="10"/>
  <c r="H782" i="10"/>
  <c r="I782" i="10"/>
  <c r="K782" i="10"/>
  <c r="L782" i="10"/>
  <c r="D783" i="10"/>
  <c r="E783" i="10"/>
  <c r="F783" i="10"/>
  <c r="G783" i="10"/>
  <c r="H783" i="10"/>
  <c r="I783" i="10"/>
  <c r="K783" i="10"/>
  <c r="L783" i="10"/>
  <c r="D784" i="10"/>
  <c r="E784" i="10"/>
  <c r="F784" i="10"/>
  <c r="G784" i="10"/>
  <c r="H784" i="10"/>
  <c r="I784" i="10"/>
  <c r="K784" i="10"/>
  <c r="L784" i="10"/>
  <c r="D785" i="10"/>
  <c r="E785" i="10"/>
  <c r="F785" i="10"/>
  <c r="G785" i="10"/>
  <c r="H785" i="10"/>
  <c r="I785" i="10"/>
  <c r="K785" i="10"/>
  <c r="L785" i="10"/>
  <c r="D786" i="10"/>
  <c r="E786" i="10"/>
  <c r="F786" i="10"/>
  <c r="G786" i="10"/>
  <c r="H786" i="10"/>
  <c r="I786" i="10"/>
  <c r="K786" i="10"/>
  <c r="L786" i="10"/>
  <c r="D787" i="10"/>
  <c r="E787" i="10"/>
  <c r="F787" i="10"/>
  <c r="G787" i="10"/>
  <c r="H787" i="10"/>
  <c r="I787" i="10"/>
  <c r="K787" i="10"/>
  <c r="L787" i="10"/>
  <c r="D788" i="10"/>
  <c r="E788" i="10"/>
  <c r="F788" i="10"/>
  <c r="G788" i="10"/>
  <c r="H788" i="10"/>
  <c r="I788" i="10"/>
  <c r="K788" i="10"/>
  <c r="L788" i="10"/>
  <c r="D789" i="10"/>
  <c r="E789" i="10"/>
  <c r="F789" i="10"/>
  <c r="G789" i="10"/>
  <c r="H789" i="10"/>
  <c r="I789" i="10"/>
  <c r="K789" i="10"/>
  <c r="L789" i="10"/>
  <c r="D790" i="10"/>
  <c r="E790" i="10"/>
  <c r="F790" i="10"/>
  <c r="G790" i="10"/>
  <c r="H790" i="10"/>
  <c r="I790" i="10"/>
  <c r="K790" i="10"/>
  <c r="L790" i="10"/>
  <c r="D791" i="10"/>
  <c r="E791" i="10"/>
  <c r="F791" i="10"/>
  <c r="G791" i="10"/>
  <c r="H791" i="10"/>
  <c r="I791" i="10"/>
  <c r="K791" i="10"/>
  <c r="L791" i="10"/>
  <c r="D792" i="10"/>
  <c r="E792" i="10"/>
  <c r="F792" i="10"/>
  <c r="G792" i="10"/>
  <c r="H792" i="10"/>
  <c r="I792" i="10"/>
  <c r="K792" i="10"/>
  <c r="L792" i="10"/>
  <c r="D793" i="10"/>
  <c r="E793" i="10"/>
  <c r="F793" i="10"/>
  <c r="G793" i="10"/>
  <c r="H793" i="10"/>
  <c r="I793" i="10"/>
  <c r="K793" i="10"/>
  <c r="L793" i="10"/>
  <c r="D794" i="10"/>
  <c r="E794" i="10"/>
  <c r="F794" i="10"/>
  <c r="G794" i="10"/>
  <c r="H794" i="10"/>
  <c r="I794" i="10"/>
  <c r="K794" i="10"/>
  <c r="L794" i="10"/>
  <c r="D795" i="10"/>
  <c r="E795" i="10"/>
  <c r="F795" i="10"/>
  <c r="G795" i="10"/>
  <c r="H795" i="10"/>
  <c r="I795" i="10"/>
  <c r="K795" i="10"/>
  <c r="L795" i="10"/>
  <c r="D796" i="10"/>
  <c r="E796" i="10"/>
  <c r="F796" i="10"/>
  <c r="G796" i="10"/>
  <c r="H796" i="10"/>
  <c r="I796" i="10"/>
  <c r="K796" i="10"/>
  <c r="L796" i="10"/>
  <c r="D797" i="10"/>
  <c r="E797" i="10"/>
  <c r="F797" i="10"/>
  <c r="G797" i="10"/>
  <c r="H797" i="10"/>
  <c r="I797" i="10"/>
  <c r="K797" i="10"/>
  <c r="L797" i="10"/>
  <c r="D798" i="10"/>
  <c r="E798" i="10"/>
  <c r="F798" i="10"/>
  <c r="G798" i="10"/>
  <c r="H798" i="10"/>
  <c r="I798" i="10"/>
  <c r="K798" i="10"/>
  <c r="L798" i="10"/>
  <c r="D799" i="10"/>
  <c r="E799" i="10"/>
  <c r="F799" i="10"/>
  <c r="G799" i="10"/>
  <c r="H799" i="10"/>
  <c r="I799" i="10"/>
  <c r="K799" i="10"/>
  <c r="L799" i="10"/>
  <c r="D800" i="10"/>
  <c r="E800" i="10"/>
  <c r="F800" i="10"/>
  <c r="G800" i="10"/>
  <c r="H800" i="10"/>
  <c r="I800" i="10"/>
  <c r="K800" i="10"/>
  <c r="L800" i="10"/>
  <c r="D801" i="10"/>
  <c r="E801" i="10"/>
  <c r="F801" i="10"/>
  <c r="G801" i="10"/>
  <c r="H801" i="10"/>
  <c r="I801" i="10"/>
  <c r="K801" i="10"/>
  <c r="L801" i="10"/>
  <c r="D802" i="10"/>
  <c r="E802" i="10"/>
  <c r="F802" i="10"/>
  <c r="G802" i="10"/>
  <c r="H802" i="10"/>
  <c r="I802" i="10"/>
  <c r="K802" i="10"/>
  <c r="L802" i="10"/>
  <c r="D803" i="10"/>
  <c r="E803" i="10"/>
  <c r="F803" i="10"/>
  <c r="G803" i="10"/>
  <c r="H803" i="10"/>
  <c r="I803" i="10"/>
  <c r="K803" i="10"/>
  <c r="L803" i="10"/>
  <c r="D804" i="10"/>
  <c r="E804" i="10"/>
  <c r="F804" i="10"/>
  <c r="G804" i="10"/>
  <c r="H804" i="10"/>
  <c r="I804" i="10"/>
  <c r="K804" i="10"/>
  <c r="L804" i="10"/>
  <c r="D805" i="10"/>
  <c r="E805" i="10"/>
  <c r="F805" i="10"/>
  <c r="G805" i="10"/>
  <c r="H805" i="10"/>
  <c r="I805" i="10"/>
  <c r="K805" i="10"/>
  <c r="L805" i="10"/>
  <c r="D806" i="10"/>
  <c r="E806" i="10"/>
  <c r="F806" i="10"/>
  <c r="G806" i="10"/>
  <c r="H806" i="10"/>
  <c r="I806" i="10"/>
  <c r="K806" i="10"/>
  <c r="L806" i="10"/>
  <c r="D807" i="10"/>
  <c r="E807" i="10"/>
  <c r="F807" i="10"/>
  <c r="G807" i="10"/>
  <c r="H807" i="10"/>
  <c r="I807" i="10"/>
  <c r="K807" i="10"/>
  <c r="L807" i="10"/>
  <c r="D808" i="10"/>
  <c r="E808" i="10"/>
  <c r="F808" i="10"/>
  <c r="G808" i="10"/>
  <c r="H808" i="10"/>
  <c r="I808" i="10"/>
  <c r="K808" i="10"/>
  <c r="L808" i="10"/>
  <c r="D809" i="10"/>
  <c r="E809" i="10"/>
  <c r="F809" i="10"/>
  <c r="G809" i="10"/>
  <c r="H809" i="10"/>
  <c r="I809" i="10"/>
  <c r="K809" i="10"/>
  <c r="L809" i="10"/>
  <c r="D810" i="10"/>
  <c r="E810" i="10"/>
  <c r="F810" i="10"/>
  <c r="G810" i="10"/>
  <c r="H810" i="10"/>
  <c r="I810" i="10"/>
  <c r="K810" i="10"/>
  <c r="L810" i="10"/>
  <c r="D811" i="10"/>
  <c r="E811" i="10"/>
  <c r="F811" i="10"/>
  <c r="G811" i="10"/>
  <c r="H811" i="10"/>
  <c r="I811" i="10"/>
  <c r="K811" i="10"/>
  <c r="L811" i="10"/>
  <c r="D812" i="10"/>
  <c r="E812" i="10"/>
  <c r="F812" i="10"/>
  <c r="G812" i="10"/>
  <c r="H812" i="10"/>
  <c r="I812" i="10"/>
  <c r="K812" i="10"/>
  <c r="L812" i="10"/>
  <c r="D813" i="10"/>
  <c r="E813" i="10"/>
  <c r="F813" i="10"/>
  <c r="G813" i="10"/>
  <c r="H813" i="10"/>
  <c r="I813" i="10"/>
  <c r="K813" i="10"/>
  <c r="L813" i="10"/>
  <c r="D814" i="10"/>
  <c r="E814" i="10"/>
  <c r="F814" i="10"/>
  <c r="G814" i="10"/>
  <c r="H814" i="10"/>
  <c r="I814" i="10"/>
  <c r="K814" i="10"/>
  <c r="L814" i="10"/>
  <c r="D815" i="10"/>
  <c r="E815" i="10"/>
  <c r="F815" i="10"/>
  <c r="G815" i="10"/>
  <c r="H815" i="10"/>
  <c r="I815" i="10"/>
  <c r="K815" i="10"/>
  <c r="L815" i="10"/>
  <c r="D816" i="10"/>
  <c r="E816" i="10"/>
  <c r="F816" i="10"/>
  <c r="G816" i="10"/>
  <c r="H816" i="10"/>
  <c r="I816" i="10"/>
  <c r="K816" i="10"/>
  <c r="L816" i="10"/>
  <c r="D817" i="10"/>
  <c r="E817" i="10"/>
  <c r="F817" i="10"/>
  <c r="G817" i="10"/>
  <c r="H817" i="10"/>
  <c r="I817" i="10"/>
  <c r="K817" i="10"/>
  <c r="L817" i="10"/>
  <c r="D818" i="10"/>
  <c r="E818" i="10"/>
  <c r="F818" i="10"/>
  <c r="G818" i="10"/>
  <c r="H818" i="10"/>
  <c r="I818" i="10"/>
  <c r="K818" i="10"/>
  <c r="L818" i="10"/>
  <c r="D819" i="10"/>
  <c r="E819" i="10"/>
  <c r="F819" i="10"/>
  <c r="G819" i="10"/>
  <c r="H819" i="10"/>
  <c r="I819" i="10"/>
  <c r="K819" i="10"/>
  <c r="L819" i="10"/>
  <c r="D820" i="10"/>
  <c r="E820" i="10"/>
  <c r="F820" i="10"/>
  <c r="G820" i="10"/>
  <c r="H820" i="10"/>
  <c r="I820" i="10"/>
  <c r="K820" i="10"/>
  <c r="L820" i="10"/>
  <c r="D821" i="10"/>
  <c r="E821" i="10"/>
  <c r="F821" i="10"/>
  <c r="G821" i="10"/>
  <c r="H821" i="10"/>
  <c r="I821" i="10"/>
  <c r="K821" i="10"/>
  <c r="L821" i="10"/>
  <c r="D822" i="10"/>
  <c r="E822" i="10"/>
  <c r="F822" i="10"/>
  <c r="G822" i="10"/>
  <c r="H822" i="10"/>
  <c r="I822" i="10"/>
  <c r="K822" i="10"/>
  <c r="L822" i="10"/>
  <c r="D823" i="10"/>
  <c r="E823" i="10"/>
  <c r="F823" i="10"/>
  <c r="G823" i="10"/>
  <c r="H823" i="10"/>
  <c r="I823" i="10"/>
  <c r="K823" i="10"/>
  <c r="L823" i="10"/>
  <c r="D824" i="10"/>
  <c r="E824" i="10"/>
  <c r="F824" i="10"/>
  <c r="G824" i="10"/>
  <c r="H824" i="10"/>
  <c r="I824" i="10"/>
  <c r="K824" i="10"/>
  <c r="L824" i="10"/>
  <c r="D825" i="10"/>
  <c r="E825" i="10"/>
  <c r="F825" i="10"/>
  <c r="G825" i="10"/>
  <c r="H825" i="10"/>
  <c r="I825" i="10"/>
  <c r="K825" i="10"/>
  <c r="L825" i="10"/>
  <c r="D826" i="10"/>
  <c r="E826" i="10"/>
  <c r="F826" i="10"/>
  <c r="G826" i="10"/>
  <c r="H826" i="10"/>
  <c r="I826" i="10"/>
  <c r="K826" i="10"/>
  <c r="L826" i="10"/>
  <c r="D827" i="10"/>
  <c r="E827" i="10"/>
  <c r="F827" i="10"/>
  <c r="G827" i="10"/>
  <c r="H827" i="10"/>
  <c r="I827" i="10"/>
  <c r="K827" i="10"/>
  <c r="L827" i="10"/>
  <c r="D828" i="10"/>
  <c r="E828" i="10"/>
  <c r="F828" i="10"/>
  <c r="G828" i="10"/>
  <c r="H828" i="10"/>
  <c r="I828" i="10"/>
  <c r="K828" i="10"/>
  <c r="L828" i="10"/>
  <c r="D829" i="10"/>
  <c r="E829" i="10"/>
  <c r="F829" i="10"/>
  <c r="G829" i="10"/>
  <c r="H829" i="10"/>
  <c r="I829" i="10"/>
  <c r="K829" i="10"/>
  <c r="L829" i="10"/>
  <c r="D830" i="10"/>
  <c r="E830" i="10"/>
  <c r="F830" i="10"/>
  <c r="G830" i="10"/>
  <c r="H830" i="10"/>
  <c r="I830" i="10"/>
  <c r="K830" i="10"/>
  <c r="L830" i="10"/>
  <c r="D831" i="10"/>
  <c r="E831" i="10"/>
  <c r="F831" i="10"/>
  <c r="G831" i="10"/>
  <c r="H831" i="10"/>
  <c r="I831" i="10"/>
  <c r="K831" i="10"/>
  <c r="L831" i="10"/>
  <c r="D832" i="10"/>
  <c r="E832" i="10"/>
  <c r="F832" i="10"/>
  <c r="G832" i="10"/>
  <c r="H832" i="10"/>
  <c r="I832" i="10"/>
  <c r="K832" i="10"/>
  <c r="L832" i="10"/>
  <c r="D833" i="10"/>
  <c r="E833" i="10"/>
  <c r="F833" i="10"/>
  <c r="G833" i="10"/>
  <c r="H833" i="10"/>
  <c r="I833" i="10"/>
  <c r="K833" i="10"/>
  <c r="L833" i="10"/>
  <c r="D834" i="10"/>
  <c r="E834" i="10"/>
  <c r="F834" i="10"/>
  <c r="G834" i="10"/>
  <c r="H834" i="10"/>
  <c r="I834" i="10"/>
  <c r="K834" i="10"/>
  <c r="L834" i="10"/>
  <c r="D835" i="10"/>
  <c r="E835" i="10"/>
  <c r="F835" i="10"/>
  <c r="G835" i="10"/>
  <c r="H835" i="10"/>
  <c r="I835" i="10"/>
  <c r="K835" i="10"/>
  <c r="L835" i="10"/>
  <c r="D836" i="10"/>
  <c r="E836" i="10"/>
  <c r="F836" i="10"/>
  <c r="G836" i="10"/>
  <c r="H836" i="10"/>
  <c r="I836" i="10"/>
  <c r="K836" i="10"/>
  <c r="L836" i="10"/>
  <c r="E5" i="10"/>
  <c r="F5" i="10"/>
  <c r="G5" i="10"/>
  <c r="H5" i="10"/>
  <c r="I5" i="10"/>
  <c r="K5" i="10"/>
  <c r="L5" i="10"/>
  <c r="D5" i="10"/>
  <c r="B6" i="10"/>
  <c r="B7" i="10" s="1"/>
  <c r="B8" i="10" s="1"/>
  <c r="B9" i="10" s="1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8" i="15"/>
  <c r="B7" i="15"/>
  <c r="B6" i="15"/>
  <c r="B2" i="15" a="1"/>
  <c r="B2" i="15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6" i="14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8" i="12"/>
  <c r="B6" i="12"/>
  <c r="B7" i="12" s="1"/>
  <c r="B2" i="12" a="1"/>
  <c r="B2" i="12" s="1"/>
  <c r="B7" i="1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6" i="11"/>
  <c r="B2" i="11" a="1"/>
  <c r="B2" i="11" s="1"/>
  <c r="Q9" i="1"/>
  <c r="Q11" i="1"/>
  <c r="Q19" i="1"/>
  <c r="Q27" i="1"/>
  <c r="Q35" i="1"/>
  <c r="Q41" i="1"/>
  <c r="Q49" i="1"/>
  <c r="Q51" i="1"/>
  <c r="Q57" i="1"/>
  <c r="Q73" i="1"/>
  <c r="Q89" i="1"/>
  <c r="Q91" i="1"/>
  <c r="Q105" i="1"/>
  <c r="Q107" i="1"/>
  <c r="Q137" i="1"/>
  <c r="Q153" i="1"/>
  <c r="Q161" i="1"/>
  <c r="Q169" i="1"/>
  <c r="Q177" i="1"/>
  <c r="Q185" i="1"/>
  <c r="Q201" i="1"/>
  <c r="Q217" i="1"/>
  <c r="Q223" i="1"/>
  <c r="Q225" i="1"/>
  <c r="Q233" i="1"/>
  <c r="Q241" i="1"/>
  <c r="Q243" i="1"/>
  <c r="Q249" i="1"/>
  <c r="Q259" i="1"/>
  <c r="Q265" i="1"/>
  <c r="Q281" i="1"/>
  <c r="Q289" i="1"/>
  <c r="Q297" i="1"/>
  <c r="Q299" i="1"/>
  <c r="Q305" i="1"/>
  <c r="Q313" i="1"/>
  <c r="Q329" i="1"/>
  <c r="Q339" i="1"/>
  <c r="Q343" i="1"/>
  <c r="Q345" i="1"/>
  <c r="Q351" i="1"/>
  <c r="Q353" i="1"/>
  <c r="Q361" i="1"/>
  <c r="Q369" i="1"/>
  <c r="Q375" i="1"/>
  <c r="Q377" i="1"/>
  <c r="Q393" i="1"/>
  <c r="Q409" i="1"/>
  <c r="Q411" i="1"/>
  <c r="Q417" i="1"/>
  <c r="Q425" i="1"/>
  <c r="Q433" i="1"/>
  <c r="Q441" i="1"/>
  <c r="Q451" i="1"/>
  <c r="Q471" i="1"/>
  <c r="Q473" i="1"/>
  <c r="Q479" i="1"/>
  <c r="Q483" i="1"/>
  <c r="Q489" i="1"/>
  <c r="Q499" i="1"/>
  <c r="Q503" i="1"/>
  <c r="Q507" i="1"/>
  <c r="Q515" i="1"/>
  <c r="Q535" i="1"/>
  <c r="Q543" i="1"/>
  <c r="Q561" i="1"/>
  <c r="Q567" i="1"/>
  <c r="Q571" i="1"/>
  <c r="Q595" i="1"/>
  <c r="Q599" i="1"/>
  <c r="Q603" i="1"/>
  <c r="Q607" i="1"/>
  <c r="Q617" i="1"/>
  <c r="Q625" i="1"/>
  <c r="Q633" i="1"/>
  <c r="Q649" i="1"/>
  <c r="Q651" i="1"/>
  <c r="Q663" i="1"/>
  <c r="Q665" i="1"/>
  <c r="Q667" i="1"/>
  <c r="Q673" i="1"/>
  <c r="Q681" i="1"/>
  <c r="Q689" i="1"/>
  <c r="Q691" i="1"/>
  <c r="Q697" i="1"/>
  <c r="Q705" i="1"/>
  <c r="Q713" i="1"/>
  <c r="Q721" i="1"/>
  <c r="Q723" i="1"/>
  <c r="Q729" i="1"/>
  <c r="Q737" i="1"/>
  <c r="Q761" i="1"/>
  <c r="Q817" i="1"/>
  <c r="Q82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2" i="1"/>
  <c r="Q6" i="1"/>
  <c r="Q7" i="1"/>
  <c r="Q10" i="1"/>
  <c r="Q12" i="1"/>
  <c r="Q15" i="1"/>
  <c r="Q17" i="1"/>
  <c r="Q20" i="1"/>
  <c r="Q21" i="1"/>
  <c r="Q26" i="1"/>
  <c r="Q30" i="1"/>
  <c r="Q31" i="1"/>
  <c r="Q38" i="1"/>
  <c r="Q39" i="1"/>
  <c r="Q40" i="1"/>
  <c r="Q54" i="1"/>
  <c r="Q55" i="1"/>
  <c r="Q62" i="1"/>
  <c r="Q63" i="1"/>
  <c r="Q65" i="1"/>
  <c r="Q70" i="1"/>
  <c r="Q71" i="1"/>
  <c r="Q78" i="1"/>
  <c r="Q79" i="1"/>
  <c r="Q86" i="1"/>
  <c r="Q87" i="1"/>
  <c r="Q93" i="1"/>
  <c r="Q94" i="1"/>
  <c r="Q95" i="1"/>
  <c r="Q103" i="1"/>
  <c r="Q106" i="1"/>
  <c r="Q111" i="1"/>
  <c r="Q112" i="1"/>
  <c r="Q118" i="1"/>
  <c r="Q122" i="1"/>
  <c r="Q124" i="1"/>
  <c r="Q126" i="1"/>
  <c r="Q130" i="1"/>
  <c r="Q134" i="1"/>
  <c r="Q135" i="1"/>
  <c r="Q142" i="1"/>
  <c r="Q143" i="1"/>
  <c r="Q145" i="1"/>
  <c r="Q150" i="1"/>
  <c r="Q156" i="1"/>
  <c r="Q157" i="1"/>
  <c r="Q158" i="1"/>
  <c r="Q166" i="1"/>
  <c r="Q167" i="1"/>
  <c r="Q174" i="1"/>
  <c r="Q175" i="1"/>
  <c r="Q182" i="1"/>
  <c r="Q188" i="1"/>
  <c r="Q190" i="1"/>
  <c r="Q191" i="1"/>
  <c r="Q193" i="1"/>
  <c r="Q198" i="1"/>
  <c r="Q199" i="1"/>
  <c r="Q200" i="1"/>
  <c r="Q206" i="1"/>
  <c r="Q207" i="1"/>
  <c r="Q209" i="1"/>
  <c r="Q214" i="1"/>
  <c r="Q221" i="1"/>
  <c r="Q222" i="1"/>
  <c r="Q230" i="1"/>
  <c r="Q245" i="1"/>
  <c r="Q257" i="1"/>
  <c r="Q262" i="1"/>
  <c r="Q268" i="1"/>
  <c r="Q269" i="1"/>
  <c r="Q273" i="1"/>
  <c r="Q277" i="1"/>
  <c r="Q284" i="1"/>
  <c r="Q285" i="1"/>
  <c r="Q293" i="1"/>
  <c r="Q301" i="1"/>
  <c r="Q303" i="1"/>
  <c r="Q308" i="1"/>
  <c r="Q309" i="1"/>
  <c r="Q310" i="1"/>
  <c r="Q316" i="1"/>
  <c r="Q318" i="1"/>
  <c r="Q319" i="1"/>
  <c r="Q320" i="1"/>
  <c r="Q321" i="1"/>
  <c r="Q324" i="1"/>
  <c r="Q332" i="1"/>
  <c r="Q334" i="1"/>
  <c r="Q335" i="1"/>
  <c r="Q340" i="1"/>
  <c r="Q342" i="1"/>
  <c r="Q350" i="1"/>
  <c r="Q352" i="1"/>
  <c r="Q357" i="1"/>
  <c r="Q365" i="1"/>
  <c r="Q372" i="1"/>
  <c r="Q373" i="1"/>
  <c r="Q376" i="1"/>
  <c r="Q381" i="1"/>
  <c r="Q383" i="1"/>
  <c r="Q385" i="1"/>
  <c r="Q389" i="1"/>
  <c r="Q394" i="1"/>
  <c r="Q396" i="1"/>
  <c r="Q397" i="1"/>
  <c r="Q399" i="1"/>
  <c r="Q401" i="1"/>
  <c r="Q402" i="1"/>
  <c r="Q405" i="1"/>
  <c r="Q413" i="1"/>
  <c r="Q418" i="1"/>
  <c r="Q421" i="1"/>
  <c r="Q423" i="1"/>
  <c r="Q428" i="1"/>
  <c r="Q429" i="1"/>
  <c r="Q437" i="1"/>
  <c r="Q440" i="1"/>
  <c r="Q445" i="1"/>
  <c r="Q447" i="1"/>
  <c r="Q449" i="1"/>
  <c r="Q450" i="1"/>
  <c r="Q452" i="1"/>
  <c r="Q454" i="1"/>
  <c r="Q460" i="1"/>
  <c r="Q463" i="1"/>
  <c r="Q466" i="1"/>
  <c r="Q468" i="1"/>
  <c r="Q470" i="1"/>
  <c r="Q477" i="1"/>
  <c r="Q478" i="1"/>
  <c r="Q485" i="1"/>
  <c r="Q486" i="1"/>
  <c r="Q487" i="1"/>
  <c r="Q490" i="1"/>
  <c r="Q493" i="1"/>
  <c r="Q495" i="1"/>
  <c r="Q501" i="1"/>
  <c r="Q506" i="1"/>
  <c r="Q509" i="1"/>
  <c r="Q511" i="1"/>
  <c r="Q514" i="1"/>
  <c r="Q517" i="1"/>
  <c r="Q518" i="1"/>
  <c r="Q519" i="1"/>
  <c r="Q525" i="1"/>
  <c r="Q526" i="1"/>
  <c r="Q527" i="1"/>
  <c r="Q536" i="1"/>
  <c r="Q538" i="1"/>
  <c r="Q541" i="1"/>
  <c r="Q542" i="1"/>
  <c r="Q550" i="1"/>
  <c r="Q551" i="1"/>
  <c r="Q556" i="1"/>
  <c r="Q557" i="1"/>
  <c r="Q558" i="1"/>
  <c r="Q559" i="1"/>
  <c r="Q566" i="1"/>
  <c r="Q573" i="1"/>
  <c r="Q575" i="1"/>
  <c r="Q581" i="1"/>
  <c r="Q582" i="1"/>
  <c r="Q583" i="1"/>
  <c r="Q589" i="1"/>
  <c r="Q590" i="1"/>
  <c r="Q591" i="1"/>
  <c r="Q597" i="1"/>
  <c r="Q598" i="1"/>
  <c r="Q602" i="1"/>
  <c r="Q605" i="1"/>
  <c r="Q606" i="1"/>
  <c r="Q612" i="1"/>
  <c r="Q613" i="1"/>
  <c r="Q614" i="1"/>
  <c r="Q618" i="1"/>
  <c r="Q620" i="1"/>
  <c r="Q622" i="1"/>
  <c r="Q623" i="1"/>
  <c r="Q628" i="1"/>
  <c r="Q629" i="1"/>
  <c r="Q636" i="1"/>
  <c r="Q637" i="1"/>
  <c r="Q638" i="1"/>
  <c r="Q641" i="1"/>
  <c r="Q644" i="1"/>
  <c r="Q645" i="1"/>
  <c r="Q647" i="1"/>
  <c r="Q652" i="1"/>
  <c r="Q653" i="1"/>
  <c r="Q654" i="1"/>
  <c r="Q655" i="1"/>
  <c r="Q657" i="1"/>
  <c r="Q661" i="1"/>
  <c r="Q662" i="1"/>
  <c r="Q669" i="1"/>
  <c r="Q670" i="1"/>
  <c r="Q676" i="1"/>
  <c r="Q678" i="1"/>
  <c r="Q679" i="1"/>
  <c r="Q680" i="1"/>
  <c r="Q686" i="1"/>
  <c r="Q687" i="1"/>
  <c r="Q693" i="1"/>
  <c r="Q694" i="1"/>
  <c r="Q695" i="1"/>
  <c r="Q702" i="1"/>
  <c r="Q703" i="1"/>
  <c r="Q708" i="1"/>
  <c r="Q709" i="1"/>
  <c r="Q710" i="1"/>
  <c r="Q714" i="1"/>
  <c r="Q716" i="1"/>
  <c r="Q718" i="1"/>
  <c r="Q724" i="1"/>
  <c r="Q727" i="1"/>
  <c r="Q730" i="1"/>
  <c r="Q732" i="1"/>
  <c r="Q735" i="1"/>
  <c r="Q738" i="1"/>
  <c r="Q740" i="1"/>
  <c r="Q743" i="1"/>
  <c r="Q744" i="1"/>
  <c r="Q748" i="1"/>
  <c r="Q749" i="1"/>
  <c r="Q750" i="1"/>
  <c r="Q751" i="1"/>
  <c r="Q754" i="1"/>
  <c r="Q756" i="1"/>
  <c r="Q757" i="1"/>
  <c r="Q758" i="1"/>
  <c r="Q759" i="1"/>
  <c r="Q762" i="1"/>
  <c r="Q764" i="1"/>
  <c r="Q765" i="1"/>
  <c r="Q766" i="1"/>
  <c r="Q767" i="1"/>
  <c r="Q770" i="1"/>
  <c r="Q772" i="1"/>
  <c r="Q774" i="1"/>
  <c r="Q775" i="1"/>
  <c r="Q778" i="1"/>
  <c r="Q780" i="1"/>
  <c r="Q781" i="1"/>
  <c r="Q782" i="1"/>
  <c r="Q783" i="1"/>
  <c r="Q786" i="1"/>
  <c r="Q788" i="1"/>
  <c r="Q789" i="1"/>
  <c r="Q790" i="1"/>
  <c r="Q791" i="1"/>
  <c r="Q794" i="1"/>
  <c r="Q796" i="1"/>
  <c r="Q797" i="1"/>
  <c r="Q798" i="1"/>
  <c r="Q802" i="1"/>
  <c r="Q804" i="1"/>
  <c r="Q805" i="1"/>
  <c r="Q806" i="1"/>
  <c r="Q807" i="1"/>
  <c r="Q808" i="1"/>
  <c r="Q810" i="1"/>
  <c r="Q814" i="1"/>
  <c r="Q818" i="1"/>
  <c r="Q820" i="1"/>
  <c r="Q821" i="1"/>
  <c r="Q822" i="1"/>
  <c r="Q826" i="1"/>
  <c r="Q828" i="1"/>
  <c r="Q829" i="1"/>
  <c r="Q830" i="1"/>
  <c r="Q831" i="1"/>
  <c r="Q834" i="1"/>
  <c r="Q2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K834" i="1" s="1"/>
  <c r="M834" i="1" s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Q725" i="1" l="1"/>
  <c r="Q453" i="1"/>
  <c r="Q569" i="1"/>
  <c r="Q419" i="1"/>
  <c r="A756" i="10"/>
  <c r="Z756" i="10" s="1"/>
  <c r="A744" i="10"/>
  <c r="W744" i="10" s="1"/>
  <c r="A548" i="10"/>
  <c r="Z548" i="10" s="1"/>
  <c r="A351" i="10"/>
  <c r="Z351" i="10" s="1"/>
  <c r="A274" i="10"/>
  <c r="Z274" i="10" s="1"/>
  <c r="A199" i="10"/>
  <c r="Z199" i="10" s="1"/>
  <c r="A39" i="10"/>
  <c r="Z39" i="10" s="1"/>
  <c r="Q560" i="1"/>
  <c r="Q472" i="1"/>
  <c r="Q349" i="1"/>
  <c r="Q330" i="1"/>
  <c r="Q239" i="1"/>
  <c r="Q140" i="1"/>
  <c r="Q609" i="1"/>
  <c r="Q363" i="1"/>
  <c r="A596" i="10"/>
  <c r="Z596" i="10" s="1"/>
  <c r="Q692" i="1"/>
  <c r="Q677" i="1"/>
  <c r="Q639" i="1"/>
  <c r="Q434" i="1"/>
  <c r="Q386" i="1"/>
  <c r="Q370" i="1"/>
  <c r="Q263" i="1"/>
  <c r="Q14" i="1"/>
  <c r="A816" i="10"/>
  <c r="Z816" i="10" s="1"/>
  <c r="A290" i="10"/>
  <c r="Z290" i="10" s="1"/>
  <c r="A273" i="10"/>
  <c r="Z273" i="10" s="1"/>
  <c r="A234" i="10"/>
  <c r="Z234" i="10" s="1"/>
  <c r="A215" i="10"/>
  <c r="Z215" i="10" s="1"/>
  <c r="A198" i="10"/>
  <c r="Z198" i="10" s="1"/>
  <c r="A126" i="10"/>
  <c r="Z126" i="10" s="1"/>
  <c r="A36" i="10"/>
  <c r="Z36" i="10" s="1"/>
  <c r="Q776" i="1"/>
  <c r="Q529" i="1"/>
  <c r="Q513" i="1"/>
  <c r="Q362" i="1"/>
  <c r="Q228" i="1"/>
  <c r="Q110" i="1"/>
  <c r="Q601" i="1"/>
  <c r="A703" i="10"/>
  <c r="Z703" i="10" s="1"/>
  <c r="A464" i="10"/>
  <c r="Z464" i="10" s="1"/>
  <c r="A325" i="10"/>
  <c r="Z325" i="10" s="1"/>
  <c r="A249" i="10"/>
  <c r="Z249" i="10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484" i="10"/>
  <c r="Z484" i="10" s="1"/>
  <c r="A305" i="10"/>
  <c r="Z305" i="10" s="1"/>
  <c r="A207" i="10"/>
  <c r="Z207" i="10" s="1"/>
  <c r="A167" i="10"/>
  <c r="Z167" i="10" s="1"/>
  <c r="A7" i="10"/>
  <c r="Z7" i="10" s="1"/>
  <c r="Q278" i="1"/>
  <c r="Q553" i="1"/>
  <c r="Q505" i="1"/>
  <c r="A540" i="10"/>
  <c r="Z540" i="10" s="1"/>
  <c r="Q712" i="1"/>
  <c r="Q684" i="1"/>
  <c r="Q630" i="1"/>
  <c r="Q592" i="1"/>
  <c r="Q378" i="1"/>
  <c r="Q354" i="1"/>
  <c r="Q295" i="1"/>
  <c r="Q44" i="1"/>
  <c r="Q155" i="1"/>
  <c r="A282" i="10"/>
  <c r="Z282" i="10" s="1"/>
  <c r="A6" i="10"/>
  <c r="Z6" i="10" s="1"/>
  <c r="Q711" i="1"/>
  <c r="Q442" i="1"/>
  <c r="Q294" i="1"/>
  <c r="Q220" i="1"/>
  <c r="Q619" i="1"/>
  <c r="Q585" i="1"/>
  <c r="Q497" i="1"/>
  <c r="A382" i="10"/>
  <c r="Z382" i="10" s="1"/>
  <c r="A183" i="10"/>
  <c r="Z183" i="10" s="1"/>
  <c r="Q274" i="1"/>
  <c r="Q234" i="1"/>
  <c r="A385" i="10"/>
  <c r="Z385" i="10" s="1"/>
  <c r="A95" i="10"/>
  <c r="Z95" i="10" s="1"/>
  <c r="Q290" i="1"/>
  <c r="Q787" i="1"/>
  <c r="Q119" i="1"/>
  <c r="A804" i="10"/>
  <c r="U804" i="10" s="1"/>
  <c r="A607" i="10"/>
  <c r="Z607" i="10" s="1"/>
  <c r="A425" i="10"/>
  <c r="Z425" i="10" s="1"/>
  <c r="A162" i="10"/>
  <c r="Z162" i="10" s="1"/>
  <c r="Q250" i="1"/>
  <c r="Q564" i="1"/>
  <c r="Q398" i="1"/>
  <c r="Q76" i="1"/>
  <c r="A583" i="10"/>
  <c r="Z583" i="10" s="1"/>
  <c r="A111" i="10"/>
  <c r="Z111" i="10" s="1"/>
  <c r="Q476" i="1"/>
  <c r="Q358" i="1"/>
  <c r="Q266" i="1"/>
  <c r="Q46" i="1"/>
  <c r="A618" i="10"/>
  <c r="Z618" i="10" s="1"/>
  <c r="A328" i="10"/>
  <c r="Z328" i="10" s="1"/>
  <c r="Q666" i="1"/>
  <c r="A511" i="10"/>
  <c r="Z511" i="10" s="1"/>
  <c r="A154" i="10"/>
  <c r="Z154" i="10" s="1"/>
  <c r="A135" i="10"/>
  <c r="Z135" i="10" s="1"/>
  <c r="A71" i="10"/>
  <c r="Z71" i="10" s="1"/>
  <c r="Q406" i="1"/>
  <c r="Q374" i="1"/>
  <c r="A551" i="10"/>
  <c r="Z551" i="10" s="1"/>
  <c r="T762" i="10"/>
  <c r="Z762" i="10"/>
  <c r="N454" i="10"/>
  <c r="Z454" i="10"/>
  <c r="R446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R353" i="10"/>
  <c r="Z353" i="10"/>
  <c r="N316" i="10"/>
  <c r="Z316" i="10"/>
  <c r="R121" i="10"/>
  <c r="Z121" i="10"/>
  <c r="R16" i="10"/>
  <c r="Z16" i="10"/>
  <c r="R312" i="10"/>
  <c r="Z312" i="10"/>
  <c r="R824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R616" i="10"/>
  <c r="Z616" i="10"/>
  <c r="O627" i="10"/>
  <c r="Z627" i="10"/>
  <c r="N354" i="10"/>
  <c r="Z354" i="10"/>
  <c r="N20" i="10"/>
  <c r="Z20" i="10"/>
  <c r="R833" i="10"/>
  <c r="Z833" i="10"/>
  <c r="R816" i="10"/>
  <c r="R800" i="10"/>
  <c r="Z800" i="10"/>
  <c r="T784" i="10"/>
  <c r="Z784" i="10"/>
  <c r="R711" i="10"/>
  <c r="Z711" i="10"/>
  <c r="N350" i="10"/>
  <c r="Z350" i="10"/>
  <c r="N138" i="10"/>
  <c r="Z138" i="10"/>
  <c r="Y5" i="10"/>
  <c r="Z5" i="10"/>
  <c r="N120" i="10"/>
  <c r="Z120" i="10"/>
  <c r="R469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Z815" i="10"/>
  <c r="P799" i="10"/>
  <c r="Z799" i="10"/>
  <c r="P769" i="10"/>
  <c r="Z769" i="10"/>
  <c r="X743" i="10"/>
  <c r="Z743" i="10"/>
  <c r="R726" i="10"/>
  <c r="Z726" i="10"/>
  <c r="R348" i="10"/>
  <c r="Z348" i="10"/>
  <c r="R13" i="10"/>
  <c r="Z13" i="10"/>
  <c r="N813" i="10"/>
  <c r="Z813" i="10"/>
  <c r="T780" i="10"/>
  <c r="Z780" i="10"/>
  <c r="T768" i="10"/>
  <c r="Z768" i="10"/>
  <c r="P753" i="10"/>
  <c r="Z753" i="10"/>
  <c r="N10" i="10"/>
  <c r="Z10" i="10"/>
  <c r="R478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R30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R801" i="10"/>
  <c r="V800" i="10"/>
  <c r="N800" i="10"/>
  <c r="R746" i="10"/>
  <c r="V726" i="10"/>
  <c r="N726" i="10"/>
  <c r="R712" i="10"/>
  <c r="V711" i="10"/>
  <c r="N711" i="10"/>
  <c r="R626" i="10"/>
  <c r="V616" i="10"/>
  <c r="N616" i="10"/>
  <c r="R615" i="10"/>
  <c r="V478" i="10"/>
  <c r="N478" i="10"/>
  <c r="R471" i="10"/>
  <c r="V469" i="10"/>
  <c r="N469" i="10"/>
  <c r="R454" i="10"/>
  <c r="V446" i="10"/>
  <c r="N446" i="10"/>
  <c r="R354" i="10"/>
  <c r="V353" i="10"/>
  <c r="N353" i="10"/>
  <c r="R350" i="10"/>
  <c r="V348" i="10"/>
  <c r="N348" i="10"/>
  <c r="R316" i="10"/>
  <c r="V312" i="10"/>
  <c r="N312" i="10"/>
  <c r="R138" i="10"/>
  <c r="V121" i="10"/>
  <c r="N121" i="10"/>
  <c r="R120" i="10"/>
  <c r="V30" i="10"/>
  <c r="N30" i="10"/>
  <c r="R20" i="10"/>
  <c r="V16" i="10"/>
  <c r="N16" i="10"/>
  <c r="R15" i="10"/>
  <c r="V13" i="10"/>
  <c r="N13" i="10"/>
  <c r="R10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V746" i="10"/>
  <c r="V712" i="10"/>
  <c r="V626" i="10"/>
  <c r="V615" i="10"/>
  <c r="V471" i="10"/>
  <c r="V454" i="10"/>
  <c r="V354" i="10"/>
  <c r="V350" i="10"/>
  <c r="V316" i="10"/>
  <c r="V138" i="10"/>
  <c r="V120" i="10"/>
  <c r="V20" i="10"/>
  <c r="V15" i="10"/>
  <c r="V10" i="10"/>
  <c r="U127" i="10"/>
  <c r="N127" i="10"/>
  <c r="V127" i="10"/>
  <c r="P127" i="10"/>
  <c r="X127" i="10"/>
  <c r="O127" i="10"/>
  <c r="Q127" i="10"/>
  <c r="R127" i="10"/>
  <c r="S127" i="10"/>
  <c r="T127" i="10"/>
  <c r="W127" i="10"/>
  <c r="Y127" i="10"/>
  <c r="S47" i="10"/>
  <c r="T47" i="10"/>
  <c r="N47" i="10"/>
  <c r="V47" i="10"/>
  <c r="O47" i="10"/>
  <c r="W47" i="10"/>
  <c r="P47" i="10"/>
  <c r="Q47" i="10"/>
  <c r="R47" i="10"/>
  <c r="U47" i="10"/>
  <c r="X47" i="10"/>
  <c r="Y47" i="10"/>
  <c r="R336" i="10"/>
  <c r="S336" i="10"/>
  <c r="N336" i="10"/>
  <c r="X336" i="10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Q361" i="10"/>
  <c r="Y361" i="10"/>
  <c r="R361" i="10"/>
  <c r="S377" i="10"/>
  <c r="T377" i="10"/>
  <c r="U377" i="10"/>
  <c r="N377" i="10"/>
  <c r="V377" i="10"/>
  <c r="O377" i="10"/>
  <c r="W377" i="10"/>
  <c r="P377" i="10"/>
  <c r="X377" i="10"/>
  <c r="Q377" i="10"/>
  <c r="Y377" i="10"/>
  <c r="R377" i="10"/>
  <c r="S401" i="10"/>
  <c r="T401" i="10"/>
  <c r="U401" i="10"/>
  <c r="N401" i="10"/>
  <c r="V401" i="10"/>
  <c r="O401" i="10"/>
  <c r="W401" i="10"/>
  <c r="P401" i="10"/>
  <c r="X401" i="10"/>
  <c r="Q401" i="10"/>
  <c r="Y401" i="10"/>
  <c r="R401" i="10"/>
  <c r="S409" i="10"/>
  <c r="T409" i="10"/>
  <c r="U409" i="10"/>
  <c r="N409" i="10"/>
  <c r="V409" i="10"/>
  <c r="O409" i="10"/>
  <c r="W409" i="10"/>
  <c r="P409" i="10"/>
  <c r="X409" i="10"/>
  <c r="Q409" i="10"/>
  <c r="Y409" i="10"/>
  <c r="R409" i="10"/>
  <c r="U441" i="10"/>
  <c r="N441" i="10"/>
  <c r="V441" i="10"/>
  <c r="O441" i="10"/>
  <c r="W441" i="10"/>
  <c r="P441" i="10"/>
  <c r="X441" i="10"/>
  <c r="Q441" i="10"/>
  <c r="Y441" i="10"/>
  <c r="R441" i="10"/>
  <c r="S441" i="10"/>
  <c r="T441" i="10"/>
  <c r="Q468" i="10"/>
  <c r="Y468" i="10"/>
  <c r="R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R479" i="10"/>
  <c r="S479" i="10"/>
  <c r="T479" i="10"/>
  <c r="U487" i="10"/>
  <c r="N487" i="10"/>
  <c r="V487" i="10"/>
  <c r="O487" i="10"/>
  <c r="W487" i="10"/>
  <c r="P487" i="10"/>
  <c r="X487" i="10"/>
  <c r="Q487" i="10"/>
  <c r="Y487" i="10"/>
  <c r="R487" i="10"/>
  <c r="S487" i="10"/>
  <c r="T487" i="10"/>
  <c r="U503" i="10"/>
  <c r="N503" i="10"/>
  <c r="V503" i="10"/>
  <c r="O503" i="10"/>
  <c r="W503" i="10"/>
  <c r="P503" i="10"/>
  <c r="X503" i="10"/>
  <c r="Q503" i="10"/>
  <c r="Y503" i="10"/>
  <c r="R503" i="10"/>
  <c r="S503" i="10"/>
  <c r="T503" i="10"/>
  <c r="U519" i="10"/>
  <c r="N519" i="10"/>
  <c r="V519" i="10"/>
  <c r="O519" i="10"/>
  <c r="W519" i="10"/>
  <c r="P519" i="10"/>
  <c r="X519" i="10"/>
  <c r="Q519" i="10"/>
  <c r="Y519" i="10"/>
  <c r="R519" i="10"/>
  <c r="S519" i="10"/>
  <c r="T519" i="10"/>
  <c r="S543" i="10"/>
  <c r="T543" i="10"/>
  <c r="U543" i="10"/>
  <c r="N543" i="10"/>
  <c r="V543" i="10"/>
  <c r="O543" i="10"/>
  <c r="W543" i="10"/>
  <c r="P543" i="10"/>
  <c r="X543" i="10"/>
  <c r="Q543" i="10"/>
  <c r="Y543" i="10"/>
  <c r="R543" i="10"/>
  <c r="S559" i="10"/>
  <c r="T559" i="10"/>
  <c r="U559" i="10"/>
  <c r="N559" i="10"/>
  <c r="V559" i="10"/>
  <c r="O559" i="10"/>
  <c r="W559" i="10"/>
  <c r="P559" i="10"/>
  <c r="X559" i="10"/>
  <c r="Q559" i="10"/>
  <c r="Y559" i="10"/>
  <c r="R559" i="10"/>
  <c r="S567" i="10"/>
  <c r="T567" i="10"/>
  <c r="U567" i="10"/>
  <c r="N567" i="10"/>
  <c r="V567" i="10"/>
  <c r="O567" i="10"/>
  <c r="W567" i="10"/>
  <c r="P567" i="10"/>
  <c r="X567" i="10"/>
  <c r="Q567" i="10"/>
  <c r="Y567" i="10"/>
  <c r="R567" i="10"/>
  <c r="S599" i="10"/>
  <c r="T599" i="10"/>
  <c r="U599" i="10"/>
  <c r="N599" i="10"/>
  <c r="V599" i="10"/>
  <c r="O599" i="10"/>
  <c r="W599" i="10"/>
  <c r="P599" i="10"/>
  <c r="X599" i="10"/>
  <c r="Q599" i="10"/>
  <c r="Y599" i="10"/>
  <c r="R599" i="10"/>
  <c r="N645" i="10"/>
  <c r="V645" i="10"/>
  <c r="O645" i="10"/>
  <c r="W645" i="10"/>
  <c r="P645" i="10"/>
  <c r="X645" i="10"/>
  <c r="Q645" i="10"/>
  <c r="Y645" i="10"/>
  <c r="R645" i="10"/>
  <c r="S645" i="10"/>
  <c r="T645" i="10"/>
  <c r="U645" i="10"/>
  <c r="N709" i="10"/>
  <c r="V709" i="10"/>
  <c r="O709" i="10"/>
  <c r="W709" i="10"/>
  <c r="P709" i="10"/>
  <c r="X709" i="10"/>
  <c r="Q709" i="10"/>
  <c r="Y709" i="10"/>
  <c r="R709" i="10"/>
  <c r="S709" i="10"/>
  <c r="T709" i="10"/>
  <c r="U709" i="10"/>
  <c r="U812" i="10"/>
  <c r="N812" i="10"/>
  <c r="V812" i="10"/>
  <c r="O812" i="10"/>
  <c r="W812" i="10"/>
  <c r="P812" i="10"/>
  <c r="X812" i="10"/>
  <c r="Q812" i="10"/>
  <c r="Y812" i="10"/>
  <c r="S812" i="10"/>
  <c r="R812" i="10"/>
  <c r="T812" i="10"/>
  <c r="U820" i="10"/>
  <c r="N820" i="10"/>
  <c r="V820" i="10"/>
  <c r="O820" i="10"/>
  <c r="W820" i="10"/>
  <c r="P820" i="10"/>
  <c r="X820" i="10"/>
  <c r="Q820" i="10"/>
  <c r="Y820" i="10"/>
  <c r="S820" i="10"/>
  <c r="R820" i="10"/>
  <c r="T820" i="10"/>
  <c r="R68" i="10"/>
  <c r="T68" i="10"/>
  <c r="U68" i="10"/>
  <c r="O68" i="10"/>
  <c r="W68" i="10"/>
  <c r="V68" i="10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R588" i="10"/>
  <c r="S588" i="10"/>
  <c r="T588" i="10"/>
  <c r="U588" i="10"/>
  <c r="N588" i="10"/>
  <c r="V588" i="10"/>
  <c r="R5" i="10"/>
  <c r="N5" i="10"/>
  <c r="S5" i="10"/>
  <c r="W5" i="10"/>
  <c r="T5" i="10"/>
  <c r="O5" i="10"/>
  <c r="U5" i="10"/>
  <c r="V5" i="10"/>
  <c r="P5" i="10"/>
  <c r="X5" i="10"/>
  <c r="Q5" i="10"/>
  <c r="S17" i="10"/>
  <c r="T17" i="10"/>
  <c r="N17" i="10"/>
  <c r="V17" i="10"/>
  <c r="O17" i="10"/>
  <c r="W17" i="10"/>
  <c r="P17" i="10"/>
  <c r="Q17" i="10"/>
  <c r="R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R63" i="10"/>
  <c r="T63" i="10"/>
  <c r="X63" i="10"/>
  <c r="N79" i="10"/>
  <c r="V79" i="10"/>
  <c r="P79" i="10"/>
  <c r="X79" i="10"/>
  <c r="Q79" i="10"/>
  <c r="Y79" i="10"/>
  <c r="S79" i="10"/>
  <c r="R79" i="10"/>
  <c r="T79" i="10"/>
  <c r="U79" i="10"/>
  <c r="W79" i="10"/>
  <c r="O79" i="10"/>
  <c r="N87" i="10"/>
  <c r="V87" i="10"/>
  <c r="P87" i="10"/>
  <c r="X87" i="10"/>
  <c r="Q87" i="10"/>
  <c r="Y87" i="10"/>
  <c r="S87" i="10"/>
  <c r="R87" i="10"/>
  <c r="T87" i="10"/>
  <c r="U87" i="10"/>
  <c r="W87" i="10"/>
  <c r="O87" i="10"/>
  <c r="U103" i="10"/>
  <c r="N103" i="10"/>
  <c r="V103" i="10"/>
  <c r="O103" i="10"/>
  <c r="W103" i="10"/>
  <c r="P103" i="10"/>
  <c r="X103" i="10"/>
  <c r="R103" i="10"/>
  <c r="S103" i="10"/>
  <c r="Q103" i="10"/>
  <c r="T103" i="10"/>
  <c r="Y103" i="10"/>
  <c r="U119" i="10"/>
  <c r="N119" i="10"/>
  <c r="V119" i="10"/>
  <c r="O119" i="10"/>
  <c r="W119" i="10"/>
  <c r="P119" i="10"/>
  <c r="X119" i="10"/>
  <c r="R119" i="10"/>
  <c r="Q119" i="10"/>
  <c r="S119" i="10"/>
  <c r="T119" i="10"/>
  <c r="Y119" i="10"/>
  <c r="O130" i="10"/>
  <c r="W130" i="10"/>
  <c r="P130" i="10"/>
  <c r="X130" i="10"/>
  <c r="Q130" i="10"/>
  <c r="Y130" i="10"/>
  <c r="R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R149" i="10"/>
  <c r="T253" i="10"/>
  <c r="U253" i="10"/>
  <c r="N253" i="10"/>
  <c r="V253" i="10"/>
  <c r="O253" i="10"/>
  <c r="W253" i="10"/>
  <c r="P253" i="10"/>
  <c r="X253" i="10"/>
  <c r="Q253" i="10"/>
  <c r="Y253" i="10"/>
  <c r="R253" i="10"/>
  <c r="S253" i="10"/>
  <c r="T269" i="10"/>
  <c r="U269" i="10"/>
  <c r="O269" i="10"/>
  <c r="W269" i="10"/>
  <c r="Q269" i="10"/>
  <c r="R269" i="10"/>
  <c r="S269" i="10"/>
  <c r="V269" i="10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R293" i="10"/>
  <c r="S293" i="10"/>
  <c r="T293" i="10"/>
  <c r="U293" i="10"/>
  <c r="R84" i="10"/>
  <c r="T84" i="10"/>
  <c r="U84" i="10"/>
  <c r="O84" i="10"/>
  <c r="W84" i="10"/>
  <c r="V84" i="10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R604" i="10"/>
  <c r="S604" i="10"/>
  <c r="T604" i="10"/>
  <c r="U604" i="10"/>
  <c r="N604" i="10"/>
  <c r="V604" i="10"/>
  <c r="R698" i="10"/>
  <c r="S698" i="10"/>
  <c r="T698" i="10"/>
  <c r="U698" i="10"/>
  <c r="N698" i="10"/>
  <c r="V698" i="10"/>
  <c r="O698" i="10"/>
  <c r="W698" i="10"/>
  <c r="P698" i="10"/>
  <c r="X698" i="10"/>
  <c r="Q698" i="10"/>
  <c r="Y698" i="10"/>
  <c r="R706" i="10"/>
  <c r="S706" i="10"/>
  <c r="T706" i="10"/>
  <c r="U706" i="10"/>
  <c r="N706" i="10"/>
  <c r="V706" i="10"/>
  <c r="O706" i="10"/>
  <c r="W706" i="10"/>
  <c r="P706" i="10"/>
  <c r="X706" i="10"/>
  <c r="Q706" i="10"/>
  <c r="Y706" i="10"/>
  <c r="O26" i="10"/>
  <c r="W26" i="10"/>
  <c r="P26" i="10"/>
  <c r="X26" i="10"/>
  <c r="R26" i="10"/>
  <c r="S26" i="10"/>
  <c r="T26" i="10"/>
  <c r="V26" i="10"/>
  <c r="Y26" i="10"/>
  <c r="N26" i="10"/>
  <c r="Q26" i="10"/>
  <c r="U26" i="10"/>
  <c r="U109" i="10"/>
  <c r="N109" i="10"/>
  <c r="V109" i="10"/>
  <c r="O109" i="10"/>
  <c r="W109" i="10"/>
  <c r="P109" i="10"/>
  <c r="X109" i="10"/>
  <c r="R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R359" i="10"/>
  <c r="S375" i="10"/>
  <c r="T375" i="10"/>
  <c r="U375" i="10"/>
  <c r="N375" i="10"/>
  <c r="V375" i="10"/>
  <c r="O375" i="10"/>
  <c r="W375" i="10"/>
  <c r="P375" i="10"/>
  <c r="X375" i="10"/>
  <c r="Q375" i="10"/>
  <c r="Y375" i="10"/>
  <c r="R375" i="10"/>
  <c r="S415" i="10"/>
  <c r="T415" i="10"/>
  <c r="U415" i="10"/>
  <c r="N415" i="10"/>
  <c r="V415" i="10"/>
  <c r="O415" i="10"/>
  <c r="W415" i="10"/>
  <c r="P415" i="10"/>
  <c r="X415" i="10"/>
  <c r="Q415" i="10"/>
  <c r="Y415" i="10"/>
  <c r="R415" i="10"/>
  <c r="S431" i="10"/>
  <c r="T431" i="10"/>
  <c r="N431" i="10"/>
  <c r="V431" i="10"/>
  <c r="P431" i="10"/>
  <c r="X431" i="10"/>
  <c r="Q431" i="10"/>
  <c r="Y431" i="10"/>
  <c r="R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R557" i="10"/>
  <c r="S597" i="10"/>
  <c r="T597" i="10"/>
  <c r="U597" i="10"/>
  <c r="N597" i="10"/>
  <c r="V597" i="10"/>
  <c r="O597" i="10"/>
  <c r="W597" i="10"/>
  <c r="P597" i="10"/>
  <c r="X597" i="10"/>
  <c r="Q597" i="10"/>
  <c r="Y597" i="10"/>
  <c r="R597" i="10"/>
  <c r="O737" i="10"/>
  <c r="Q737" i="10"/>
  <c r="Y737" i="10"/>
  <c r="R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R764" i="10"/>
  <c r="S764" i="10"/>
  <c r="T764" i="10"/>
  <c r="U796" i="10"/>
  <c r="N796" i="10"/>
  <c r="V796" i="10"/>
  <c r="O796" i="10"/>
  <c r="W796" i="10"/>
  <c r="P796" i="10"/>
  <c r="X796" i="10"/>
  <c r="Q796" i="10"/>
  <c r="Y796" i="10"/>
  <c r="R796" i="10"/>
  <c r="S796" i="10"/>
  <c r="T796" i="10"/>
  <c r="U810" i="10"/>
  <c r="N810" i="10"/>
  <c r="V810" i="10"/>
  <c r="O810" i="10"/>
  <c r="W810" i="10"/>
  <c r="P810" i="10"/>
  <c r="X810" i="10"/>
  <c r="Q810" i="10"/>
  <c r="Y810" i="10"/>
  <c r="S810" i="10"/>
  <c r="R810" i="10"/>
  <c r="T810" i="10"/>
  <c r="U834" i="10"/>
  <c r="P834" i="10"/>
  <c r="X834" i="10"/>
  <c r="S834" i="10"/>
  <c r="O834" i="10"/>
  <c r="Q834" i="10"/>
  <c r="R834" i="10"/>
  <c r="T834" i="10"/>
  <c r="V834" i="10"/>
  <c r="W834" i="10"/>
  <c r="Y834" i="10"/>
  <c r="N834" i="10"/>
  <c r="O170" i="10"/>
  <c r="W170" i="10"/>
  <c r="R170" i="10"/>
  <c r="S170" i="10"/>
  <c r="U170" i="10"/>
  <c r="V170" i="10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R278" i="10"/>
  <c r="S278" i="10"/>
  <c r="T278" i="10"/>
  <c r="U278" i="10"/>
  <c r="V278" i="10"/>
  <c r="N321" i="10"/>
  <c r="V321" i="10"/>
  <c r="O321" i="10"/>
  <c r="W321" i="10"/>
  <c r="P321" i="10"/>
  <c r="X321" i="10"/>
  <c r="Q321" i="10"/>
  <c r="Y321" i="10"/>
  <c r="R321" i="10"/>
  <c r="S321" i="10"/>
  <c r="T321" i="10"/>
  <c r="U321" i="10"/>
  <c r="N329" i="10"/>
  <c r="V329" i="10"/>
  <c r="O329" i="10"/>
  <c r="W329" i="10"/>
  <c r="X329" i="10"/>
  <c r="Y329" i="10"/>
  <c r="P329" i="10"/>
  <c r="Q329" i="10"/>
  <c r="R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R345" i="10"/>
  <c r="O362" i="10"/>
  <c r="W362" i="10"/>
  <c r="P362" i="10"/>
  <c r="X362" i="10"/>
  <c r="Q362" i="10"/>
  <c r="Y362" i="10"/>
  <c r="R362" i="10"/>
  <c r="S362" i="10"/>
  <c r="T362" i="10"/>
  <c r="U362" i="10"/>
  <c r="N362" i="10"/>
  <c r="V362" i="10"/>
  <c r="O378" i="10"/>
  <c r="W378" i="10"/>
  <c r="P378" i="10"/>
  <c r="X378" i="10"/>
  <c r="Q378" i="10"/>
  <c r="Y378" i="10"/>
  <c r="R378" i="10"/>
  <c r="S378" i="10"/>
  <c r="T378" i="10"/>
  <c r="U378" i="10"/>
  <c r="N378" i="10"/>
  <c r="V378" i="10"/>
  <c r="O386" i="10"/>
  <c r="W386" i="10"/>
  <c r="P386" i="10"/>
  <c r="X386" i="10"/>
  <c r="Q386" i="10"/>
  <c r="Y386" i="10"/>
  <c r="R386" i="10"/>
  <c r="S386" i="10"/>
  <c r="T386" i="10"/>
  <c r="U386" i="10"/>
  <c r="N386" i="10"/>
  <c r="V386" i="10"/>
  <c r="O402" i="10"/>
  <c r="W402" i="10"/>
  <c r="P402" i="10"/>
  <c r="X402" i="10"/>
  <c r="Q402" i="10"/>
  <c r="Y402" i="10"/>
  <c r="R402" i="10"/>
  <c r="S402" i="10"/>
  <c r="T402" i="10"/>
  <c r="U402" i="10"/>
  <c r="N402" i="10"/>
  <c r="V402" i="10"/>
  <c r="O418" i="10"/>
  <c r="W418" i="10"/>
  <c r="P418" i="10"/>
  <c r="X418" i="10"/>
  <c r="Q418" i="10"/>
  <c r="Y418" i="10"/>
  <c r="R418" i="10"/>
  <c r="S418" i="10"/>
  <c r="T418" i="10"/>
  <c r="U418" i="10"/>
  <c r="N418" i="10"/>
  <c r="V418" i="10"/>
  <c r="O426" i="10"/>
  <c r="W426" i="10"/>
  <c r="P426" i="10"/>
  <c r="X426" i="10"/>
  <c r="Q426" i="10"/>
  <c r="Y426" i="10"/>
  <c r="R426" i="10"/>
  <c r="S426" i="10"/>
  <c r="T426" i="10"/>
  <c r="U426" i="10"/>
  <c r="N426" i="10"/>
  <c r="V426" i="10"/>
  <c r="Q472" i="10"/>
  <c r="Y472" i="10"/>
  <c r="R472" i="10"/>
  <c r="S472" i="10"/>
  <c r="T472" i="10"/>
  <c r="U472" i="10"/>
  <c r="N472" i="10"/>
  <c r="V472" i="10"/>
  <c r="O472" i="10"/>
  <c r="W472" i="10"/>
  <c r="P472" i="10"/>
  <c r="X472" i="10"/>
  <c r="Q520" i="10"/>
  <c r="Y520" i="10"/>
  <c r="R520" i="10"/>
  <c r="S520" i="10"/>
  <c r="T520" i="10"/>
  <c r="U520" i="10"/>
  <c r="N520" i="10"/>
  <c r="V520" i="10"/>
  <c r="O520" i="10"/>
  <c r="W520" i="10"/>
  <c r="P520" i="10"/>
  <c r="X520" i="10"/>
  <c r="P258" i="10"/>
  <c r="X258" i="10"/>
  <c r="Q258" i="10"/>
  <c r="Y258" i="10"/>
  <c r="R258" i="10"/>
  <c r="S258" i="10"/>
  <c r="T258" i="10"/>
  <c r="U258" i="10"/>
  <c r="N258" i="10"/>
  <c r="V258" i="10"/>
  <c r="O258" i="10"/>
  <c r="W258" i="10"/>
  <c r="P266" i="10"/>
  <c r="X266" i="10"/>
  <c r="Q266" i="10"/>
  <c r="Y266" i="10"/>
  <c r="S266" i="10"/>
  <c r="U266" i="10"/>
  <c r="V266" i="10"/>
  <c r="W266" i="10"/>
  <c r="N266" i="10"/>
  <c r="O266" i="10"/>
  <c r="R266" i="10"/>
  <c r="T266" i="10"/>
  <c r="R298" i="10"/>
  <c r="S298" i="10"/>
  <c r="T298" i="10"/>
  <c r="U298" i="10"/>
  <c r="N298" i="10"/>
  <c r="V298" i="10"/>
  <c r="O298" i="10"/>
  <c r="W298" i="10"/>
  <c r="P298" i="10"/>
  <c r="X298" i="10"/>
  <c r="Q298" i="10"/>
  <c r="Y298" i="10"/>
  <c r="U465" i="10"/>
  <c r="N465" i="10"/>
  <c r="V465" i="10"/>
  <c r="O465" i="10"/>
  <c r="W465" i="10"/>
  <c r="P465" i="10"/>
  <c r="X465" i="10"/>
  <c r="Q465" i="10"/>
  <c r="Y465" i="10"/>
  <c r="R465" i="10"/>
  <c r="S465" i="10"/>
  <c r="T465" i="10"/>
  <c r="S623" i="10"/>
  <c r="T623" i="10"/>
  <c r="U623" i="10"/>
  <c r="N623" i="10"/>
  <c r="V623" i="10"/>
  <c r="O623" i="10"/>
  <c r="W623" i="10"/>
  <c r="P623" i="10"/>
  <c r="X623" i="10"/>
  <c r="Q623" i="10"/>
  <c r="Y623" i="10"/>
  <c r="R623" i="10"/>
  <c r="O580" i="10"/>
  <c r="W580" i="10"/>
  <c r="P580" i="10"/>
  <c r="X580" i="10"/>
  <c r="Q580" i="10"/>
  <c r="Y580" i="10"/>
  <c r="R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R194" i="10"/>
  <c r="S194" i="10"/>
  <c r="W194" i="10"/>
  <c r="O194" i="10"/>
  <c r="Q210" i="10"/>
  <c r="Y210" i="10"/>
  <c r="T210" i="10"/>
  <c r="U210" i="10"/>
  <c r="N210" i="10"/>
  <c r="V210" i="10"/>
  <c r="P210" i="10"/>
  <c r="X210" i="10"/>
  <c r="R210" i="10"/>
  <c r="S210" i="10"/>
  <c r="W210" i="10"/>
  <c r="O210" i="10"/>
  <c r="R306" i="10"/>
  <c r="S306" i="10"/>
  <c r="T306" i="10"/>
  <c r="U306" i="10"/>
  <c r="N306" i="10"/>
  <c r="V306" i="10"/>
  <c r="O306" i="10"/>
  <c r="W306" i="10"/>
  <c r="P306" i="10"/>
  <c r="X306" i="10"/>
  <c r="Q306" i="10"/>
  <c r="Y306" i="10"/>
  <c r="U457" i="10"/>
  <c r="N457" i="10"/>
  <c r="V457" i="10"/>
  <c r="O457" i="10"/>
  <c r="W457" i="10"/>
  <c r="P457" i="10"/>
  <c r="X457" i="10"/>
  <c r="Q457" i="10"/>
  <c r="Y457" i="10"/>
  <c r="R457" i="10"/>
  <c r="S457" i="10"/>
  <c r="T457" i="10"/>
  <c r="Q817" i="10"/>
  <c r="Y817" i="10"/>
  <c r="R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R22" i="10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R41" i="10"/>
  <c r="X41" i="10"/>
  <c r="Y41" i="10"/>
  <c r="P41" i="10"/>
  <c r="Q41" i="10"/>
  <c r="U41" i="10"/>
  <c r="S49" i="10"/>
  <c r="T49" i="10"/>
  <c r="N49" i="10"/>
  <c r="V49" i="10"/>
  <c r="O49" i="10"/>
  <c r="W49" i="10"/>
  <c r="R49" i="10"/>
  <c r="X49" i="10"/>
  <c r="Y49" i="10"/>
  <c r="P49" i="10"/>
  <c r="Q49" i="10"/>
  <c r="U49" i="10"/>
  <c r="S65" i="10"/>
  <c r="N65" i="10"/>
  <c r="V65" i="10"/>
  <c r="O65" i="10"/>
  <c r="W65" i="10"/>
  <c r="X65" i="10"/>
  <c r="P65" i="10"/>
  <c r="R65" i="10"/>
  <c r="Q65" i="10"/>
  <c r="T65" i="10"/>
  <c r="U65" i="10"/>
  <c r="Y65" i="10"/>
  <c r="N73" i="10"/>
  <c r="V73" i="10"/>
  <c r="P73" i="10"/>
  <c r="X73" i="10"/>
  <c r="Q73" i="10"/>
  <c r="Y73" i="10"/>
  <c r="S73" i="10"/>
  <c r="O73" i="10"/>
  <c r="T73" i="10"/>
  <c r="U73" i="10"/>
  <c r="R73" i="10"/>
  <c r="W73" i="10"/>
  <c r="U97" i="10"/>
  <c r="N97" i="10"/>
  <c r="V97" i="10"/>
  <c r="O97" i="10"/>
  <c r="W97" i="10"/>
  <c r="P97" i="10"/>
  <c r="X97" i="10"/>
  <c r="R97" i="10"/>
  <c r="S97" i="10"/>
  <c r="T97" i="10"/>
  <c r="Y97" i="10"/>
  <c r="Q97" i="10"/>
  <c r="U105" i="10"/>
  <c r="N105" i="10"/>
  <c r="V105" i="10"/>
  <c r="O105" i="10"/>
  <c r="W105" i="10"/>
  <c r="P105" i="10"/>
  <c r="X105" i="10"/>
  <c r="R105" i="10"/>
  <c r="S105" i="10"/>
  <c r="T105" i="10"/>
  <c r="Y105" i="10"/>
  <c r="Q105" i="10"/>
  <c r="U113" i="10"/>
  <c r="N113" i="10"/>
  <c r="V113" i="10"/>
  <c r="O113" i="10"/>
  <c r="W113" i="10"/>
  <c r="P113" i="10"/>
  <c r="X113" i="10"/>
  <c r="R113" i="10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Q143" i="10"/>
  <c r="Y143" i="10"/>
  <c r="R143" i="10"/>
  <c r="S151" i="10"/>
  <c r="T151" i="10"/>
  <c r="U151" i="10"/>
  <c r="N151" i="10"/>
  <c r="V151" i="10"/>
  <c r="O151" i="10"/>
  <c r="W151" i="10"/>
  <c r="P151" i="10"/>
  <c r="X151" i="10"/>
  <c r="Q151" i="10"/>
  <c r="Y151" i="10"/>
  <c r="R151" i="10"/>
  <c r="U191" i="10"/>
  <c r="P191" i="10"/>
  <c r="X191" i="10"/>
  <c r="Q191" i="10"/>
  <c r="Y191" i="10"/>
  <c r="R191" i="10"/>
  <c r="T191" i="10"/>
  <c r="N191" i="10"/>
  <c r="O191" i="10"/>
  <c r="S191" i="10"/>
  <c r="V191" i="10"/>
  <c r="W191" i="10"/>
  <c r="U223" i="10"/>
  <c r="P223" i="10"/>
  <c r="X223" i="10"/>
  <c r="R223" i="10"/>
  <c r="O223" i="10"/>
  <c r="Q223" i="10"/>
  <c r="S223" i="10"/>
  <c r="T223" i="10"/>
  <c r="V223" i="10"/>
  <c r="W223" i="10"/>
  <c r="Y223" i="10"/>
  <c r="N223" i="10"/>
  <c r="U231" i="10"/>
  <c r="P231" i="10"/>
  <c r="X231" i="10"/>
  <c r="T231" i="10"/>
  <c r="V231" i="10"/>
  <c r="W231" i="10"/>
  <c r="N231" i="10"/>
  <c r="Y231" i="10"/>
  <c r="O231" i="10"/>
  <c r="Q231" i="10"/>
  <c r="R231" i="10"/>
  <c r="S231" i="10"/>
  <c r="T239" i="10"/>
  <c r="U239" i="10"/>
  <c r="N239" i="10"/>
  <c r="V239" i="10"/>
  <c r="O239" i="10"/>
  <c r="W239" i="10"/>
  <c r="P239" i="10"/>
  <c r="X239" i="10"/>
  <c r="Q239" i="10"/>
  <c r="Y239" i="10"/>
  <c r="R239" i="10"/>
  <c r="S239" i="10"/>
  <c r="T263" i="10"/>
  <c r="U263" i="10"/>
  <c r="N263" i="10"/>
  <c r="V263" i="10"/>
  <c r="O263" i="10"/>
  <c r="W263" i="10"/>
  <c r="P263" i="10"/>
  <c r="X263" i="10"/>
  <c r="Q263" i="10"/>
  <c r="Y263" i="10"/>
  <c r="R263" i="10"/>
  <c r="S263" i="10"/>
  <c r="U279" i="10"/>
  <c r="V279" i="10"/>
  <c r="N279" i="10"/>
  <c r="W279" i="10"/>
  <c r="O279" i="10"/>
  <c r="X279" i="10"/>
  <c r="P279" i="10"/>
  <c r="Y279" i="10"/>
  <c r="Q279" i="10"/>
  <c r="R279" i="10"/>
  <c r="S279" i="10"/>
  <c r="T279" i="10"/>
  <c r="N303" i="10"/>
  <c r="V303" i="10"/>
  <c r="O303" i="10"/>
  <c r="W303" i="10"/>
  <c r="P303" i="10"/>
  <c r="X303" i="10"/>
  <c r="Q303" i="10"/>
  <c r="Y303" i="10"/>
  <c r="R303" i="10"/>
  <c r="S303" i="10"/>
  <c r="T303" i="10"/>
  <c r="U303" i="10"/>
  <c r="R322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N473" i="10"/>
  <c r="V473" i="10"/>
  <c r="O473" i="10"/>
  <c r="W473" i="10"/>
  <c r="P473" i="10"/>
  <c r="X473" i="10"/>
  <c r="Q473" i="10"/>
  <c r="Y473" i="10"/>
  <c r="R473" i="10"/>
  <c r="S473" i="10"/>
  <c r="T473" i="10"/>
  <c r="U489" i="10"/>
  <c r="N489" i="10"/>
  <c r="V489" i="10"/>
  <c r="O489" i="10"/>
  <c r="W489" i="10"/>
  <c r="P489" i="10"/>
  <c r="X489" i="10"/>
  <c r="Q489" i="10"/>
  <c r="Y489" i="10"/>
  <c r="R489" i="10"/>
  <c r="S489" i="10"/>
  <c r="T489" i="10"/>
  <c r="U505" i="10"/>
  <c r="N505" i="10"/>
  <c r="V505" i="10"/>
  <c r="O505" i="10"/>
  <c r="W505" i="10"/>
  <c r="P505" i="10"/>
  <c r="X505" i="10"/>
  <c r="Q505" i="10"/>
  <c r="Y505" i="10"/>
  <c r="R505" i="10"/>
  <c r="S505" i="10"/>
  <c r="T505" i="10"/>
  <c r="U521" i="10"/>
  <c r="N521" i="10"/>
  <c r="V521" i="10"/>
  <c r="O521" i="10"/>
  <c r="W521" i="10"/>
  <c r="P521" i="10"/>
  <c r="X521" i="10"/>
  <c r="Q521" i="10"/>
  <c r="Y521" i="10"/>
  <c r="R521" i="10"/>
  <c r="S521" i="10"/>
  <c r="T521" i="10"/>
  <c r="S545" i="10"/>
  <c r="T545" i="10"/>
  <c r="U545" i="10"/>
  <c r="N545" i="10"/>
  <c r="V545" i="10"/>
  <c r="O545" i="10"/>
  <c r="W545" i="10"/>
  <c r="P545" i="10"/>
  <c r="X545" i="10"/>
  <c r="Q545" i="10"/>
  <c r="Y545" i="10"/>
  <c r="R545" i="10"/>
  <c r="S553" i="10"/>
  <c r="T553" i="10"/>
  <c r="U553" i="10"/>
  <c r="N553" i="10"/>
  <c r="V553" i="10"/>
  <c r="O553" i="10"/>
  <c r="W553" i="10"/>
  <c r="P553" i="10"/>
  <c r="X553" i="10"/>
  <c r="Q553" i="10"/>
  <c r="Y553" i="10"/>
  <c r="R553" i="10"/>
  <c r="S561" i="10"/>
  <c r="T561" i="10"/>
  <c r="U561" i="10"/>
  <c r="N561" i="10"/>
  <c r="V561" i="10"/>
  <c r="O561" i="10"/>
  <c r="W561" i="10"/>
  <c r="P561" i="10"/>
  <c r="X561" i="10"/>
  <c r="Q561" i="10"/>
  <c r="Y561" i="10"/>
  <c r="R561" i="10"/>
  <c r="S593" i="10"/>
  <c r="T593" i="10"/>
  <c r="U593" i="10"/>
  <c r="N593" i="10"/>
  <c r="V593" i="10"/>
  <c r="O593" i="10"/>
  <c r="W593" i="10"/>
  <c r="P593" i="10"/>
  <c r="X593" i="10"/>
  <c r="Q593" i="10"/>
  <c r="Y593" i="10"/>
  <c r="R593" i="10"/>
  <c r="S631" i="10"/>
  <c r="T631" i="10"/>
  <c r="N631" i="10"/>
  <c r="V631" i="10"/>
  <c r="P631" i="10"/>
  <c r="X631" i="10"/>
  <c r="Y631" i="10"/>
  <c r="O631" i="10"/>
  <c r="Q631" i="10"/>
  <c r="R631" i="10"/>
  <c r="U631" i="10"/>
  <c r="W631" i="10"/>
  <c r="T639" i="10"/>
  <c r="N639" i="10"/>
  <c r="V639" i="10"/>
  <c r="Q639" i="10"/>
  <c r="R639" i="10"/>
  <c r="S639" i="10"/>
  <c r="U639" i="10"/>
  <c r="W639" i="10"/>
  <c r="X639" i="10"/>
  <c r="O639" i="10"/>
  <c r="Y639" i="10"/>
  <c r="P639" i="10"/>
  <c r="N647" i="10"/>
  <c r="V647" i="10"/>
  <c r="O647" i="10"/>
  <c r="W647" i="10"/>
  <c r="P647" i="10"/>
  <c r="X647" i="10"/>
  <c r="Q647" i="10"/>
  <c r="Y647" i="10"/>
  <c r="R647" i="10"/>
  <c r="S647" i="10"/>
  <c r="T647" i="10"/>
  <c r="U647" i="10"/>
  <c r="N671" i="10"/>
  <c r="V671" i="10"/>
  <c r="O671" i="10"/>
  <c r="W671" i="10"/>
  <c r="P671" i="10"/>
  <c r="X671" i="10"/>
  <c r="Q671" i="10"/>
  <c r="Y671" i="10"/>
  <c r="R671" i="10"/>
  <c r="S671" i="10"/>
  <c r="T671" i="10"/>
  <c r="U671" i="10"/>
  <c r="N687" i="10"/>
  <c r="V687" i="10"/>
  <c r="O687" i="10"/>
  <c r="W687" i="10"/>
  <c r="P687" i="10"/>
  <c r="X687" i="10"/>
  <c r="Q687" i="10"/>
  <c r="Y687" i="10"/>
  <c r="R687" i="10"/>
  <c r="S687" i="10"/>
  <c r="T687" i="10"/>
  <c r="U687" i="10"/>
  <c r="R714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N752" i="10"/>
  <c r="V752" i="10"/>
  <c r="O752" i="10"/>
  <c r="W752" i="10"/>
  <c r="P752" i="10"/>
  <c r="X752" i="10"/>
  <c r="Q752" i="10"/>
  <c r="Y752" i="10"/>
  <c r="R752" i="10"/>
  <c r="S752" i="10"/>
  <c r="T752" i="10"/>
  <c r="U776" i="10"/>
  <c r="N776" i="10"/>
  <c r="V776" i="10"/>
  <c r="O776" i="10"/>
  <c r="W776" i="10"/>
  <c r="P776" i="10"/>
  <c r="X776" i="10"/>
  <c r="Q776" i="10"/>
  <c r="Y776" i="10"/>
  <c r="R776" i="10"/>
  <c r="S776" i="10"/>
  <c r="T776" i="10"/>
  <c r="U832" i="10"/>
  <c r="P832" i="10"/>
  <c r="X832" i="10"/>
  <c r="S832" i="10"/>
  <c r="U818" i="10"/>
  <c r="N818" i="10"/>
  <c r="V818" i="10"/>
  <c r="O818" i="10"/>
  <c r="W818" i="10"/>
  <c r="P818" i="10"/>
  <c r="X818" i="10"/>
  <c r="Q818" i="10"/>
  <c r="Y818" i="10"/>
  <c r="S818" i="10"/>
  <c r="U808" i="10"/>
  <c r="N808" i="10"/>
  <c r="V808" i="10"/>
  <c r="O808" i="10"/>
  <c r="W808" i="10"/>
  <c r="P808" i="10"/>
  <c r="X808" i="10"/>
  <c r="Q808" i="10"/>
  <c r="Y808" i="10"/>
  <c r="S808" i="10"/>
  <c r="U794" i="10"/>
  <c r="N794" i="10"/>
  <c r="V794" i="10"/>
  <c r="O794" i="10"/>
  <c r="W794" i="10"/>
  <c r="P794" i="10"/>
  <c r="X794" i="10"/>
  <c r="Q794" i="10"/>
  <c r="Y794" i="10"/>
  <c r="R794" i="10"/>
  <c r="S794" i="10"/>
  <c r="Q783" i="10"/>
  <c r="Y783" i="10"/>
  <c r="R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Q772" i="10"/>
  <c r="Y772" i="10"/>
  <c r="R772" i="10"/>
  <c r="S772" i="10"/>
  <c r="U760" i="10"/>
  <c r="N760" i="10"/>
  <c r="V760" i="10"/>
  <c r="O760" i="10"/>
  <c r="W760" i="10"/>
  <c r="P760" i="10"/>
  <c r="X760" i="10"/>
  <c r="Q760" i="10"/>
  <c r="Y760" i="10"/>
  <c r="R760" i="10"/>
  <c r="S760" i="10"/>
  <c r="U748" i="10"/>
  <c r="N748" i="10"/>
  <c r="V748" i="10"/>
  <c r="O748" i="10"/>
  <c r="W748" i="10"/>
  <c r="P748" i="10"/>
  <c r="X748" i="10"/>
  <c r="Q748" i="10"/>
  <c r="Y748" i="10"/>
  <c r="R748" i="10"/>
  <c r="S748" i="10"/>
  <c r="R736" i="10"/>
  <c r="S736" i="10"/>
  <c r="T736" i="10"/>
  <c r="U736" i="10"/>
  <c r="V736" i="10"/>
  <c r="W736" i="10"/>
  <c r="N736" i="10"/>
  <c r="X736" i="10"/>
  <c r="O736" i="10"/>
  <c r="Y736" i="10"/>
  <c r="P736" i="10"/>
  <c r="R722" i="10"/>
  <c r="S722" i="10"/>
  <c r="T722" i="10"/>
  <c r="U722" i="10"/>
  <c r="N722" i="10"/>
  <c r="V722" i="10"/>
  <c r="O722" i="10"/>
  <c r="W722" i="10"/>
  <c r="P722" i="10"/>
  <c r="X722" i="10"/>
  <c r="Q722" i="10"/>
  <c r="Y722" i="10"/>
  <c r="R708" i="10"/>
  <c r="S708" i="10"/>
  <c r="T708" i="10"/>
  <c r="U708" i="10"/>
  <c r="N708" i="10"/>
  <c r="V708" i="10"/>
  <c r="O708" i="10"/>
  <c r="W708" i="10"/>
  <c r="P708" i="10"/>
  <c r="X708" i="10"/>
  <c r="Y708" i="10"/>
  <c r="R694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R679" i="10"/>
  <c r="S679" i="10"/>
  <c r="T679" i="10"/>
  <c r="U679" i="10"/>
  <c r="N665" i="10"/>
  <c r="V665" i="10"/>
  <c r="O665" i="10"/>
  <c r="W665" i="10"/>
  <c r="P665" i="10"/>
  <c r="X665" i="10"/>
  <c r="Q665" i="10"/>
  <c r="Y665" i="10"/>
  <c r="R665" i="10"/>
  <c r="S665" i="10"/>
  <c r="T665" i="10"/>
  <c r="R654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R641" i="10"/>
  <c r="S641" i="10"/>
  <c r="T641" i="10"/>
  <c r="U641" i="10"/>
  <c r="S625" i="10"/>
  <c r="T625" i="10"/>
  <c r="N625" i="10"/>
  <c r="V625" i="10"/>
  <c r="P625" i="10"/>
  <c r="X625" i="10"/>
  <c r="Q625" i="10"/>
  <c r="Y625" i="10"/>
  <c r="R625" i="10"/>
  <c r="U625" i="10"/>
  <c r="W625" i="10"/>
  <c r="O625" i="10"/>
  <c r="S607" i="10"/>
  <c r="T607" i="10"/>
  <c r="U607" i="10"/>
  <c r="V607" i="10"/>
  <c r="O607" i="10"/>
  <c r="W607" i="10"/>
  <c r="P607" i="10"/>
  <c r="X607" i="10"/>
  <c r="Q607" i="10"/>
  <c r="Y607" i="10"/>
  <c r="O594" i="10"/>
  <c r="W594" i="10"/>
  <c r="P594" i="10"/>
  <c r="X594" i="10"/>
  <c r="Q594" i="10"/>
  <c r="Y594" i="10"/>
  <c r="R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R569" i="10"/>
  <c r="O554" i="10"/>
  <c r="W554" i="10"/>
  <c r="P554" i="10"/>
  <c r="X554" i="10"/>
  <c r="Q554" i="10"/>
  <c r="Y554" i="10"/>
  <c r="R554" i="10"/>
  <c r="S554" i="10"/>
  <c r="T554" i="10"/>
  <c r="U554" i="10"/>
  <c r="V554" i="10"/>
  <c r="N554" i="10"/>
  <c r="P540" i="10"/>
  <c r="Q540" i="10"/>
  <c r="N540" i="10"/>
  <c r="Q528" i="10"/>
  <c r="Y528" i="10"/>
  <c r="R528" i="10"/>
  <c r="S528" i="10"/>
  <c r="T528" i="10"/>
  <c r="N528" i="10"/>
  <c r="V528" i="10"/>
  <c r="O528" i="10"/>
  <c r="W528" i="10"/>
  <c r="P528" i="10"/>
  <c r="U528" i="10"/>
  <c r="X528" i="10"/>
  <c r="Q514" i="10"/>
  <c r="Y514" i="10"/>
  <c r="R514" i="10"/>
  <c r="S514" i="10"/>
  <c r="T514" i="10"/>
  <c r="U514" i="10"/>
  <c r="N514" i="10"/>
  <c r="V514" i="10"/>
  <c r="O514" i="10"/>
  <c r="W514" i="10"/>
  <c r="P514" i="10"/>
  <c r="X514" i="10"/>
  <c r="U497" i="10"/>
  <c r="N497" i="10"/>
  <c r="V497" i="10"/>
  <c r="O497" i="10"/>
  <c r="W497" i="10"/>
  <c r="P497" i="10"/>
  <c r="X497" i="10"/>
  <c r="Q497" i="10"/>
  <c r="Y497" i="10"/>
  <c r="R497" i="10"/>
  <c r="S497" i="10"/>
  <c r="T497" i="10"/>
  <c r="U481" i="10"/>
  <c r="N481" i="10"/>
  <c r="V481" i="10"/>
  <c r="O481" i="10"/>
  <c r="W481" i="10"/>
  <c r="P481" i="10"/>
  <c r="X481" i="10"/>
  <c r="Q481" i="10"/>
  <c r="Y481" i="10"/>
  <c r="R481" i="10"/>
  <c r="S481" i="10"/>
  <c r="T481" i="10"/>
  <c r="Q466" i="10"/>
  <c r="Y466" i="10"/>
  <c r="R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R439" i="10"/>
  <c r="S439" i="10"/>
  <c r="T439" i="10"/>
  <c r="S425" i="10"/>
  <c r="W425" i="10"/>
  <c r="X425" i="10"/>
  <c r="O410" i="10"/>
  <c r="W410" i="10"/>
  <c r="P410" i="10"/>
  <c r="X410" i="10"/>
  <c r="Q410" i="10"/>
  <c r="Y410" i="10"/>
  <c r="R410" i="10"/>
  <c r="S410" i="10"/>
  <c r="T410" i="10"/>
  <c r="U410" i="10"/>
  <c r="N410" i="10"/>
  <c r="V410" i="10"/>
  <c r="S399" i="10"/>
  <c r="T399" i="10"/>
  <c r="U399" i="10"/>
  <c r="N399" i="10"/>
  <c r="V399" i="10"/>
  <c r="O399" i="10"/>
  <c r="W399" i="10"/>
  <c r="P399" i="10"/>
  <c r="X399" i="10"/>
  <c r="Q399" i="10"/>
  <c r="Y399" i="10"/>
  <c r="R399" i="10"/>
  <c r="U385" i="10"/>
  <c r="R385" i="10"/>
  <c r="O370" i="10"/>
  <c r="W370" i="10"/>
  <c r="P370" i="10"/>
  <c r="X370" i="10"/>
  <c r="Q370" i="10"/>
  <c r="Y370" i="10"/>
  <c r="R370" i="10"/>
  <c r="S370" i="10"/>
  <c r="T370" i="10"/>
  <c r="U370" i="10"/>
  <c r="N370" i="10"/>
  <c r="V370" i="10"/>
  <c r="O356" i="10"/>
  <c r="W356" i="10"/>
  <c r="P356" i="10"/>
  <c r="X356" i="10"/>
  <c r="Q356" i="10"/>
  <c r="Y356" i="10"/>
  <c r="R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Q343" i="10"/>
  <c r="Y343" i="10"/>
  <c r="R343" i="10"/>
  <c r="R314" i="10"/>
  <c r="S314" i="10"/>
  <c r="T314" i="10"/>
  <c r="U314" i="10"/>
  <c r="N314" i="10"/>
  <c r="V314" i="10"/>
  <c r="O314" i="10"/>
  <c r="W314" i="10"/>
  <c r="P314" i="10"/>
  <c r="X314" i="10"/>
  <c r="Q314" i="10"/>
  <c r="Y314" i="10"/>
  <c r="R300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O287" i="10"/>
  <c r="W287" i="10"/>
  <c r="P287" i="10"/>
  <c r="X287" i="10"/>
  <c r="Q287" i="10"/>
  <c r="Y287" i="10"/>
  <c r="R287" i="10"/>
  <c r="S287" i="10"/>
  <c r="T287" i="10"/>
  <c r="U287" i="10"/>
  <c r="P260" i="10"/>
  <c r="X260" i="10"/>
  <c r="Q260" i="10"/>
  <c r="Y260" i="10"/>
  <c r="R260" i="10"/>
  <c r="S260" i="10"/>
  <c r="T260" i="10"/>
  <c r="U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R247" i="10"/>
  <c r="S247" i="10"/>
  <c r="U233" i="10"/>
  <c r="P233" i="10"/>
  <c r="X233" i="10"/>
  <c r="R233" i="10"/>
  <c r="S233" i="10"/>
  <c r="T233" i="10"/>
  <c r="V233" i="10"/>
  <c r="W233" i="10"/>
  <c r="N233" i="10"/>
  <c r="Y233" i="10"/>
  <c r="O233" i="10"/>
  <c r="Q233" i="10"/>
  <c r="Q218" i="10"/>
  <c r="Y218" i="10"/>
  <c r="T218" i="10"/>
  <c r="U218" i="10"/>
  <c r="N218" i="10"/>
  <c r="V218" i="10"/>
  <c r="P218" i="10"/>
  <c r="X218" i="10"/>
  <c r="O218" i="10"/>
  <c r="R218" i="10"/>
  <c r="S218" i="10"/>
  <c r="W218" i="10"/>
  <c r="U201" i="10"/>
  <c r="P201" i="10"/>
  <c r="X201" i="10"/>
  <c r="Q201" i="10"/>
  <c r="Y201" i="10"/>
  <c r="R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R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R175" i="10"/>
  <c r="Y175" i="10"/>
  <c r="S159" i="10"/>
  <c r="T159" i="10"/>
  <c r="U159" i="10"/>
  <c r="N159" i="10"/>
  <c r="V159" i="10"/>
  <c r="O159" i="10"/>
  <c r="W159" i="10"/>
  <c r="P159" i="10"/>
  <c r="X159" i="10"/>
  <c r="Q159" i="10"/>
  <c r="Y159" i="10"/>
  <c r="R159" i="10"/>
  <c r="S145" i="10"/>
  <c r="T145" i="10"/>
  <c r="U145" i="10"/>
  <c r="N145" i="10"/>
  <c r="V145" i="10"/>
  <c r="O145" i="10"/>
  <c r="W145" i="10"/>
  <c r="P145" i="10"/>
  <c r="X145" i="10"/>
  <c r="Q145" i="10"/>
  <c r="Y145" i="10"/>
  <c r="R145" i="10"/>
  <c r="U129" i="10"/>
  <c r="N129" i="10"/>
  <c r="P129" i="10"/>
  <c r="X129" i="10"/>
  <c r="Q129" i="10"/>
  <c r="R129" i="10"/>
  <c r="S129" i="10"/>
  <c r="T129" i="10"/>
  <c r="V129" i="10"/>
  <c r="W129" i="10"/>
  <c r="Y129" i="10"/>
  <c r="O129" i="10"/>
  <c r="U111" i="10"/>
  <c r="V111" i="10"/>
  <c r="O111" i="10"/>
  <c r="W111" i="10"/>
  <c r="P111" i="10"/>
  <c r="X111" i="10"/>
  <c r="R111" i="10"/>
  <c r="S111" i="10"/>
  <c r="T111" i="10"/>
  <c r="Y111" i="10"/>
  <c r="N95" i="10"/>
  <c r="P95" i="10"/>
  <c r="W95" i="10"/>
  <c r="O95" i="10"/>
  <c r="R74" i="10"/>
  <c r="T74" i="10"/>
  <c r="U74" i="10"/>
  <c r="O74" i="10"/>
  <c r="W74" i="10"/>
  <c r="N74" i="10"/>
  <c r="P74" i="10"/>
  <c r="Q74" i="10"/>
  <c r="S74" i="10"/>
  <c r="X74" i="10"/>
  <c r="Y74" i="10"/>
  <c r="V74" i="10"/>
  <c r="S57" i="10"/>
  <c r="T57" i="10"/>
  <c r="N57" i="10"/>
  <c r="V57" i="10"/>
  <c r="O57" i="10"/>
  <c r="W57" i="10"/>
  <c r="R57" i="10"/>
  <c r="X57" i="10"/>
  <c r="Y57" i="10"/>
  <c r="P57" i="10"/>
  <c r="Q57" i="10"/>
  <c r="U57" i="10"/>
  <c r="P39" i="10"/>
  <c r="S25" i="10"/>
  <c r="T25" i="10"/>
  <c r="N25" i="10"/>
  <c r="V25" i="10"/>
  <c r="O25" i="10"/>
  <c r="W25" i="10"/>
  <c r="P25" i="10"/>
  <c r="R25" i="10"/>
  <c r="U25" i="10"/>
  <c r="X25" i="10"/>
  <c r="Y25" i="10"/>
  <c r="Q25" i="10"/>
  <c r="Q122" i="10"/>
  <c r="Y122" i="10"/>
  <c r="R122" i="10"/>
  <c r="S122" i="10"/>
  <c r="T122" i="10"/>
  <c r="N122" i="10"/>
  <c r="O122" i="10"/>
  <c r="P122" i="10"/>
  <c r="U122" i="10"/>
  <c r="V122" i="10"/>
  <c r="W122" i="10"/>
  <c r="X122" i="10"/>
  <c r="S141" i="10"/>
  <c r="T141" i="10"/>
  <c r="U141" i="10"/>
  <c r="N141" i="10"/>
  <c r="V141" i="10"/>
  <c r="O141" i="10"/>
  <c r="W141" i="10"/>
  <c r="P141" i="10"/>
  <c r="X141" i="10"/>
  <c r="Q141" i="10"/>
  <c r="Y141" i="10"/>
  <c r="R141" i="10"/>
  <c r="S165" i="10"/>
  <c r="T165" i="10"/>
  <c r="U165" i="10"/>
  <c r="N165" i="10"/>
  <c r="V165" i="10"/>
  <c r="O165" i="10"/>
  <c r="W165" i="10"/>
  <c r="P165" i="10"/>
  <c r="X165" i="10"/>
  <c r="Q165" i="10"/>
  <c r="Y165" i="10"/>
  <c r="R165" i="10"/>
  <c r="S173" i="10"/>
  <c r="N173" i="10"/>
  <c r="V173" i="10"/>
  <c r="T173" i="10"/>
  <c r="W173" i="10"/>
  <c r="X173" i="10"/>
  <c r="O173" i="10"/>
  <c r="Y173" i="10"/>
  <c r="P173" i="10"/>
  <c r="R173" i="10"/>
  <c r="Q173" i="10"/>
  <c r="U173" i="10"/>
  <c r="U197" i="10"/>
  <c r="P197" i="10"/>
  <c r="X197" i="10"/>
  <c r="Q197" i="10"/>
  <c r="Y197" i="10"/>
  <c r="R197" i="10"/>
  <c r="T197" i="10"/>
  <c r="W197" i="10"/>
  <c r="N197" i="10"/>
  <c r="O197" i="10"/>
  <c r="S197" i="10"/>
  <c r="V197" i="10"/>
  <c r="U205" i="10"/>
  <c r="P205" i="10"/>
  <c r="X205" i="10"/>
  <c r="Q205" i="10"/>
  <c r="Y205" i="10"/>
  <c r="R205" i="10"/>
  <c r="T205" i="10"/>
  <c r="N205" i="10"/>
  <c r="O205" i="10"/>
  <c r="S205" i="10"/>
  <c r="V205" i="10"/>
  <c r="W205" i="10"/>
  <c r="U213" i="10"/>
  <c r="P213" i="10"/>
  <c r="X213" i="10"/>
  <c r="Q213" i="10"/>
  <c r="Y213" i="10"/>
  <c r="R213" i="10"/>
  <c r="T213" i="10"/>
  <c r="W213" i="10"/>
  <c r="N213" i="10"/>
  <c r="O213" i="10"/>
  <c r="S213" i="10"/>
  <c r="V213" i="10"/>
  <c r="U229" i="10"/>
  <c r="P229" i="10"/>
  <c r="X229" i="10"/>
  <c r="R229" i="10"/>
  <c r="T229" i="10"/>
  <c r="V229" i="10"/>
  <c r="W229" i="10"/>
  <c r="Y229" i="10"/>
  <c r="N229" i="10"/>
  <c r="O229" i="10"/>
  <c r="Q229" i="10"/>
  <c r="S229" i="10"/>
  <c r="U237" i="10"/>
  <c r="Q237" i="10"/>
  <c r="R237" i="10"/>
  <c r="S237" i="10"/>
  <c r="T237" i="10"/>
  <c r="V237" i="10"/>
  <c r="N237" i="10"/>
  <c r="W237" i="10"/>
  <c r="O237" i="10"/>
  <c r="X237" i="10"/>
  <c r="P237" i="10"/>
  <c r="Y237" i="10"/>
  <c r="T245" i="10"/>
  <c r="U245" i="10"/>
  <c r="N245" i="10"/>
  <c r="V245" i="10"/>
  <c r="O245" i="10"/>
  <c r="W245" i="10"/>
  <c r="P245" i="10"/>
  <c r="X245" i="10"/>
  <c r="Q245" i="10"/>
  <c r="Y245" i="10"/>
  <c r="R245" i="10"/>
  <c r="S245" i="10"/>
  <c r="T277" i="10"/>
  <c r="U277" i="10"/>
  <c r="O277" i="10"/>
  <c r="Y277" i="10"/>
  <c r="P277" i="10"/>
  <c r="Q277" i="10"/>
  <c r="R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R285" i="10"/>
  <c r="S285" i="10"/>
  <c r="T285" i="10"/>
  <c r="U285" i="10"/>
  <c r="N309" i="10"/>
  <c r="V309" i="10"/>
  <c r="O309" i="10"/>
  <c r="W309" i="10"/>
  <c r="P309" i="10"/>
  <c r="X309" i="10"/>
  <c r="Q309" i="10"/>
  <c r="Y309" i="10"/>
  <c r="R309" i="10"/>
  <c r="S309" i="10"/>
  <c r="T309" i="10"/>
  <c r="U309" i="10"/>
  <c r="R320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R344" i="10"/>
  <c r="S344" i="10"/>
  <c r="T344" i="10"/>
  <c r="U344" i="10"/>
  <c r="N344" i="10"/>
  <c r="V344" i="10"/>
  <c r="Q460" i="10"/>
  <c r="Y460" i="10"/>
  <c r="R460" i="10"/>
  <c r="S460" i="10"/>
  <c r="T460" i="10"/>
  <c r="U460" i="10"/>
  <c r="N460" i="10"/>
  <c r="V460" i="10"/>
  <c r="O460" i="10"/>
  <c r="W460" i="10"/>
  <c r="P460" i="10"/>
  <c r="X460" i="10"/>
  <c r="S629" i="10"/>
  <c r="T629" i="10"/>
  <c r="N629" i="10"/>
  <c r="V629" i="10"/>
  <c r="P629" i="10"/>
  <c r="X629" i="10"/>
  <c r="Q629" i="10"/>
  <c r="O629" i="10"/>
  <c r="R629" i="10"/>
  <c r="U629" i="10"/>
  <c r="W629" i="10"/>
  <c r="Y629" i="10"/>
  <c r="S637" i="10"/>
  <c r="T637" i="10"/>
  <c r="N637" i="10"/>
  <c r="V637" i="10"/>
  <c r="P637" i="10"/>
  <c r="Q637" i="10"/>
  <c r="R637" i="10"/>
  <c r="U637" i="10"/>
  <c r="W637" i="10"/>
  <c r="X637" i="10"/>
  <c r="Y637" i="10"/>
  <c r="O637" i="10"/>
  <c r="N653" i="10"/>
  <c r="V653" i="10"/>
  <c r="O653" i="10"/>
  <c r="W653" i="10"/>
  <c r="P653" i="10"/>
  <c r="X653" i="10"/>
  <c r="Q653" i="10"/>
  <c r="Y653" i="10"/>
  <c r="R653" i="10"/>
  <c r="S653" i="10"/>
  <c r="T653" i="10"/>
  <c r="U653" i="10"/>
  <c r="N669" i="10"/>
  <c r="V669" i="10"/>
  <c r="O669" i="10"/>
  <c r="W669" i="10"/>
  <c r="P669" i="10"/>
  <c r="X669" i="10"/>
  <c r="Q669" i="10"/>
  <c r="Y669" i="10"/>
  <c r="R669" i="10"/>
  <c r="S669" i="10"/>
  <c r="T669" i="10"/>
  <c r="U669" i="10"/>
  <c r="N685" i="10"/>
  <c r="V685" i="10"/>
  <c r="O685" i="10"/>
  <c r="W685" i="10"/>
  <c r="P685" i="10"/>
  <c r="X685" i="10"/>
  <c r="Q685" i="10"/>
  <c r="Y685" i="10"/>
  <c r="R685" i="10"/>
  <c r="S685" i="10"/>
  <c r="T685" i="10"/>
  <c r="U685" i="10"/>
  <c r="N693" i="10"/>
  <c r="V693" i="10"/>
  <c r="O693" i="10"/>
  <c r="W693" i="10"/>
  <c r="P693" i="10"/>
  <c r="X693" i="10"/>
  <c r="Q693" i="10"/>
  <c r="Y693" i="10"/>
  <c r="R693" i="10"/>
  <c r="S693" i="10"/>
  <c r="T693" i="10"/>
  <c r="U693" i="10"/>
  <c r="N701" i="10"/>
  <c r="V701" i="10"/>
  <c r="O701" i="10"/>
  <c r="W701" i="10"/>
  <c r="P701" i="10"/>
  <c r="X701" i="10"/>
  <c r="Q701" i="10"/>
  <c r="Y701" i="10"/>
  <c r="R701" i="10"/>
  <c r="S701" i="10"/>
  <c r="T701" i="10"/>
  <c r="U701" i="10"/>
  <c r="R720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V750" i="10"/>
  <c r="O750" i="10"/>
  <c r="W750" i="10"/>
  <c r="P750" i="10"/>
  <c r="X750" i="10"/>
  <c r="Q750" i="10"/>
  <c r="Y750" i="10"/>
  <c r="R750" i="10"/>
  <c r="S750" i="10"/>
  <c r="U758" i="10"/>
  <c r="N758" i="10"/>
  <c r="V758" i="10"/>
  <c r="O758" i="10"/>
  <c r="W758" i="10"/>
  <c r="P758" i="10"/>
  <c r="X758" i="10"/>
  <c r="Q758" i="10"/>
  <c r="Y758" i="10"/>
  <c r="R758" i="10"/>
  <c r="S758" i="10"/>
  <c r="U766" i="10"/>
  <c r="N766" i="10"/>
  <c r="V766" i="10"/>
  <c r="O766" i="10"/>
  <c r="W766" i="10"/>
  <c r="P766" i="10"/>
  <c r="X766" i="10"/>
  <c r="Q766" i="10"/>
  <c r="Y766" i="10"/>
  <c r="R766" i="10"/>
  <c r="S766" i="10"/>
  <c r="U790" i="10"/>
  <c r="N790" i="10"/>
  <c r="V790" i="10"/>
  <c r="O790" i="10"/>
  <c r="W790" i="10"/>
  <c r="P790" i="10"/>
  <c r="X790" i="10"/>
  <c r="Q790" i="10"/>
  <c r="Y790" i="10"/>
  <c r="R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R807" i="10"/>
  <c r="S807" i="10"/>
  <c r="T807" i="10"/>
  <c r="U807" i="10"/>
  <c r="O807" i="10"/>
  <c r="W807" i="10"/>
  <c r="Q793" i="10"/>
  <c r="Y793" i="10"/>
  <c r="R793" i="10"/>
  <c r="S793" i="10"/>
  <c r="T793" i="10"/>
  <c r="U793" i="10"/>
  <c r="N793" i="10"/>
  <c r="V793" i="10"/>
  <c r="O793" i="10"/>
  <c r="W793" i="10"/>
  <c r="A782" i="10"/>
  <c r="Z782" i="10" s="1"/>
  <c r="U770" i="10"/>
  <c r="N770" i="10"/>
  <c r="V770" i="10"/>
  <c r="O770" i="10"/>
  <c r="W770" i="10"/>
  <c r="P770" i="10"/>
  <c r="X770" i="10"/>
  <c r="Q770" i="10"/>
  <c r="Y770" i="10"/>
  <c r="R770" i="10"/>
  <c r="S770" i="10"/>
  <c r="Q759" i="10"/>
  <c r="Y759" i="10"/>
  <c r="R759" i="10"/>
  <c r="S759" i="10"/>
  <c r="T759" i="10"/>
  <c r="U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R735" i="10"/>
  <c r="N721" i="10"/>
  <c r="V721" i="10"/>
  <c r="O721" i="10"/>
  <c r="W721" i="10"/>
  <c r="P721" i="10"/>
  <c r="X721" i="10"/>
  <c r="Q721" i="10"/>
  <c r="Y721" i="10"/>
  <c r="R721" i="10"/>
  <c r="S721" i="10"/>
  <c r="T721" i="10"/>
  <c r="U721" i="10"/>
  <c r="R692" i="10"/>
  <c r="S692" i="10"/>
  <c r="T692" i="10"/>
  <c r="U692" i="10"/>
  <c r="N692" i="10"/>
  <c r="V692" i="10"/>
  <c r="O692" i="10"/>
  <c r="W692" i="10"/>
  <c r="P692" i="10"/>
  <c r="X692" i="10"/>
  <c r="Y692" i="10"/>
  <c r="A677" i="10"/>
  <c r="Z677" i="10" s="1"/>
  <c r="R664" i="10"/>
  <c r="S664" i="10"/>
  <c r="T664" i="10"/>
  <c r="U664" i="10"/>
  <c r="N664" i="10"/>
  <c r="V664" i="10"/>
  <c r="O664" i="10"/>
  <c r="W664" i="10"/>
  <c r="P664" i="10"/>
  <c r="X664" i="10"/>
  <c r="Q664" i="10"/>
  <c r="Y664" i="10"/>
  <c r="R652" i="10"/>
  <c r="S652" i="10"/>
  <c r="T652" i="10"/>
  <c r="U652" i="10"/>
  <c r="N652" i="10"/>
  <c r="V652" i="10"/>
  <c r="O652" i="10"/>
  <c r="W652" i="10"/>
  <c r="P652" i="10"/>
  <c r="X652" i="10"/>
  <c r="Q652" i="10"/>
  <c r="Y652" i="10"/>
  <c r="Q538" i="10"/>
  <c r="Y538" i="10"/>
  <c r="R538" i="10"/>
  <c r="T538" i="10"/>
  <c r="N538" i="10"/>
  <c r="V538" i="10"/>
  <c r="O538" i="10"/>
  <c r="P538" i="10"/>
  <c r="S538" i="10"/>
  <c r="U538" i="10"/>
  <c r="W538" i="10"/>
  <c r="X538" i="10"/>
  <c r="A527" i="10"/>
  <c r="Z527" i="10" s="1"/>
  <c r="A513" i="10"/>
  <c r="Z513" i="10" s="1"/>
  <c r="A495" i="10"/>
  <c r="Z495" i="10" s="1"/>
  <c r="Q452" i="10"/>
  <c r="Y452" i="10"/>
  <c r="R452" i="10"/>
  <c r="S452" i="10"/>
  <c r="T452" i="10"/>
  <c r="U452" i="10"/>
  <c r="N452" i="10"/>
  <c r="V452" i="10"/>
  <c r="O452" i="10"/>
  <c r="W452" i="10"/>
  <c r="P452" i="10"/>
  <c r="X452" i="10"/>
  <c r="T437" i="10"/>
  <c r="N437" i="10"/>
  <c r="P437" i="10"/>
  <c r="X437" i="10"/>
  <c r="R437" i="10"/>
  <c r="S437" i="10"/>
  <c r="U437" i="10"/>
  <c r="V437" i="10"/>
  <c r="W437" i="10"/>
  <c r="Y437" i="10"/>
  <c r="O437" i="10"/>
  <c r="Q437" i="10"/>
  <c r="A423" i="10"/>
  <c r="Z423" i="10" s="1"/>
  <c r="O396" i="10"/>
  <c r="W396" i="10"/>
  <c r="P396" i="10"/>
  <c r="X396" i="10"/>
  <c r="Q396" i="10"/>
  <c r="Y396" i="10"/>
  <c r="R396" i="10"/>
  <c r="S396" i="10"/>
  <c r="T396" i="10"/>
  <c r="U396" i="10"/>
  <c r="N396" i="10"/>
  <c r="V396" i="10"/>
  <c r="A383" i="10"/>
  <c r="Z383" i="10" s="1"/>
  <c r="A369" i="10"/>
  <c r="Z369" i="10" s="1"/>
  <c r="O340" i="10"/>
  <c r="W340" i="10"/>
  <c r="P340" i="10"/>
  <c r="X340" i="10"/>
  <c r="Q340" i="10"/>
  <c r="Y340" i="10"/>
  <c r="R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R327" i="10"/>
  <c r="S327" i="10"/>
  <c r="T327" i="10"/>
  <c r="U327" i="10"/>
  <c r="X327" i="10"/>
  <c r="N313" i="10"/>
  <c r="V313" i="10"/>
  <c r="O313" i="10"/>
  <c r="W313" i="10"/>
  <c r="P313" i="10"/>
  <c r="X313" i="10"/>
  <c r="Q313" i="10"/>
  <c r="Y313" i="10"/>
  <c r="R313" i="10"/>
  <c r="S313" i="10"/>
  <c r="T313" i="10"/>
  <c r="U313" i="10"/>
  <c r="R284" i="10"/>
  <c r="S284" i="10"/>
  <c r="T284" i="10"/>
  <c r="U284" i="10"/>
  <c r="N284" i="10"/>
  <c r="V284" i="10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W272" i="10"/>
  <c r="N272" i="10"/>
  <c r="O272" i="10"/>
  <c r="R272" i="10"/>
  <c r="P244" i="10"/>
  <c r="X244" i="10"/>
  <c r="Q244" i="10"/>
  <c r="Y244" i="10"/>
  <c r="R244" i="10"/>
  <c r="S244" i="10"/>
  <c r="T244" i="10"/>
  <c r="U244" i="10"/>
  <c r="N244" i="10"/>
  <c r="V244" i="10"/>
  <c r="O244" i="10"/>
  <c r="W244" i="10"/>
  <c r="U217" i="10"/>
  <c r="P217" i="10"/>
  <c r="X217" i="10"/>
  <c r="Q217" i="10"/>
  <c r="Y217" i="10"/>
  <c r="R217" i="10"/>
  <c r="T217" i="10"/>
  <c r="S217" i="10"/>
  <c r="V217" i="10"/>
  <c r="W217" i="10"/>
  <c r="N217" i="10"/>
  <c r="O217" i="10"/>
  <c r="Q200" i="10"/>
  <c r="Y200" i="10"/>
  <c r="T200" i="10"/>
  <c r="U200" i="10"/>
  <c r="N200" i="10"/>
  <c r="V200" i="10"/>
  <c r="P200" i="10"/>
  <c r="X200" i="10"/>
  <c r="O200" i="10"/>
  <c r="R200" i="10"/>
  <c r="S200" i="10"/>
  <c r="W200" i="10"/>
  <c r="A186" i="10"/>
  <c r="Z186" i="10" s="1"/>
  <c r="O156" i="10"/>
  <c r="W156" i="10"/>
  <c r="P156" i="10"/>
  <c r="X156" i="10"/>
  <c r="Q156" i="10"/>
  <c r="Y156" i="10"/>
  <c r="R156" i="10"/>
  <c r="S156" i="10"/>
  <c r="T156" i="10"/>
  <c r="U156" i="10"/>
  <c r="N156" i="10"/>
  <c r="V156" i="10"/>
  <c r="R94" i="10"/>
  <c r="T94" i="10"/>
  <c r="U94" i="10"/>
  <c r="O94" i="10"/>
  <c r="W94" i="10"/>
  <c r="N94" i="10"/>
  <c r="P94" i="10"/>
  <c r="Q94" i="10"/>
  <c r="S94" i="10"/>
  <c r="X94" i="10"/>
  <c r="Y94" i="10"/>
  <c r="V94" i="10"/>
  <c r="A55" i="10"/>
  <c r="Z55" i="10" s="1"/>
  <c r="A37" i="10"/>
  <c r="Z37" i="10" s="1"/>
  <c r="O8" i="10"/>
  <c r="W8" i="10"/>
  <c r="P8" i="10"/>
  <c r="X8" i="10"/>
  <c r="R8" i="10"/>
  <c r="S8" i="10"/>
  <c r="V8" i="10"/>
  <c r="Y8" i="10"/>
  <c r="N8" i="10"/>
  <c r="Q8" i="10"/>
  <c r="T8" i="10"/>
  <c r="U8" i="10"/>
  <c r="S11" i="10"/>
  <c r="T11" i="10"/>
  <c r="N11" i="10"/>
  <c r="V11" i="10"/>
  <c r="O11" i="10"/>
  <c r="W11" i="10"/>
  <c r="X11" i="10"/>
  <c r="Y11" i="10"/>
  <c r="P11" i="10"/>
  <c r="Q11" i="10"/>
  <c r="R11" i="10"/>
  <c r="U11" i="10"/>
  <c r="S23" i="10"/>
  <c r="T23" i="10"/>
  <c r="N23" i="10"/>
  <c r="V23" i="10"/>
  <c r="O23" i="10"/>
  <c r="W23" i="10"/>
  <c r="X23" i="10"/>
  <c r="P23" i="10"/>
  <c r="Q23" i="10"/>
  <c r="R23" i="10"/>
  <c r="U23" i="10"/>
  <c r="Y23" i="10"/>
  <c r="O34" i="10"/>
  <c r="W34" i="10"/>
  <c r="P34" i="10"/>
  <c r="X34" i="10"/>
  <c r="R34" i="10"/>
  <c r="S34" i="10"/>
  <c r="V34" i="10"/>
  <c r="N34" i="10"/>
  <c r="Q34" i="10"/>
  <c r="T34" i="10"/>
  <c r="U34" i="10"/>
  <c r="Y34" i="10"/>
  <c r="O42" i="10"/>
  <c r="W42" i="10"/>
  <c r="P42" i="10"/>
  <c r="X42" i="10"/>
  <c r="R42" i="10"/>
  <c r="S42" i="10"/>
  <c r="V42" i="10"/>
  <c r="N42" i="10"/>
  <c r="Q42" i="10"/>
  <c r="T42" i="10"/>
  <c r="U42" i="10"/>
  <c r="Y42" i="10"/>
  <c r="O50" i="10"/>
  <c r="W50" i="10"/>
  <c r="P50" i="10"/>
  <c r="X50" i="10"/>
  <c r="R50" i="10"/>
  <c r="S50" i="10"/>
  <c r="V50" i="10"/>
  <c r="Q50" i="10"/>
  <c r="N50" i="10"/>
  <c r="T50" i="10"/>
  <c r="U50" i="10"/>
  <c r="Y50" i="10"/>
  <c r="O66" i="10"/>
  <c r="W66" i="10"/>
  <c r="R66" i="10"/>
  <c r="S66" i="10"/>
  <c r="X66" i="10"/>
  <c r="N66" i="10"/>
  <c r="P66" i="10"/>
  <c r="T66" i="10"/>
  <c r="Q66" i="10"/>
  <c r="U66" i="10"/>
  <c r="V66" i="10"/>
  <c r="Y66" i="10"/>
  <c r="R82" i="10"/>
  <c r="T82" i="10"/>
  <c r="U82" i="10"/>
  <c r="O82" i="10"/>
  <c r="W82" i="10"/>
  <c r="N82" i="10"/>
  <c r="P82" i="10"/>
  <c r="Q82" i="10"/>
  <c r="S82" i="10"/>
  <c r="X82" i="10"/>
  <c r="Y82" i="10"/>
  <c r="V82" i="10"/>
  <c r="R90" i="10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R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O125" i="10"/>
  <c r="W125" i="10"/>
  <c r="P125" i="10"/>
  <c r="X125" i="10"/>
  <c r="Q125" i="10"/>
  <c r="R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R133" i="10"/>
  <c r="O160" i="10"/>
  <c r="W160" i="10"/>
  <c r="P160" i="10"/>
  <c r="X160" i="10"/>
  <c r="Q160" i="10"/>
  <c r="Y160" i="10"/>
  <c r="R160" i="10"/>
  <c r="S160" i="10"/>
  <c r="T160" i="10"/>
  <c r="U160" i="10"/>
  <c r="V160" i="10"/>
  <c r="N160" i="10"/>
  <c r="O168" i="10"/>
  <c r="W168" i="10"/>
  <c r="R168" i="10"/>
  <c r="S168" i="10"/>
  <c r="T168" i="10"/>
  <c r="U168" i="10"/>
  <c r="P168" i="10"/>
  <c r="Q168" i="10"/>
  <c r="V168" i="10"/>
  <c r="X168" i="10"/>
  <c r="Y168" i="10"/>
  <c r="N168" i="10"/>
  <c r="O176" i="10"/>
  <c r="W176" i="10"/>
  <c r="R176" i="10"/>
  <c r="P176" i="10"/>
  <c r="S176" i="10"/>
  <c r="T176" i="10"/>
  <c r="U176" i="10"/>
  <c r="V176" i="10"/>
  <c r="N176" i="10"/>
  <c r="Y176" i="10"/>
  <c r="X176" i="10"/>
  <c r="Q176" i="10"/>
  <c r="Q192" i="10"/>
  <c r="Y192" i="10"/>
  <c r="T192" i="10"/>
  <c r="U192" i="10"/>
  <c r="N192" i="10"/>
  <c r="V192" i="10"/>
  <c r="P192" i="10"/>
  <c r="X192" i="10"/>
  <c r="S192" i="10"/>
  <c r="W192" i="10"/>
  <c r="O192" i="10"/>
  <c r="R192" i="10"/>
  <c r="Q224" i="10"/>
  <c r="Y224" i="10"/>
  <c r="T224" i="10"/>
  <c r="N224" i="10"/>
  <c r="V224" i="10"/>
  <c r="P224" i="10"/>
  <c r="R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R232" i="10"/>
  <c r="P248" i="10"/>
  <c r="X248" i="10"/>
  <c r="Q248" i="10"/>
  <c r="Y248" i="10"/>
  <c r="R248" i="10"/>
  <c r="S248" i="10"/>
  <c r="T248" i="10"/>
  <c r="U248" i="10"/>
  <c r="N248" i="10"/>
  <c r="V248" i="10"/>
  <c r="O248" i="10"/>
  <c r="W248" i="10"/>
  <c r="P256" i="10"/>
  <c r="X256" i="10"/>
  <c r="Q256" i="10"/>
  <c r="Y256" i="10"/>
  <c r="R256" i="10"/>
  <c r="S256" i="10"/>
  <c r="T256" i="10"/>
  <c r="U256" i="10"/>
  <c r="N256" i="10"/>
  <c r="V256" i="10"/>
  <c r="O256" i="10"/>
  <c r="W256" i="10"/>
  <c r="R280" i="10"/>
  <c r="S280" i="10"/>
  <c r="T280" i="10"/>
  <c r="U280" i="10"/>
  <c r="N280" i="10"/>
  <c r="V280" i="10"/>
  <c r="O280" i="10"/>
  <c r="W280" i="10"/>
  <c r="P280" i="10"/>
  <c r="X280" i="10"/>
  <c r="Q280" i="10"/>
  <c r="Y280" i="10"/>
  <c r="R288" i="10"/>
  <c r="S288" i="10"/>
  <c r="T288" i="10"/>
  <c r="U288" i="10"/>
  <c r="N288" i="10"/>
  <c r="V288" i="10"/>
  <c r="O288" i="10"/>
  <c r="W288" i="10"/>
  <c r="P288" i="10"/>
  <c r="X288" i="10"/>
  <c r="Q288" i="10"/>
  <c r="Y288" i="10"/>
  <c r="R296" i="10"/>
  <c r="S296" i="10"/>
  <c r="T296" i="10"/>
  <c r="U296" i="10"/>
  <c r="N296" i="10"/>
  <c r="V296" i="10"/>
  <c r="O296" i="10"/>
  <c r="W296" i="10"/>
  <c r="P296" i="10"/>
  <c r="X296" i="10"/>
  <c r="Q296" i="10"/>
  <c r="Y296" i="10"/>
  <c r="R304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R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R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R339" i="10"/>
  <c r="S347" i="10"/>
  <c r="T347" i="10"/>
  <c r="U347" i="10"/>
  <c r="N347" i="10"/>
  <c r="V347" i="10"/>
  <c r="O347" i="10"/>
  <c r="W347" i="10"/>
  <c r="P347" i="10"/>
  <c r="X347" i="10"/>
  <c r="Q347" i="10"/>
  <c r="Y347" i="10"/>
  <c r="R347" i="10"/>
  <c r="S621" i="10"/>
  <c r="T621" i="10"/>
  <c r="U621" i="10"/>
  <c r="N621" i="10"/>
  <c r="V621" i="10"/>
  <c r="O621" i="10"/>
  <c r="W621" i="10"/>
  <c r="P621" i="10"/>
  <c r="X621" i="10"/>
  <c r="Q621" i="10"/>
  <c r="Y621" i="10"/>
  <c r="R621" i="10"/>
  <c r="O632" i="10"/>
  <c r="W632" i="10"/>
  <c r="P632" i="10"/>
  <c r="X632" i="10"/>
  <c r="R632" i="10"/>
  <c r="T632" i="10"/>
  <c r="N632" i="10"/>
  <c r="Q632" i="10"/>
  <c r="S632" i="10"/>
  <c r="U632" i="10"/>
  <c r="V632" i="10"/>
  <c r="Y632" i="10"/>
  <c r="P640" i="10"/>
  <c r="R640" i="10"/>
  <c r="O640" i="10"/>
  <c r="Y640" i="10"/>
  <c r="Q640" i="10"/>
  <c r="S640" i="10"/>
  <c r="T640" i="10"/>
  <c r="U640" i="10"/>
  <c r="V640" i="10"/>
  <c r="W640" i="10"/>
  <c r="N640" i="10"/>
  <c r="X640" i="10"/>
  <c r="R672" i="10"/>
  <c r="S672" i="10"/>
  <c r="T672" i="10"/>
  <c r="U672" i="10"/>
  <c r="N672" i="10"/>
  <c r="V672" i="10"/>
  <c r="O672" i="10"/>
  <c r="W672" i="10"/>
  <c r="P672" i="10"/>
  <c r="X672" i="10"/>
  <c r="Q672" i="10"/>
  <c r="Y672" i="10"/>
  <c r="R680" i="10"/>
  <c r="S680" i="10"/>
  <c r="T680" i="10"/>
  <c r="U680" i="10"/>
  <c r="N680" i="10"/>
  <c r="V680" i="10"/>
  <c r="O680" i="10"/>
  <c r="W680" i="10"/>
  <c r="P680" i="10"/>
  <c r="X680" i="10"/>
  <c r="Q680" i="10"/>
  <c r="Y680" i="10"/>
  <c r="R688" i="10"/>
  <c r="S688" i="10"/>
  <c r="T688" i="10"/>
  <c r="U688" i="10"/>
  <c r="N688" i="10"/>
  <c r="V688" i="10"/>
  <c r="O688" i="10"/>
  <c r="W688" i="10"/>
  <c r="P688" i="10"/>
  <c r="X688" i="10"/>
  <c r="Q688" i="10"/>
  <c r="Y688" i="10"/>
  <c r="R696" i="10"/>
  <c r="S696" i="10"/>
  <c r="T696" i="10"/>
  <c r="U696" i="10"/>
  <c r="N696" i="10"/>
  <c r="V696" i="10"/>
  <c r="O696" i="10"/>
  <c r="W696" i="10"/>
  <c r="P696" i="10"/>
  <c r="X696" i="10"/>
  <c r="Q696" i="10"/>
  <c r="Y696" i="10"/>
  <c r="R704" i="10"/>
  <c r="S704" i="10"/>
  <c r="T704" i="10"/>
  <c r="U704" i="10"/>
  <c r="N704" i="10"/>
  <c r="V704" i="10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R715" i="10"/>
  <c r="S715" i="10"/>
  <c r="T715" i="10"/>
  <c r="N723" i="10"/>
  <c r="V723" i="10"/>
  <c r="O723" i="10"/>
  <c r="W723" i="10"/>
  <c r="P723" i="10"/>
  <c r="X723" i="10"/>
  <c r="Q723" i="10"/>
  <c r="Y723" i="10"/>
  <c r="R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R742" i="10"/>
  <c r="S742" i="10"/>
  <c r="Y832" i="10"/>
  <c r="X831" i="10"/>
  <c r="T830" i="10"/>
  <c r="P829" i="10"/>
  <c r="V821" i="10"/>
  <c r="V813" i="10"/>
  <c r="R808" i="10"/>
  <c r="V805" i="10"/>
  <c r="X785" i="10"/>
  <c r="X769" i="10"/>
  <c r="P759" i="10"/>
  <c r="X753" i="10"/>
  <c r="T748" i="10"/>
  <c r="X833" i="10"/>
  <c r="W832" i="10"/>
  <c r="V831" i="10"/>
  <c r="R830" i="10"/>
  <c r="X823" i="10"/>
  <c r="T818" i="10"/>
  <c r="X815" i="10"/>
  <c r="P813" i="10"/>
  <c r="X807" i="10"/>
  <c r="T790" i="10"/>
  <c r="X779" i="10"/>
  <c r="T758" i="10"/>
  <c r="X747" i="10"/>
  <c r="Y720" i="10"/>
  <c r="P816" i="10"/>
  <c r="X816" i="10"/>
  <c r="P756" i="10"/>
  <c r="Q756" i="10"/>
  <c r="Y756" i="10"/>
  <c r="R690" i="10"/>
  <c r="S690" i="10"/>
  <c r="T690" i="10"/>
  <c r="U690" i="10"/>
  <c r="N690" i="10"/>
  <c r="V690" i="10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R578" i="10"/>
  <c r="S578" i="10"/>
  <c r="T578" i="10"/>
  <c r="U578" i="10"/>
  <c r="N578" i="10"/>
  <c r="V578" i="10"/>
  <c r="Q524" i="10"/>
  <c r="Y524" i="10"/>
  <c r="R524" i="10"/>
  <c r="S524" i="10"/>
  <c r="T524" i="10"/>
  <c r="U524" i="10"/>
  <c r="N524" i="10"/>
  <c r="V524" i="10"/>
  <c r="O524" i="10"/>
  <c r="W524" i="10"/>
  <c r="P524" i="10"/>
  <c r="X524" i="10"/>
  <c r="Q476" i="10"/>
  <c r="Y476" i="10"/>
  <c r="R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R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R367" i="10"/>
  <c r="Q228" i="10"/>
  <c r="Y228" i="10"/>
  <c r="T228" i="10"/>
  <c r="N228" i="10"/>
  <c r="V228" i="10"/>
  <c r="S228" i="10"/>
  <c r="U228" i="10"/>
  <c r="W228" i="10"/>
  <c r="X228" i="10"/>
  <c r="O228" i="10"/>
  <c r="P228" i="10"/>
  <c r="R228" i="10"/>
  <c r="S169" i="10"/>
  <c r="N169" i="10"/>
  <c r="V169" i="10"/>
  <c r="O169" i="10"/>
  <c r="W169" i="10"/>
  <c r="Q169" i="10"/>
  <c r="Y169" i="10"/>
  <c r="R169" i="10"/>
  <c r="U169" i="10"/>
  <c r="X169" i="10"/>
  <c r="P169" i="10"/>
  <c r="T169" i="10"/>
  <c r="Q71" i="10"/>
  <c r="S71" i="10"/>
  <c r="U101" i="10"/>
  <c r="N101" i="10"/>
  <c r="V101" i="10"/>
  <c r="O101" i="10"/>
  <c r="W101" i="10"/>
  <c r="P101" i="10"/>
  <c r="X101" i="10"/>
  <c r="R101" i="10"/>
  <c r="S101" i="10"/>
  <c r="Q101" i="10"/>
  <c r="T101" i="10"/>
  <c r="Y101" i="10"/>
  <c r="U187" i="10"/>
  <c r="P187" i="10"/>
  <c r="X187" i="10"/>
  <c r="Q187" i="10"/>
  <c r="Y187" i="10"/>
  <c r="R187" i="10"/>
  <c r="T187" i="10"/>
  <c r="O187" i="10"/>
  <c r="S187" i="10"/>
  <c r="V187" i="10"/>
  <c r="W187" i="10"/>
  <c r="N187" i="10"/>
  <c r="U203" i="10"/>
  <c r="P203" i="10"/>
  <c r="X203" i="10"/>
  <c r="Q203" i="10"/>
  <c r="Y203" i="10"/>
  <c r="R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R235" i="10"/>
  <c r="S235" i="10"/>
  <c r="T235" i="10"/>
  <c r="V235" i="10"/>
  <c r="N315" i="10"/>
  <c r="V315" i="10"/>
  <c r="O315" i="10"/>
  <c r="W315" i="10"/>
  <c r="P315" i="10"/>
  <c r="X315" i="10"/>
  <c r="Q315" i="10"/>
  <c r="Y315" i="10"/>
  <c r="R315" i="10"/>
  <c r="S315" i="10"/>
  <c r="T315" i="10"/>
  <c r="U315" i="10"/>
  <c r="R334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O485" i="10"/>
  <c r="W485" i="10"/>
  <c r="P485" i="10"/>
  <c r="X485" i="10"/>
  <c r="Q485" i="10"/>
  <c r="Y485" i="10"/>
  <c r="R485" i="10"/>
  <c r="S485" i="10"/>
  <c r="T485" i="10"/>
  <c r="U517" i="10"/>
  <c r="N517" i="10"/>
  <c r="V517" i="10"/>
  <c r="O517" i="10"/>
  <c r="W517" i="10"/>
  <c r="P517" i="10"/>
  <c r="X517" i="10"/>
  <c r="Q517" i="10"/>
  <c r="Y517" i="10"/>
  <c r="R517" i="10"/>
  <c r="S517" i="10"/>
  <c r="T517" i="10"/>
  <c r="S635" i="10"/>
  <c r="T635" i="10"/>
  <c r="N635" i="10"/>
  <c r="V635" i="10"/>
  <c r="P635" i="10"/>
  <c r="X635" i="10"/>
  <c r="Y635" i="10"/>
  <c r="O635" i="10"/>
  <c r="Q635" i="10"/>
  <c r="R635" i="10"/>
  <c r="U635" i="10"/>
  <c r="W635" i="10"/>
  <c r="N675" i="10"/>
  <c r="V675" i="10"/>
  <c r="O675" i="10"/>
  <c r="W675" i="10"/>
  <c r="P675" i="10"/>
  <c r="X675" i="10"/>
  <c r="Q675" i="10"/>
  <c r="Y675" i="10"/>
  <c r="R675" i="10"/>
  <c r="S675" i="10"/>
  <c r="T675" i="10"/>
  <c r="U675" i="10"/>
  <c r="R718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N689" i="10"/>
  <c r="V689" i="10"/>
  <c r="O689" i="10"/>
  <c r="W689" i="10"/>
  <c r="P689" i="10"/>
  <c r="X689" i="10"/>
  <c r="Q689" i="10"/>
  <c r="Y689" i="10"/>
  <c r="R689" i="10"/>
  <c r="S689" i="10"/>
  <c r="T689" i="10"/>
  <c r="U689" i="10"/>
  <c r="S21" i="10"/>
  <c r="T21" i="10"/>
  <c r="N21" i="10"/>
  <c r="V21" i="10"/>
  <c r="O21" i="10"/>
  <c r="W21" i="10"/>
  <c r="P21" i="10"/>
  <c r="R21" i="10"/>
  <c r="U21" i="10"/>
  <c r="X21" i="10"/>
  <c r="Y21" i="10"/>
  <c r="Q21" i="10"/>
  <c r="O32" i="10"/>
  <c r="W32" i="10"/>
  <c r="P32" i="10"/>
  <c r="X32" i="10"/>
  <c r="R32" i="10"/>
  <c r="S32" i="10"/>
  <c r="N32" i="10"/>
  <c r="T32" i="10"/>
  <c r="U32" i="10"/>
  <c r="V32" i="10"/>
  <c r="Y32" i="10"/>
  <c r="Q32" i="10"/>
  <c r="O40" i="10"/>
  <c r="W40" i="10"/>
  <c r="P40" i="10"/>
  <c r="X40" i="10"/>
  <c r="R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R123" i="10"/>
  <c r="S123" i="10"/>
  <c r="T123" i="10"/>
  <c r="Y123" i="10"/>
  <c r="Q123" i="10"/>
  <c r="O158" i="10"/>
  <c r="W158" i="10"/>
  <c r="P158" i="10"/>
  <c r="X158" i="10"/>
  <c r="Q158" i="10"/>
  <c r="Y158" i="10"/>
  <c r="R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R182" i="10"/>
  <c r="Q222" i="10"/>
  <c r="Y222" i="10"/>
  <c r="T222" i="10"/>
  <c r="N222" i="10"/>
  <c r="V222" i="10"/>
  <c r="O222" i="10"/>
  <c r="P222" i="10"/>
  <c r="R222" i="10"/>
  <c r="S222" i="10"/>
  <c r="U222" i="10"/>
  <c r="W222" i="10"/>
  <c r="X222" i="10"/>
  <c r="P254" i="10"/>
  <c r="X254" i="10"/>
  <c r="Q254" i="10"/>
  <c r="Y254" i="10"/>
  <c r="R254" i="10"/>
  <c r="S254" i="10"/>
  <c r="T254" i="10"/>
  <c r="U254" i="10"/>
  <c r="N254" i="10"/>
  <c r="V254" i="10"/>
  <c r="W254" i="10"/>
  <c r="O254" i="10"/>
  <c r="R286" i="10"/>
  <c r="S286" i="10"/>
  <c r="T286" i="10"/>
  <c r="U286" i="10"/>
  <c r="N286" i="10"/>
  <c r="V286" i="10"/>
  <c r="O286" i="10"/>
  <c r="W286" i="10"/>
  <c r="P286" i="10"/>
  <c r="X286" i="10"/>
  <c r="Q286" i="10"/>
  <c r="Y286" i="10"/>
  <c r="Q480" i="10"/>
  <c r="Y480" i="10"/>
  <c r="R480" i="10"/>
  <c r="S480" i="10"/>
  <c r="T480" i="10"/>
  <c r="U480" i="10"/>
  <c r="N480" i="10"/>
  <c r="V480" i="10"/>
  <c r="O480" i="10"/>
  <c r="W480" i="10"/>
  <c r="P480" i="10"/>
  <c r="X480" i="10"/>
  <c r="O552" i="10"/>
  <c r="W552" i="10"/>
  <c r="P552" i="10"/>
  <c r="X552" i="10"/>
  <c r="Q552" i="10"/>
  <c r="Y552" i="10"/>
  <c r="R552" i="10"/>
  <c r="S552" i="10"/>
  <c r="T552" i="10"/>
  <c r="U552" i="10"/>
  <c r="N552" i="10"/>
  <c r="V552" i="10"/>
  <c r="O560" i="10"/>
  <c r="W560" i="10"/>
  <c r="P560" i="10"/>
  <c r="X560" i="10"/>
  <c r="Q560" i="10"/>
  <c r="Y560" i="10"/>
  <c r="R560" i="10"/>
  <c r="S560" i="10"/>
  <c r="T560" i="10"/>
  <c r="U560" i="10"/>
  <c r="N560" i="10"/>
  <c r="V560" i="10"/>
  <c r="O576" i="10"/>
  <c r="W576" i="10"/>
  <c r="P576" i="10"/>
  <c r="X576" i="10"/>
  <c r="Q576" i="10"/>
  <c r="Y576" i="10"/>
  <c r="R576" i="10"/>
  <c r="S576" i="10"/>
  <c r="T576" i="10"/>
  <c r="U576" i="10"/>
  <c r="N576" i="10"/>
  <c r="V576" i="10"/>
  <c r="O608" i="10"/>
  <c r="W608" i="10"/>
  <c r="P608" i="10"/>
  <c r="X608" i="10"/>
  <c r="Q608" i="10"/>
  <c r="Y608" i="10"/>
  <c r="R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R619" i="10"/>
  <c r="O638" i="10"/>
  <c r="W638" i="10"/>
  <c r="P638" i="10"/>
  <c r="X638" i="10"/>
  <c r="R638" i="10"/>
  <c r="Q638" i="10"/>
  <c r="S638" i="10"/>
  <c r="T638" i="10"/>
  <c r="U638" i="10"/>
  <c r="V638" i="10"/>
  <c r="Y638" i="10"/>
  <c r="R662" i="10"/>
  <c r="S662" i="10"/>
  <c r="T662" i="10"/>
  <c r="U662" i="10"/>
  <c r="N662" i="10"/>
  <c r="V662" i="10"/>
  <c r="O662" i="10"/>
  <c r="W662" i="10"/>
  <c r="P662" i="10"/>
  <c r="X662" i="10"/>
  <c r="Q662" i="10"/>
  <c r="Y662" i="10"/>
  <c r="R670" i="10"/>
  <c r="S670" i="10"/>
  <c r="T670" i="10"/>
  <c r="U670" i="10"/>
  <c r="N670" i="10"/>
  <c r="V670" i="10"/>
  <c r="O670" i="10"/>
  <c r="W670" i="10"/>
  <c r="P670" i="10"/>
  <c r="X670" i="10"/>
  <c r="Q670" i="10"/>
  <c r="R678" i="10"/>
  <c r="S678" i="10"/>
  <c r="T678" i="10"/>
  <c r="U678" i="10"/>
  <c r="N678" i="10"/>
  <c r="V678" i="10"/>
  <c r="O678" i="10"/>
  <c r="W678" i="10"/>
  <c r="P678" i="10"/>
  <c r="X678" i="10"/>
  <c r="Q678" i="10"/>
  <c r="Y678" i="10"/>
  <c r="R686" i="10"/>
  <c r="S686" i="10"/>
  <c r="T686" i="10"/>
  <c r="U686" i="10"/>
  <c r="N686" i="10"/>
  <c r="V686" i="10"/>
  <c r="O686" i="10"/>
  <c r="W686" i="10"/>
  <c r="P686" i="10"/>
  <c r="X686" i="10"/>
  <c r="Q686" i="10"/>
  <c r="R710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R805" i="10"/>
  <c r="S805" i="10"/>
  <c r="T805" i="10"/>
  <c r="U805" i="10"/>
  <c r="O805" i="10"/>
  <c r="W805" i="10"/>
  <c r="Q821" i="10"/>
  <c r="Y821" i="10"/>
  <c r="R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V832" i="10"/>
  <c r="U831" i="10"/>
  <c r="Q830" i="10"/>
  <c r="Y828" i="10"/>
  <c r="V823" i="10"/>
  <c r="N821" i="10"/>
  <c r="R818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R780" i="10"/>
  <c r="S780" i="10"/>
  <c r="N719" i="10"/>
  <c r="V719" i="10"/>
  <c r="O719" i="10"/>
  <c r="W719" i="10"/>
  <c r="P719" i="10"/>
  <c r="X719" i="10"/>
  <c r="Q719" i="10"/>
  <c r="Y719" i="10"/>
  <c r="R719" i="10"/>
  <c r="S719" i="10"/>
  <c r="T719" i="10"/>
  <c r="U719" i="10"/>
  <c r="R650" i="10"/>
  <c r="S650" i="10"/>
  <c r="T650" i="10"/>
  <c r="U650" i="10"/>
  <c r="N650" i="10"/>
  <c r="V650" i="10"/>
  <c r="O650" i="10"/>
  <c r="W650" i="10"/>
  <c r="P650" i="10"/>
  <c r="X650" i="10"/>
  <c r="Q650" i="10"/>
  <c r="Y650" i="10"/>
  <c r="U511" i="10"/>
  <c r="N511" i="10"/>
  <c r="V511" i="10"/>
  <c r="O511" i="10"/>
  <c r="W511" i="10"/>
  <c r="P511" i="10"/>
  <c r="X511" i="10"/>
  <c r="Q511" i="10"/>
  <c r="Y511" i="10"/>
  <c r="R511" i="10"/>
  <c r="S511" i="10"/>
  <c r="T511" i="10"/>
  <c r="P436" i="10"/>
  <c r="X436" i="10"/>
  <c r="R436" i="10"/>
  <c r="T436" i="10"/>
  <c r="Q436" i="10"/>
  <c r="S436" i="10"/>
  <c r="U436" i="10"/>
  <c r="V436" i="10"/>
  <c r="W436" i="10"/>
  <c r="Y436" i="10"/>
  <c r="N436" i="10"/>
  <c r="O436" i="10"/>
  <c r="T257" i="10"/>
  <c r="U257" i="10"/>
  <c r="N257" i="10"/>
  <c r="V257" i="10"/>
  <c r="O257" i="10"/>
  <c r="W257" i="10"/>
  <c r="P257" i="10"/>
  <c r="X257" i="10"/>
  <c r="Q257" i="10"/>
  <c r="Y257" i="10"/>
  <c r="R257" i="10"/>
  <c r="S257" i="10"/>
  <c r="O154" i="10"/>
  <c r="R154" i="10"/>
  <c r="T154" i="10"/>
  <c r="Q126" i="10"/>
  <c r="N126" i="10"/>
  <c r="U126" i="10"/>
  <c r="S139" i="10"/>
  <c r="T139" i="10"/>
  <c r="U139" i="10"/>
  <c r="N139" i="10"/>
  <c r="V139" i="10"/>
  <c r="O139" i="10"/>
  <c r="W139" i="10"/>
  <c r="P139" i="10"/>
  <c r="X139" i="10"/>
  <c r="Q139" i="10"/>
  <c r="Y139" i="10"/>
  <c r="R139" i="10"/>
  <c r="S163" i="10"/>
  <c r="T163" i="10"/>
  <c r="U163" i="10"/>
  <c r="N163" i="10"/>
  <c r="V163" i="10"/>
  <c r="O163" i="10"/>
  <c r="W163" i="10"/>
  <c r="P163" i="10"/>
  <c r="X163" i="10"/>
  <c r="Q163" i="10"/>
  <c r="Y163" i="10"/>
  <c r="R163" i="10"/>
  <c r="U227" i="10"/>
  <c r="P227" i="10"/>
  <c r="X227" i="10"/>
  <c r="R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R243" i="10"/>
  <c r="S243" i="10"/>
  <c r="T267" i="10"/>
  <c r="U267" i="10"/>
  <c r="O267" i="10"/>
  <c r="W267" i="10"/>
  <c r="Q267" i="10"/>
  <c r="Y267" i="10"/>
  <c r="N267" i="10"/>
  <c r="P267" i="10"/>
  <c r="R267" i="10"/>
  <c r="S267" i="10"/>
  <c r="V267" i="10"/>
  <c r="X267" i="10"/>
  <c r="N299" i="10"/>
  <c r="V299" i="10"/>
  <c r="O299" i="10"/>
  <c r="W299" i="10"/>
  <c r="P299" i="10"/>
  <c r="X299" i="10"/>
  <c r="Q299" i="10"/>
  <c r="Y299" i="10"/>
  <c r="R299" i="10"/>
  <c r="S299" i="10"/>
  <c r="T299" i="10"/>
  <c r="U299" i="10"/>
  <c r="R326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R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Q477" i="10"/>
  <c r="Y477" i="10"/>
  <c r="R477" i="10"/>
  <c r="S477" i="10"/>
  <c r="T477" i="10"/>
  <c r="U525" i="10"/>
  <c r="N525" i="10"/>
  <c r="V525" i="10"/>
  <c r="O525" i="10"/>
  <c r="W525" i="10"/>
  <c r="P525" i="10"/>
  <c r="X525" i="10"/>
  <c r="Q525" i="10"/>
  <c r="Y525" i="10"/>
  <c r="R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R549" i="10"/>
  <c r="N643" i="10"/>
  <c r="V643" i="10"/>
  <c r="O643" i="10"/>
  <c r="W643" i="10"/>
  <c r="P643" i="10"/>
  <c r="X643" i="10"/>
  <c r="Q643" i="10"/>
  <c r="Y643" i="10"/>
  <c r="R643" i="10"/>
  <c r="S643" i="10"/>
  <c r="T643" i="10"/>
  <c r="U643" i="10"/>
  <c r="Q717" i="1"/>
  <c r="Q562" i="1"/>
  <c r="Q341" i="1"/>
  <c r="Q146" i="1"/>
  <c r="Q809" i="1"/>
  <c r="Q755" i="1"/>
  <c r="Q815" i="10"/>
  <c r="Y815" i="10"/>
  <c r="R815" i="10"/>
  <c r="S815" i="10"/>
  <c r="T815" i="10"/>
  <c r="U815" i="10"/>
  <c r="O815" i="10"/>
  <c r="W815" i="10"/>
  <c r="Q791" i="10"/>
  <c r="Y791" i="10"/>
  <c r="R791" i="10"/>
  <c r="S791" i="10"/>
  <c r="T791" i="10"/>
  <c r="U791" i="10"/>
  <c r="N791" i="10"/>
  <c r="V791" i="10"/>
  <c r="O791" i="10"/>
  <c r="W791" i="10"/>
  <c r="U768" i="10"/>
  <c r="N768" i="10"/>
  <c r="V768" i="10"/>
  <c r="O768" i="10"/>
  <c r="W768" i="10"/>
  <c r="P768" i="10"/>
  <c r="X768" i="10"/>
  <c r="Q768" i="10"/>
  <c r="Y768" i="10"/>
  <c r="R768" i="10"/>
  <c r="S768" i="10"/>
  <c r="R716" i="10"/>
  <c r="S716" i="10"/>
  <c r="T716" i="10"/>
  <c r="U716" i="10"/>
  <c r="N716" i="10"/>
  <c r="V716" i="10"/>
  <c r="O716" i="10"/>
  <c r="W716" i="10"/>
  <c r="P716" i="10"/>
  <c r="X716" i="10"/>
  <c r="Q716" i="10"/>
  <c r="Y716" i="10"/>
  <c r="R674" i="10"/>
  <c r="S674" i="10"/>
  <c r="T674" i="10"/>
  <c r="U674" i="10"/>
  <c r="N674" i="10"/>
  <c r="V674" i="10"/>
  <c r="O674" i="10"/>
  <c r="W674" i="10"/>
  <c r="P674" i="10"/>
  <c r="X674" i="10"/>
  <c r="Q674" i="10"/>
  <c r="Y674" i="10"/>
  <c r="N649" i="10"/>
  <c r="V649" i="10"/>
  <c r="O649" i="10"/>
  <c r="W649" i="10"/>
  <c r="P649" i="10"/>
  <c r="X649" i="10"/>
  <c r="Q649" i="10"/>
  <c r="Y649" i="10"/>
  <c r="R649" i="10"/>
  <c r="S649" i="10"/>
  <c r="T649" i="10"/>
  <c r="S617" i="10"/>
  <c r="T617" i="10"/>
  <c r="U617" i="10"/>
  <c r="N617" i="10"/>
  <c r="V617" i="10"/>
  <c r="O617" i="10"/>
  <c r="W617" i="10"/>
  <c r="P617" i="10"/>
  <c r="X617" i="10"/>
  <c r="Q617" i="10"/>
  <c r="Y617" i="10"/>
  <c r="R617" i="10"/>
  <c r="A591" i="10"/>
  <c r="Z591" i="10" s="1"/>
  <c r="S577" i="10"/>
  <c r="T577" i="10"/>
  <c r="U577" i="10"/>
  <c r="N577" i="10"/>
  <c r="V577" i="10"/>
  <c r="O577" i="10"/>
  <c r="W577" i="10"/>
  <c r="P577" i="10"/>
  <c r="X577" i="10"/>
  <c r="Q577" i="10"/>
  <c r="Y577" i="10"/>
  <c r="R577" i="10"/>
  <c r="Q536" i="10"/>
  <c r="Y536" i="10"/>
  <c r="R536" i="10"/>
  <c r="T536" i="10"/>
  <c r="N536" i="10"/>
  <c r="V536" i="10"/>
  <c r="O536" i="10"/>
  <c r="W536" i="10"/>
  <c r="X536" i="10"/>
  <c r="P536" i="10"/>
  <c r="S536" i="10"/>
  <c r="U536" i="10"/>
  <c r="Q508" i="10"/>
  <c r="Y508" i="10"/>
  <c r="R508" i="10"/>
  <c r="S508" i="10"/>
  <c r="T508" i="10"/>
  <c r="U508" i="10"/>
  <c r="N508" i="10"/>
  <c r="V508" i="10"/>
  <c r="O508" i="10"/>
  <c r="W508" i="10"/>
  <c r="P508" i="10"/>
  <c r="X508" i="10"/>
  <c r="Q490" i="10"/>
  <c r="Y490" i="10"/>
  <c r="R490" i="10"/>
  <c r="S490" i="10"/>
  <c r="T490" i="10"/>
  <c r="U490" i="10"/>
  <c r="N490" i="10"/>
  <c r="V490" i="10"/>
  <c r="O490" i="10"/>
  <c r="W490" i="10"/>
  <c r="P490" i="10"/>
  <c r="X490" i="10"/>
  <c r="A449" i="10"/>
  <c r="Z449" i="10" s="1"/>
  <c r="O434" i="10"/>
  <c r="W434" i="10"/>
  <c r="P434" i="10"/>
  <c r="X434" i="10"/>
  <c r="R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R405" i="10"/>
  <c r="O380" i="10"/>
  <c r="W380" i="10"/>
  <c r="P380" i="10"/>
  <c r="X380" i="10"/>
  <c r="Q380" i="10"/>
  <c r="Y380" i="10"/>
  <c r="R380" i="10"/>
  <c r="S380" i="10"/>
  <c r="T380" i="10"/>
  <c r="U380" i="10"/>
  <c r="N380" i="10"/>
  <c r="V380" i="10"/>
  <c r="R324" i="10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R295" i="10"/>
  <c r="S295" i="10"/>
  <c r="T295" i="10"/>
  <c r="U295" i="10"/>
  <c r="N281" i="10"/>
  <c r="V281" i="10"/>
  <c r="O281" i="10"/>
  <c r="W281" i="10"/>
  <c r="P281" i="10"/>
  <c r="X281" i="10"/>
  <c r="Q281" i="10"/>
  <c r="Y281" i="10"/>
  <c r="R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R255" i="10"/>
  <c r="S255" i="10"/>
  <c r="Q226" i="10"/>
  <c r="Y226" i="10"/>
  <c r="T226" i="10"/>
  <c r="N226" i="10"/>
  <c r="V226" i="10"/>
  <c r="R226" i="10"/>
  <c r="S226" i="10"/>
  <c r="U226" i="10"/>
  <c r="W226" i="10"/>
  <c r="X226" i="10"/>
  <c r="O226" i="10"/>
  <c r="P226" i="10"/>
  <c r="Q198" i="10"/>
  <c r="Y198" i="10"/>
  <c r="T198" i="10"/>
  <c r="U198" i="10"/>
  <c r="N198" i="10"/>
  <c r="V198" i="10"/>
  <c r="P198" i="10"/>
  <c r="X198" i="10"/>
  <c r="O198" i="10"/>
  <c r="R198" i="10"/>
  <c r="S198" i="10"/>
  <c r="W198" i="10"/>
  <c r="S153" i="10"/>
  <c r="T153" i="10"/>
  <c r="U153" i="10"/>
  <c r="N153" i="10"/>
  <c r="V153" i="10"/>
  <c r="O153" i="10"/>
  <c r="W153" i="10"/>
  <c r="P153" i="10"/>
  <c r="X153" i="10"/>
  <c r="Q153" i="10"/>
  <c r="Y153" i="10"/>
  <c r="R153" i="10"/>
  <c r="Q106" i="10"/>
  <c r="Y106" i="10"/>
  <c r="R106" i="10"/>
  <c r="S106" i="10"/>
  <c r="T106" i="10"/>
  <c r="N106" i="10"/>
  <c r="V106" i="10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R89" i="10"/>
  <c r="W89" i="10"/>
  <c r="O52" i="10"/>
  <c r="W52" i="10"/>
  <c r="P52" i="10"/>
  <c r="X52" i="10"/>
  <c r="R52" i="10"/>
  <c r="S52" i="10"/>
  <c r="N52" i="10"/>
  <c r="T52" i="10"/>
  <c r="U52" i="10"/>
  <c r="Y52" i="10"/>
  <c r="V52" i="10"/>
  <c r="Q52" i="10"/>
  <c r="O18" i="10"/>
  <c r="W18" i="10"/>
  <c r="P18" i="10"/>
  <c r="X18" i="10"/>
  <c r="R18" i="10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R29" i="10"/>
  <c r="U29" i="10"/>
  <c r="X29" i="10"/>
  <c r="Y29" i="10"/>
  <c r="Q29" i="10"/>
  <c r="Q104" i="10"/>
  <c r="Y104" i="10"/>
  <c r="R104" i="10"/>
  <c r="S104" i="10"/>
  <c r="T104" i="10"/>
  <c r="N104" i="10"/>
  <c r="V104" i="10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R131" i="10"/>
  <c r="Q190" i="10"/>
  <c r="Y190" i="10"/>
  <c r="T190" i="10"/>
  <c r="U190" i="10"/>
  <c r="N190" i="10"/>
  <c r="V190" i="10"/>
  <c r="P190" i="10"/>
  <c r="X190" i="10"/>
  <c r="W190" i="10"/>
  <c r="O190" i="10"/>
  <c r="R190" i="10"/>
  <c r="S190" i="10"/>
  <c r="Q206" i="10"/>
  <c r="Y206" i="10"/>
  <c r="T206" i="10"/>
  <c r="U206" i="10"/>
  <c r="N206" i="10"/>
  <c r="V206" i="10"/>
  <c r="P206" i="10"/>
  <c r="X206" i="10"/>
  <c r="W206" i="10"/>
  <c r="O206" i="10"/>
  <c r="R206" i="10"/>
  <c r="S206" i="10"/>
  <c r="Q230" i="10"/>
  <c r="Y230" i="10"/>
  <c r="T230" i="10"/>
  <c r="N230" i="10"/>
  <c r="V230" i="10"/>
  <c r="U230" i="10"/>
  <c r="W230" i="10"/>
  <c r="X230" i="10"/>
  <c r="O230" i="10"/>
  <c r="P230" i="10"/>
  <c r="R230" i="10"/>
  <c r="S230" i="10"/>
  <c r="U461" i="10"/>
  <c r="N461" i="10"/>
  <c r="V461" i="10"/>
  <c r="O461" i="10"/>
  <c r="W461" i="10"/>
  <c r="P461" i="10"/>
  <c r="X461" i="10"/>
  <c r="Q461" i="10"/>
  <c r="Y461" i="10"/>
  <c r="R461" i="10"/>
  <c r="S461" i="10"/>
  <c r="T461" i="10"/>
  <c r="Q504" i="10"/>
  <c r="Y504" i="10"/>
  <c r="R504" i="10"/>
  <c r="S504" i="10"/>
  <c r="T504" i="10"/>
  <c r="U504" i="10"/>
  <c r="N504" i="10"/>
  <c r="V504" i="10"/>
  <c r="O504" i="10"/>
  <c r="W504" i="10"/>
  <c r="P504" i="10"/>
  <c r="X504" i="10"/>
  <c r="Q512" i="10"/>
  <c r="Y512" i="10"/>
  <c r="R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R544" i="10"/>
  <c r="S544" i="10"/>
  <c r="T544" i="10"/>
  <c r="U544" i="10"/>
  <c r="N544" i="10"/>
  <c r="V544" i="10"/>
  <c r="O568" i="10"/>
  <c r="W568" i="10"/>
  <c r="P568" i="10"/>
  <c r="X568" i="10"/>
  <c r="Q568" i="10"/>
  <c r="Y568" i="10"/>
  <c r="R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R825" i="10"/>
  <c r="S825" i="10"/>
  <c r="T825" i="10"/>
  <c r="U825" i="10"/>
  <c r="O825" i="10"/>
  <c r="W825" i="10"/>
  <c r="Q813" i="10"/>
  <c r="Y813" i="10"/>
  <c r="R813" i="10"/>
  <c r="S813" i="10"/>
  <c r="T813" i="10"/>
  <c r="U813" i="10"/>
  <c r="O813" i="10"/>
  <c r="W813" i="10"/>
  <c r="A788" i="10"/>
  <c r="Z788" i="10" s="1"/>
  <c r="Q777" i="10"/>
  <c r="Y777" i="10"/>
  <c r="R777" i="10"/>
  <c r="S777" i="10"/>
  <c r="T777" i="10"/>
  <c r="U777" i="10"/>
  <c r="N777" i="10"/>
  <c r="V777" i="10"/>
  <c r="O777" i="10"/>
  <c r="W777" i="10"/>
  <c r="Q767" i="10"/>
  <c r="Y767" i="10"/>
  <c r="R767" i="10"/>
  <c r="S767" i="10"/>
  <c r="T767" i="10"/>
  <c r="U767" i="10"/>
  <c r="N767" i="10"/>
  <c r="V767" i="10"/>
  <c r="O767" i="10"/>
  <c r="W767" i="10"/>
  <c r="Q753" i="10"/>
  <c r="Y753" i="10"/>
  <c r="R753" i="10"/>
  <c r="S753" i="10"/>
  <c r="T753" i="10"/>
  <c r="U753" i="10"/>
  <c r="N753" i="10"/>
  <c r="V753" i="10"/>
  <c r="O753" i="10"/>
  <c r="W753" i="10"/>
  <c r="Q743" i="10"/>
  <c r="Y743" i="10"/>
  <c r="R743" i="10"/>
  <c r="S743" i="10"/>
  <c r="T743" i="10"/>
  <c r="U743" i="10"/>
  <c r="N743" i="10"/>
  <c r="V743" i="10"/>
  <c r="O743" i="10"/>
  <c r="W743" i="10"/>
  <c r="A729" i="10"/>
  <c r="Z729" i="10" s="1"/>
  <c r="R700" i="10"/>
  <c r="S700" i="10"/>
  <c r="T700" i="10"/>
  <c r="U700" i="10"/>
  <c r="N700" i="10"/>
  <c r="V700" i="10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R673" i="10"/>
  <c r="S673" i="10"/>
  <c r="T673" i="10"/>
  <c r="U673" i="10"/>
  <c r="R658" i="10"/>
  <c r="S658" i="10"/>
  <c r="T658" i="10"/>
  <c r="U658" i="10"/>
  <c r="N658" i="10"/>
  <c r="V658" i="10"/>
  <c r="O658" i="10"/>
  <c r="W658" i="10"/>
  <c r="P658" i="10"/>
  <c r="X658" i="10"/>
  <c r="Q658" i="10"/>
  <c r="Y658" i="10"/>
  <c r="R64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R633" i="10"/>
  <c r="U633" i="10"/>
  <c r="W633" i="10"/>
  <c r="Y633" i="10"/>
  <c r="O633" i="10"/>
  <c r="O600" i="10"/>
  <c r="W600" i="10"/>
  <c r="P600" i="10"/>
  <c r="X600" i="10"/>
  <c r="Q600" i="10"/>
  <c r="Y600" i="10"/>
  <c r="R600" i="10"/>
  <c r="S600" i="10"/>
  <c r="T600" i="10"/>
  <c r="U600" i="10"/>
  <c r="N600" i="10"/>
  <c r="V600" i="10"/>
  <c r="A575" i="10"/>
  <c r="Z575" i="10" s="1"/>
  <c r="O546" i="10"/>
  <c r="W546" i="10"/>
  <c r="P546" i="10"/>
  <c r="X546" i="10"/>
  <c r="Q546" i="10"/>
  <c r="Y546" i="10"/>
  <c r="R546" i="10"/>
  <c r="S546" i="10"/>
  <c r="T546" i="10"/>
  <c r="U546" i="10"/>
  <c r="N546" i="10"/>
  <c r="V546" i="10"/>
  <c r="A535" i="10"/>
  <c r="Z535" i="10" s="1"/>
  <c r="Q506" i="10"/>
  <c r="Y506" i="10"/>
  <c r="R506" i="10"/>
  <c r="S506" i="10"/>
  <c r="T506" i="10"/>
  <c r="U506" i="10"/>
  <c r="N506" i="10"/>
  <c r="V506" i="10"/>
  <c r="O506" i="10"/>
  <c r="W506" i="10"/>
  <c r="P506" i="10"/>
  <c r="X506" i="10"/>
  <c r="A458" i="10"/>
  <c r="Z458" i="10" s="1"/>
  <c r="A447" i="10"/>
  <c r="Z447" i="10" s="1"/>
  <c r="A433" i="10"/>
  <c r="Z433" i="10" s="1"/>
  <c r="O404" i="10"/>
  <c r="W404" i="10"/>
  <c r="P404" i="10"/>
  <c r="X404" i="10"/>
  <c r="Q404" i="10"/>
  <c r="Y404" i="10"/>
  <c r="R404" i="10"/>
  <c r="S404" i="10"/>
  <c r="T404" i="10"/>
  <c r="U404" i="10"/>
  <c r="N404" i="10"/>
  <c r="V404" i="10"/>
  <c r="O392" i="10"/>
  <c r="W392" i="10"/>
  <c r="P392" i="10"/>
  <c r="X392" i="10"/>
  <c r="Q392" i="10"/>
  <c r="Y392" i="10"/>
  <c r="R392" i="10"/>
  <c r="S392" i="10"/>
  <c r="T392" i="10"/>
  <c r="U392" i="10"/>
  <c r="N392" i="10"/>
  <c r="V392" i="10"/>
  <c r="O364" i="10"/>
  <c r="W364" i="10"/>
  <c r="P364" i="10"/>
  <c r="X364" i="10"/>
  <c r="Q364" i="10"/>
  <c r="Y364" i="10"/>
  <c r="R364" i="10"/>
  <c r="S364" i="10"/>
  <c r="T364" i="10"/>
  <c r="U364" i="10"/>
  <c r="N364" i="10"/>
  <c r="V364" i="10"/>
  <c r="R308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R225" i="10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P196" i="10"/>
  <c r="X196" i="10"/>
  <c r="O196" i="10"/>
  <c r="R196" i="10"/>
  <c r="S196" i="10"/>
  <c r="W196" i="10"/>
  <c r="A181" i="10"/>
  <c r="Z181" i="10" s="1"/>
  <c r="A166" i="10"/>
  <c r="Z166" i="10" s="1"/>
  <c r="S137" i="10"/>
  <c r="T137" i="10"/>
  <c r="U137" i="10"/>
  <c r="N137" i="10"/>
  <c r="V137" i="10"/>
  <c r="O137" i="10"/>
  <c r="W137" i="10"/>
  <c r="P137" i="10"/>
  <c r="X137" i="10"/>
  <c r="Q137" i="10"/>
  <c r="Y137" i="10"/>
  <c r="R137" i="10"/>
  <c r="A31" i="10"/>
  <c r="Z31" i="10" s="1"/>
  <c r="S9" i="10"/>
  <c r="T9" i="10"/>
  <c r="N9" i="10"/>
  <c r="V9" i="10"/>
  <c r="O9" i="10"/>
  <c r="W9" i="10"/>
  <c r="P9" i="10"/>
  <c r="Q9" i="10"/>
  <c r="R9" i="10"/>
  <c r="U9" i="10"/>
  <c r="X9" i="10"/>
  <c r="Y9" i="10"/>
  <c r="O12" i="10"/>
  <c r="W12" i="10"/>
  <c r="P12" i="10"/>
  <c r="X12" i="10"/>
  <c r="R12" i="10"/>
  <c r="S12" i="10"/>
  <c r="N12" i="10"/>
  <c r="Q12" i="10"/>
  <c r="T12" i="10"/>
  <c r="U12" i="10"/>
  <c r="V12" i="10"/>
  <c r="Y12" i="10"/>
  <c r="O24" i="10"/>
  <c r="W24" i="10"/>
  <c r="P24" i="10"/>
  <c r="X24" i="10"/>
  <c r="R24" i="10"/>
  <c r="S24" i="10"/>
  <c r="N24" i="10"/>
  <c r="Q24" i="10"/>
  <c r="T24" i="10"/>
  <c r="U24" i="10"/>
  <c r="V24" i="10"/>
  <c r="Y24" i="10"/>
  <c r="S35" i="10"/>
  <c r="T35" i="10"/>
  <c r="N35" i="10"/>
  <c r="V35" i="10"/>
  <c r="O35" i="10"/>
  <c r="W35" i="10"/>
  <c r="P35" i="10"/>
  <c r="Q35" i="10"/>
  <c r="R35" i="10"/>
  <c r="U35" i="10"/>
  <c r="X35" i="10"/>
  <c r="Y35" i="10"/>
  <c r="S43" i="10"/>
  <c r="T43" i="10"/>
  <c r="N43" i="10"/>
  <c r="V43" i="10"/>
  <c r="O43" i="10"/>
  <c r="W43" i="10"/>
  <c r="P43" i="10"/>
  <c r="Q43" i="10"/>
  <c r="R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R51" i="10"/>
  <c r="X51" i="10"/>
  <c r="Y51" i="10"/>
  <c r="S59" i="10"/>
  <c r="T59" i="10"/>
  <c r="N59" i="10"/>
  <c r="V59" i="10"/>
  <c r="O59" i="10"/>
  <c r="W59" i="10"/>
  <c r="P59" i="10"/>
  <c r="Q59" i="10"/>
  <c r="U59" i="10"/>
  <c r="R59" i="10"/>
  <c r="X59" i="10"/>
  <c r="Y59" i="10"/>
  <c r="O67" i="10"/>
  <c r="W67" i="10"/>
  <c r="U67" i="10"/>
  <c r="N67" i="10"/>
  <c r="X67" i="10"/>
  <c r="P67" i="10"/>
  <c r="Y67" i="10"/>
  <c r="R67" i="10"/>
  <c r="Q67" i="10"/>
  <c r="S67" i="10"/>
  <c r="T67" i="10"/>
  <c r="V67" i="10"/>
  <c r="N75" i="10"/>
  <c r="V75" i="10"/>
  <c r="P75" i="10"/>
  <c r="X75" i="10"/>
  <c r="Q75" i="10"/>
  <c r="Y75" i="10"/>
  <c r="S75" i="10"/>
  <c r="R75" i="10"/>
  <c r="T75" i="10"/>
  <c r="U75" i="10"/>
  <c r="W75" i="10"/>
  <c r="O75" i="10"/>
  <c r="N83" i="10"/>
  <c r="V83" i="10"/>
  <c r="P83" i="10"/>
  <c r="X83" i="10"/>
  <c r="Q83" i="10"/>
  <c r="Y83" i="10"/>
  <c r="S83" i="10"/>
  <c r="R83" i="10"/>
  <c r="T83" i="10"/>
  <c r="U83" i="10"/>
  <c r="W83" i="10"/>
  <c r="O83" i="10"/>
  <c r="N91" i="10"/>
  <c r="V91" i="10"/>
  <c r="P91" i="10"/>
  <c r="X91" i="10"/>
  <c r="Q91" i="10"/>
  <c r="Y91" i="10"/>
  <c r="S91" i="10"/>
  <c r="R91" i="10"/>
  <c r="T91" i="10"/>
  <c r="U91" i="10"/>
  <c r="W91" i="10"/>
  <c r="O91" i="10"/>
  <c r="U99" i="10"/>
  <c r="N99" i="10"/>
  <c r="V99" i="10"/>
  <c r="O99" i="10"/>
  <c r="W99" i="10"/>
  <c r="P99" i="10"/>
  <c r="X99" i="10"/>
  <c r="R99" i="10"/>
  <c r="S99" i="10"/>
  <c r="Q99" i="10"/>
  <c r="T99" i="10"/>
  <c r="Y99" i="10"/>
  <c r="U107" i="10"/>
  <c r="N107" i="10"/>
  <c r="V107" i="10"/>
  <c r="O107" i="10"/>
  <c r="W107" i="10"/>
  <c r="P107" i="10"/>
  <c r="X107" i="10"/>
  <c r="R107" i="10"/>
  <c r="S107" i="10"/>
  <c r="Q107" i="10"/>
  <c r="T107" i="10"/>
  <c r="Y107" i="10"/>
  <c r="U115" i="10"/>
  <c r="N115" i="10"/>
  <c r="V115" i="10"/>
  <c r="O115" i="10"/>
  <c r="W115" i="10"/>
  <c r="P115" i="10"/>
  <c r="X115" i="10"/>
  <c r="R115" i="10"/>
  <c r="S115" i="10"/>
  <c r="Q115" i="10"/>
  <c r="T115" i="10"/>
  <c r="Y115" i="10"/>
  <c r="O134" i="10"/>
  <c r="W134" i="10"/>
  <c r="P134" i="10"/>
  <c r="X134" i="10"/>
  <c r="Q134" i="10"/>
  <c r="Y134" i="10"/>
  <c r="R134" i="10"/>
  <c r="S134" i="10"/>
  <c r="T134" i="10"/>
  <c r="U134" i="10"/>
  <c r="V134" i="10"/>
  <c r="N134" i="10"/>
  <c r="R332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Q357" i="10"/>
  <c r="Y357" i="10"/>
  <c r="R357" i="10"/>
  <c r="S373" i="10"/>
  <c r="T373" i="10"/>
  <c r="U373" i="10"/>
  <c r="N373" i="10"/>
  <c r="V373" i="10"/>
  <c r="O373" i="10"/>
  <c r="W373" i="10"/>
  <c r="P373" i="10"/>
  <c r="X373" i="10"/>
  <c r="Q373" i="10"/>
  <c r="Y373" i="10"/>
  <c r="R373" i="10"/>
  <c r="S381" i="10"/>
  <c r="T381" i="10"/>
  <c r="U381" i="10"/>
  <c r="N381" i="10"/>
  <c r="V381" i="10"/>
  <c r="O381" i="10"/>
  <c r="W381" i="10"/>
  <c r="P381" i="10"/>
  <c r="X381" i="10"/>
  <c r="Q381" i="10"/>
  <c r="Y381" i="10"/>
  <c r="R381" i="10"/>
  <c r="S389" i="10"/>
  <c r="T389" i="10"/>
  <c r="U389" i="10"/>
  <c r="N389" i="10"/>
  <c r="V389" i="10"/>
  <c r="O389" i="10"/>
  <c r="W389" i="10"/>
  <c r="P389" i="10"/>
  <c r="X389" i="10"/>
  <c r="Q389" i="10"/>
  <c r="Y389" i="10"/>
  <c r="R389" i="10"/>
  <c r="S397" i="10"/>
  <c r="T397" i="10"/>
  <c r="U397" i="10"/>
  <c r="N397" i="10"/>
  <c r="V397" i="10"/>
  <c r="O397" i="10"/>
  <c r="W397" i="10"/>
  <c r="P397" i="10"/>
  <c r="X397" i="10"/>
  <c r="Q397" i="10"/>
  <c r="Y397" i="10"/>
  <c r="R397" i="10"/>
  <c r="S421" i="10"/>
  <c r="T421" i="10"/>
  <c r="U421" i="10"/>
  <c r="N421" i="10"/>
  <c r="V421" i="10"/>
  <c r="O421" i="10"/>
  <c r="W421" i="10"/>
  <c r="P421" i="10"/>
  <c r="X421" i="10"/>
  <c r="Q421" i="10"/>
  <c r="Y421" i="10"/>
  <c r="R421" i="10"/>
  <c r="S429" i="10"/>
  <c r="T429" i="10"/>
  <c r="N429" i="10"/>
  <c r="V429" i="10"/>
  <c r="O429" i="10"/>
  <c r="W429" i="10"/>
  <c r="P429" i="10"/>
  <c r="X429" i="10"/>
  <c r="Q429" i="10"/>
  <c r="Y429" i="10"/>
  <c r="R429" i="10"/>
  <c r="U429" i="10"/>
  <c r="U445" i="10"/>
  <c r="N445" i="10"/>
  <c r="V445" i="10"/>
  <c r="O445" i="10"/>
  <c r="W445" i="10"/>
  <c r="P445" i="10"/>
  <c r="X445" i="10"/>
  <c r="Q445" i="10"/>
  <c r="Y445" i="10"/>
  <c r="R445" i="10"/>
  <c r="S445" i="10"/>
  <c r="T445" i="10"/>
  <c r="U453" i="10"/>
  <c r="N453" i="10"/>
  <c r="V453" i="10"/>
  <c r="O453" i="10"/>
  <c r="W453" i="10"/>
  <c r="P453" i="10"/>
  <c r="X453" i="10"/>
  <c r="Q453" i="10"/>
  <c r="Y453" i="10"/>
  <c r="R453" i="10"/>
  <c r="S453" i="10"/>
  <c r="T453" i="10"/>
  <c r="U475" i="10"/>
  <c r="N475" i="10"/>
  <c r="V475" i="10"/>
  <c r="O475" i="10"/>
  <c r="W475" i="10"/>
  <c r="P475" i="10"/>
  <c r="X475" i="10"/>
  <c r="Q475" i="10"/>
  <c r="Y475" i="10"/>
  <c r="R475" i="10"/>
  <c r="S475" i="10"/>
  <c r="T475" i="10"/>
  <c r="U483" i="10"/>
  <c r="N483" i="10"/>
  <c r="V483" i="10"/>
  <c r="O483" i="10"/>
  <c r="W483" i="10"/>
  <c r="P483" i="10"/>
  <c r="X483" i="10"/>
  <c r="Q483" i="10"/>
  <c r="Y483" i="10"/>
  <c r="R483" i="10"/>
  <c r="S483" i="10"/>
  <c r="T483" i="10"/>
  <c r="U491" i="10"/>
  <c r="N491" i="10"/>
  <c r="V491" i="10"/>
  <c r="O491" i="10"/>
  <c r="W491" i="10"/>
  <c r="P491" i="10"/>
  <c r="X491" i="10"/>
  <c r="Q491" i="10"/>
  <c r="Y491" i="10"/>
  <c r="R491" i="10"/>
  <c r="S491" i="10"/>
  <c r="T491" i="10"/>
  <c r="U499" i="10"/>
  <c r="N499" i="10"/>
  <c r="V499" i="10"/>
  <c r="O499" i="10"/>
  <c r="W499" i="10"/>
  <c r="P499" i="10"/>
  <c r="X499" i="10"/>
  <c r="Q499" i="10"/>
  <c r="Y499" i="10"/>
  <c r="R499" i="10"/>
  <c r="S499" i="10"/>
  <c r="T499" i="10"/>
  <c r="U507" i="10"/>
  <c r="N507" i="10"/>
  <c r="V507" i="10"/>
  <c r="O507" i="10"/>
  <c r="W507" i="10"/>
  <c r="P507" i="10"/>
  <c r="X507" i="10"/>
  <c r="Q507" i="10"/>
  <c r="Y507" i="10"/>
  <c r="R507" i="10"/>
  <c r="S507" i="10"/>
  <c r="T507" i="10"/>
  <c r="U515" i="10"/>
  <c r="N515" i="10"/>
  <c r="V515" i="10"/>
  <c r="O515" i="10"/>
  <c r="W515" i="10"/>
  <c r="P515" i="10"/>
  <c r="X515" i="10"/>
  <c r="Q515" i="10"/>
  <c r="Y515" i="10"/>
  <c r="R515" i="10"/>
  <c r="S515" i="10"/>
  <c r="T515" i="10"/>
  <c r="U523" i="10"/>
  <c r="N523" i="10"/>
  <c r="V523" i="10"/>
  <c r="O523" i="10"/>
  <c r="W523" i="10"/>
  <c r="P523" i="10"/>
  <c r="X523" i="10"/>
  <c r="Q523" i="10"/>
  <c r="Y523" i="10"/>
  <c r="R523" i="10"/>
  <c r="S523" i="10"/>
  <c r="T523" i="10"/>
  <c r="U531" i="10"/>
  <c r="N531" i="10"/>
  <c r="V531" i="10"/>
  <c r="O531" i="10"/>
  <c r="W531" i="10"/>
  <c r="P531" i="10"/>
  <c r="X531" i="10"/>
  <c r="R531" i="10"/>
  <c r="S531" i="10"/>
  <c r="Q531" i="10"/>
  <c r="T531" i="10"/>
  <c r="Y531" i="10"/>
  <c r="N539" i="10"/>
  <c r="P539" i="10"/>
  <c r="X539" i="10"/>
  <c r="R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R547" i="10"/>
  <c r="S555" i="10"/>
  <c r="T555" i="10"/>
  <c r="U555" i="10"/>
  <c r="N555" i="10"/>
  <c r="V555" i="10"/>
  <c r="O555" i="10"/>
  <c r="W555" i="10"/>
  <c r="P555" i="10"/>
  <c r="X555" i="10"/>
  <c r="Q555" i="10"/>
  <c r="Y555" i="10"/>
  <c r="R555" i="10"/>
  <c r="S563" i="10"/>
  <c r="T563" i="10"/>
  <c r="U563" i="10"/>
  <c r="N563" i="10"/>
  <c r="V563" i="10"/>
  <c r="O563" i="10"/>
  <c r="W563" i="10"/>
  <c r="P563" i="10"/>
  <c r="X563" i="10"/>
  <c r="Q563" i="10"/>
  <c r="Y563" i="10"/>
  <c r="R563" i="10"/>
  <c r="S571" i="10"/>
  <c r="T571" i="10"/>
  <c r="U571" i="10"/>
  <c r="N571" i="10"/>
  <c r="V571" i="10"/>
  <c r="O571" i="10"/>
  <c r="W571" i="10"/>
  <c r="P571" i="10"/>
  <c r="X571" i="10"/>
  <c r="Q571" i="10"/>
  <c r="Y571" i="10"/>
  <c r="R571" i="10"/>
  <c r="S579" i="10"/>
  <c r="T579" i="10"/>
  <c r="U579" i="10"/>
  <c r="N579" i="10"/>
  <c r="V579" i="10"/>
  <c r="O579" i="10"/>
  <c r="W579" i="10"/>
  <c r="P579" i="10"/>
  <c r="X579" i="10"/>
  <c r="Q579" i="10"/>
  <c r="Y579" i="10"/>
  <c r="R579" i="10"/>
  <c r="S587" i="10"/>
  <c r="T587" i="10"/>
  <c r="U587" i="10"/>
  <c r="N587" i="10"/>
  <c r="V587" i="10"/>
  <c r="O587" i="10"/>
  <c r="W587" i="10"/>
  <c r="P587" i="10"/>
  <c r="X587" i="10"/>
  <c r="Q587" i="10"/>
  <c r="Y587" i="10"/>
  <c r="R587" i="10"/>
  <c r="S595" i="10"/>
  <c r="T595" i="10"/>
  <c r="U595" i="10"/>
  <c r="N595" i="10"/>
  <c r="V595" i="10"/>
  <c r="O595" i="10"/>
  <c r="W595" i="10"/>
  <c r="P595" i="10"/>
  <c r="X595" i="10"/>
  <c r="Q595" i="10"/>
  <c r="Y595" i="10"/>
  <c r="R595" i="10"/>
  <c r="S603" i="10"/>
  <c r="T603" i="10"/>
  <c r="U603" i="10"/>
  <c r="N603" i="10"/>
  <c r="V603" i="10"/>
  <c r="O603" i="10"/>
  <c r="W603" i="10"/>
  <c r="P603" i="10"/>
  <c r="X603" i="10"/>
  <c r="Q603" i="10"/>
  <c r="Y603" i="10"/>
  <c r="R603" i="10"/>
  <c r="S611" i="10"/>
  <c r="T611" i="10"/>
  <c r="U611" i="10"/>
  <c r="N611" i="10"/>
  <c r="V611" i="10"/>
  <c r="O611" i="10"/>
  <c r="W611" i="10"/>
  <c r="P611" i="10"/>
  <c r="X611" i="10"/>
  <c r="Q611" i="10"/>
  <c r="Y611" i="10"/>
  <c r="R611" i="10"/>
  <c r="O622" i="10"/>
  <c r="W622" i="10"/>
  <c r="P622" i="10"/>
  <c r="X622" i="10"/>
  <c r="Q622" i="10"/>
  <c r="Y622" i="10"/>
  <c r="R622" i="10"/>
  <c r="S622" i="10"/>
  <c r="T622" i="10"/>
  <c r="U622" i="10"/>
  <c r="N622" i="10"/>
  <c r="V622" i="10"/>
  <c r="U833" i="10"/>
  <c r="T832" i="10"/>
  <c r="R831" i="10"/>
  <c r="V828" i="10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O792" i="10"/>
  <c r="W792" i="10"/>
  <c r="P792" i="10"/>
  <c r="X792" i="10"/>
  <c r="Q792" i="10"/>
  <c r="Y792" i="10"/>
  <c r="R792" i="10"/>
  <c r="S792" i="10"/>
  <c r="R732" i="10"/>
  <c r="S732" i="10"/>
  <c r="O732" i="10"/>
  <c r="W732" i="10"/>
  <c r="V732" i="10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R663" i="10"/>
  <c r="S663" i="10"/>
  <c r="T663" i="10"/>
  <c r="U663" i="10"/>
  <c r="O592" i="10"/>
  <c r="W592" i="10"/>
  <c r="P592" i="10"/>
  <c r="X592" i="10"/>
  <c r="Q592" i="10"/>
  <c r="Y592" i="10"/>
  <c r="R592" i="10"/>
  <c r="S592" i="10"/>
  <c r="T592" i="10"/>
  <c r="U592" i="10"/>
  <c r="N592" i="10"/>
  <c r="V592" i="10"/>
  <c r="U537" i="10"/>
  <c r="N537" i="10"/>
  <c r="V537" i="10"/>
  <c r="P537" i="10"/>
  <c r="X537" i="10"/>
  <c r="R537" i="10"/>
  <c r="O537" i="10"/>
  <c r="Q537" i="10"/>
  <c r="S537" i="10"/>
  <c r="T537" i="10"/>
  <c r="W537" i="10"/>
  <c r="Y537" i="10"/>
  <c r="T464" i="10"/>
  <c r="O464" i="10"/>
  <c r="W464" i="10"/>
  <c r="O394" i="10"/>
  <c r="W394" i="10"/>
  <c r="P394" i="10"/>
  <c r="X394" i="10"/>
  <c r="Q394" i="10"/>
  <c r="Y394" i="10"/>
  <c r="R394" i="10"/>
  <c r="S394" i="10"/>
  <c r="T394" i="10"/>
  <c r="U394" i="10"/>
  <c r="N394" i="10"/>
  <c r="V394" i="10"/>
  <c r="N311" i="10"/>
  <c r="V311" i="10"/>
  <c r="O311" i="10"/>
  <c r="W311" i="10"/>
  <c r="P311" i="10"/>
  <c r="X311" i="10"/>
  <c r="Q311" i="10"/>
  <c r="Y311" i="10"/>
  <c r="R311" i="10"/>
  <c r="S311" i="10"/>
  <c r="T311" i="10"/>
  <c r="U311" i="10"/>
  <c r="P242" i="10"/>
  <c r="X242" i="10"/>
  <c r="Q242" i="10"/>
  <c r="Y242" i="10"/>
  <c r="R242" i="10"/>
  <c r="S242" i="10"/>
  <c r="T242" i="10"/>
  <c r="U242" i="10"/>
  <c r="N242" i="10"/>
  <c r="V242" i="10"/>
  <c r="O242" i="10"/>
  <c r="W242" i="10"/>
  <c r="R9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R93" i="10"/>
  <c r="Q128" i="10"/>
  <c r="Y128" i="10"/>
  <c r="R128" i="10"/>
  <c r="T128" i="10"/>
  <c r="O128" i="10"/>
  <c r="P128" i="10"/>
  <c r="S128" i="10"/>
  <c r="U128" i="10"/>
  <c r="V128" i="10"/>
  <c r="W128" i="10"/>
  <c r="X128" i="10"/>
  <c r="N128" i="10"/>
  <c r="S171" i="10"/>
  <c r="N171" i="10"/>
  <c r="V171" i="10"/>
  <c r="O171" i="10"/>
  <c r="W171" i="10"/>
  <c r="Y171" i="10"/>
  <c r="P171" i="10"/>
  <c r="Q171" i="10"/>
  <c r="R171" i="10"/>
  <c r="U171" i="10"/>
  <c r="T171" i="10"/>
  <c r="X171" i="10"/>
  <c r="U211" i="10"/>
  <c r="P211" i="10"/>
  <c r="X211" i="10"/>
  <c r="Q211" i="10"/>
  <c r="Y211" i="10"/>
  <c r="R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R251" i="10"/>
  <c r="S251" i="10"/>
  <c r="T275" i="10"/>
  <c r="U275" i="10"/>
  <c r="Q275" i="10"/>
  <c r="R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R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R581" i="10"/>
  <c r="S605" i="10"/>
  <c r="T605" i="10"/>
  <c r="U605" i="10"/>
  <c r="N605" i="10"/>
  <c r="V605" i="10"/>
  <c r="O605" i="10"/>
  <c r="W605" i="10"/>
  <c r="P605" i="10"/>
  <c r="X605" i="10"/>
  <c r="Q605" i="10"/>
  <c r="Y605" i="10"/>
  <c r="R605" i="10"/>
  <c r="S627" i="10"/>
  <c r="T627" i="10"/>
  <c r="N627" i="10"/>
  <c r="V627" i="10"/>
  <c r="P627" i="10"/>
  <c r="X627" i="10"/>
  <c r="Q627" i="10"/>
  <c r="Y627" i="10"/>
  <c r="R627" i="10"/>
  <c r="U627" i="10"/>
  <c r="W627" i="10"/>
  <c r="N659" i="10"/>
  <c r="V659" i="10"/>
  <c r="O659" i="10"/>
  <c r="W659" i="10"/>
  <c r="P659" i="10"/>
  <c r="X659" i="10"/>
  <c r="Q659" i="10"/>
  <c r="Y659" i="10"/>
  <c r="R659" i="10"/>
  <c r="S659" i="10"/>
  <c r="T659" i="10"/>
  <c r="U659" i="10"/>
  <c r="Q706" i="1"/>
  <c r="Q626" i="1"/>
  <c r="Q288" i="1"/>
  <c r="Q232" i="1"/>
  <c r="Q315" i="1"/>
  <c r="A826" i="10"/>
  <c r="Z826" i="10" s="1"/>
  <c r="A802" i="10"/>
  <c r="Z802" i="10" s="1"/>
  <c r="U778" i="10"/>
  <c r="N778" i="10"/>
  <c r="V778" i="10"/>
  <c r="O778" i="10"/>
  <c r="W778" i="10"/>
  <c r="P778" i="10"/>
  <c r="X778" i="10"/>
  <c r="Q778" i="10"/>
  <c r="Y778" i="10"/>
  <c r="R778" i="10"/>
  <c r="S778" i="10"/>
  <c r="U754" i="10"/>
  <c r="N754" i="10"/>
  <c r="V754" i="10"/>
  <c r="O754" i="10"/>
  <c r="W754" i="10"/>
  <c r="P754" i="10"/>
  <c r="X754" i="10"/>
  <c r="Q754" i="10"/>
  <c r="Y754" i="10"/>
  <c r="R754" i="10"/>
  <c r="S754" i="10"/>
  <c r="R730" i="10"/>
  <c r="S730" i="10"/>
  <c r="U730" i="10"/>
  <c r="O730" i="10"/>
  <c r="W730" i="10"/>
  <c r="P730" i="10"/>
  <c r="Q730" i="10"/>
  <c r="T730" i="10"/>
  <c r="V730" i="10"/>
  <c r="X730" i="10"/>
  <c r="Y730" i="10"/>
  <c r="V703" i="10"/>
  <c r="P703" i="10"/>
  <c r="Y703" i="10"/>
  <c r="S703" i="10"/>
  <c r="R660" i="10"/>
  <c r="S660" i="10"/>
  <c r="T660" i="10"/>
  <c r="U660" i="10"/>
  <c r="N660" i="10"/>
  <c r="V660" i="10"/>
  <c r="O660" i="10"/>
  <c r="W660" i="10"/>
  <c r="P660" i="10"/>
  <c r="X660" i="10"/>
  <c r="Y660" i="10"/>
  <c r="O634" i="10"/>
  <c r="W634" i="10"/>
  <c r="P634" i="10"/>
  <c r="X634" i="10"/>
  <c r="R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R601" i="10"/>
  <c r="O562" i="10"/>
  <c r="W562" i="10"/>
  <c r="P562" i="10"/>
  <c r="X562" i="10"/>
  <c r="Q562" i="10"/>
  <c r="Y562" i="10"/>
  <c r="R562" i="10"/>
  <c r="S562" i="10"/>
  <c r="T562" i="10"/>
  <c r="U562" i="10"/>
  <c r="N562" i="10"/>
  <c r="V562" i="10"/>
  <c r="Q522" i="10"/>
  <c r="Y522" i="10"/>
  <c r="R522" i="10"/>
  <c r="S522" i="10"/>
  <c r="T522" i="10"/>
  <c r="U522" i="10"/>
  <c r="N522" i="10"/>
  <c r="V522" i="10"/>
  <c r="O522" i="10"/>
  <c r="W522" i="10"/>
  <c r="P522" i="10"/>
  <c r="X522" i="10"/>
  <c r="Q474" i="10"/>
  <c r="Y474" i="10"/>
  <c r="R474" i="10"/>
  <c r="S474" i="10"/>
  <c r="T474" i="10"/>
  <c r="U474" i="10"/>
  <c r="N474" i="10"/>
  <c r="V474" i="10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R463" i="10"/>
  <c r="S463" i="10"/>
  <c r="T463" i="10"/>
  <c r="O420" i="10"/>
  <c r="W420" i="10"/>
  <c r="P420" i="10"/>
  <c r="X420" i="10"/>
  <c r="Q420" i="10"/>
  <c r="Y420" i="10"/>
  <c r="R420" i="10"/>
  <c r="S420" i="10"/>
  <c r="T420" i="10"/>
  <c r="U420" i="10"/>
  <c r="N420" i="10"/>
  <c r="V420" i="10"/>
  <c r="A393" i="10"/>
  <c r="Z393" i="10" s="1"/>
  <c r="S365" i="10"/>
  <c r="T365" i="10"/>
  <c r="U365" i="10"/>
  <c r="N365" i="10"/>
  <c r="V365" i="10"/>
  <c r="O365" i="10"/>
  <c r="W365" i="10"/>
  <c r="P365" i="10"/>
  <c r="X365" i="10"/>
  <c r="Q365" i="10"/>
  <c r="Y365" i="10"/>
  <c r="R365" i="10"/>
  <c r="N337" i="10"/>
  <c r="V337" i="10"/>
  <c r="O337" i="10"/>
  <c r="W337" i="10"/>
  <c r="X337" i="10"/>
  <c r="Y337" i="10"/>
  <c r="P337" i="10"/>
  <c r="Q337" i="10"/>
  <c r="R337" i="10"/>
  <c r="S337" i="10"/>
  <c r="T337" i="10"/>
  <c r="U337" i="10"/>
  <c r="R310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R241" i="10"/>
  <c r="S241" i="10"/>
  <c r="Q212" i="10"/>
  <c r="Y212" i="10"/>
  <c r="T212" i="10"/>
  <c r="U212" i="10"/>
  <c r="N212" i="10"/>
  <c r="V212" i="10"/>
  <c r="P212" i="10"/>
  <c r="X212" i="10"/>
  <c r="O212" i="10"/>
  <c r="R212" i="10"/>
  <c r="S212" i="10"/>
  <c r="W212" i="10"/>
  <c r="Q124" i="10"/>
  <c r="Y124" i="10"/>
  <c r="R124" i="10"/>
  <c r="S124" i="10"/>
  <c r="T124" i="10"/>
  <c r="V124" i="10"/>
  <c r="W124" i="10"/>
  <c r="X124" i="10"/>
  <c r="N124" i="10"/>
  <c r="O124" i="10"/>
  <c r="P124" i="10"/>
  <c r="U124" i="10"/>
  <c r="A69" i="10"/>
  <c r="Z69" i="10" s="1"/>
  <c r="S33" i="10"/>
  <c r="T33" i="10"/>
  <c r="N33" i="10"/>
  <c r="V33" i="10"/>
  <c r="O33" i="10"/>
  <c r="W33" i="10"/>
  <c r="R33" i="10"/>
  <c r="X33" i="10"/>
  <c r="Y33" i="10"/>
  <c r="P33" i="10"/>
  <c r="Q33" i="10"/>
  <c r="U33" i="10"/>
  <c r="O56" i="10"/>
  <c r="W56" i="10"/>
  <c r="P56" i="10"/>
  <c r="X56" i="10"/>
  <c r="R56" i="10"/>
  <c r="S56" i="10"/>
  <c r="N56" i="10"/>
  <c r="T56" i="10"/>
  <c r="U56" i="10"/>
  <c r="Y56" i="10"/>
  <c r="Q56" i="10"/>
  <c r="V56" i="10"/>
  <c r="O64" i="10"/>
  <c r="W64" i="10"/>
  <c r="R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R96" i="10"/>
  <c r="S96" i="10"/>
  <c r="T96" i="10"/>
  <c r="V96" i="10"/>
  <c r="N96" i="10"/>
  <c r="W96" i="10"/>
  <c r="P96" i="10"/>
  <c r="U96" i="10"/>
  <c r="X96" i="10"/>
  <c r="Q112" i="10"/>
  <c r="Y112" i="10"/>
  <c r="R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R142" i="10"/>
  <c r="S142" i="10"/>
  <c r="T142" i="10"/>
  <c r="U142" i="10"/>
  <c r="N142" i="10"/>
  <c r="V142" i="10"/>
  <c r="O150" i="10"/>
  <c r="W150" i="10"/>
  <c r="P150" i="10"/>
  <c r="X150" i="10"/>
  <c r="Q150" i="10"/>
  <c r="Y150" i="10"/>
  <c r="R150" i="10"/>
  <c r="S150" i="10"/>
  <c r="T150" i="10"/>
  <c r="U150" i="10"/>
  <c r="N150" i="10"/>
  <c r="V150" i="10"/>
  <c r="O174" i="10"/>
  <c r="W174" i="10"/>
  <c r="R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R246" i="10"/>
  <c r="S246" i="10"/>
  <c r="T246" i="10"/>
  <c r="U246" i="10"/>
  <c r="N246" i="10"/>
  <c r="V246" i="10"/>
  <c r="O246" i="10"/>
  <c r="W246" i="10"/>
  <c r="P262" i="10"/>
  <c r="X262" i="10"/>
  <c r="Q262" i="10"/>
  <c r="Y262" i="10"/>
  <c r="R262" i="10"/>
  <c r="S262" i="10"/>
  <c r="T262" i="10"/>
  <c r="U262" i="10"/>
  <c r="N262" i="10"/>
  <c r="V262" i="10"/>
  <c r="O262" i="10"/>
  <c r="W262" i="10"/>
  <c r="R294" i="10"/>
  <c r="S294" i="10"/>
  <c r="T294" i="10"/>
  <c r="U294" i="10"/>
  <c r="N294" i="10"/>
  <c r="V294" i="10"/>
  <c r="O294" i="10"/>
  <c r="W294" i="10"/>
  <c r="P294" i="10"/>
  <c r="X294" i="10"/>
  <c r="Q294" i="10"/>
  <c r="Y294" i="10"/>
  <c r="R302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R488" i="10"/>
  <c r="S488" i="10"/>
  <c r="T488" i="10"/>
  <c r="U488" i="10"/>
  <c r="N488" i="10"/>
  <c r="V488" i="10"/>
  <c r="O488" i="10"/>
  <c r="W488" i="10"/>
  <c r="P488" i="10"/>
  <c r="X488" i="10"/>
  <c r="Q496" i="10"/>
  <c r="Y496" i="10"/>
  <c r="R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836" i="10"/>
  <c r="Z836" i="10" s="1"/>
  <c r="U824" i="10"/>
  <c r="N824" i="10"/>
  <c r="V824" i="10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R786" i="10"/>
  <c r="S786" i="10"/>
  <c r="U740" i="10"/>
  <c r="N740" i="10"/>
  <c r="V740" i="10"/>
  <c r="O740" i="10"/>
  <c r="W740" i="10"/>
  <c r="P740" i="10"/>
  <c r="X740" i="10"/>
  <c r="Q740" i="10"/>
  <c r="Y740" i="10"/>
  <c r="R740" i="10"/>
  <c r="S740" i="10"/>
  <c r="N727" i="10"/>
  <c r="V727" i="10"/>
  <c r="O727" i="10"/>
  <c r="W727" i="10"/>
  <c r="P727" i="10"/>
  <c r="X727" i="10"/>
  <c r="Q727" i="10"/>
  <c r="Y727" i="10"/>
  <c r="S727" i="10"/>
  <c r="T727" i="10"/>
  <c r="R727" i="10"/>
  <c r="U727" i="10"/>
  <c r="N713" i="10"/>
  <c r="V713" i="10"/>
  <c r="O713" i="10"/>
  <c r="W713" i="10"/>
  <c r="P713" i="10"/>
  <c r="X713" i="10"/>
  <c r="Q713" i="10"/>
  <c r="Y713" i="10"/>
  <c r="R713" i="10"/>
  <c r="S713" i="10"/>
  <c r="T713" i="10"/>
  <c r="U713" i="10"/>
  <c r="R684" i="10"/>
  <c r="S684" i="10"/>
  <c r="T684" i="10"/>
  <c r="U684" i="10"/>
  <c r="N684" i="10"/>
  <c r="V684" i="10"/>
  <c r="O684" i="10"/>
  <c r="W684" i="10"/>
  <c r="P684" i="10"/>
  <c r="X684" i="10"/>
  <c r="Q684" i="10"/>
  <c r="Y684" i="10"/>
  <c r="N657" i="10"/>
  <c r="V657" i="10"/>
  <c r="O657" i="10"/>
  <c r="W657" i="10"/>
  <c r="P657" i="10"/>
  <c r="X657" i="10"/>
  <c r="Q657" i="10"/>
  <c r="Y657" i="10"/>
  <c r="R657" i="10"/>
  <c r="S657" i="10"/>
  <c r="T657" i="10"/>
  <c r="U657" i="10"/>
  <c r="A613" i="10"/>
  <c r="Z613" i="10" s="1"/>
  <c r="O586" i="10"/>
  <c r="W586" i="10"/>
  <c r="P586" i="10"/>
  <c r="X586" i="10"/>
  <c r="Q586" i="10"/>
  <c r="Y586" i="10"/>
  <c r="R586" i="10"/>
  <c r="S586" i="10"/>
  <c r="T586" i="10"/>
  <c r="U586" i="10"/>
  <c r="V586" i="10"/>
  <c r="N586" i="10"/>
  <c r="O574" i="10"/>
  <c r="W574" i="10"/>
  <c r="P574" i="10"/>
  <c r="X574" i="10"/>
  <c r="Q574" i="10"/>
  <c r="Y574" i="10"/>
  <c r="R574" i="10"/>
  <c r="S574" i="10"/>
  <c r="T574" i="10"/>
  <c r="U574" i="10"/>
  <c r="N574" i="10"/>
  <c r="V574" i="10"/>
  <c r="A533" i="10"/>
  <c r="Z533" i="10" s="1"/>
  <c r="Q444" i="10"/>
  <c r="Y444" i="10"/>
  <c r="R444" i="10"/>
  <c r="S444" i="10"/>
  <c r="T444" i="10"/>
  <c r="U444" i="10"/>
  <c r="N444" i="10"/>
  <c r="V444" i="10"/>
  <c r="O444" i="10"/>
  <c r="W444" i="10"/>
  <c r="X444" i="10"/>
  <c r="P444" i="10"/>
  <c r="A417" i="10"/>
  <c r="Z417" i="10" s="1"/>
  <c r="A391" i="10"/>
  <c r="Z391" i="10" s="1"/>
  <c r="N335" i="10"/>
  <c r="V335" i="10"/>
  <c r="O335" i="10"/>
  <c r="W335" i="10"/>
  <c r="P335" i="10"/>
  <c r="Q335" i="10"/>
  <c r="R335" i="10"/>
  <c r="S335" i="10"/>
  <c r="T335" i="10"/>
  <c r="U335" i="10"/>
  <c r="X335" i="10"/>
  <c r="Y335" i="10"/>
  <c r="R292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R265" i="10"/>
  <c r="N265" i="10"/>
  <c r="S265" i="10"/>
  <c r="V265" i="10"/>
  <c r="X265" i="10"/>
  <c r="P252" i="10"/>
  <c r="X252" i="10"/>
  <c r="Q252" i="10"/>
  <c r="Y252" i="10"/>
  <c r="R252" i="10"/>
  <c r="S252" i="10"/>
  <c r="T252" i="10"/>
  <c r="U252" i="10"/>
  <c r="N252" i="10"/>
  <c r="V252" i="10"/>
  <c r="O252" i="10"/>
  <c r="W252" i="10"/>
  <c r="A238" i="10"/>
  <c r="Z238" i="10" s="1"/>
  <c r="U209" i="10"/>
  <c r="P209" i="10"/>
  <c r="X209" i="10"/>
  <c r="Q209" i="10"/>
  <c r="Y209" i="10"/>
  <c r="R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R180" i="10"/>
  <c r="W180" i="10"/>
  <c r="O164" i="10"/>
  <c r="W164" i="10"/>
  <c r="P164" i="10"/>
  <c r="X164" i="10"/>
  <c r="Q164" i="10"/>
  <c r="Y164" i="10"/>
  <c r="R164" i="10"/>
  <c r="S164" i="10"/>
  <c r="T164" i="10"/>
  <c r="U164" i="10"/>
  <c r="N164" i="10"/>
  <c r="V164" i="10"/>
  <c r="A136" i="10"/>
  <c r="Z136" i="10" s="1"/>
  <c r="S27" i="10"/>
  <c r="T27" i="10"/>
  <c r="N27" i="10"/>
  <c r="V27" i="10"/>
  <c r="O27" i="10"/>
  <c r="W27" i="10"/>
  <c r="X27" i="10"/>
  <c r="P27" i="10"/>
  <c r="Q27" i="10"/>
  <c r="R27" i="10"/>
  <c r="U27" i="10"/>
  <c r="Y27" i="10"/>
  <c r="O38" i="10"/>
  <c r="W38" i="10"/>
  <c r="P38" i="10"/>
  <c r="X38" i="10"/>
  <c r="R38" i="10"/>
  <c r="S38" i="10"/>
  <c r="V38" i="10"/>
  <c r="N38" i="10"/>
  <c r="Q38" i="10"/>
  <c r="T38" i="10"/>
  <c r="U38" i="10"/>
  <c r="Y38" i="10"/>
  <c r="O46" i="10"/>
  <c r="W46" i="10"/>
  <c r="P46" i="10"/>
  <c r="X46" i="10"/>
  <c r="R46" i="10"/>
  <c r="S46" i="10"/>
  <c r="V46" i="10"/>
  <c r="N46" i="10"/>
  <c r="Q46" i="10"/>
  <c r="Y46" i="10"/>
  <c r="T46" i="10"/>
  <c r="U46" i="10"/>
  <c r="O62" i="10"/>
  <c r="W62" i="10"/>
  <c r="R62" i="10"/>
  <c r="S62" i="10"/>
  <c r="U62" i="10"/>
  <c r="X62" i="10"/>
  <c r="Y62" i="10"/>
  <c r="P62" i="10"/>
  <c r="N62" i="10"/>
  <c r="Q62" i="10"/>
  <c r="T62" i="10"/>
  <c r="V62" i="10"/>
  <c r="R70" i="10"/>
  <c r="T70" i="10"/>
  <c r="U70" i="10"/>
  <c r="O70" i="10"/>
  <c r="W70" i="10"/>
  <c r="N70" i="10"/>
  <c r="P70" i="10"/>
  <c r="Q70" i="10"/>
  <c r="S70" i="10"/>
  <c r="X70" i="10"/>
  <c r="Y70" i="10"/>
  <c r="V70" i="10"/>
  <c r="R78" i="10"/>
  <c r="T78" i="10"/>
  <c r="U78" i="10"/>
  <c r="O78" i="10"/>
  <c r="W78" i="10"/>
  <c r="N78" i="10"/>
  <c r="P78" i="10"/>
  <c r="Q78" i="10"/>
  <c r="S78" i="10"/>
  <c r="X78" i="10"/>
  <c r="Y78" i="10"/>
  <c r="V78" i="10"/>
  <c r="R86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R102" i="10"/>
  <c r="S102" i="10"/>
  <c r="T102" i="10"/>
  <c r="N102" i="10"/>
  <c r="V102" i="10"/>
  <c r="O102" i="10"/>
  <c r="W102" i="10"/>
  <c r="X102" i="10"/>
  <c r="P102" i="10"/>
  <c r="U102" i="10"/>
  <c r="Q110" i="10"/>
  <c r="Y110" i="10"/>
  <c r="R110" i="10"/>
  <c r="S110" i="10"/>
  <c r="T110" i="10"/>
  <c r="N110" i="10"/>
  <c r="V110" i="10"/>
  <c r="O110" i="10"/>
  <c r="W110" i="10"/>
  <c r="X110" i="10"/>
  <c r="P110" i="10"/>
  <c r="U110" i="10"/>
  <c r="Q118" i="10"/>
  <c r="Y118" i="10"/>
  <c r="R118" i="10"/>
  <c r="S118" i="10"/>
  <c r="T118" i="10"/>
  <c r="N118" i="10"/>
  <c r="V118" i="10"/>
  <c r="P118" i="10"/>
  <c r="U118" i="10"/>
  <c r="W118" i="10"/>
  <c r="X118" i="10"/>
  <c r="O118" i="10"/>
  <c r="O172" i="10"/>
  <c r="W172" i="10"/>
  <c r="R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P204" i="10"/>
  <c r="X204" i="10"/>
  <c r="O204" i="10"/>
  <c r="R204" i="10"/>
  <c r="S204" i="10"/>
  <c r="W204" i="10"/>
  <c r="P268" i="10"/>
  <c r="X268" i="10"/>
  <c r="Q268" i="10"/>
  <c r="Y268" i="10"/>
  <c r="S268" i="10"/>
  <c r="U268" i="10"/>
  <c r="N268" i="10"/>
  <c r="O268" i="10"/>
  <c r="R268" i="10"/>
  <c r="T268" i="10"/>
  <c r="V268" i="10"/>
  <c r="W268" i="10"/>
  <c r="O360" i="10"/>
  <c r="W360" i="10"/>
  <c r="P360" i="10"/>
  <c r="X360" i="10"/>
  <c r="Q360" i="10"/>
  <c r="Y360" i="10"/>
  <c r="R360" i="10"/>
  <c r="S360" i="10"/>
  <c r="T360" i="10"/>
  <c r="U360" i="10"/>
  <c r="N360" i="10"/>
  <c r="V360" i="10"/>
  <c r="O368" i="10"/>
  <c r="W368" i="10"/>
  <c r="P368" i="10"/>
  <c r="X368" i="10"/>
  <c r="Q368" i="10"/>
  <c r="Y368" i="10"/>
  <c r="R368" i="10"/>
  <c r="S368" i="10"/>
  <c r="T368" i="10"/>
  <c r="U368" i="10"/>
  <c r="N368" i="10"/>
  <c r="V368" i="10"/>
  <c r="O376" i="10"/>
  <c r="W376" i="10"/>
  <c r="P376" i="10"/>
  <c r="X376" i="10"/>
  <c r="Q376" i="10"/>
  <c r="Y376" i="10"/>
  <c r="R376" i="10"/>
  <c r="S376" i="10"/>
  <c r="T376" i="10"/>
  <c r="U376" i="10"/>
  <c r="N376" i="10"/>
  <c r="V376" i="10"/>
  <c r="O384" i="10"/>
  <c r="W384" i="10"/>
  <c r="P384" i="10"/>
  <c r="X384" i="10"/>
  <c r="Q384" i="10"/>
  <c r="Y384" i="10"/>
  <c r="R384" i="10"/>
  <c r="S384" i="10"/>
  <c r="T384" i="10"/>
  <c r="U384" i="10"/>
  <c r="N384" i="10"/>
  <c r="V384" i="10"/>
  <c r="O408" i="10"/>
  <c r="W408" i="10"/>
  <c r="P408" i="10"/>
  <c r="X408" i="10"/>
  <c r="Q408" i="10"/>
  <c r="Y408" i="10"/>
  <c r="R408" i="10"/>
  <c r="S408" i="10"/>
  <c r="T408" i="10"/>
  <c r="U408" i="10"/>
  <c r="N408" i="10"/>
  <c r="V408" i="10"/>
  <c r="O416" i="10"/>
  <c r="W416" i="10"/>
  <c r="P416" i="10"/>
  <c r="X416" i="10"/>
  <c r="Q416" i="10"/>
  <c r="Y416" i="10"/>
  <c r="R416" i="10"/>
  <c r="S416" i="10"/>
  <c r="T416" i="10"/>
  <c r="U416" i="10"/>
  <c r="N416" i="10"/>
  <c r="V416" i="10"/>
  <c r="O424" i="10"/>
  <c r="W424" i="10"/>
  <c r="P424" i="10"/>
  <c r="X424" i="10"/>
  <c r="Q424" i="10"/>
  <c r="Y424" i="10"/>
  <c r="R424" i="10"/>
  <c r="S424" i="10"/>
  <c r="T424" i="10"/>
  <c r="U424" i="10"/>
  <c r="N424" i="10"/>
  <c r="V424" i="10"/>
  <c r="O432" i="10"/>
  <c r="W432" i="10"/>
  <c r="P432" i="10"/>
  <c r="X432" i="10"/>
  <c r="R432" i="10"/>
  <c r="T432" i="10"/>
  <c r="U432" i="10"/>
  <c r="N432" i="10"/>
  <c r="Q432" i="10"/>
  <c r="S432" i="10"/>
  <c r="V432" i="10"/>
  <c r="Y432" i="10"/>
  <c r="Q440" i="10"/>
  <c r="Y440" i="10"/>
  <c r="R440" i="10"/>
  <c r="S440" i="10"/>
  <c r="T440" i="10"/>
  <c r="U440" i="10"/>
  <c r="N440" i="10"/>
  <c r="V440" i="10"/>
  <c r="O440" i="10"/>
  <c r="W440" i="10"/>
  <c r="P440" i="10"/>
  <c r="X440" i="10"/>
  <c r="Q448" i="10"/>
  <c r="Y448" i="10"/>
  <c r="R448" i="10"/>
  <c r="S448" i="10"/>
  <c r="T448" i="10"/>
  <c r="U448" i="10"/>
  <c r="N448" i="10"/>
  <c r="V448" i="10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R459" i="10"/>
  <c r="S459" i="10"/>
  <c r="T459" i="10"/>
  <c r="U467" i="10"/>
  <c r="N467" i="10"/>
  <c r="V467" i="10"/>
  <c r="O467" i="10"/>
  <c r="W467" i="10"/>
  <c r="P467" i="10"/>
  <c r="X467" i="10"/>
  <c r="Q467" i="10"/>
  <c r="Y467" i="10"/>
  <c r="R467" i="10"/>
  <c r="S467" i="10"/>
  <c r="T467" i="10"/>
  <c r="Q486" i="10"/>
  <c r="Y486" i="10"/>
  <c r="R486" i="10"/>
  <c r="S486" i="10"/>
  <c r="T486" i="10"/>
  <c r="U486" i="10"/>
  <c r="N486" i="10"/>
  <c r="V486" i="10"/>
  <c r="O486" i="10"/>
  <c r="W486" i="10"/>
  <c r="P486" i="10"/>
  <c r="X486" i="10"/>
  <c r="Q502" i="10"/>
  <c r="Y502" i="10"/>
  <c r="R502" i="10"/>
  <c r="S502" i="10"/>
  <c r="T502" i="10"/>
  <c r="U502" i="10"/>
  <c r="N502" i="10"/>
  <c r="V502" i="10"/>
  <c r="O502" i="10"/>
  <c r="W502" i="10"/>
  <c r="P502" i="10"/>
  <c r="X502" i="10"/>
  <c r="Q510" i="10"/>
  <c r="Y510" i="10"/>
  <c r="R510" i="10"/>
  <c r="S510" i="10"/>
  <c r="T510" i="10"/>
  <c r="U510" i="10"/>
  <c r="N510" i="10"/>
  <c r="V510" i="10"/>
  <c r="O510" i="10"/>
  <c r="W510" i="10"/>
  <c r="P510" i="10"/>
  <c r="X510" i="10"/>
  <c r="Q518" i="10"/>
  <c r="Y518" i="10"/>
  <c r="R518" i="10"/>
  <c r="S518" i="10"/>
  <c r="T518" i="10"/>
  <c r="U518" i="10"/>
  <c r="N518" i="10"/>
  <c r="V518" i="10"/>
  <c r="O518" i="10"/>
  <c r="W518" i="10"/>
  <c r="P518" i="10"/>
  <c r="X518" i="10"/>
  <c r="Q526" i="10"/>
  <c r="Y526" i="10"/>
  <c r="R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R558" i="10"/>
  <c r="S558" i="10"/>
  <c r="T558" i="10"/>
  <c r="U558" i="10"/>
  <c r="N558" i="10"/>
  <c r="V558" i="10"/>
  <c r="O566" i="10"/>
  <c r="W566" i="10"/>
  <c r="P566" i="10"/>
  <c r="X566" i="10"/>
  <c r="Q566" i="10"/>
  <c r="Y566" i="10"/>
  <c r="R566" i="10"/>
  <c r="S566" i="10"/>
  <c r="T566" i="10"/>
  <c r="U566" i="10"/>
  <c r="N566" i="10"/>
  <c r="V566" i="10"/>
  <c r="O590" i="10"/>
  <c r="W590" i="10"/>
  <c r="P590" i="10"/>
  <c r="X590" i="10"/>
  <c r="Q590" i="10"/>
  <c r="Y590" i="10"/>
  <c r="R590" i="10"/>
  <c r="S590" i="10"/>
  <c r="T590" i="10"/>
  <c r="U590" i="10"/>
  <c r="N590" i="10"/>
  <c r="V590" i="10"/>
  <c r="O598" i="10"/>
  <c r="W598" i="10"/>
  <c r="P598" i="10"/>
  <c r="X598" i="10"/>
  <c r="Q598" i="10"/>
  <c r="Y598" i="10"/>
  <c r="R598" i="10"/>
  <c r="S598" i="10"/>
  <c r="T598" i="10"/>
  <c r="U598" i="10"/>
  <c r="N598" i="10"/>
  <c r="V598" i="10"/>
  <c r="O606" i="10"/>
  <c r="W606" i="10"/>
  <c r="P606" i="10"/>
  <c r="X606" i="10"/>
  <c r="Q606" i="10"/>
  <c r="Y606" i="10"/>
  <c r="R606" i="10"/>
  <c r="S606" i="10"/>
  <c r="T606" i="10"/>
  <c r="U606" i="10"/>
  <c r="N606" i="10"/>
  <c r="V606" i="10"/>
  <c r="R644" i="10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R757" i="10"/>
  <c r="S757" i="10"/>
  <c r="T757" i="10"/>
  <c r="U757" i="10"/>
  <c r="N757" i="10"/>
  <c r="V757" i="10"/>
  <c r="O757" i="10"/>
  <c r="W757" i="10"/>
  <c r="Q765" i="10"/>
  <c r="Y765" i="10"/>
  <c r="R765" i="10"/>
  <c r="S765" i="10"/>
  <c r="T765" i="10"/>
  <c r="U765" i="10"/>
  <c r="N765" i="10"/>
  <c r="V765" i="10"/>
  <c r="O765" i="10"/>
  <c r="W765" i="10"/>
  <c r="Q781" i="10"/>
  <c r="Y781" i="10"/>
  <c r="R781" i="10"/>
  <c r="S781" i="10"/>
  <c r="T781" i="10"/>
  <c r="U781" i="10"/>
  <c r="N781" i="10"/>
  <c r="V781" i="10"/>
  <c r="O781" i="10"/>
  <c r="W781" i="10"/>
  <c r="Q789" i="10"/>
  <c r="Y789" i="10"/>
  <c r="R789" i="10"/>
  <c r="S789" i="10"/>
  <c r="T789" i="10"/>
  <c r="U789" i="10"/>
  <c r="N789" i="10"/>
  <c r="V789" i="10"/>
  <c r="O789" i="10"/>
  <c r="W789" i="10"/>
  <c r="Q797" i="10"/>
  <c r="Y797" i="10"/>
  <c r="R797" i="10"/>
  <c r="S797" i="10"/>
  <c r="T797" i="10"/>
  <c r="U797" i="10"/>
  <c r="N797" i="10"/>
  <c r="V797" i="10"/>
  <c r="O797" i="10"/>
  <c r="W797" i="10"/>
  <c r="Q811" i="10"/>
  <c r="Y811" i="10"/>
  <c r="R811" i="10"/>
  <c r="S811" i="10"/>
  <c r="T811" i="10"/>
  <c r="U811" i="10"/>
  <c r="O811" i="10"/>
  <c r="W811" i="10"/>
  <c r="S833" i="10"/>
  <c r="R832" i="10"/>
  <c r="P831" i="10"/>
  <c r="X829" i="10"/>
  <c r="V825" i="10"/>
  <c r="N815" i="10"/>
  <c r="V809" i="10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R769" i="10"/>
  <c r="S769" i="10"/>
  <c r="T769" i="10"/>
  <c r="U769" i="10"/>
  <c r="N769" i="10"/>
  <c r="V769" i="10"/>
  <c r="O769" i="10"/>
  <c r="W769" i="10"/>
  <c r="R676" i="10"/>
  <c r="S676" i="10"/>
  <c r="T676" i="10"/>
  <c r="U676" i="10"/>
  <c r="N676" i="10"/>
  <c r="V676" i="10"/>
  <c r="O676" i="10"/>
  <c r="W676" i="10"/>
  <c r="P676" i="10"/>
  <c r="X676" i="10"/>
  <c r="Y676" i="10"/>
  <c r="O602" i="10"/>
  <c r="W602" i="10"/>
  <c r="P602" i="10"/>
  <c r="X602" i="10"/>
  <c r="Q602" i="10"/>
  <c r="Y602" i="10"/>
  <c r="R602" i="10"/>
  <c r="S602" i="10"/>
  <c r="T602" i="10"/>
  <c r="U602" i="10"/>
  <c r="V602" i="10"/>
  <c r="N602" i="10"/>
  <c r="Q450" i="10"/>
  <c r="Y450" i="10"/>
  <c r="R450" i="10"/>
  <c r="S450" i="10"/>
  <c r="T450" i="10"/>
  <c r="U450" i="10"/>
  <c r="N450" i="10"/>
  <c r="V450" i="10"/>
  <c r="O450" i="10"/>
  <c r="W450" i="10"/>
  <c r="P450" i="10"/>
  <c r="X450" i="10"/>
  <c r="N297" i="10"/>
  <c r="V297" i="10"/>
  <c r="O297" i="10"/>
  <c r="W297" i="10"/>
  <c r="P297" i="10"/>
  <c r="X297" i="10"/>
  <c r="Q297" i="10"/>
  <c r="Y297" i="10"/>
  <c r="R297" i="10"/>
  <c r="S297" i="10"/>
  <c r="T297" i="10"/>
  <c r="U297" i="10"/>
  <c r="T271" i="10"/>
  <c r="U271" i="10"/>
  <c r="O271" i="10"/>
  <c r="W271" i="10"/>
  <c r="R271" i="10"/>
  <c r="S271" i="10"/>
  <c r="V271" i="10"/>
  <c r="X271" i="10"/>
  <c r="Y271" i="10"/>
  <c r="N271" i="10"/>
  <c r="P271" i="10"/>
  <c r="Q271" i="10"/>
  <c r="U199" i="10"/>
  <c r="P199" i="10"/>
  <c r="X199" i="10"/>
  <c r="Q199" i="10"/>
  <c r="Y199" i="10"/>
  <c r="R199" i="10"/>
  <c r="T199" i="10"/>
  <c r="V199" i="10"/>
  <c r="W199" i="10"/>
  <c r="N199" i="10"/>
  <c r="O199" i="10"/>
  <c r="S199" i="10"/>
  <c r="Q108" i="10"/>
  <c r="Y108" i="10"/>
  <c r="R108" i="10"/>
  <c r="S108" i="10"/>
  <c r="T108" i="10"/>
  <c r="N108" i="10"/>
  <c r="V108" i="10"/>
  <c r="O108" i="10"/>
  <c r="W108" i="10"/>
  <c r="P108" i="10"/>
  <c r="U108" i="10"/>
  <c r="X108" i="10"/>
  <c r="N77" i="10"/>
  <c r="V77" i="10"/>
  <c r="P77" i="10"/>
  <c r="X77" i="10"/>
  <c r="Q77" i="10"/>
  <c r="Y77" i="10"/>
  <c r="S77" i="10"/>
  <c r="O77" i="10"/>
  <c r="T77" i="10"/>
  <c r="U77" i="10"/>
  <c r="W77" i="10"/>
  <c r="R77" i="10"/>
  <c r="S147" i="10"/>
  <c r="T147" i="10"/>
  <c r="U147" i="10"/>
  <c r="N147" i="10"/>
  <c r="V147" i="10"/>
  <c r="O147" i="10"/>
  <c r="W147" i="10"/>
  <c r="P147" i="10"/>
  <c r="X147" i="10"/>
  <c r="Q147" i="10"/>
  <c r="Y147" i="10"/>
  <c r="R147" i="10"/>
  <c r="U195" i="10"/>
  <c r="P195" i="10"/>
  <c r="X195" i="10"/>
  <c r="Q195" i="10"/>
  <c r="Y195" i="10"/>
  <c r="R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R259" i="10"/>
  <c r="S259" i="10"/>
  <c r="N283" i="10"/>
  <c r="V283" i="10"/>
  <c r="O283" i="10"/>
  <c r="W283" i="10"/>
  <c r="P283" i="10"/>
  <c r="X283" i="10"/>
  <c r="Q283" i="10"/>
  <c r="Y283" i="10"/>
  <c r="R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R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R565" i="10"/>
  <c r="O624" i="10"/>
  <c r="W624" i="10"/>
  <c r="P624" i="10"/>
  <c r="X624" i="10"/>
  <c r="Q624" i="10"/>
  <c r="Y624" i="10"/>
  <c r="R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R667" i="10"/>
  <c r="S667" i="10"/>
  <c r="T667" i="10"/>
  <c r="U667" i="10"/>
  <c r="N683" i="10"/>
  <c r="V683" i="10"/>
  <c r="O683" i="10"/>
  <c r="W683" i="10"/>
  <c r="P683" i="10"/>
  <c r="X683" i="10"/>
  <c r="Q683" i="10"/>
  <c r="Y683" i="10"/>
  <c r="R683" i="10"/>
  <c r="S683" i="10"/>
  <c r="T683" i="10"/>
  <c r="U683" i="10"/>
  <c r="Q594" i="1"/>
  <c r="Q242" i="1"/>
  <c r="Q194" i="1"/>
  <c r="Q823" i="10"/>
  <c r="Y823" i="10"/>
  <c r="R823" i="10"/>
  <c r="S823" i="10"/>
  <c r="T823" i="10"/>
  <c r="U823" i="10"/>
  <c r="O823" i="10"/>
  <c r="W823" i="10"/>
  <c r="Q799" i="10"/>
  <c r="Y799" i="10"/>
  <c r="R799" i="10"/>
  <c r="S799" i="10"/>
  <c r="T799" i="10"/>
  <c r="U799" i="10"/>
  <c r="N799" i="10"/>
  <c r="V799" i="10"/>
  <c r="O799" i="10"/>
  <c r="W799" i="10"/>
  <c r="Q785" i="10"/>
  <c r="Y785" i="10"/>
  <c r="R785" i="10"/>
  <c r="S785" i="10"/>
  <c r="T785" i="10"/>
  <c r="U785" i="10"/>
  <c r="N785" i="10"/>
  <c r="V785" i="10"/>
  <c r="O785" i="10"/>
  <c r="W785" i="10"/>
  <c r="Q775" i="10"/>
  <c r="Y775" i="10"/>
  <c r="R775" i="10"/>
  <c r="S775" i="10"/>
  <c r="T775" i="10"/>
  <c r="U775" i="10"/>
  <c r="N775" i="10"/>
  <c r="V775" i="10"/>
  <c r="O775" i="10"/>
  <c r="W775" i="10"/>
  <c r="U762" i="10"/>
  <c r="N762" i="10"/>
  <c r="V762" i="10"/>
  <c r="O762" i="10"/>
  <c r="W762" i="10"/>
  <c r="P762" i="10"/>
  <c r="X762" i="10"/>
  <c r="Q762" i="10"/>
  <c r="Y762" i="10"/>
  <c r="R762" i="10"/>
  <c r="S762" i="10"/>
  <c r="Q751" i="10"/>
  <c r="Y751" i="10"/>
  <c r="R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R738" i="10"/>
  <c r="S738" i="10"/>
  <c r="N697" i="10"/>
  <c r="V697" i="10"/>
  <c r="O697" i="10"/>
  <c r="W697" i="10"/>
  <c r="P697" i="10"/>
  <c r="X697" i="10"/>
  <c r="Q697" i="10"/>
  <c r="Y697" i="10"/>
  <c r="R697" i="10"/>
  <c r="S697" i="10"/>
  <c r="T697" i="10"/>
  <c r="R682" i="10"/>
  <c r="S682" i="10"/>
  <c r="T682" i="10"/>
  <c r="U682" i="10"/>
  <c r="N682" i="10"/>
  <c r="V682" i="10"/>
  <c r="O682" i="10"/>
  <c r="W682" i="10"/>
  <c r="P682" i="10"/>
  <c r="X682" i="10"/>
  <c r="Q682" i="10"/>
  <c r="Y682" i="10"/>
  <c r="R668" i="10"/>
  <c r="S668" i="10"/>
  <c r="T668" i="10"/>
  <c r="U668" i="10"/>
  <c r="N668" i="10"/>
  <c r="V668" i="10"/>
  <c r="O668" i="10"/>
  <c r="W668" i="10"/>
  <c r="P668" i="10"/>
  <c r="X668" i="10"/>
  <c r="Q668" i="10"/>
  <c r="Y668" i="10"/>
  <c r="R656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R628" i="10"/>
  <c r="T628" i="10"/>
  <c r="U628" i="10"/>
  <c r="N628" i="10"/>
  <c r="Q628" i="10"/>
  <c r="S628" i="10"/>
  <c r="V628" i="10"/>
  <c r="Y628" i="10"/>
  <c r="O610" i="10"/>
  <c r="W610" i="10"/>
  <c r="P610" i="10"/>
  <c r="X610" i="10"/>
  <c r="Q610" i="10"/>
  <c r="Y610" i="10"/>
  <c r="R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R585" i="10"/>
  <c r="O572" i="10"/>
  <c r="W572" i="10"/>
  <c r="P572" i="10"/>
  <c r="X572" i="10"/>
  <c r="Q572" i="10"/>
  <c r="Y572" i="10"/>
  <c r="R572" i="10"/>
  <c r="S572" i="10"/>
  <c r="T572" i="10"/>
  <c r="U572" i="10"/>
  <c r="N572" i="10"/>
  <c r="V572" i="10"/>
  <c r="Q530" i="10"/>
  <c r="Y530" i="10"/>
  <c r="R530" i="10"/>
  <c r="S530" i="10"/>
  <c r="T530" i="10"/>
  <c r="N530" i="10"/>
  <c r="V530" i="10"/>
  <c r="O530" i="10"/>
  <c r="W530" i="10"/>
  <c r="U530" i="10"/>
  <c r="X530" i="10"/>
  <c r="P530" i="10"/>
  <c r="R484" i="10"/>
  <c r="U484" i="10"/>
  <c r="V484" i="10"/>
  <c r="X484" i="10"/>
  <c r="Q456" i="10"/>
  <c r="Y456" i="10"/>
  <c r="R456" i="10"/>
  <c r="S456" i="10"/>
  <c r="T456" i="10"/>
  <c r="U456" i="10"/>
  <c r="N456" i="10"/>
  <c r="V456" i="10"/>
  <c r="O456" i="10"/>
  <c r="W456" i="10"/>
  <c r="P456" i="10"/>
  <c r="X456" i="10"/>
  <c r="Q442" i="10"/>
  <c r="Y442" i="10"/>
  <c r="R442" i="10"/>
  <c r="S442" i="10"/>
  <c r="T442" i="10"/>
  <c r="U442" i="10"/>
  <c r="N442" i="10"/>
  <c r="V442" i="10"/>
  <c r="O442" i="10"/>
  <c r="W442" i="10"/>
  <c r="P442" i="10"/>
  <c r="X442" i="10"/>
  <c r="O428" i="10"/>
  <c r="W428" i="10"/>
  <c r="P428" i="10"/>
  <c r="X428" i="10"/>
  <c r="R428" i="10"/>
  <c r="S428" i="10"/>
  <c r="T428" i="10"/>
  <c r="U428" i="10"/>
  <c r="N428" i="10"/>
  <c r="Q428" i="10"/>
  <c r="V428" i="10"/>
  <c r="Y428" i="10"/>
  <c r="O388" i="10"/>
  <c r="W388" i="10"/>
  <c r="P388" i="10"/>
  <c r="X388" i="10"/>
  <c r="Q388" i="10"/>
  <c r="Y388" i="10"/>
  <c r="R388" i="10"/>
  <c r="S388" i="10"/>
  <c r="T388" i="10"/>
  <c r="U388" i="10"/>
  <c r="N388" i="10"/>
  <c r="V388" i="10"/>
  <c r="O346" i="10"/>
  <c r="W346" i="10"/>
  <c r="P346" i="10"/>
  <c r="X346" i="10"/>
  <c r="Q346" i="10"/>
  <c r="Y346" i="10"/>
  <c r="R346" i="10"/>
  <c r="S346" i="10"/>
  <c r="T346" i="10"/>
  <c r="U346" i="10"/>
  <c r="N346" i="10"/>
  <c r="V346" i="10"/>
  <c r="R330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R319" i="10"/>
  <c r="S319" i="10"/>
  <c r="T319" i="10"/>
  <c r="U319" i="10"/>
  <c r="V305" i="10"/>
  <c r="P305" i="10"/>
  <c r="X305" i="10"/>
  <c r="T305" i="10"/>
  <c r="P276" i="10"/>
  <c r="X276" i="10"/>
  <c r="Q276" i="10"/>
  <c r="Y276" i="10"/>
  <c r="O276" i="10"/>
  <c r="R276" i="10"/>
  <c r="S276" i="10"/>
  <c r="T276" i="10"/>
  <c r="U276" i="10"/>
  <c r="V276" i="10"/>
  <c r="W276" i="10"/>
  <c r="N276" i="10"/>
  <c r="P264" i="10"/>
  <c r="X264" i="10"/>
  <c r="Q264" i="10"/>
  <c r="Y264" i="10"/>
  <c r="R264" i="10"/>
  <c r="S264" i="10"/>
  <c r="T264" i="10"/>
  <c r="U264" i="10"/>
  <c r="N264" i="10"/>
  <c r="V264" i="10"/>
  <c r="O264" i="10"/>
  <c r="W264" i="10"/>
  <c r="P250" i="10"/>
  <c r="X250" i="10"/>
  <c r="Q250" i="10"/>
  <c r="Y250" i="10"/>
  <c r="R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N236" i="10"/>
  <c r="W236" i="10"/>
  <c r="O236" i="10"/>
  <c r="X236" i="10"/>
  <c r="P236" i="10"/>
  <c r="R236" i="10"/>
  <c r="S236" i="10"/>
  <c r="A221" i="10"/>
  <c r="Z221" i="10" s="1"/>
  <c r="U193" i="10"/>
  <c r="P193" i="10"/>
  <c r="X193" i="10"/>
  <c r="Q193" i="10"/>
  <c r="Y193" i="10"/>
  <c r="R193" i="10"/>
  <c r="T193" i="10"/>
  <c r="N193" i="10"/>
  <c r="O193" i="10"/>
  <c r="S193" i="10"/>
  <c r="V193" i="10"/>
  <c r="W193" i="10"/>
  <c r="O178" i="10"/>
  <c r="W178" i="10"/>
  <c r="R178" i="10"/>
  <c r="X178" i="10"/>
  <c r="P178" i="10"/>
  <c r="Q178" i="10"/>
  <c r="S178" i="10"/>
  <c r="T178" i="10"/>
  <c r="V178" i="10"/>
  <c r="N178" i="10"/>
  <c r="U178" i="10"/>
  <c r="Y178" i="10"/>
  <c r="X162" i="10"/>
  <c r="S162" i="10"/>
  <c r="V162" i="10"/>
  <c r="O148" i="10"/>
  <c r="W148" i="10"/>
  <c r="P148" i="10"/>
  <c r="X148" i="10"/>
  <c r="Q148" i="10"/>
  <c r="Y148" i="10"/>
  <c r="R148" i="10"/>
  <c r="S148" i="10"/>
  <c r="T148" i="10"/>
  <c r="U148" i="10"/>
  <c r="N148" i="10"/>
  <c r="V148" i="10"/>
  <c r="N135" i="10"/>
  <c r="P135" i="10"/>
  <c r="R135" i="10"/>
  <c r="Q116" i="10"/>
  <c r="Y116" i="10"/>
  <c r="R116" i="10"/>
  <c r="S116" i="10"/>
  <c r="T116" i="10"/>
  <c r="N116" i="10"/>
  <c r="V116" i="10"/>
  <c r="O116" i="10"/>
  <c r="W116" i="10"/>
  <c r="P116" i="10"/>
  <c r="U116" i="10"/>
  <c r="X116" i="10"/>
  <c r="Q98" i="10"/>
  <c r="Y98" i="10"/>
  <c r="R98" i="10"/>
  <c r="S98" i="10"/>
  <c r="T98" i="10"/>
  <c r="N98" i="10"/>
  <c r="V98" i="10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R81" i="10"/>
  <c r="W81" i="10"/>
  <c r="O44" i="10"/>
  <c r="W44" i="10"/>
  <c r="P44" i="10"/>
  <c r="X44" i="10"/>
  <c r="R44" i="10"/>
  <c r="S44" i="10"/>
  <c r="N44" i="10"/>
  <c r="T44" i="10"/>
  <c r="U44" i="10"/>
  <c r="V44" i="10"/>
  <c r="Y44" i="10"/>
  <c r="Q44" i="10"/>
  <c r="A28" i="10"/>
  <c r="Z28" i="10" s="1"/>
  <c r="O14" i="10"/>
  <c r="W14" i="10"/>
  <c r="P14" i="10"/>
  <c r="X14" i="10"/>
  <c r="R14" i="10"/>
  <c r="S14" i="10"/>
  <c r="V14" i="10"/>
  <c r="Y14" i="10"/>
  <c r="N14" i="10"/>
  <c r="Q14" i="10"/>
  <c r="T14" i="10"/>
  <c r="U14" i="10"/>
  <c r="S19" i="10"/>
  <c r="T19" i="10"/>
  <c r="N19" i="10"/>
  <c r="V19" i="10"/>
  <c r="O19" i="10"/>
  <c r="W19" i="10"/>
  <c r="R19" i="10"/>
  <c r="X19" i="10"/>
  <c r="Y19" i="10"/>
  <c r="Q19" i="10"/>
  <c r="U19" i="10"/>
  <c r="P19" i="10"/>
  <c r="O132" i="10"/>
  <c r="W132" i="10"/>
  <c r="P132" i="10"/>
  <c r="X132" i="10"/>
  <c r="Q132" i="10"/>
  <c r="Y132" i="10"/>
  <c r="R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R355" i="10"/>
  <c r="S363" i="10"/>
  <c r="T363" i="10"/>
  <c r="U363" i="10"/>
  <c r="N363" i="10"/>
  <c r="V363" i="10"/>
  <c r="O363" i="10"/>
  <c r="W363" i="10"/>
  <c r="P363" i="10"/>
  <c r="X363" i="10"/>
  <c r="Q363" i="10"/>
  <c r="Y363" i="10"/>
  <c r="R363" i="10"/>
  <c r="S371" i="10"/>
  <c r="T371" i="10"/>
  <c r="U371" i="10"/>
  <c r="N371" i="10"/>
  <c r="V371" i="10"/>
  <c r="O371" i="10"/>
  <c r="W371" i="10"/>
  <c r="P371" i="10"/>
  <c r="X371" i="10"/>
  <c r="Q371" i="10"/>
  <c r="Y371" i="10"/>
  <c r="R371" i="10"/>
  <c r="S379" i="10"/>
  <c r="T379" i="10"/>
  <c r="U379" i="10"/>
  <c r="N379" i="10"/>
  <c r="V379" i="10"/>
  <c r="O379" i="10"/>
  <c r="W379" i="10"/>
  <c r="P379" i="10"/>
  <c r="X379" i="10"/>
  <c r="Q379" i="10"/>
  <c r="Y379" i="10"/>
  <c r="R379" i="10"/>
  <c r="S387" i="10"/>
  <c r="T387" i="10"/>
  <c r="U387" i="10"/>
  <c r="N387" i="10"/>
  <c r="V387" i="10"/>
  <c r="O387" i="10"/>
  <c r="W387" i="10"/>
  <c r="P387" i="10"/>
  <c r="X387" i="10"/>
  <c r="Q387" i="10"/>
  <c r="Y387" i="10"/>
  <c r="R387" i="10"/>
  <c r="S395" i="10"/>
  <c r="T395" i="10"/>
  <c r="U395" i="10"/>
  <c r="N395" i="10"/>
  <c r="V395" i="10"/>
  <c r="O395" i="10"/>
  <c r="W395" i="10"/>
  <c r="P395" i="10"/>
  <c r="X395" i="10"/>
  <c r="Q395" i="10"/>
  <c r="Y395" i="10"/>
  <c r="R395" i="10"/>
  <c r="S403" i="10"/>
  <c r="T403" i="10"/>
  <c r="U403" i="10"/>
  <c r="N403" i="10"/>
  <c r="V403" i="10"/>
  <c r="O403" i="10"/>
  <c r="W403" i="10"/>
  <c r="P403" i="10"/>
  <c r="X403" i="10"/>
  <c r="Q403" i="10"/>
  <c r="Y403" i="10"/>
  <c r="R403" i="10"/>
  <c r="S411" i="10"/>
  <c r="T411" i="10"/>
  <c r="U411" i="10"/>
  <c r="N411" i="10"/>
  <c r="V411" i="10"/>
  <c r="O411" i="10"/>
  <c r="W411" i="10"/>
  <c r="P411" i="10"/>
  <c r="X411" i="10"/>
  <c r="Q411" i="10"/>
  <c r="Y411" i="10"/>
  <c r="R411" i="10"/>
  <c r="S419" i="10"/>
  <c r="T419" i="10"/>
  <c r="U419" i="10"/>
  <c r="N419" i="10"/>
  <c r="V419" i="10"/>
  <c r="O419" i="10"/>
  <c r="W419" i="10"/>
  <c r="P419" i="10"/>
  <c r="X419" i="10"/>
  <c r="Q419" i="10"/>
  <c r="Y419" i="10"/>
  <c r="R419" i="10"/>
  <c r="S427" i="10"/>
  <c r="T427" i="10"/>
  <c r="U427" i="10"/>
  <c r="N427" i="10"/>
  <c r="V427" i="10"/>
  <c r="O427" i="10"/>
  <c r="W427" i="10"/>
  <c r="P427" i="10"/>
  <c r="X427" i="10"/>
  <c r="Q427" i="10"/>
  <c r="Y427" i="10"/>
  <c r="R427" i="10"/>
  <c r="T435" i="10"/>
  <c r="N435" i="10"/>
  <c r="V435" i="10"/>
  <c r="P435" i="10"/>
  <c r="X435" i="10"/>
  <c r="Q435" i="10"/>
  <c r="Y435" i="10"/>
  <c r="O435" i="10"/>
  <c r="R435" i="10"/>
  <c r="S435" i="10"/>
  <c r="U435" i="10"/>
  <c r="W435" i="10"/>
  <c r="U443" i="10"/>
  <c r="N443" i="10"/>
  <c r="V443" i="10"/>
  <c r="O443" i="10"/>
  <c r="W443" i="10"/>
  <c r="P443" i="10"/>
  <c r="X443" i="10"/>
  <c r="Q443" i="10"/>
  <c r="Y443" i="10"/>
  <c r="R443" i="10"/>
  <c r="S443" i="10"/>
  <c r="T443" i="10"/>
  <c r="U451" i="10"/>
  <c r="N451" i="10"/>
  <c r="V451" i="10"/>
  <c r="O451" i="10"/>
  <c r="W451" i="10"/>
  <c r="P451" i="10"/>
  <c r="X451" i="10"/>
  <c r="Q451" i="10"/>
  <c r="Y451" i="10"/>
  <c r="R451" i="10"/>
  <c r="S451" i="10"/>
  <c r="T451" i="10"/>
  <c r="Q470" i="10"/>
  <c r="Y470" i="10"/>
  <c r="R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R620" i="10"/>
  <c r="S620" i="10"/>
  <c r="T620" i="10"/>
  <c r="U620" i="10"/>
  <c r="V620" i="10"/>
  <c r="N620" i="10"/>
  <c r="N733" i="10"/>
  <c r="V733" i="10"/>
  <c r="O733" i="10"/>
  <c r="W733" i="10"/>
  <c r="S733" i="10"/>
  <c r="X733" i="10"/>
  <c r="Y733" i="10"/>
  <c r="P733" i="10"/>
  <c r="Q733" i="10"/>
  <c r="R733" i="10"/>
  <c r="T733" i="10"/>
  <c r="Q741" i="10"/>
  <c r="Y741" i="10"/>
  <c r="R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R828" i="10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R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R705" i="10"/>
  <c r="S705" i="10"/>
  <c r="T705" i="10"/>
  <c r="U705" i="10"/>
  <c r="O636" i="10"/>
  <c r="W636" i="10"/>
  <c r="P636" i="10"/>
  <c r="X636" i="10"/>
  <c r="R636" i="10"/>
  <c r="T636" i="10"/>
  <c r="N636" i="10"/>
  <c r="Q636" i="10"/>
  <c r="S636" i="10"/>
  <c r="U636" i="10"/>
  <c r="V636" i="10"/>
  <c r="Y636" i="10"/>
  <c r="O564" i="10"/>
  <c r="W564" i="10"/>
  <c r="P564" i="10"/>
  <c r="X564" i="10"/>
  <c r="Q564" i="10"/>
  <c r="Y564" i="10"/>
  <c r="R564" i="10"/>
  <c r="S564" i="10"/>
  <c r="T564" i="10"/>
  <c r="U564" i="10"/>
  <c r="N564" i="10"/>
  <c r="U493" i="10"/>
  <c r="N493" i="10"/>
  <c r="V493" i="10"/>
  <c r="O493" i="10"/>
  <c r="W493" i="10"/>
  <c r="P493" i="10"/>
  <c r="X493" i="10"/>
  <c r="Q493" i="10"/>
  <c r="Y493" i="10"/>
  <c r="R493" i="10"/>
  <c r="S493" i="10"/>
  <c r="T493" i="10"/>
  <c r="S407" i="10"/>
  <c r="T407" i="10"/>
  <c r="U407" i="10"/>
  <c r="N407" i="10"/>
  <c r="V407" i="10"/>
  <c r="O407" i="10"/>
  <c r="W407" i="10"/>
  <c r="P407" i="10"/>
  <c r="X407" i="10"/>
  <c r="Q407" i="10"/>
  <c r="Y407" i="10"/>
  <c r="R407" i="10"/>
  <c r="R338" i="10"/>
  <c r="S338" i="10"/>
  <c r="V338" i="10"/>
  <c r="W338" i="10"/>
  <c r="N338" i="10"/>
  <c r="X338" i="10"/>
  <c r="O338" i="10"/>
  <c r="Y338" i="10"/>
  <c r="P338" i="10"/>
  <c r="Q338" i="10"/>
  <c r="T338" i="10"/>
  <c r="U338" i="10"/>
  <c r="U215" i="10"/>
  <c r="P215" i="10"/>
  <c r="X215" i="10"/>
  <c r="Q215" i="10"/>
  <c r="Y215" i="10"/>
  <c r="R215" i="10"/>
  <c r="T215" i="10"/>
  <c r="V215" i="10"/>
  <c r="W215" i="10"/>
  <c r="N215" i="10"/>
  <c r="O215" i="10"/>
  <c r="S215" i="10"/>
  <c r="U185" i="10"/>
  <c r="O185" i="10"/>
  <c r="P185" i="10"/>
  <c r="X185" i="10"/>
  <c r="Q185" i="10"/>
  <c r="Y185" i="10"/>
  <c r="R185" i="10"/>
  <c r="T185" i="10"/>
  <c r="S185" i="10"/>
  <c r="V185" i="10"/>
  <c r="W185" i="10"/>
  <c r="N185" i="10"/>
  <c r="O140" i="10"/>
  <c r="W140" i="10"/>
  <c r="P140" i="10"/>
  <c r="X140" i="10"/>
  <c r="Q140" i="10"/>
  <c r="Y140" i="10"/>
  <c r="R140" i="10"/>
  <c r="S140" i="10"/>
  <c r="T140" i="10"/>
  <c r="U140" i="10"/>
  <c r="N140" i="10"/>
  <c r="V140" i="10"/>
  <c r="O54" i="10"/>
  <c r="W54" i="10"/>
  <c r="P54" i="10"/>
  <c r="X54" i="10"/>
  <c r="R54" i="10"/>
  <c r="S54" i="10"/>
  <c r="V54" i="10"/>
  <c r="Q54" i="10"/>
  <c r="N54" i="10"/>
  <c r="T54" i="10"/>
  <c r="U54" i="10"/>
  <c r="Y54" i="10"/>
  <c r="S61" i="10"/>
  <c r="T61" i="10"/>
  <c r="N61" i="10"/>
  <c r="V61" i="10"/>
  <c r="O61" i="10"/>
  <c r="W61" i="10"/>
  <c r="R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R155" i="10"/>
  <c r="S179" i="10"/>
  <c r="U179" i="10"/>
  <c r="N179" i="10"/>
  <c r="W179" i="10"/>
  <c r="O179" i="10"/>
  <c r="X179" i="10"/>
  <c r="P179" i="10"/>
  <c r="Y179" i="10"/>
  <c r="Q179" i="10"/>
  <c r="T179" i="10"/>
  <c r="R179" i="10"/>
  <c r="V179" i="10"/>
  <c r="U219" i="10"/>
  <c r="P219" i="10"/>
  <c r="X219" i="10"/>
  <c r="Q219" i="10"/>
  <c r="Y219" i="10"/>
  <c r="R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R291" i="10"/>
  <c r="S291" i="10"/>
  <c r="T291" i="10"/>
  <c r="U291" i="10"/>
  <c r="R318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O541" i="10"/>
  <c r="W541" i="10"/>
  <c r="P541" i="10"/>
  <c r="X541" i="10"/>
  <c r="Q541" i="10"/>
  <c r="Y541" i="10"/>
  <c r="R541" i="10"/>
  <c r="S573" i="10"/>
  <c r="T573" i="10"/>
  <c r="U573" i="10"/>
  <c r="N573" i="10"/>
  <c r="V573" i="10"/>
  <c r="O573" i="10"/>
  <c r="W573" i="10"/>
  <c r="P573" i="10"/>
  <c r="X573" i="10"/>
  <c r="Q573" i="10"/>
  <c r="Y573" i="10"/>
  <c r="R573" i="10"/>
  <c r="S589" i="10"/>
  <c r="T589" i="10"/>
  <c r="U589" i="10"/>
  <c r="N589" i="10"/>
  <c r="V589" i="10"/>
  <c r="O589" i="10"/>
  <c r="W589" i="10"/>
  <c r="P589" i="10"/>
  <c r="X589" i="10"/>
  <c r="Q589" i="10"/>
  <c r="Y589" i="10"/>
  <c r="R589" i="10"/>
  <c r="N651" i="10"/>
  <c r="V651" i="10"/>
  <c r="O651" i="10"/>
  <c r="W651" i="10"/>
  <c r="P651" i="10"/>
  <c r="X651" i="10"/>
  <c r="Q651" i="10"/>
  <c r="Y651" i="10"/>
  <c r="R651" i="10"/>
  <c r="S651" i="10"/>
  <c r="T651" i="10"/>
  <c r="U651" i="10"/>
  <c r="N691" i="10"/>
  <c r="V691" i="10"/>
  <c r="O691" i="10"/>
  <c r="W691" i="10"/>
  <c r="P691" i="10"/>
  <c r="X691" i="10"/>
  <c r="Q691" i="10"/>
  <c r="Y691" i="10"/>
  <c r="R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R809" i="10"/>
  <c r="S809" i="10"/>
  <c r="T809" i="10"/>
  <c r="U809" i="10"/>
  <c r="O809" i="10"/>
  <c r="W809" i="10"/>
  <c r="U784" i="10"/>
  <c r="N784" i="10"/>
  <c r="V784" i="10"/>
  <c r="O784" i="10"/>
  <c r="W784" i="10"/>
  <c r="P784" i="10"/>
  <c r="X784" i="10"/>
  <c r="Q784" i="10"/>
  <c r="Y784" i="10"/>
  <c r="R784" i="10"/>
  <c r="S784" i="10"/>
  <c r="Q773" i="10"/>
  <c r="Y773" i="10"/>
  <c r="R773" i="10"/>
  <c r="S773" i="10"/>
  <c r="T773" i="10"/>
  <c r="U773" i="10"/>
  <c r="N773" i="10"/>
  <c r="V773" i="10"/>
  <c r="O773" i="10"/>
  <c r="W773" i="10"/>
  <c r="Q761" i="10"/>
  <c r="Y761" i="10"/>
  <c r="R761" i="10"/>
  <c r="S761" i="10"/>
  <c r="T761" i="10"/>
  <c r="U761" i="10"/>
  <c r="N761" i="10"/>
  <c r="V761" i="10"/>
  <c r="O761" i="10"/>
  <c r="W761" i="10"/>
  <c r="Q749" i="10"/>
  <c r="Y749" i="10"/>
  <c r="R749" i="10"/>
  <c r="S749" i="10"/>
  <c r="T749" i="10"/>
  <c r="U749" i="10"/>
  <c r="N749" i="10"/>
  <c r="V749" i="10"/>
  <c r="O749" i="10"/>
  <c r="W749" i="10"/>
  <c r="R724" i="10"/>
  <c r="S724" i="10"/>
  <c r="T724" i="10"/>
  <c r="U724" i="10"/>
  <c r="N724" i="10"/>
  <c r="V724" i="10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R695" i="10"/>
  <c r="S695" i="10"/>
  <c r="T695" i="10"/>
  <c r="U695" i="10"/>
  <c r="N681" i="10"/>
  <c r="V681" i="10"/>
  <c r="O681" i="10"/>
  <c r="W681" i="10"/>
  <c r="P681" i="10"/>
  <c r="X681" i="10"/>
  <c r="Q681" i="10"/>
  <c r="Y681" i="10"/>
  <c r="R681" i="10"/>
  <c r="S681" i="10"/>
  <c r="T681" i="10"/>
  <c r="R666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O655" i="10"/>
  <c r="W655" i="10"/>
  <c r="P655" i="10"/>
  <c r="X655" i="10"/>
  <c r="Q655" i="10"/>
  <c r="Y655" i="10"/>
  <c r="R655" i="10"/>
  <c r="S655" i="10"/>
  <c r="T655" i="10"/>
  <c r="U655" i="10"/>
  <c r="R642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O609" i="10"/>
  <c r="W609" i="10"/>
  <c r="P609" i="10"/>
  <c r="X609" i="10"/>
  <c r="Q609" i="10"/>
  <c r="Y609" i="10"/>
  <c r="R609" i="10"/>
  <c r="O596" i="10"/>
  <c r="W596" i="10"/>
  <c r="P596" i="10"/>
  <c r="X596" i="10"/>
  <c r="Q596" i="10"/>
  <c r="Y596" i="10"/>
  <c r="R596" i="10"/>
  <c r="S596" i="10"/>
  <c r="T596" i="10"/>
  <c r="U596" i="10"/>
  <c r="N596" i="10"/>
  <c r="V596" i="10"/>
  <c r="O584" i="10"/>
  <c r="W584" i="10"/>
  <c r="P584" i="10"/>
  <c r="X584" i="10"/>
  <c r="Q584" i="10"/>
  <c r="Y584" i="10"/>
  <c r="R584" i="10"/>
  <c r="S584" i="10"/>
  <c r="T584" i="10"/>
  <c r="U584" i="10"/>
  <c r="N584" i="10"/>
  <c r="V584" i="10"/>
  <c r="O570" i="10"/>
  <c r="W570" i="10"/>
  <c r="P570" i="10"/>
  <c r="X570" i="10"/>
  <c r="Q570" i="10"/>
  <c r="Y570" i="10"/>
  <c r="R570" i="10"/>
  <c r="S570" i="10"/>
  <c r="T570" i="10"/>
  <c r="U570" i="10"/>
  <c r="V570" i="10"/>
  <c r="N570" i="10"/>
  <c r="O556" i="10"/>
  <c r="W556" i="10"/>
  <c r="P556" i="10"/>
  <c r="X556" i="10"/>
  <c r="Q556" i="10"/>
  <c r="Y556" i="10"/>
  <c r="R556" i="10"/>
  <c r="S556" i="10"/>
  <c r="T556" i="10"/>
  <c r="U556" i="10"/>
  <c r="N556" i="10"/>
  <c r="V556" i="10"/>
  <c r="O542" i="10"/>
  <c r="W542" i="10"/>
  <c r="P542" i="10"/>
  <c r="X542" i="10"/>
  <c r="Q542" i="10"/>
  <c r="Y542" i="10"/>
  <c r="R542" i="10"/>
  <c r="S542" i="10"/>
  <c r="T542" i="10"/>
  <c r="U542" i="10"/>
  <c r="N542" i="10"/>
  <c r="V542" i="10"/>
  <c r="U529" i="10"/>
  <c r="N529" i="10"/>
  <c r="V529" i="10"/>
  <c r="O529" i="10"/>
  <c r="W529" i="10"/>
  <c r="P529" i="10"/>
  <c r="X529" i="10"/>
  <c r="R529" i="10"/>
  <c r="S529" i="10"/>
  <c r="Q529" i="10"/>
  <c r="T529" i="10"/>
  <c r="Y529" i="10"/>
  <c r="Q516" i="10"/>
  <c r="Y516" i="10"/>
  <c r="R516" i="10"/>
  <c r="S516" i="10"/>
  <c r="T516" i="10"/>
  <c r="U516" i="10"/>
  <c r="N516" i="10"/>
  <c r="V516" i="10"/>
  <c r="O516" i="10"/>
  <c r="W516" i="10"/>
  <c r="X516" i="10"/>
  <c r="P516" i="10"/>
  <c r="Q498" i="10"/>
  <c r="Y498" i="10"/>
  <c r="R498" i="10"/>
  <c r="S498" i="10"/>
  <c r="T498" i="10"/>
  <c r="U498" i="10"/>
  <c r="N498" i="10"/>
  <c r="V498" i="10"/>
  <c r="O498" i="10"/>
  <c r="W498" i="10"/>
  <c r="P498" i="10"/>
  <c r="X498" i="10"/>
  <c r="Q482" i="10"/>
  <c r="Y482" i="10"/>
  <c r="R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R455" i="10"/>
  <c r="S455" i="10"/>
  <c r="T455" i="10"/>
  <c r="O412" i="10"/>
  <c r="W412" i="10"/>
  <c r="P412" i="10"/>
  <c r="X412" i="10"/>
  <c r="Q412" i="10"/>
  <c r="Y412" i="10"/>
  <c r="R412" i="10"/>
  <c r="S412" i="10"/>
  <c r="T412" i="10"/>
  <c r="U412" i="10"/>
  <c r="N412" i="10"/>
  <c r="V412" i="10"/>
  <c r="O400" i="10"/>
  <c r="W400" i="10"/>
  <c r="P400" i="10"/>
  <c r="X400" i="10"/>
  <c r="Q400" i="10"/>
  <c r="Y400" i="10"/>
  <c r="R400" i="10"/>
  <c r="S400" i="10"/>
  <c r="T400" i="10"/>
  <c r="U400" i="10"/>
  <c r="N400" i="10"/>
  <c r="V400" i="10"/>
  <c r="O372" i="10"/>
  <c r="W372" i="10"/>
  <c r="P372" i="10"/>
  <c r="X372" i="10"/>
  <c r="Q372" i="10"/>
  <c r="Y372" i="10"/>
  <c r="R372" i="10"/>
  <c r="S372" i="10"/>
  <c r="T372" i="10"/>
  <c r="U372" i="10"/>
  <c r="N372" i="10"/>
  <c r="V372" i="10"/>
  <c r="N289" i="10"/>
  <c r="V289" i="10"/>
  <c r="O289" i="10"/>
  <c r="W289" i="10"/>
  <c r="P289" i="10"/>
  <c r="X289" i="10"/>
  <c r="Q289" i="10"/>
  <c r="Y289" i="10"/>
  <c r="R289" i="10"/>
  <c r="S289" i="10"/>
  <c r="T289" i="10"/>
  <c r="U289" i="10"/>
  <c r="P274" i="10"/>
  <c r="X274" i="10"/>
  <c r="Q274" i="10"/>
  <c r="Y274" i="10"/>
  <c r="S274" i="10"/>
  <c r="T274" i="10"/>
  <c r="U274" i="10"/>
  <c r="V274" i="10"/>
  <c r="W274" i="10"/>
  <c r="N274" i="10"/>
  <c r="O274" i="10"/>
  <c r="R274" i="10"/>
  <c r="Q220" i="10"/>
  <c r="Y220" i="10"/>
  <c r="T220" i="10"/>
  <c r="N220" i="10"/>
  <c r="V220" i="10"/>
  <c r="P220" i="10"/>
  <c r="X220" i="10"/>
  <c r="W220" i="10"/>
  <c r="O220" i="10"/>
  <c r="R220" i="10"/>
  <c r="S220" i="10"/>
  <c r="U220" i="10"/>
  <c r="Q202" i="10"/>
  <c r="Y202" i="10"/>
  <c r="T202" i="10"/>
  <c r="U202" i="10"/>
  <c r="N202" i="10"/>
  <c r="V202" i="10"/>
  <c r="P202" i="10"/>
  <c r="X202" i="10"/>
  <c r="O202" i="10"/>
  <c r="R202" i="10"/>
  <c r="S202" i="10"/>
  <c r="W202" i="10"/>
  <c r="S177" i="10"/>
  <c r="N177" i="10"/>
  <c r="V177" i="10"/>
  <c r="O177" i="10"/>
  <c r="Y177" i="10"/>
  <c r="Q177" i="10"/>
  <c r="R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R161" i="10"/>
  <c r="O146" i="10"/>
  <c r="W146" i="10"/>
  <c r="P146" i="10"/>
  <c r="X146" i="10"/>
  <c r="Q146" i="10"/>
  <c r="Y146" i="10"/>
  <c r="R146" i="10"/>
  <c r="S146" i="10"/>
  <c r="T146" i="10"/>
  <c r="U146" i="10"/>
  <c r="N146" i="10"/>
  <c r="V146" i="10"/>
  <c r="O58" i="10"/>
  <c r="W58" i="10"/>
  <c r="P58" i="10"/>
  <c r="X58" i="10"/>
  <c r="R58" i="10"/>
  <c r="S58" i="10"/>
  <c r="V58" i="10"/>
  <c r="Q58" i="10"/>
  <c r="N58" i="10"/>
  <c r="T58" i="10"/>
  <c r="U58" i="10"/>
  <c r="Y58" i="10"/>
  <c r="O60" i="10"/>
  <c r="W60" i="10"/>
  <c r="P60" i="10"/>
  <c r="X60" i="10"/>
  <c r="R60" i="10"/>
  <c r="S60" i="10"/>
  <c r="N60" i="10"/>
  <c r="T60" i="10"/>
  <c r="U60" i="10"/>
  <c r="Y60" i="10"/>
  <c r="V60" i="10"/>
  <c r="Q60" i="10"/>
  <c r="R76" i="10"/>
  <c r="T76" i="10"/>
  <c r="U76" i="10"/>
  <c r="O76" i="10"/>
  <c r="W76" i="10"/>
  <c r="V76" i="10"/>
  <c r="X76" i="10"/>
  <c r="Y76" i="10"/>
  <c r="P76" i="10"/>
  <c r="Q76" i="10"/>
  <c r="N76" i="10"/>
  <c r="S76" i="10"/>
  <c r="Q100" i="10"/>
  <c r="Y100" i="10"/>
  <c r="R100" i="10"/>
  <c r="S100" i="10"/>
  <c r="T100" i="10"/>
  <c r="N100" i="10"/>
  <c r="V100" i="10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R317" i="10"/>
  <c r="S317" i="10"/>
  <c r="T317" i="10"/>
  <c r="U317" i="10"/>
  <c r="N333" i="10"/>
  <c r="V333" i="10"/>
  <c r="O333" i="10"/>
  <c r="W333" i="10"/>
  <c r="R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R341" i="10"/>
  <c r="O352" i="10"/>
  <c r="W352" i="10"/>
  <c r="P352" i="10"/>
  <c r="X352" i="10"/>
  <c r="Q352" i="10"/>
  <c r="Y352" i="10"/>
  <c r="R352" i="10"/>
  <c r="S352" i="10"/>
  <c r="T352" i="10"/>
  <c r="U352" i="10"/>
  <c r="N352" i="10"/>
  <c r="V352" i="10"/>
  <c r="O366" i="10"/>
  <c r="W366" i="10"/>
  <c r="P366" i="10"/>
  <c r="X366" i="10"/>
  <c r="Q366" i="10"/>
  <c r="Y366" i="10"/>
  <c r="R366" i="10"/>
  <c r="S366" i="10"/>
  <c r="T366" i="10"/>
  <c r="U366" i="10"/>
  <c r="V366" i="10"/>
  <c r="N366" i="10"/>
  <c r="O374" i="10"/>
  <c r="W374" i="10"/>
  <c r="P374" i="10"/>
  <c r="X374" i="10"/>
  <c r="Q374" i="10"/>
  <c r="Y374" i="10"/>
  <c r="R374" i="10"/>
  <c r="S374" i="10"/>
  <c r="T374" i="10"/>
  <c r="U374" i="10"/>
  <c r="N374" i="10"/>
  <c r="V374" i="10"/>
  <c r="O398" i="10"/>
  <c r="W398" i="10"/>
  <c r="P398" i="10"/>
  <c r="X398" i="10"/>
  <c r="Q398" i="10"/>
  <c r="Y398" i="10"/>
  <c r="R398" i="10"/>
  <c r="S398" i="10"/>
  <c r="T398" i="10"/>
  <c r="U398" i="10"/>
  <c r="V398" i="10"/>
  <c r="N398" i="10"/>
  <c r="O406" i="10"/>
  <c r="W406" i="10"/>
  <c r="P406" i="10"/>
  <c r="X406" i="10"/>
  <c r="Q406" i="10"/>
  <c r="Y406" i="10"/>
  <c r="R406" i="10"/>
  <c r="S406" i="10"/>
  <c r="T406" i="10"/>
  <c r="U406" i="10"/>
  <c r="N406" i="10"/>
  <c r="V406" i="10"/>
  <c r="O414" i="10"/>
  <c r="W414" i="10"/>
  <c r="P414" i="10"/>
  <c r="X414" i="10"/>
  <c r="Q414" i="10"/>
  <c r="Y414" i="10"/>
  <c r="R414" i="10"/>
  <c r="S414" i="10"/>
  <c r="T414" i="10"/>
  <c r="U414" i="10"/>
  <c r="V414" i="10"/>
  <c r="N414" i="10"/>
  <c r="P438" i="10"/>
  <c r="Q438" i="10"/>
  <c r="Y438" i="10"/>
  <c r="R438" i="10"/>
  <c r="S438" i="10"/>
  <c r="T438" i="10"/>
  <c r="U438" i="10"/>
  <c r="V438" i="10"/>
  <c r="N438" i="10"/>
  <c r="W438" i="10"/>
  <c r="O438" i="10"/>
  <c r="X438" i="10"/>
  <c r="Q492" i="10"/>
  <c r="Y492" i="10"/>
  <c r="R492" i="10"/>
  <c r="S492" i="10"/>
  <c r="T492" i="10"/>
  <c r="U492" i="10"/>
  <c r="N492" i="10"/>
  <c r="V492" i="10"/>
  <c r="O492" i="10"/>
  <c r="W492" i="10"/>
  <c r="P492" i="10"/>
  <c r="X492" i="10"/>
  <c r="Q500" i="10"/>
  <c r="Y500" i="10"/>
  <c r="R500" i="10"/>
  <c r="S500" i="10"/>
  <c r="T500" i="10"/>
  <c r="U500" i="10"/>
  <c r="N500" i="10"/>
  <c r="V500" i="10"/>
  <c r="O500" i="10"/>
  <c r="W500" i="10"/>
  <c r="X500" i="10"/>
  <c r="P500" i="10"/>
  <c r="Q532" i="10"/>
  <c r="Y532" i="10"/>
  <c r="R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R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R717" i="10"/>
  <c r="S717" i="10"/>
  <c r="T717" i="10"/>
  <c r="U717" i="10"/>
  <c r="R728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R747" i="10"/>
  <c r="S747" i="10"/>
  <c r="T747" i="10"/>
  <c r="U747" i="10"/>
  <c r="N747" i="10"/>
  <c r="V747" i="10"/>
  <c r="O747" i="10"/>
  <c r="W747" i="10"/>
  <c r="Q755" i="10"/>
  <c r="Y755" i="10"/>
  <c r="R755" i="10"/>
  <c r="S755" i="10"/>
  <c r="T755" i="10"/>
  <c r="U755" i="10"/>
  <c r="N755" i="10"/>
  <c r="V755" i="10"/>
  <c r="O755" i="10"/>
  <c r="W755" i="10"/>
  <c r="Q779" i="10"/>
  <c r="Y779" i="10"/>
  <c r="R779" i="10"/>
  <c r="S779" i="10"/>
  <c r="T779" i="10"/>
  <c r="U779" i="10"/>
  <c r="N779" i="10"/>
  <c r="V779" i="10"/>
  <c r="O779" i="10"/>
  <c r="W779" i="10"/>
  <c r="Q787" i="10"/>
  <c r="Y787" i="10"/>
  <c r="R787" i="10"/>
  <c r="S787" i="10"/>
  <c r="T787" i="10"/>
  <c r="U787" i="10"/>
  <c r="N787" i="10"/>
  <c r="V787" i="10"/>
  <c r="O787" i="10"/>
  <c r="W787" i="10"/>
  <c r="P833" i="10"/>
  <c r="O832" i="10"/>
  <c r="Y830" i="10"/>
  <c r="U829" i="10"/>
  <c r="Q828" i="10"/>
  <c r="N825" i="10"/>
  <c r="R822" i="10"/>
  <c r="R814" i="10"/>
  <c r="V811" i="10"/>
  <c r="N809" i="10"/>
  <c r="R806" i="10"/>
  <c r="X797" i="10"/>
  <c r="T792" i="10"/>
  <c r="P787" i="10"/>
  <c r="X781" i="10"/>
  <c r="X765" i="10"/>
  <c r="T760" i="10"/>
  <c r="P755" i="10"/>
  <c r="X749" i="10"/>
  <c r="P741" i="10"/>
  <c r="S735" i="10"/>
  <c r="Q692" i="10"/>
  <c r="U649" i="10"/>
  <c r="R607" i="10"/>
  <c r="N833" i="10"/>
  <c r="N832" i="10"/>
  <c r="V830" i="10"/>
  <c r="R829" i="10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774" i="10"/>
  <c r="Z774" i="10" s="1"/>
  <c r="A646" i="10"/>
  <c r="Z646" i="10" s="1"/>
  <c r="A614" i="10"/>
  <c r="Z614" i="10" s="1"/>
  <c r="A534" i="10"/>
  <c r="Z534" i="10" s="1"/>
  <c r="A494" i="10"/>
  <c r="Z494" i="10" s="1"/>
  <c r="A413" i="10"/>
  <c r="Z413" i="10" s="1"/>
  <c r="A301" i="10"/>
  <c r="Z301" i="10" s="1"/>
  <c r="A270" i="10"/>
  <c r="Z270" i="10" s="1"/>
  <c r="A261" i="10"/>
  <c r="Z261" i="10" s="1"/>
  <c r="A208" i="10"/>
  <c r="Z208" i="10" s="1"/>
  <c r="A189" i="10"/>
  <c r="Z189" i="10" s="1"/>
  <c r="A157" i="10"/>
  <c r="Z157" i="10" s="1"/>
  <c r="A117" i="10"/>
  <c r="Z117" i="10" s="1"/>
  <c r="A85" i="10"/>
  <c r="Z85" i="10" s="1"/>
  <c r="A45" i="10"/>
  <c r="Z45" i="10" s="1"/>
  <c r="Q202" i="1"/>
  <c r="Q58" i="1"/>
  <c r="Q803" i="1"/>
  <c r="Q739" i="1"/>
  <c r="Q707" i="1"/>
  <c r="Q675" i="1"/>
  <c r="Q587" i="1"/>
  <c r="Q555" i="1"/>
  <c r="Q435" i="1"/>
  <c r="Q251" i="1"/>
  <c r="Q67" i="1"/>
  <c r="A725" i="10"/>
  <c r="Z725" i="10" s="1"/>
  <c r="A462" i="10"/>
  <c r="Z462" i="10" s="1"/>
  <c r="A349" i="10"/>
  <c r="Z349" i="10" s="1"/>
  <c r="A144" i="10"/>
  <c r="Z144" i="10" s="1"/>
  <c r="A53" i="10"/>
  <c r="Z53" i="10" s="1"/>
  <c r="Q170" i="1"/>
  <c r="Q98" i="1"/>
  <c r="Q523" i="1"/>
  <c r="Q467" i="1"/>
  <c r="Q371" i="1"/>
  <c r="Q283" i="1"/>
  <c r="Q187" i="1"/>
  <c r="Q131" i="1"/>
  <c r="Q99" i="1"/>
  <c r="Q59" i="1"/>
  <c r="A798" i="10"/>
  <c r="Z798" i="10" s="1"/>
  <c r="A734" i="10"/>
  <c r="Z734" i="10" s="1"/>
  <c r="A702" i="10"/>
  <c r="Z702" i="10" s="1"/>
  <c r="A661" i="10"/>
  <c r="Z661" i="10" s="1"/>
  <c r="A582" i="10"/>
  <c r="Z582" i="10" s="1"/>
  <c r="A550" i="10"/>
  <c r="Z550" i="10" s="1"/>
  <c r="A501" i="10"/>
  <c r="Z501" i="10" s="1"/>
  <c r="A430" i="10"/>
  <c r="Z430" i="10" s="1"/>
  <c r="A390" i="10"/>
  <c r="Z390" i="10" s="1"/>
  <c r="A358" i="10"/>
  <c r="Z358" i="10" s="1"/>
  <c r="A214" i="10"/>
  <c r="Z214" i="10" s="1"/>
  <c r="A72" i="10"/>
  <c r="Z72" i="10" s="1"/>
  <c r="Q698" i="1"/>
  <c r="Q586" i="1"/>
  <c r="Q282" i="1"/>
  <c r="Q827" i="1"/>
  <c r="Q763" i="1"/>
  <c r="Q635" i="1"/>
  <c r="Q403" i="1"/>
  <c r="Q219" i="1"/>
  <c r="A630" i="10"/>
  <c r="Z630" i="10" s="1"/>
  <c r="A80" i="10"/>
  <c r="Z80" i="10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835" i="10"/>
  <c r="Z835" i="10" s="1"/>
  <c r="A827" i="10"/>
  <c r="Z827" i="10" s="1"/>
  <c r="A819" i="10"/>
  <c r="Z819" i="10" s="1"/>
  <c r="A803" i="10"/>
  <c r="Z803" i="10" s="1"/>
  <c r="A795" i="10"/>
  <c r="Z795" i="10" s="1"/>
  <c r="A771" i="10"/>
  <c r="Z771" i="10" s="1"/>
  <c r="A763" i="10"/>
  <c r="Z763" i="10" s="1"/>
  <c r="A739" i="10"/>
  <c r="Z739" i="10" s="1"/>
  <c r="A731" i="10"/>
  <c r="Z731" i="10" s="1"/>
  <c r="A707" i="10"/>
  <c r="Z707" i="10" s="1"/>
  <c r="A699" i="10"/>
  <c r="Z699" i="10" s="1"/>
  <c r="A216" i="10"/>
  <c r="Z216" i="10" s="1"/>
  <c r="A152" i="10"/>
  <c r="Z152" i="10" s="1"/>
  <c r="A88" i="10"/>
  <c r="Z88" i="10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240" i="10"/>
  <c r="Z240" i="10" s="1"/>
  <c r="A48" i="10"/>
  <c r="Z48" i="10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184" i="10"/>
  <c r="Z184" i="10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V135" i="10" l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R162" i="10"/>
  <c r="X126" i="10"/>
  <c r="T126" i="10"/>
  <c r="O135" i="10"/>
  <c r="Y162" i="10"/>
  <c r="W126" i="10"/>
  <c r="R126" i="10"/>
  <c r="X39" i="10"/>
  <c r="U305" i="10"/>
  <c r="W305" i="10"/>
  <c r="U464" i="10"/>
  <c r="X756" i="10"/>
  <c r="T816" i="10"/>
  <c r="S305" i="10"/>
  <c r="N305" i="10"/>
  <c r="S464" i="10"/>
  <c r="W756" i="10"/>
  <c r="R305" i="10"/>
  <c r="R464" i="10"/>
  <c r="U756" i="10"/>
  <c r="Y305" i="10"/>
  <c r="T756" i="10"/>
  <c r="X464" i="10"/>
  <c r="Y464" i="10"/>
  <c r="Y816" i="10"/>
  <c r="Q305" i="10"/>
  <c r="P464" i="10"/>
  <c r="Q464" i="10"/>
  <c r="Q816" i="10"/>
  <c r="R618" i="10"/>
  <c r="T207" i="10"/>
  <c r="O305" i="10"/>
  <c r="V464" i="10"/>
  <c r="O756" i="10"/>
  <c r="W816" i="10"/>
  <c r="N464" i="10"/>
  <c r="S756" i="10"/>
  <c r="V756" i="10"/>
  <c r="U816" i="10"/>
  <c r="Q111" i="10"/>
  <c r="N111" i="10"/>
  <c r="N607" i="10"/>
  <c r="R756" i="10"/>
  <c r="N756" i="10"/>
  <c r="N207" i="10"/>
  <c r="V618" i="10"/>
  <c r="R39" i="10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R290" i="10"/>
  <c r="V744" i="10"/>
  <c r="T325" i="10"/>
  <c r="N744" i="10"/>
  <c r="S325" i="10"/>
  <c r="Q207" i="10"/>
  <c r="V325" i="10"/>
  <c r="U282" i="10"/>
  <c r="N325" i="10"/>
  <c r="T282" i="10"/>
  <c r="Y290" i="10"/>
  <c r="P290" i="10"/>
  <c r="N290" i="10"/>
  <c r="U249" i="10"/>
  <c r="Z744" i="10"/>
  <c r="S744" i="10"/>
  <c r="R744" i="10"/>
  <c r="T167" i="10"/>
  <c r="X744" i="10"/>
  <c r="Y249" i="10"/>
  <c r="V167" i="10"/>
  <c r="N6" i="10"/>
  <c r="T744" i="10"/>
  <c r="V548" i="10"/>
  <c r="Q382" i="10"/>
  <c r="X548" i="10"/>
  <c r="O273" i="10"/>
  <c r="T183" i="10"/>
  <c r="R7" i="10"/>
  <c r="U183" i="10"/>
  <c r="S234" i="10"/>
  <c r="V351" i="10"/>
  <c r="O36" i="10"/>
  <c r="P484" i="10"/>
  <c r="S484" i="10"/>
  <c r="X703" i="10"/>
  <c r="R36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R95" i="10"/>
  <c r="R425" i="10"/>
  <c r="N425" i="10"/>
  <c r="S540" i="10"/>
  <c r="W484" i="10"/>
  <c r="Y484" i="10"/>
  <c r="U703" i="10"/>
  <c r="W703" i="10"/>
  <c r="Y36" i="10"/>
  <c r="P36" i="10"/>
  <c r="V154" i="10"/>
  <c r="P154" i="10"/>
  <c r="T71" i="10"/>
  <c r="N71" i="10"/>
  <c r="S95" i="10"/>
  <c r="Y425" i="10"/>
  <c r="U425" i="10"/>
  <c r="R540" i="10"/>
  <c r="U36" i="10"/>
  <c r="O484" i="10"/>
  <c r="Q484" i="10"/>
  <c r="T703" i="10"/>
  <c r="O703" i="10"/>
  <c r="V36" i="10"/>
  <c r="W36" i="10"/>
  <c r="U154" i="10"/>
  <c r="W154" i="10"/>
  <c r="R71" i="10"/>
  <c r="X95" i="10"/>
  <c r="Q95" i="10"/>
  <c r="Q273" i="10"/>
  <c r="Q425" i="10"/>
  <c r="T425" i="10"/>
  <c r="Y540" i="10"/>
  <c r="N484" i="10"/>
  <c r="R703" i="10"/>
  <c r="N703" i="10"/>
  <c r="T36" i="10"/>
  <c r="S154" i="10"/>
  <c r="Y71" i="10"/>
  <c r="Y95" i="10"/>
  <c r="V95" i="10"/>
  <c r="P425" i="10"/>
  <c r="V540" i="10"/>
  <c r="X540" i="10"/>
  <c r="T484" i="10"/>
  <c r="Q703" i="10"/>
  <c r="S36" i="10"/>
  <c r="Y154" i="10"/>
  <c r="O71" i="10"/>
  <c r="X71" i="10"/>
  <c r="U95" i="10"/>
  <c r="O425" i="10"/>
  <c r="U540" i="10"/>
  <c r="W540" i="10"/>
  <c r="R183" i="10"/>
  <c r="N351" i="10"/>
  <c r="R351" i="10"/>
  <c r="O234" i="10"/>
  <c r="P234" i="10"/>
  <c r="O7" i="10"/>
  <c r="Y183" i="10"/>
  <c r="Y351" i="10"/>
  <c r="U351" i="10"/>
  <c r="R234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Y7" i="10"/>
  <c r="T7" i="10"/>
  <c r="V183" i="10"/>
  <c r="P183" i="10"/>
  <c r="P351" i="10"/>
  <c r="O816" i="10"/>
  <c r="U234" i="10"/>
  <c r="X7" i="10"/>
  <c r="S7" i="10"/>
  <c r="S183" i="10"/>
  <c r="W183" i="10"/>
  <c r="W351" i="10"/>
  <c r="V816" i="10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R249" i="10"/>
  <c r="N249" i="10"/>
  <c r="O207" i="10"/>
  <c r="U207" i="10"/>
  <c r="V290" i="10"/>
  <c r="Y382" i="10"/>
  <c r="R167" i="10"/>
  <c r="O167" i="10"/>
  <c r="Q6" i="10"/>
  <c r="Q548" i="10"/>
  <c r="O744" i="10"/>
  <c r="U325" i="10"/>
  <c r="O325" i="10"/>
  <c r="N282" i="10"/>
  <c r="R273" i="10"/>
  <c r="S273" i="10"/>
  <c r="S6" i="10"/>
  <c r="N548" i="10"/>
  <c r="P273" i="10"/>
  <c r="X249" i="10"/>
  <c r="R207" i="10"/>
  <c r="Q290" i="10"/>
  <c r="T290" i="10"/>
  <c r="V382" i="10"/>
  <c r="P382" i="10"/>
  <c r="Y167" i="10"/>
  <c r="S167" i="10"/>
  <c r="R6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T548" i="10"/>
  <c r="O548" i="10"/>
  <c r="Q744" i="10"/>
  <c r="Q325" i="10"/>
  <c r="P282" i="10"/>
  <c r="R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X207" i="10"/>
  <c r="W290" i="10"/>
  <c r="S382" i="10"/>
  <c r="P167" i="10"/>
  <c r="U6" i="10"/>
  <c r="W6" i="10"/>
  <c r="R548" i="10"/>
  <c r="P744" i="10"/>
  <c r="P325" i="10"/>
  <c r="O282" i="10"/>
  <c r="W273" i="10"/>
  <c r="X382" i="10"/>
  <c r="N167" i="10"/>
  <c r="V6" i="10"/>
  <c r="O249" i="10"/>
  <c r="S249" i="10"/>
  <c r="V249" i="10"/>
  <c r="S207" i="10"/>
  <c r="P207" i="10"/>
  <c r="O290" i="10"/>
  <c r="R382" i="10"/>
  <c r="W167" i="10"/>
  <c r="T6" i="10"/>
  <c r="O6" i="10"/>
  <c r="Y548" i="10"/>
  <c r="R325" i="10"/>
  <c r="W325" i="10"/>
  <c r="V282" i="10"/>
  <c r="V273" i="10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Y328" i="10"/>
  <c r="R551" i="10"/>
  <c r="N551" i="10"/>
  <c r="O328" i="10"/>
  <c r="Y551" i="10"/>
  <c r="U551" i="10"/>
  <c r="W328" i="10"/>
  <c r="X328" i="10"/>
  <c r="Q551" i="10"/>
  <c r="T551" i="10"/>
  <c r="V328" i="10"/>
  <c r="N328" i="10"/>
  <c r="X551" i="10"/>
  <c r="S551" i="10"/>
  <c r="U328" i="10"/>
  <c r="S328" i="10"/>
  <c r="P551" i="10"/>
  <c r="T328" i="10"/>
  <c r="R328" i="10"/>
  <c r="Q804" i="10"/>
  <c r="O583" i="10"/>
  <c r="V583" i="10"/>
  <c r="P804" i="10"/>
  <c r="R583" i="10"/>
  <c r="N583" i="10"/>
  <c r="T804" i="10"/>
  <c r="Y583" i="10"/>
  <c r="U583" i="10"/>
  <c r="X804" i="10"/>
  <c r="O804" i="10"/>
  <c r="Q583" i="10"/>
  <c r="T583" i="10"/>
  <c r="V804" i="10"/>
  <c r="X583" i="10"/>
  <c r="S583" i="10"/>
  <c r="Z804" i="10"/>
  <c r="W804" i="10"/>
  <c r="S804" i="10"/>
  <c r="N804" i="10"/>
  <c r="P583" i="10"/>
  <c r="R804" i="10"/>
  <c r="Y804" i="10"/>
  <c r="W583" i="10"/>
  <c r="U774" i="10"/>
  <c r="N774" i="10"/>
  <c r="V774" i="10"/>
  <c r="O774" i="10"/>
  <c r="W774" i="10"/>
  <c r="P774" i="10"/>
  <c r="X774" i="10"/>
  <c r="Q774" i="10"/>
  <c r="Y774" i="10"/>
  <c r="R774" i="10"/>
  <c r="S774" i="10"/>
  <c r="T774" i="10"/>
  <c r="S55" i="10"/>
  <c r="T55" i="10"/>
  <c r="N55" i="10"/>
  <c r="V55" i="10"/>
  <c r="O55" i="10"/>
  <c r="W55" i="10"/>
  <c r="P55" i="10"/>
  <c r="Q55" i="10"/>
  <c r="U55" i="10"/>
  <c r="R55" i="10"/>
  <c r="X55" i="10"/>
  <c r="Y55" i="10"/>
  <c r="N731" i="10"/>
  <c r="V731" i="10"/>
  <c r="O731" i="10"/>
  <c r="W731" i="10"/>
  <c r="Q731" i="10"/>
  <c r="Y731" i="10"/>
  <c r="S731" i="10"/>
  <c r="T731" i="10"/>
  <c r="U731" i="10"/>
  <c r="X731" i="10"/>
  <c r="P731" i="10"/>
  <c r="R731" i="10"/>
  <c r="Q835" i="10"/>
  <c r="Y835" i="10"/>
  <c r="T835" i="10"/>
  <c r="O835" i="10"/>
  <c r="P835" i="10"/>
  <c r="R835" i="10"/>
  <c r="S835" i="10"/>
  <c r="U835" i="10"/>
  <c r="V835" i="10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R501" i="10"/>
  <c r="S501" i="10"/>
  <c r="T501" i="10"/>
  <c r="P270" i="10"/>
  <c r="X270" i="10"/>
  <c r="Q270" i="10"/>
  <c r="Y270" i="10"/>
  <c r="S270" i="10"/>
  <c r="R270" i="10"/>
  <c r="T270" i="10"/>
  <c r="U270" i="10"/>
  <c r="V270" i="10"/>
  <c r="W270" i="10"/>
  <c r="N270" i="10"/>
  <c r="O270" i="10"/>
  <c r="U221" i="10"/>
  <c r="P221" i="10"/>
  <c r="X221" i="10"/>
  <c r="R221" i="10"/>
  <c r="T221" i="10"/>
  <c r="N221" i="10"/>
  <c r="O221" i="10"/>
  <c r="Q221" i="10"/>
  <c r="S221" i="10"/>
  <c r="V221" i="10"/>
  <c r="W221" i="10"/>
  <c r="Y221" i="10"/>
  <c r="N729" i="10"/>
  <c r="V729" i="10"/>
  <c r="O729" i="10"/>
  <c r="W729" i="10"/>
  <c r="Q729" i="10"/>
  <c r="Y729" i="10"/>
  <c r="S729" i="10"/>
  <c r="P729" i="10"/>
  <c r="R729" i="10"/>
  <c r="T729" i="10"/>
  <c r="U729" i="10"/>
  <c r="X729" i="10"/>
  <c r="Q186" i="10"/>
  <c r="Y186" i="10"/>
  <c r="T186" i="10"/>
  <c r="U186" i="10"/>
  <c r="N186" i="10"/>
  <c r="V186" i="10"/>
  <c r="P186" i="10"/>
  <c r="X186" i="10"/>
  <c r="O186" i="10"/>
  <c r="R186" i="10"/>
  <c r="S186" i="10"/>
  <c r="W186" i="10"/>
  <c r="U495" i="10"/>
  <c r="N495" i="10"/>
  <c r="V495" i="10"/>
  <c r="O495" i="10"/>
  <c r="W495" i="10"/>
  <c r="P495" i="10"/>
  <c r="X495" i="10"/>
  <c r="Q495" i="10"/>
  <c r="Y495" i="10"/>
  <c r="R495" i="10"/>
  <c r="S495" i="10"/>
  <c r="T495" i="10"/>
  <c r="T261" i="10"/>
  <c r="U261" i="10"/>
  <c r="N261" i="10"/>
  <c r="V261" i="10"/>
  <c r="O261" i="10"/>
  <c r="W261" i="10"/>
  <c r="P261" i="10"/>
  <c r="X261" i="10"/>
  <c r="Q261" i="10"/>
  <c r="Y261" i="10"/>
  <c r="R261" i="10"/>
  <c r="S261" i="10"/>
  <c r="O136" i="10"/>
  <c r="W136" i="10"/>
  <c r="P136" i="10"/>
  <c r="X136" i="10"/>
  <c r="Q136" i="10"/>
  <c r="Y136" i="10"/>
  <c r="R136" i="10"/>
  <c r="S136" i="10"/>
  <c r="T136" i="10"/>
  <c r="U136" i="10"/>
  <c r="N136" i="10"/>
  <c r="V136" i="10"/>
  <c r="U782" i="10"/>
  <c r="N782" i="10"/>
  <c r="V782" i="10"/>
  <c r="O782" i="10"/>
  <c r="W782" i="10"/>
  <c r="P782" i="10"/>
  <c r="X782" i="10"/>
  <c r="Q782" i="10"/>
  <c r="Y782" i="10"/>
  <c r="R782" i="10"/>
  <c r="S782" i="10"/>
  <c r="T782" i="10"/>
  <c r="Q739" i="10"/>
  <c r="Y739" i="10"/>
  <c r="R739" i="10"/>
  <c r="S739" i="10"/>
  <c r="T739" i="10"/>
  <c r="U739" i="10"/>
  <c r="N739" i="10"/>
  <c r="V739" i="10"/>
  <c r="O739" i="10"/>
  <c r="W739" i="10"/>
  <c r="P739" i="10"/>
  <c r="X739" i="10"/>
  <c r="R80" i="10"/>
  <c r="T80" i="10"/>
  <c r="U80" i="10"/>
  <c r="O80" i="10"/>
  <c r="W80" i="10"/>
  <c r="V80" i="10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R550" i="10"/>
  <c r="S550" i="10"/>
  <c r="T550" i="10"/>
  <c r="U550" i="10"/>
  <c r="N550" i="10"/>
  <c r="V550" i="10"/>
  <c r="S53" i="10"/>
  <c r="T53" i="10"/>
  <c r="N53" i="10"/>
  <c r="V53" i="10"/>
  <c r="O53" i="10"/>
  <c r="W53" i="10"/>
  <c r="R53" i="10"/>
  <c r="X53" i="10"/>
  <c r="Y53" i="10"/>
  <c r="P53" i="10"/>
  <c r="Q53" i="10"/>
  <c r="U53" i="10"/>
  <c r="S45" i="10"/>
  <c r="T45" i="10"/>
  <c r="N45" i="10"/>
  <c r="V45" i="10"/>
  <c r="O45" i="10"/>
  <c r="W45" i="10"/>
  <c r="R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R301" i="10"/>
  <c r="S301" i="10"/>
  <c r="T301" i="10"/>
  <c r="U301" i="10"/>
  <c r="U802" i="10"/>
  <c r="N802" i="10"/>
  <c r="V802" i="10"/>
  <c r="O802" i="10"/>
  <c r="W802" i="10"/>
  <c r="P802" i="10"/>
  <c r="X802" i="10"/>
  <c r="Q802" i="10"/>
  <c r="Y802" i="10"/>
  <c r="S802" i="10"/>
  <c r="R802" i="10"/>
  <c r="T802" i="10"/>
  <c r="O166" i="10"/>
  <c r="W166" i="10"/>
  <c r="R166" i="10"/>
  <c r="S166" i="10"/>
  <c r="T166" i="10"/>
  <c r="U166" i="10"/>
  <c r="N166" i="10"/>
  <c r="Q166" i="10"/>
  <c r="V166" i="10"/>
  <c r="X166" i="10"/>
  <c r="Y166" i="10"/>
  <c r="P166" i="10"/>
  <c r="U788" i="10"/>
  <c r="N788" i="10"/>
  <c r="V788" i="10"/>
  <c r="O788" i="10"/>
  <c r="W788" i="10"/>
  <c r="P788" i="10"/>
  <c r="X788" i="10"/>
  <c r="Q788" i="10"/>
  <c r="Y788" i="10"/>
  <c r="R788" i="10"/>
  <c r="S788" i="10"/>
  <c r="T788" i="10"/>
  <c r="S369" i="10"/>
  <c r="T369" i="10"/>
  <c r="U369" i="10"/>
  <c r="N369" i="10"/>
  <c r="V369" i="10"/>
  <c r="O369" i="10"/>
  <c r="W369" i="10"/>
  <c r="P369" i="10"/>
  <c r="X369" i="10"/>
  <c r="Q369" i="10"/>
  <c r="Y369" i="10"/>
  <c r="R369" i="10"/>
  <c r="U513" i="10"/>
  <c r="N513" i="10"/>
  <c r="V513" i="10"/>
  <c r="O513" i="10"/>
  <c r="W513" i="10"/>
  <c r="P513" i="10"/>
  <c r="X513" i="10"/>
  <c r="Q513" i="10"/>
  <c r="Y513" i="10"/>
  <c r="R513" i="10"/>
  <c r="S513" i="10"/>
  <c r="T513" i="10"/>
  <c r="O630" i="10"/>
  <c r="W630" i="10"/>
  <c r="P630" i="10"/>
  <c r="X630" i="10"/>
  <c r="R630" i="10"/>
  <c r="T630" i="10"/>
  <c r="U630" i="10"/>
  <c r="V630" i="10"/>
  <c r="Y630" i="10"/>
  <c r="N630" i="10"/>
  <c r="Q630" i="10"/>
  <c r="S630" i="10"/>
  <c r="O582" i="10"/>
  <c r="W582" i="10"/>
  <c r="P582" i="10"/>
  <c r="X582" i="10"/>
  <c r="Q582" i="10"/>
  <c r="Y582" i="10"/>
  <c r="R582" i="10"/>
  <c r="S582" i="10"/>
  <c r="T582" i="10"/>
  <c r="U582" i="10"/>
  <c r="N582" i="10"/>
  <c r="V582" i="10"/>
  <c r="O144" i="10"/>
  <c r="W144" i="10"/>
  <c r="P144" i="10"/>
  <c r="X144" i="10"/>
  <c r="Q144" i="10"/>
  <c r="Y144" i="10"/>
  <c r="R144" i="10"/>
  <c r="S144" i="10"/>
  <c r="T144" i="10"/>
  <c r="U144" i="10"/>
  <c r="V144" i="10"/>
  <c r="N144" i="10"/>
  <c r="N85" i="10"/>
  <c r="V85" i="10"/>
  <c r="P85" i="10"/>
  <c r="X85" i="10"/>
  <c r="Q85" i="10"/>
  <c r="Y85" i="10"/>
  <c r="S85" i="10"/>
  <c r="O85" i="10"/>
  <c r="T85" i="10"/>
  <c r="U85" i="10"/>
  <c r="R85" i="10"/>
  <c r="W85" i="10"/>
  <c r="S413" i="10"/>
  <c r="T413" i="10"/>
  <c r="U413" i="10"/>
  <c r="N413" i="10"/>
  <c r="V413" i="10"/>
  <c r="O413" i="10"/>
  <c r="W413" i="10"/>
  <c r="P413" i="10"/>
  <c r="X413" i="10"/>
  <c r="Q413" i="10"/>
  <c r="Y413" i="10"/>
  <c r="R413" i="10"/>
  <c r="U826" i="10"/>
  <c r="O826" i="10"/>
  <c r="W826" i="10"/>
  <c r="P826" i="10"/>
  <c r="X826" i="10"/>
  <c r="Q826" i="10"/>
  <c r="S826" i="10"/>
  <c r="V826" i="10"/>
  <c r="Y826" i="10"/>
  <c r="N826" i="10"/>
  <c r="R826" i="10"/>
  <c r="T826" i="10"/>
  <c r="U181" i="10"/>
  <c r="O181" i="10"/>
  <c r="W181" i="10"/>
  <c r="P181" i="10"/>
  <c r="X181" i="10"/>
  <c r="Q181" i="10"/>
  <c r="Y181" i="10"/>
  <c r="R181" i="10"/>
  <c r="T181" i="10"/>
  <c r="N181" i="10"/>
  <c r="S181" i="10"/>
  <c r="V181" i="10"/>
  <c r="U535" i="10"/>
  <c r="N535" i="10"/>
  <c r="V535" i="10"/>
  <c r="P535" i="10"/>
  <c r="X535" i="10"/>
  <c r="R535" i="10"/>
  <c r="S535" i="10"/>
  <c r="O535" i="10"/>
  <c r="Q535" i="10"/>
  <c r="T535" i="10"/>
  <c r="W535" i="10"/>
  <c r="Y535" i="10"/>
  <c r="S591" i="10"/>
  <c r="T591" i="10"/>
  <c r="U591" i="10"/>
  <c r="N591" i="10"/>
  <c r="V591" i="10"/>
  <c r="O591" i="10"/>
  <c r="W591" i="10"/>
  <c r="P591" i="10"/>
  <c r="X591" i="10"/>
  <c r="Q591" i="10"/>
  <c r="Y591" i="10"/>
  <c r="R591" i="10"/>
  <c r="S383" i="10"/>
  <c r="T383" i="10"/>
  <c r="U383" i="10"/>
  <c r="N383" i="10"/>
  <c r="V383" i="10"/>
  <c r="O383" i="10"/>
  <c r="W383" i="10"/>
  <c r="P383" i="10"/>
  <c r="X383" i="10"/>
  <c r="Q383" i="10"/>
  <c r="Y383" i="10"/>
  <c r="R383" i="10"/>
  <c r="U527" i="10"/>
  <c r="N527" i="10"/>
  <c r="V527" i="10"/>
  <c r="O527" i="10"/>
  <c r="W527" i="10"/>
  <c r="P527" i="10"/>
  <c r="X527" i="10"/>
  <c r="Q527" i="10"/>
  <c r="Y527" i="10"/>
  <c r="R527" i="10"/>
  <c r="S527" i="10"/>
  <c r="T527" i="10"/>
  <c r="O430" i="10"/>
  <c r="W430" i="10"/>
  <c r="P430" i="10"/>
  <c r="X430" i="10"/>
  <c r="R430" i="10"/>
  <c r="T430" i="10"/>
  <c r="U430" i="10"/>
  <c r="N430" i="10"/>
  <c r="Q430" i="10"/>
  <c r="S430" i="10"/>
  <c r="V430" i="10"/>
  <c r="Y430" i="10"/>
  <c r="N69" i="10"/>
  <c r="V69" i="10"/>
  <c r="P69" i="10"/>
  <c r="X69" i="10"/>
  <c r="Q69" i="10"/>
  <c r="Y69" i="10"/>
  <c r="S69" i="10"/>
  <c r="O69" i="10"/>
  <c r="T69" i="10"/>
  <c r="U69" i="10"/>
  <c r="R69" i="10"/>
  <c r="W69" i="10"/>
  <c r="Q763" i="10"/>
  <c r="Y763" i="10"/>
  <c r="R763" i="10"/>
  <c r="S763" i="10"/>
  <c r="T763" i="10"/>
  <c r="U763" i="10"/>
  <c r="N763" i="10"/>
  <c r="V763" i="10"/>
  <c r="O763" i="10"/>
  <c r="W763" i="10"/>
  <c r="P763" i="10"/>
  <c r="X763" i="10"/>
  <c r="O48" i="10"/>
  <c r="W48" i="10"/>
  <c r="P48" i="10"/>
  <c r="X48" i="10"/>
  <c r="R48" i="10"/>
  <c r="S48" i="10"/>
  <c r="N48" i="10"/>
  <c r="T48" i="10"/>
  <c r="U48" i="10"/>
  <c r="Y48" i="10"/>
  <c r="Q48" i="10"/>
  <c r="V48" i="10"/>
  <c r="R88" i="10"/>
  <c r="T88" i="10"/>
  <c r="U88" i="10"/>
  <c r="O88" i="10"/>
  <c r="W88" i="10"/>
  <c r="V88" i="10"/>
  <c r="X88" i="10"/>
  <c r="Y88" i="10"/>
  <c r="P88" i="10"/>
  <c r="Q88" i="10"/>
  <c r="S88" i="10"/>
  <c r="N88" i="10"/>
  <c r="Q771" i="10"/>
  <c r="Y771" i="10"/>
  <c r="R771" i="10"/>
  <c r="S771" i="10"/>
  <c r="T771" i="10"/>
  <c r="U771" i="10"/>
  <c r="N771" i="10"/>
  <c r="V771" i="10"/>
  <c r="O771" i="10"/>
  <c r="W771" i="10"/>
  <c r="P771" i="10"/>
  <c r="X771" i="10"/>
  <c r="R72" i="10"/>
  <c r="T72" i="10"/>
  <c r="U72" i="10"/>
  <c r="O72" i="10"/>
  <c r="W72" i="10"/>
  <c r="V72" i="10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R661" i="10"/>
  <c r="S661" i="10"/>
  <c r="T661" i="10"/>
  <c r="U661" i="10"/>
  <c r="S349" i="10"/>
  <c r="T349" i="10"/>
  <c r="U349" i="10"/>
  <c r="N349" i="10"/>
  <c r="V349" i="10"/>
  <c r="O349" i="10"/>
  <c r="W349" i="10"/>
  <c r="P349" i="10"/>
  <c r="X349" i="10"/>
  <c r="Q349" i="10"/>
  <c r="Y349" i="10"/>
  <c r="R349" i="10"/>
  <c r="U117" i="10"/>
  <c r="N117" i="10"/>
  <c r="V117" i="10"/>
  <c r="O117" i="10"/>
  <c r="W117" i="10"/>
  <c r="P117" i="10"/>
  <c r="X117" i="10"/>
  <c r="R117" i="10"/>
  <c r="Q117" i="10"/>
  <c r="S117" i="10"/>
  <c r="T117" i="10"/>
  <c r="Y117" i="10"/>
  <c r="Q494" i="10"/>
  <c r="Y494" i="10"/>
  <c r="R494" i="10"/>
  <c r="S494" i="10"/>
  <c r="T494" i="10"/>
  <c r="U494" i="10"/>
  <c r="N494" i="10"/>
  <c r="V494" i="10"/>
  <c r="O494" i="10"/>
  <c r="W494" i="10"/>
  <c r="P494" i="10"/>
  <c r="X494" i="10"/>
  <c r="U533" i="10"/>
  <c r="N533" i="10"/>
  <c r="V533" i="10"/>
  <c r="O533" i="10"/>
  <c r="P533" i="10"/>
  <c r="X533" i="10"/>
  <c r="R533" i="10"/>
  <c r="S533" i="10"/>
  <c r="Q533" i="10"/>
  <c r="T533" i="10"/>
  <c r="W533" i="10"/>
  <c r="Y533" i="10"/>
  <c r="S433" i="10"/>
  <c r="T433" i="10"/>
  <c r="N433" i="10"/>
  <c r="V433" i="10"/>
  <c r="P433" i="10"/>
  <c r="X433" i="10"/>
  <c r="Q433" i="10"/>
  <c r="Y433" i="10"/>
  <c r="O433" i="10"/>
  <c r="R433" i="10"/>
  <c r="U433" i="10"/>
  <c r="W433" i="10"/>
  <c r="N707" i="10"/>
  <c r="V707" i="10"/>
  <c r="O707" i="10"/>
  <c r="W707" i="10"/>
  <c r="P707" i="10"/>
  <c r="X707" i="10"/>
  <c r="Q707" i="10"/>
  <c r="Y707" i="10"/>
  <c r="R707" i="10"/>
  <c r="S707" i="10"/>
  <c r="T707" i="10"/>
  <c r="U707" i="10"/>
  <c r="S575" i="10"/>
  <c r="T575" i="10"/>
  <c r="U575" i="10"/>
  <c r="N575" i="10"/>
  <c r="V575" i="10"/>
  <c r="O575" i="10"/>
  <c r="W575" i="10"/>
  <c r="P575" i="10"/>
  <c r="X575" i="10"/>
  <c r="Q575" i="10"/>
  <c r="Y575" i="10"/>
  <c r="R575" i="10"/>
  <c r="S423" i="10"/>
  <c r="T423" i="10"/>
  <c r="U423" i="10"/>
  <c r="N423" i="10"/>
  <c r="V423" i="10"/>
  <c r="O423" i="10"/>
  <c r="W423" i="10"/>
  <c r="P423" i="10"/>
  <c r="X423" i="10"/>
  <c r="Q423" i="10"/>
  <c r="Y423" i="10"/>
  <c r="R423" i="10"/>
  <c r="P240" i="10"/>
  <c r="X240" i="10"/>
  <c r="Q240" i="10"/>
  <c r="Y240" i="10"/>
  <c r="R240" i="10"/>
  <c r="S240" i="10"/>
  <c r="T240" i="10"/>
  <c r="U240" i="10"/>
  <c r="N240" i="10"/>
  <c r="V240" i="10"/>
  <c r="O240" i="10"/>
  <c r="W240" i="10"/>
  <c r="O152" i="10"/>
  <c r="W152" i="10"/>
  <c r="P152" i="10"/>
  <c r="X152" i="10"/>
  <c r="Q152" i="10"/>
  <c r="Y152" i="10"/>
  <c r="R152" i="10"/>
  <c r="S152" i="10"/>
  <c r="T152" i="10"/>
  <c r="U152" i="10"/>
  <c r="N152" i="10"/>
  <c r="V152" i="10"/>
  <c r="Q795" i="10"/>
  <c r="Y795" i="10"/>
  <c r="R795" i="10"/>
  <c r="S795" i="10"/>
  <c r="T795" i="10"/>
  <c r="U795" i="10"/>
  <c r="N795" i="10"/>
  <c r="V795" i="10"/>
  <c r="O795" i="10"/>
  <c r="W795" i="10"/>
  <c r="P795" i="10"/>
  <c r="X795" i="10"/>
  <c r="Q214" i="10"/>
  <c r="Y214" i="10"/>
  <c r="T214" i="10"/>
  <c r="U214" i="10"/>
  <c r="N214" i="10"/>
  <c r="V214" i="10"/>
  <c r="P214" i="10"/>
  <c r="X214" i="10"/>
  <c r="O214" i="10"/>
  <c r="R214" i="10"/>
  <c r="S214" i="10"/>
  <c r="W214" i="10"/>
  <c r="R702" i="10"/>
  <c r="S702" i="10"/>
  <c r="T702" i="10"/>
  <c r="U702" i="10"/>
  <c r="N702" i="10"/>
  <c r="V702" i="10"/>
  <c r="O702" i="10"/>
  <c r="W702" i="10"/>
  <c r="P702" i="10"/>
  <c r="X702" i="10"/>
  <c r="Q702" i="10"/>
  <c r="Y702" i="10"/>
  <c r="Q462" i="10"/>
  <c r="Y462" i="10"/>
  <c r="R462" i="10"/>
  <c r="S462" i="10"/>
  <c r="T462" i="10"/>
  <c r="U462" i="10"/>
  <c r="N462" i="10"/>
  <c r="V462" i="10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R157" i="10"/>
  <c r="Q534" i="10"/>
  <c r="Y534" i="10"/>
  <c r="R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R238" i="10"/>
  <c r="S238" i="10"/>
  <c r="T238" i="10"/>
  <c r="U238" i="10"/>
  <c r="V238" i="10"/>
  <c r="S613" i="10"/>
  <c r="T613" i="10"/>
  <c r="U613" i="10"/>
  <c r="N613" i="10"/>
  <c r="V613" i="10"/>
  <c r="O613" i="10"/>
  <c r="W613" i="10"/>
  <c r="P613" i="10"/>
  <c r="X613" i="10"/>
  <c r="Q613" i="10"/>
  <c r="Y613" i="10"/>
  <c r="R613" i="10"/>
  <c r="S393" i="10"/>
  <c r="T393" i="10"/>
  <c r="U393" i="10"/>
  <c r="N393" i="10"/>
  <c r="V393" i="10"/>
  <c r="O393" i="10"/>
  <c r="W393" i="10"/>
  <c r="P393" i="10"/>
  <c r="X393" i="10"/>
  <c r="Q393" i="10"/>
  <c r="Y393" i="10"/>
  <c r="R393" i="10"/>
  <c r="S31" i="10"/>
  <c r="T31" i="10"/>
  <c r="N31" i="10"/>
  <c r="V31" i="10"/>
  <c r="O31" i="10"/>
  <c r="W31" i="10"/>
  <c r="P31" i="10"/>
  <c r="Q31" i="10"/>
  <c r="R31" i="10"/>
  <c r="U31" i="10"/>
  <c r="X31" i="10"/>
  <c r="Y31" i="10"/>
  <c r="U447" i="10"/>
  <c r="N447" i="10"/>
  <c r="V447" i="10"/>
  <c r="O447" i="10"/>
  <c r="W447" i="10"/>
  <c r="P447" i="10"/>
  <c r="X447" i="10"/>
  <c r="Q447" i="10"/>
  <c r="Y447" i="10"/>
  <c r="R447" i="10"/>
  <c r="S447" i="10"/>
  <c r="T447" i="10"/>
  <c r="Q827" i="10"/>
  <c r="Y827" i="10"/>
  <c r="S827" i="10"/>
  <c r="T827" i="10"/>
  <c r="O827" i="10"/>
  <c r="W827" i="10"/>
  <c r="N827" i="10"/>
  <c r="P827" i="10"/>
  <c r="R827" i="10"/>
  <c r="U827" i="10"/>
  <c r="V827" i="10"/>
  <c r="X827" i="10"/>
  <c r="O28" i="10"/>
  <c r="W28" i="10"/>
  <c r="P28" i="10"/>
  <c r="X28" i="10"/>
  <c r="R28" i="10"/>
  <c r="S28" i="10"/>
  <c r="N28" i="10"/>
  <c r="Q28" i="10"/>
  <c r="T28" i="10"/>
  <c r="U28" i="10"/>
  <c r="V28" i="10"/>
  <c r="Y28" i="10"/>
  <c r="Q216" i="10"/>
  <c r="Y216" i="10"/>
  <c r="T216" i="10"/>
  <c r="U216" i="10"/>
  <c r="N216" i="10"/>
  <c r="V216" i="10"/>
  <c r="P216" i="10"/>
  <c r="X216" i="10"/>
  <c r="O216" i="10"/>
  <c r="R216" i="10"/>
  <c r="S216" i="10"/>
  <c r="W216" i="10"/>
  <c r="Q803" i="10"/>
  <c r="Y803" i="10"/>
  <c r="R803" i="10"/>
  <c r="S803" i="10"/>
  <c r="T803" i="10"/>
  <c r="U803" i="10"/>
  <c r="O803" i="10"/>
  <c r="W803" i="10"/>
  <c r="P803" i="10"/>
  <c r="V803" i="10"/>
  <c r="X803" i="10"/>
  <c r="N803" i="10"/>
  <c r="O358" i="10"/>
  <c r="W358" i="10"/>
  <c r="P358" i="10"/>
  <c r="X358" i="10"/>
  <c r="Q358" i="10"/>
  <c r="Y358" i="10"/>
  <c r="R358" i="10"/>
  <c r="S358" i="10"/>
  <c r="T358" i="10"/>
  <c r="U358" i="10"/>
  <c r="N358" i="10"/>
  <c r="V358" i="10"/>
  <c r="R734" i="10"/>
  <c r="S734" i="10"/>
  <c r="V734" i="10"/>
  <c r="W734" i="10"/>
  <c r="N734" i="10"/>
  <c r="X734" i="10"/>
  <c r="O734" i="10"/>
  <c r="Y734" i="10"/>
  <c r="P734" i="10"/>
  <c r="Q734" i="10"/>
  <c r="T734" i="10"/>
  <c r="U734" i="10"/>
  <c r="N725" i="10"/>
  <c r="V725" i="10"/>
  <c r="O725" i="10"/>
  <c r="W725" i="10"/>
  <c r="P725" i="10"/>
  <c r="X725" i="10"/>
  <c r="Q725" i="10"/>
  <c r="Y725" i="10"/>
  <c r="R725" i="10"/>
  <c r="S725" i="10"/>
  <c r="T725" i="10"/>
  <c r="U725" i="10"/>
  <c r="U189" i="10"/>
  <c r="P189" i="10"/>
  <c r="X189" i="10"/>
  <c r="Q189" i="10"/>
  <c r="Y189" i="10"/>
  <c r="R189" i="10"/>
  <c r="T189" i="10"/>
  <c r="N189" i="10"/>
  <c r="O189" i="10"/>
  <c r="S189" i="10"/>
  <c r="V189" i="10"/>
  <c r="W189" i="10"/>
  <c r="O614" i="10"/>
  <c r="W614" i="10"/>
  <c r="P614" i="10"/>
  <c r="X614" i="10"/>
  <c r="Q614" i="10"/>
  <c r="Y614" i="10"/>
  <c r="R614" i="10"/>
  <c r="S614" i="10"/>
  <c r="T614" i="10"/>
  <c r="U614" i="10"/>
  <c r="N614" i="10"/>
  <c r="V614" i="10"/>
  <c r="S391" i="10"/>
  <c r="T391" i="10"/>
  <c r="U391" i="10"/>
  <c r="N391" i="10"/>
  <c r="V391" i="10"/>
  <c r="O391" i="10"/>
  <c r="W391" i="10"/>
  <c r="P391" i="10"/>
  <c r="X391" i="10"/>
  <c r="Q391" i="10"/>
  <c r="Y391" i="10"/>
  <c r="R391" i="10"/>
  <c r="U836" i="10"/>
  <c r="P836" i="10"/>
  <c r="X836" i="10"/>
  <c r="N836" i="10"/>
  <c r="Y836" i="10"/>
  <c r="O836" i="10"/>
  <c r="Q836" i="10"/>
  <c r="R836" i="10"/>
  <c r="S836" i="10"/>
  <c r="T836" i="10"/>
  <c r="V836" i="10"/>
  <c r="W836" i="10"/>
  <c r="Q458" i="10"/>
  <c r="Y458" i="10"/>
  <c r="R458" i="10"/>
  <c r="S458" i="10"/>
  <c r="T458" i="10"/>
  <c r="U458" i="10"/>
  <c r="N458" i="10"/>
  <c r="V458" i="10"/>
  <c r="O458" i="10"/>
  <c r="W458" i="10"/>
  <c r="P458" i="10"/>
  <c r="X458" i="10"/>
  <c r="U449" i="10"/>
  <c r="N449" i="10"/>
  <c r="V449" i="10"/>
  <c r="O449" i="10"/>
  <c r="W449" i="10"/>
  <c r="P449" i="10"/>
  <c r="X449" i="10"/>
  <c r="Q449" i="10"/>
  <c r="Y449" i="10"/>
  <c r="R449" i="10"/>
  <c r="S449" i="10"/>
  <c r="T449" i="10"/>
  <c r="N677" i="10"/>
  <c r="V677" i="10"/>
  <c r="O677" i="10"/>
  <c r="W677" i="10"/>
  <c r="P677" i="10"/>
  <c r="X677" i="10"/>
  <c r="Q677" i="10"/>
  <c r="Y677" i="10"/>
  <c r="R677" i="10"/>
  <c r="S677" i="10"/>
  <c r="T677" i="10"/>
  <c r="U677" i="10"/>
  <c r="Q184" i="10"/>
  <c r="Y184" i="10"/>
  <c r="S184" i="10"/>
  <c r="T184" i="10"/>
  <c r="U184" i="10"/>
  <c r="N184" i="10"/>
  <c r="V184" i="10"/>
  <c r="P184" i="10"/>
  <c r="X184" i="10"/>
  <c r="O184" i="10"/>
  <c r="R184" i="10"/>
  <c r="W184" i="10"/>
  <c r="N699" i="10"/>
  <c r="V699" i="10"/>
  <c r="O699" i="10"/>
  <c r="W699" i="10"/>
  <c r="P699" i="10"/>
  <c r="X699" i="10"/>
  <c r="Q699" i="10"/>
  <c r="Y699" i="10"/>
  <c r="R699" i="10"/>
  <c r="S699" i="10"/>
  <c r="T699" i="10"/>
  <c r="U699" i="10"/>
  <c r="Q819" i="10"/>
  <c r="Y819" i="10"/>
  <c r="R819" i="10"/>
  <c r="S819" i="10"/>
  <c r="T819" i="10"/>
  <c r="U819" i="10"/>
  <c r="O819" i="10"/>
  <c r="W819" i="10"/>
  <c r="P819" i="10"/>
  <c r="V819" i="10"/>
  <c r="X819" i="10"/>
  <c r="N819" i="10"/>
  <c r="O390" i="10"/>
  <c r="W390" i="10"/>
  <c r="P390" i="10"/>
  <c r="X390" i="10"/>
  <c r="Q390" i="10"/>
  <c r="Y390" i="10"/>
  <c r="R390" i="10"/>
  <c r="S390" i="10"/>
  <c r="T390" i="10"/>
  <c r="U390" i="10"/>
  <c r="N390" i="10"/>
  <c r="V390" i="10"/>
  <c r="U798" i="10"/>
  <c r="N798" i="10"/>
  <c r="V798" i="10"/>
  <c r="O798" i="10"/>
  <c r="W798" i="10"/>
  <c r="P798" i="10"/>
  <c r="X798" i="10"/>
  <c r="Q798" i="10"/>
  <c r="Y798" i="10"/>
  <c r="R798" i="10"/>
  <c r="S798" i="10"/>
  <c r="T798" i="10"/>
  <c r="Q208" i="10"/>
  <c r="Y208" i="10"/>
  <c r="T208" i="10"/>
  <c r="U208" i="10"/>
  <c r="N208" i="10"/>
  <c r="V208" i="10"/>
  <c r="P208" i="10"/>
  <c r="X208" i="10"/>
  <c r="S208" i="10"/>
  <c r="W208" i="10"/>
  <c r="O208" i="10"/>
  <c r="R208" i="10"/>
  <c r="R646" i="10"/>
  <c r="S646" i="10"/>
  <c r="T646" i="10"/>
  <c r="U646" i="10"/>
  <c r="N646" i="10"/>
  <c r="V646" i="10"/>
  <c r="O646" i="10"/>
  <c r="W646" i="10"/>
  <c r="P646" i="10"/>
  <c r="X646" i="10"/>
  <c r="Q646" i="10"/>
  <c r="Y646" i="10"/>
  <c r="S417" i="10"/>
  <c r="T417" i="10"/>
  <c r="U417" i="10"/>
  <c r="N417" i="10"/>
  <c r="V417" i="10"/>
  <c r="O417" i="10"/>
  <c r="W417" i="10"/>
  <c r="P417" i="10"/>
  <c r="X417" i="10"/>
  <c r="Q417" i="10"/>
  <c r="Y417" i="10"/>
  <c r="R417" i="10"/>
  <c r="S37" i="10"/>
  <c r="T37" i="10"/>
  <c r="N37" i="10"/>
  <c r="V37" i="10"/>
  <c r="O37" i="10"/>
  <c r="W37" i="10"/>
  <c r="R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C5" i="11" l="1" a="1"/>
  <c r="C5" i="11" s="1"/>
  <c r="C5" i="12" a="1"/>
  <c r="C5" i="12" s="1"/>
  <c r="C5" i="15" a="1"/>
  <c r="C5" i="15" s="1"/>
  <c r="C5" i="14" a="1"/>
  <c r="C5" i="14" s="1"/>
  <c r="C5" i="13" a="1"/>
  <c r="C5" i="13" s="1"/>
  <c r="B12" i="10"/>
  <c r="B13" i="10" l="1"/>
  <c r="B14" i="10" l="1"/>
  <c r="B15" i="10" s="1"/>
  <c r="B16" i="10" l="1"/>
  <c r="B17" i="10" s="1"/>
  <c r="B18" i="10" s="1"/>
  <c r="B19" i="10" s="1"/>
  <c r="B20" i="10" s="1"/>
  <c r="B21" i="10" s="1"/>
  <c r="B22" i="10" l="1"/>
  <c r="B23" i="10" s="1"/>
  <c r="B24" i="10" l="1"/>
  <c r="B25" i="10" s="1"/>
  <c r="B26" i="10" l="1"/>
  <c r="B27" i="10" s="1"/>
  <c r="B28" i="10" l="1"/>
  <c r="B29" i="10" l="1"/>
  <c r="B30" i="10" l="1"/>
  <c r="B31" i="10" s="1"/>
  <c r="B32" i="10" l="1"/>
  <c r="B33" i="10" s="1"/>
  <c r="B34" i="10" s="1"/>
  <c r="B35" i="10" s="1"/>
  <c r="B36" i="10" s="1"/>
  <c r="B37" i="10" l="1"/>
  <c r="B38" i="10" s="1"/>
  <c r="B39" i="10" s="1"/>
  <c r="B40" i="10" l="1"/>
  <c r="B41" i="10" l="1"/>
  <c r="B42" i="10" l="1"/>
  <c r="B43" i="10" l="1"/>
  <c r="B44" i="10" l="1"/>
  <c r="B45" i="10" s="1"/>
  <c r="B46" i="10" s="1"/>
  <c r="B47" i="10" s="1"/>
  <c r="B48" i="10" s="1"/>
  <c r="B49" i="10" s="1"/>
  <c r="B50" i="10" s="1"/>
  <c r="B51" i="10" l="1"/>
  <c r="B52" i="10" s="1"/>
  <c r="B53" i="10" s="1"/>
  <c r="B54" i="10" l="1"/>
  <c r="B55" i="10" s="1"/>
  <c r="B56" i="10" s="1"/>
  <c r="B57" i="10" s="1"/>
  <c r="B58" i="10" s="1"/>
  <c r="B59" i="10" s="1"/>
  <c r="B60" i="10" s="1"/>
  <c r="B61" i="10" s="1"/>
  <c r="B62" i="10" s="1"/>
  <c r="B63" i="10" l="1"/>
  <c r="B64" i="10" l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l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4FC87BFD-EBE9-4F57-B68F-25318AE5D8FD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1:完全一致または非採用
2: 薬価一致。名前も大体あってるのであってるだろう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<sst xmlns="http://schemas.openxmlformats.org/spreadsheetml/2006/main" count="14080" uniqueCount="4100">
  <si>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</si>
  <si>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</si>
  <si>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</si>
  <si>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</si>
  <si>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</si>
  <si>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</si>
  <si>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</si>
  <si>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</si>
  <si>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</si>
  <si>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</si>
  <si>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</si>
  <si>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</si>
  <si>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</si>
  <si>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</si>
  <si>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</si>
  <si>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</si>
  <si>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</si>
  <si>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</si>
  <si>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</si>
  <si>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</si>
  <si>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</si>
  <si>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</si>
  <si>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</si>
  <si>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</si>
  <si>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</si>
  <si>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</si>
  <si>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</si>
  <si>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</si>
  <si>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</si>
  <si>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</si>
  <si>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</si>
  <si>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</si>
  <si>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</si>
  <si>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</si>
  <si>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</si>
  <si>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</si>
  <si>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</si>
  <si>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</si>
  <si>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</si>
  <si>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</si>
  <si>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</si>
  <si>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</si>
  <si>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</si>
  <si>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</si>
  <si>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</si>
  <si>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</si>
  <si>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</si>
  <si>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</si>
  <si>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</si>
  <si>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</si>
  <si>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</si>
  <si>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</si>
  <si>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</si>
  <si>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</si>
  <si>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</si>
  <si>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</si>
  <si>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</si>
  <si>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</si>
  <si>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</si>
  <si>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</si>
  <si>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</si>
  <si>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</si>
  <si>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</si>
  <si>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</si>
  <si>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</si>
  <si>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</si>
  <si>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</si>
  <si>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</si>
  <si>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</si>
  <si>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</si>
  <si>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</si>
  <si>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</si>
  <si>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</si>
  <si>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</si>
  <si>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</si>
  <si>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</si>
  <si>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</si>
  <si>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</si>
  <si>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</si>
  <si>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</si>
  <si>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</si>
  <si>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</si>
  <si>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</si>
  <si>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</si>
  <si>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</si>
  <si>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</si>
  <si>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</si>
  <si>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</si>
  <si>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</si>
  <si>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</si>
  <si>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</si>
  <si>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</si>
  <si>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</si>
  <si>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</si>
  <si>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</si>
  <si>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</si>
  <si>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</si>
  <si>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</si>
  <si>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</si>
  <si>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</si>
  <si>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</si>
  <si>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</si>
  <si>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</si>
  <si>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</si>
  <si>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</si>
  <si>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</si>
  <si>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</si>
  <si>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</si>
  <si>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</si>
  <si>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</si>
  <si>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</si>
  <si>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</si>
  <si>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</si>
  <si>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</si>
  <si>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</si>
  <si>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</si>
  <si>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</si>
  <si>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</si>
  <si>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</si>
  <si>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</si>
  <si>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</si>
  <si>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</si>
  <si>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</si>
  <si>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</si>
  <si>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</si>
  <si>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</si>
  <si>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</si>
  <si>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</si>
  <si>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</si>
  <si>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</si>
  <si>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</si>
  <si>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</si>
  <si>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</si>
  <si>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</si>
  <si>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</si>
  <si>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</si>
  <si>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</si>
  <si>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</si>
  <si>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</si>
  <si>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</si>
  <si>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</si>
  <si>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</si>
  <si>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</si>
  <si>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</si>
  <si>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</si>
  <si>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</si>
  <si>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</si>
  <si>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</si>
  <si>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</si>
  <si>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</si>
  <si>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</si>
  <si>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</si>
  <si>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</si>
  <si>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</si>
  <si>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</si>
  <si>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</si>
  <si>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</si>
  <si>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</si>
  <si>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</si>
  <si>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</si>
  <si>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</si>
  <si>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</si>
  <si>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</si>
  <si>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</si>
  <si>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</si>
  <si>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</si>
  <si>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</si>
  <si>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</si>
  <si>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</si>
  <si>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</si>
  <si>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</si>
  <si>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</si>
  <si>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</si>
  <si>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</si>
  <si>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</si>
  <si>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</si>
  <si>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</si>
  <si>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</si>
  <si>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</si>
  <si>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</si>
  <si>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</si>
  <si>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</si>
  <si>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</si>
  <si>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</si>
  <si>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</si>
  <si>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</si>
  <si>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</si>
  <si>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</si>
  <si>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</si>
  <si>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</si>
  <si>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</si>
  <si>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</si>
  <si>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</si>
  <si>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</si>
  <si>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</si>
  <si>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</si>
  <si>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</si>
  <si>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</si>
  <si>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</si>
  <si>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</si>
  <si>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</si>
  <si>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</si>
  <si>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</si>
  <si>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</si>
  <si>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</si>
  <si>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</si>
  <si>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</si>
  <si>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</si>
  <si>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</si>
  <si>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</si>
  <si>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</si>
  <si>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</si>
  <si>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</si>
  <si>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</si>
  <si>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</si>
  <si>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</si>
  <si>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</si>
  <si>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</si>
  <si>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</si>
  <si>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</si>
  <si>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</si>
  <si>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</si>
  <si>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</si>
  <si>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</si>
  <si>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</si>
  <si>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</si>
  <si>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</si>
  <si>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</si>
  <si>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</si>
  <si>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</si>
  <si>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</si>
  <si>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</si>
  <si>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</si>
  <si>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</si>
  <si>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</si>
  <si>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</si>
  <si>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</si>
  <si>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</si>
  <si>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</si>
  <si>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</si>
  <si>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</si>
  <si>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</si>
  <si>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</si>
  <si>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</si>
  <si>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</si>
  <si>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</si>
  <si>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</si>
  <si>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</si>
  <si>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</si>
  <si>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</si>
  <si>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</si>
  <si>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</si>
  <si>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</si>
  <si>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</si>
  <si>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</si>
  <si>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</si>
  <si>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</si>
  <si>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</si>
  <si>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</si>
  <si>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</si>
  <si>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</si>
  <si>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</si>
  <si>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</si>
  <si>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</si>
  <si>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</si>
  <si>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</si>
  <si>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</si>
  <si>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</si>
  <si>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</si>
  <si>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</si>
  <si>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</si>
  <si>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</si>
  <si>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</si>
  <si>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</si>
  <si>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</si>
  <si>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</si>
  <si>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</si>
  <si>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</si>
  <si>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</si>
  <si>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</si>
  <si>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</si>
  <si>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</si>
  <si>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</si>
  <si>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</si>
  <si>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</si>
  <si>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</si>
  <si>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</si>
  <si>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</si>
  <si>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</si>
  <si>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</si>
  <si>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</si>
  <si>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</si>
  <si>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</si>
  <si>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</si>
  <si>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</si>
  <si>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</si>
  <si>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</si>
  <si>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</si>
  <si>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</si>
  <si>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</si>
  <si>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</si>
  <si>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</si>
  <si>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</si>
  <si>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</si>
  <si>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</si>
  <si>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</si>
  <si>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</si>
  <si>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</si>
  <si>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</si>
  <si>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</si>
  <si>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</si>
  <si>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</si>
  <si>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</si>
  <si>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</si>
  <si>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</si>
  <si>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</si>
  <si>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</si>
  <si>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</si>
  <si>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</si>
  <si>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</si>
  <si>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</si>
  <si>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</si>
  <si>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</si>
  <si>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</si>
  <si>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</si>
  <si>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</si>
  <si>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</si>
  <si>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</si>
  <si>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</si>
  <si>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</si>
  <si>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</si>
  <si>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</si>
  <si>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</si>
  <si>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</si>
  <si>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</si>
  <si>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</si>
  <si>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</si>
  <si>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</si>
  <si>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</si>
  <si>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</si>
  <si>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</si>
  <si>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</si>
  <si>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</si>
  <si>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</si>
  <si>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</si>
  <si>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</si>
  <si>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</si>
  <si>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</si>
  <si>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</si>
  <si>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</si>
  <si>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</si>
  <si>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</si>
  <si>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</si>
  <si>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</si>
  <si>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</si>
  <si>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</si>
  <si>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</si>
  <si>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</si>
  <si>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</si>
  <si>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</si>
  <si>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</si>
  <si>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</si>
  <si>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</si>
  <si>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</si>
  <si>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</si>
  <si>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</si>
  <si>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</si>
  <si>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</si>
  <si>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</si>
  <si>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</si>
  <si>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</si>
  <si>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</si>
  <si>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</si>
  <si>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</si>
  <si>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</si>
  <si>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</si>
  <si>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</si>
  <si>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</si>
  <si>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</si>
  <si>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</si>
  <si>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</si>
  <si>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</si>
  <si>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</si>
  <si>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</si>
  <si>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</si>
  <si>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</si>
  <si>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</si>
  <si>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</si>
  <si>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</si>
  <si>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</si>
  <si>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</si>
  <si>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</si>
  <si>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</si>
  <si>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</si>
  <si>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</si>
  <si>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</si>
  <si>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</si>
  <si>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</si>
  <si>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</si>
  <si>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</si>
  <si>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</si>
  <si>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</si>
  <si>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</si>
  <si>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</si>
  <si>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</si>
  <si>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</si>
  <si>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</si>
  <si>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</si>
  <si>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</si>
  <si>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</si>
  <si>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</si>
  <si>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</si>
  <si>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</si>
  <si>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</si>
  <si>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</si>
  <si>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</si>
  <si>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</si>
  <si>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</si>
  <si>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</si>
  <si>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</si>
  <si>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</si>
  <si>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</si>
  <si>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</si>
  <si>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</si>
  <si>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</si>
  <si>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</si>
  <si>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</si>
  <si>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</si>
  <si>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</si>
  <si>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</si>
  <si>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</si>
  <si>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</si>
  <si>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</si>
  <si>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</si>
  <si>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</si>
  <si>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</si>
  <si>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</si>
  <si>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</si>
  <si>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</si>
  <si>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</si>
  <si>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</si>
  <si>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</si>
  <si>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</si>
  <si>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</si>
  <si>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</si>
  <si>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</si>
  <si>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</si>
  <si>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</si>
  <si>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</si>
  <si>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</si>
  <si>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</si>
  <si>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</si>
  <si>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</si>
  <si>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</si>
  <si>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</si>
  <si>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</si>
  <si>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</si>
  <si>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</si>
  <si>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</si>
  <si>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</si>
  <si>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</si>
  <si>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</si>
  <si>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</si>
  <si>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</si>
  <si>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</si>
  <si>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</si>
  <si>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</si>
  <si>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</si>
  <si>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</si>
  <si>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</si>
  <si>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</si>
  <si>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</si>
  <si>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</si>
  <si>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</si>
  <si>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</si>
  <si>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</si>
  <si>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</si>
  <si>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</si>
  <si>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</si>
  <si>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</si>
  <si>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</si>
  <si>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</si>
  <si>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</si>
  <si>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</si>
  <si>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</si>
  <si>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</si>
  <si>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</si>
  <si>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</si>
  <si>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</si>
  <si>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</si>
  <si>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</si>
  <si>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</si>
  <si>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</si>
  <si>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</si>
  <si>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</si>
  <si>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</si>
  <si>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</si>
  <si>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</si>
  <si>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</si>
  <si>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</si>
  <si>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</si>
  <si>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</si>
  <si>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</si>
  <si>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</si>
  <si>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</si>
  <si>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</si>
  <si>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</si>
  <si>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</si>
  <si>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</si>
  <si>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</si>
  <si>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</si>
  <si>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</si>
  <si>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</si>
  <si>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</si>
  <si>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</si>
  <si>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</si>
  <si>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</si>
  <si>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</si>
  <si>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</si>
  <si>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</si>
  <si>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</si>
  <si>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</si>
  <si>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</si>
  <si>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</si>
  <si>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</si>
  <si>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</si>
  <si>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</si>
  <si>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</si>
  <si>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</si>
  <si>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</si>
  <si>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</si>
  <si>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</si>
  <si>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</si>
  <si>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</si>
  <si>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</si>
  <si>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</si>
  <si>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</si>
  <si>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</si>
  <si>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</si>
  <si>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</si>
  <si>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</si>
  <si>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</si>
  <si>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</si>
  <si>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</si>
  <si>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</si>
  <si>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</si>
  <si>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</si>
  <si>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</si>
  <si>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</si>
  <si>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</si>
  <si>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</si>
  <si>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</si>
  <si>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</si>
  <si>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</si>
  <si>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</si>
  <si>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</si>
  <si>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</si>
  <si>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</si>
  <si>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</si>
  <si>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</si>
  <si>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</si>
  <si>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</si>
  <si>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</si>
  <si>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</si>
  <si>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</si>
  <si>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</si>
  <si>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</si>
  <si>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</si>
  <si>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</si>
  <si>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</si>
  <si>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</si>
  <si>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</si>
  <si>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</si>
  <si>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</si>
  <si>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</si>
  <si>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</si>
  <si>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</si>
  <si>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</si>
  <si>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</si>
  <si>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</si>
  <si>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</si>
  <si>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</si>
  <si>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</si>
  <si>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</si>
  <si>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</si>
  <si>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</si>
  <si>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</si>
  <si>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</si>
  <si>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</si>
  <si>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</si>
  <si>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</si>
  <si>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</si>
  <si>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</si>
  <si>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</si>
  <si>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</si>
  <si>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</si>
  <si>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</si>
  <si>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</si>
  <si>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</si>
  <si>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</si>
  <si>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</si>
  <si>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</si>
  <si>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</si>
  <si>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</si>
  <si>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</si>
  <si>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</si>
  <si>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</si>
  <si>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</si>
  <si>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</si>
  <si>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</si>
  <si>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</si>
  <si>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</si>
  <si>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</si>
  <si>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</si>
  <si>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</si>
  <si>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</si>
  <si>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</si>
  <si>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</si>
  <si>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</si>
  <si>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</si>
  <si>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</si>
  <si>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</si>
  <si>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</si>
  <si>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</si>
  <si>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</si>
  <si>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</si>
  <si>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</si>
  <si>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</si>
  <si>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</si>
  <si>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</si>
  <si>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</si>
  <si>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</si>
  <si>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</si>
  <si>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</si>
  <si>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</si>
  <si>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</si>
  <si>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</si>
  <si>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</si>
  <si>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</si>
  <si>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</si>
  <si>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</si>
  <si>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</si>
  <si>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</si>
  <si>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</si>
  <si>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</si>
  <si>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</si>
  <si>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</si>
  <si>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</si>
  <si>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</si>
  <si>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</si>
  <si>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</si>
  <si>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</si>
  <si>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</si>
  <si>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</si>
  <si>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</si>
  <si>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</si>
  <si>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</si>
  <si>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</si>
  <si>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</si>
  <si>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</si>
  <si>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</si>
  <si>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</si>
  <si>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</si>
  <si>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</si>
  <si>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</si>
  <si>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</si>
  <si>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</si>
  <si>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</si>
  <si>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</si>
  <si>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</si>
  <si>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</si>
  <si>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</si>
  <si>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</si>
  <si>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</si>
  <si>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</si>
  <si>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</si>
  <si>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</si>
  <si>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</si>
  <si>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</si>
  <si>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</si>
  <si>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</si>
  <si>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</si>
  <si>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</si>
  <si>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</si>
  <si>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</si>
  <si>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</si>
  <si>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</si>
  <si>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</si>
  <si>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</si>
  <si>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</si>
  <si>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</si>
  <si>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</si>
  <si>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</si>
  <si>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</si>
  <si>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</si>
  <si>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</si>
  <si>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</si>
  <si>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</si>
  <si>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</si>
  <si>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</si>
  <si>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</si>
  <si>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</si>
  <si>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</si>
  <si>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</si>
  <si>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</si>
  <si>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</si>
  <si>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</si>
  <si>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</si>
  <si>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</si>
  <si>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</si>
  <si>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</si>
  <si>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</si>
  <si>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</si>
  <si>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</si>
  <si>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</si>
  <si>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</si>
  <si>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</si>
  <si>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</si>
  <si>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</si>
  <si>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</si>
  <si>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</si>
  <si>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</si>
  <si>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</si>
  <si>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</si>
  <si>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</si>
  <si>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</si>
  <si>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</si>
  <si>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</si>
  <si>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</si>
  <si>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</si>
  <si>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</si>
  <si>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</si>
  <si>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</si>
  <si>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</si>
  <si>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</si>
  <si>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</si>
  <si>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</si>
  <si>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</si>
  <si>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</si>
  <si>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</si>
  <si>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</si>
  <si>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</si>
  <si>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</si>
  <si>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</si>
  <si>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</si>
  <si>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</si>
  <si>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</si>
  <si>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</si>
  <si>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</si>
  <si>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</si>
  <si>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</si>
  <si>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</si>
  <si>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</si>
  <si>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</si>
  <si>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</si>
  <si>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</si>
  <si>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</si>
  <si>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</si>
  <si>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</si>
  <si>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</si>
  <si>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</si>
  <si>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</si>
  <si>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</si>
  <si>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</si>
  <si>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</si>
  <si>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</si>
  <si>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</si>
  <si>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</si>
  <si>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</si>
  <si>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</si>
  <si>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</si>
  <si>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</si>
  <si>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</si>
  <si>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</si>
  <si>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</si>
  <si>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</si>
  <si>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</si>
  <si>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</si>
  <si>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</si>
  <si>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</si>
  <si>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</si>
  <si>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</si>
  <si>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</si>
  <si>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</si>
  <si>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</si>
  <si>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</si>
  <si>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</si>
  <si>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</si>
  <si>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</si>
  <si>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</si>
  <si>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</si>
  <si>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</si>
  <si>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</si>
  <si>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</si>
  <si>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</si>
  <si>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</si>
  <si>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</si>
  <si>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</si>
  <si>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</si>
  <si>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</si>
  <si>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</si>
  <si>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</si>
  <si>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</si>
  <si>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</si>
  <si>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</si>
  <si>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</si>
  <si>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</si>
  <si>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</si>
  <si>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</si>
  <si>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</si>
  <si>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</si>
  <si>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</si>
  <si>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</si>
  <si>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</si>
  <si>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</si>
  <si>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</si>
  <si>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</si>
  <si>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</si>
  <si>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</si>
  <si>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</si>
  <si>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</si>
  <si>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</si>
  <si>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</si>
  <si>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</si>
  <si>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</si>
  <si>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</si>
  <si>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</si>
  <si>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</si>
  <si>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</si>
  <si>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</si>
  <si>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</si>
  <si>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</si>
  <si>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</si>
  <si>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</si>
  <si>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</si>
  <si>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</si>
  <si>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</si>
  <si>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</si>
  <si>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</si>
  <si>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</si>
  <si>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</si>
  <si>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</si>
  <si>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</si>
  <si>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</si>
  <si>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</si>
  <si>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</si>
  <si>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</si>
  <si>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</si>
  <si>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</si>
  <si>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</si>
  <si>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</si>
  <si>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</si>
  <si>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</si>
  <si>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</si>
  <si>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</si>
  <si>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</si>
  <si>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</si>
  <si>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</si>
  <si>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</si>
  <si>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</si>
  <si>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</si>
  <si>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</si>
  <si>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フェノバルビタール散10％
「ホエイ」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</si>
  <si>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</si>
  <si>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</si>
  <si>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</si>
  <si>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</si>
  <si>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</si>
  <si>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</si>
  <si>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</si>
  <si>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</si>
  <si>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</si>
  <si>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</si>
  <si>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</si>
  <si>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</si>
  <si>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</si>
  <si>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</si>
  <si>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</si>
  <si>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</si>
  <si>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</si>
  <si>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</si>
  <si>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</si>
  <si>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</si>
  <si>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</si>
  <si>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</si>
  <si>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</si>
  <si>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</si>
  <si>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</si>
  <si>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</si>
  <si>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</si>
  <si>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</si>
  <si>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</si>
  <si>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</si>
  <si>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</si>
  <si>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</si>
  <si>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</si>
  <si>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</si>
  <si>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</si>
  <si>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</si>
  <si>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</si>
  <si>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</si>
  <si>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</si>
  <si>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フロセミド細粒４％「EMEC」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</si>
  <si>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</si>
  <si>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</si>
  <si>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</si>
  <si>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</si>
  <si>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</si>
  <si>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</si>
  <si>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</si>
  <si>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</si>
  <si>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</si>
  <si>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</si>
  <si>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</si>
  <si>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</si>
  <si>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</si>
  <si>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</si>
  <si>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</si>
  <si>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</si>
  <si>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</si>
  <si>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</si>
  <si>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</si>
  <si>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</si>
  <si>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</si>
  <si>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</si>
  <si>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</si>
  <si>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</si>
  <si>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</si>
  <si>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</si>
  <si>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</si>
  <si>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</si>
  <si>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</si>
  <si>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</si>
  <si>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</si>
  <si>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</si>
  <si>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</si>
  <si>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</si>
  <si>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</si>
  <si>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</si>
  <si>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</si>
  <si>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</si>
  <si>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</si>
  <si>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</si>
  <si>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</si>
  <si>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</si>
  <si>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</si>
  <si>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</si>
  <si>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</si>
  <si>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</si>
  <si>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</si>
  <si>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</si>
  <si>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</si>
  <si>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</si>
  <si>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</si>
  <si>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</si>
  <si>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</si>
  <si>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</si>
  <si>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</si>
  <si>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</si>
  <si>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</si>
  <si>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</si>
  <si>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</si>
  <si>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</si>
  <si>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</si>
  <si>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</si>
  <si>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</si>
  <si>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</si>
  <si>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</si>
  <si>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</si>
  <si>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</si>
  <si>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</si>
  <si>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</si>
  <si>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</si>
  <si>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</si>
  <si>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</si>
  <si>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</si>
  <si>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</si>
  <si>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</si>
  <si>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</si>
  <si>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</si>
  <si>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</si>
  <si>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</si>
  <si>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</si>
  <si>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</si>
  <si>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</si>
  <si>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</si>
  <si>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</si>
  <si>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</si>
  <si>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</si>
  <si>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</si>
  <si>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</si>
  <si>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</si>
  <si>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</si>
  <si>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</si>
  <si>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</si>
  <si>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</si>
  <si>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</si>
  <si>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</si>
  <si>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</si>
  <si>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</si>
  <si>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</si>
  <si>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</si>
  <si>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</si>
  <si>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</si>
  <si>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</si>
  <si>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</si>
  <si>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</si>
  <si>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</si>
  <si>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</si>
  <si>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</si>
  <si>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</si>
  <si>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</si>
  <si>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</si>
  <si>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</si>
  <si>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</si>
  <si>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</si>
  <si>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</si>
  <si>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</si>
  <si>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</si>
  <si>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</si>
  <si>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</si>
  <si>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</si>
  <si>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</si>
  <si>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</si>
  <si>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</si>
  <si>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</si>
  <si>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</si>
  <si>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</si>
  <si>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</si>
  <si>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</si>
  <si>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</si>
  <si>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</si>
  <si>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</si>
  <si>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</si>
  <si>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</si>
  <si>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</si>
  <si>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</si>
  <si>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</si>
  <si>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</si>
  <si>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</si>
  <si>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</si>
  <si>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</si>
  <si>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</si>
  <si>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</si>
  <si>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</si>
  <si>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</si>
  <si>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</si>
  <si>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</si>
  <si>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</si>
  <si>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</si>
  <si>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</si>
  <si>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</si>
  <si>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</si>
  <si>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</si>
  <si>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</si>
  <si>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</si>
  <si>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</si>
  <si>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</si>
  <si>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</si>
  <si>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</si>
  <si>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</si>
  <si>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</si>
  <si>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</si>
  <si>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</si>
  <si>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</si>
  <si>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</si>
  <si>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</si>
  <si>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</si>
  <si>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</si>
  <si>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</si>
  <si>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</si>
  <si>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</si>
  <si>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</si>
  <si>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</si>
  <si>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</si>
  <si>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</si>
  <si>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</si>
  <si>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</si>
  <si>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</si>
  <si>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</si>
  <si>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</si>
  <si>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</si>
  <si>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</si>
  <si>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</si>
  <si>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</si>
  <si>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</si>
  <si>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</si>
  <si>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</si>
  <si>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</si>
  <si>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</si>
  <si>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</si>
  <si>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</si>
  <si>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</si>
  <si>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</si>
  <si>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</si>
  <si>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</si>
  <si>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</si>
  <si>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</si>
  <si>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</si>
  <si>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</si>
  <si>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</si>
  <si>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</si>
  <si>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</si>
  <si>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</si>
  <si>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</si>
  <si>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</si>
  <si>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</si>
  <si>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</si>
  <si>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</si>
  <si>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</si>
  <si>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</si>
  <si>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</si>
  <si>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</si>
  <si>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</si>
  <si>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</si>
  <si>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</si>
  <si>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</si>
  <si>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</si>
  <si>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</si>
  <si>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</si>
  <si>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</si>
  <si>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</si>
  <si>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</si>
  <si>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</si>
  <si>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</si>
  <si>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</si>
  <si>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</si>
  <si>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</si>
  <si>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</si>
  <si>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</si>
  <si>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</si>
  <si>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</si>
  <si>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</si>
  <si>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</si>
  <si>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</si>
  <si>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</si>
  <si>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</si>
  <si>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</si>
  <si>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</si>
  <si>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</si>
  <si>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</si>
  <si>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</si>
  <si>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</si>
  <si>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</si>
  <si>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</si>
  <si>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</si>
  <si>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</si>
  <si>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</si>
  <si>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</si>
  <si>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</si>
  <si>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</si>
  <si>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</si>
  <si>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</si>
  <si>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</si>
  <si>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</si>
  <si>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</si>
  <si>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</si>
  <si>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</si>
  <si>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</si>
  <si>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</si>
  <si>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</si>
  <si>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</si>
  <si>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</si>
  <si>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</si>
  <si>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</si>
  <si>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</si>
  <si>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</si>
  <si>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</si>
  <si>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</si>
  <si>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</si>
  <si>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</si>
  <si>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</si>
  <si>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</si>
  <si>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</si>
  <si>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</si>
  <si>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</si>
  <si>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</si>
  <si>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</si>
  <si>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</si>
  <si>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</si>
  <si>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</si>
  <si>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</si>
  <si>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</si>
  <si>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</si>
  <si>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</si>
  <si>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</si>
  <si>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</si>
  <si>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</si>
  <si>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</si>
  <si>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</si>
  <si>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</si>
  <si>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</si>
  <si>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</si>
  <si>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</si>
  <si>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</si>
  <si>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</si>
  <si>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</si>
  <si>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</si>
  <si>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</si>
  <si>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</si>
  <si>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</si>
  <si>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</si>
  <si>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</si>
  <si>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</si>
  <si>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</si>
  <si>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</si>
  <si>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</si>
  <si>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</si>
  <si>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</si>
  <si>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</si>
  <si>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</si>
  <si>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</si>
  <si>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</si>
  <si>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</si>
  <si>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</si>
  <si>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</si>
  <si>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</si>
  <si>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</si>
  <si>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</si>
  <si>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</si>
  <si>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</si>
  <si>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</si>
  <si>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</si>
  <si>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</si>
  <si>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</si>
  <si>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</si>
  <si>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</si>
  <si>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</si>
  <si>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</si>
  <si>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</si>
  <si>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</si>
  <si>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</si>
  <si>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</si>
  <si>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</si>
  <si>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</si>
  <si>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</si>
  <si>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</si>
  <si>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</si>
  <si>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</si>
  <si>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</si>
  <si>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</si>
  <si>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</si>
  <si>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</si>
  <si>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</si>
  <si>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</si>
  <si>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</si>
  <si>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</si>
  <si>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</si>
  <si>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</si>
  <si>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</si>
  <si>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</si>
  <si>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</si>
  <si>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</si>
  <si>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</si>
  <si>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</si>
  <si>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</si>
  <si>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</si>
  <si>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</si>
  <si>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</si>
  <si>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</si>
  <si>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</si>
  <si>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</si>
  <si>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</si>
  <si>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</si>
  <si>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</si>
  <si>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</si>
  <si>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</si>
  <si>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</si>
  <si>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</si>
  <si>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</si>
  <si>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</si>
  <si>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</si>
  <si>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</si>
  <si>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</si>
  <si>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</si>
  <si>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</si>
  <si>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</si>
  <si>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</si>
  <si>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</si>
  <si>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</si>
  <si>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</si>
  <si>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</si>
  <si>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</si>
  <si>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</si>
  <si>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</si>
  <si>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</si>
  <si>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</si>
  <si>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</si>
  <si>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</si>
  <si>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</si>
  <si>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</si>
  <si>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</si>
  <si>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</si>
  <si>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</si>
  <si>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</si>
  <si>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</si>
  <si>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</si>
  <si>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</si>
  <si>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</si>
  <si>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</si>
  <si>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</si>
  <si>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</si>
  <si>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</si>
  <si>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</si>
  <si>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</si>
  <si>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</si>
  <si>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</si>
  <si>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</si>
  <si>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</si>
  <si>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</si>
  <si>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</si>
  <si>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</si>
  <si>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</si>
  <si>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</si>
  <si>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</si>
  <si>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</si>
  <si>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</si>
  <si>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</si>
  <si>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</si>
  <si>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</si>
  <si>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</si>
  <si>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</si>
  <si>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</si>
  <si>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</si>
  <si>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</si>
  <si>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</si>
  <si>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</si>
  <si>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</si>
  <si>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</si>
  <si>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</si>
  <si>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</si>
  <si>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</si>
  <si>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</si>
  <si>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</si>
  <si>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</si>
  <si>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</si>
  <si>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</si>
  <si>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</si>
  <si>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</si>
  <si>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</si>
  <si>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</si>
  <si>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</si>
  <si>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</si>
  <si>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</si>
  <si>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</si>
  <si>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</si>
  <si>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</si>
  <si>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</si>
  <si>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</si>
  <si>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</si>
  <si>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</si>
  <si>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</si>
  <si>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</si>
  <si>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</si>
  <si>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</si>
  <si>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</si>
  <si>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</si>
  <si>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</si>
  <si>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</si>
  <si>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</si>
  <si>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</si>
  <si>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</si>
  <si>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</si>
  <si>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</si>
  <si>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</si>
  <si>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</si>
  <si>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</si>
  <si>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</si>
  <si>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</si>
  <si>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</si>
  <si>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</si>
  <si>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</si>
  <si>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</si>
  <si>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</si>
  <si>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</si>
  <si>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</si>
  <si>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</si>
  <si>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</si>
  <si>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</si>
  <si>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</si>
  <si>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</si>
  <si>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</si>
  <si>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</si>
  <si>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</si>
  <si>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</si>
  <si>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</si>
  <si>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</si>
  <si>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</si>
  <si>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</si>
  <si>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</si>
  <si>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</si>
  <si>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</si>
  <si>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</si>
  <si>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</si>
  <si>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</si>
  <si>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</si>
  <si>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</si>
  <si>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</si>
  <si>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</si>
  <si>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</si>
  <si>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</si>
  <si>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</si>
  <si>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</si>
  <si>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</si>
  <si>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</si>
  <si>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</si>
  <si>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</si>
  <si>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</si>
  <si>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</si>
  <si>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</si>
  <si>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</si>
  <si>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</si>
  <si>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</si>
  <si>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</si>
  <si>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</si>
  <si>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</si>
  <si>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</si>
  <si>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</si>
  <si>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</si>
  <si>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</si>
  <si>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</si>
  <si>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</si>
  <si>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</si>
  <si>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</si>
  <si>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</si>
  <si>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</si>
  <si>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</si>
  <si>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</si>
  <si>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</si>
  <si>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</si>
  <si>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</si>
  <si>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</si>
  <si>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</si>
  <si>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</si>
  <si>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</si>
  <si>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</si>
  <si>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</si>
  <si>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</si>
  <si>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</si>
  <si>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</si>
  <si>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</si>
  <si>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</si>
  <si>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</si>
  <si>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</si>
  <si>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</si>
  <si>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</si>
  <si>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</si>
  <si>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</si>
  <si>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</si>
  <si>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</si>
  <si>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</si>
  <si>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</si>
  <si>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</si>
  <si>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</si>
  <si>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</si>
  <si>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</si>
  <si>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</si>
  <si>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</si>
  <si>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</si>
  <si>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</si>
  <si>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</si>
  <si>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</si>
  <si>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</si>
  <si>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</si>
  <si>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</si>
  <si>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</si>
  <si>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</si>
  <si>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</si>
  <si>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</si>
  <si>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</si>
  <si>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</si>
  <si>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</si>
  <si>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</si>
  <si>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</si>
  <si>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</si>
  <si>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</si>
  <si>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</si>
  <si>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</si>
  <si>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</si>
  <si>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</si>
  <si>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</si>
  <si>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</si>
  <si>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</si>
  <si>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</si>
  <si>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</si>
  <si>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</si>
  <si>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</si>
  <si>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</si>
  <si>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</si>
  <si>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</si>
  <si>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</si>
  <si>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</si>
  <si>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</si>
  <si>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</si>
  <si>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</si>
  <si>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</si>
  <si>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</si>
  <si>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</si>
  <si>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</si>
  <si>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</si>
  <si>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</si>
  <si>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</si>
  <si>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</si>
  <si>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</si>
  <si>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</si>
  <si>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</si>
  <si>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</si>
  <si>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</si>
  <si>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</si>
  <si>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</si>
  <si>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</si>
  <si>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</si>
  <si>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</si>
  <si>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</si>
  <si>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</si>
  <si>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</si>
  <si>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</si>
  <si>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</si>
  <si>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</si>
  <si>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</si>
  <si>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</si>
  <si>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</si>
  <si>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</si>
  <si>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</si>
  <si>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</si>
  <si>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</si>
  <si>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</si>
  <si>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</si>
  <si>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</si>
  <si>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</si>
  <si>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</si>
  <si>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</si>
  <si>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</si>
  <si>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</si>
  <si>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</si>
  <si>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</si>
  <si>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</si>
  <si>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</si>
  <si>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</si>
  <si>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</si>
  <si>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</si>
  <si>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</si>
  <si>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</si>
  <si>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</si>
  <si>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</si>
  <si>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</si>
  <si>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</si>
  <si>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</si>
  <si>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</si>
  <si>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</si>
  <si>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</si>
  <si>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</si>
  <si>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</si>
  <si>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</si>
  <si>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</si>
  <si>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</si>
  <si>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</si>
  <si>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</si>
  <si>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</si>
  <si>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</si>
  <si>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</si>
  <si>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</si>
  <si>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</si>
  <si>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</si>
  <si>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</si>
  <si>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</si>
  <si>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</si>
  <si>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</si>
  <si>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</si>
  <si>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</si>
  <si>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</si>
  <si>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</si>
  <si>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</si>
  <si>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</si>
  <si>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</si>
  <si>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</si>
  <si>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</si>
  <si>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</si>
  <si>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</si>
  <si>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</si>
  <si>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</si>
  <si>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</si>
  <si>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</si>
  <si>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</si>
  <si>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</si>
  <si>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</si>
  <si>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</si>
  <si>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</si>
  <si>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</si>
  <si>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</si>
  <si>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</si>
  <si>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</si>
  <si>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</si>
  <si>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</si>
  <si>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</si>
  <si>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</si>
  <si>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</si>
  <si>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</si>
  <si>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</si>
  <si>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</si>
  <si>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</si>
  <si>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</si>
  <si>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</si>
  <si>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</si>
  <si>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</si>
  <si>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</si>
  <si>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</si>
  <si>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</si>
  <si>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</si>
  <si>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</si>
  <si>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</si>
  <si>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</si>
  <si>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</si>
  <si>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</si>
  <si>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</si>
  <si>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</si>
  <si>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</si>
  <si>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</si>
  <si>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</si>
  <si>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</si>
  <si>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</si>
  <si>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</si>
  <si>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</si>
  <si>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</si>
  <si>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</si>
  <si>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</si>
  <si>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</si>
  <si>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</si>
  <si>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</si>
  <si>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</si>
  <si>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</si>
  <si>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</si>
  <si>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</si>
  <si>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</si>
  <si>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</si>
  <si>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</si>
  <si>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</si>
  <si>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</si>
  <si>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</si>
  <si>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</si>
  <si>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</si>
  <si>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</si>
  <si>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</si>
  <si>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</si>
  <si>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</si>
  <si>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</si>
  <si>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</si>
  <si>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</si>
  <si>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</si>
  <si>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</si>
  <si>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</si>
  <si>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</si>
  <si>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</si>
  <si>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</si>
  <si>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</si>
  <si>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</si>
  <si>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</si>
  <si>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</si>
  <si>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</si>
  <si>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</si>
  <si>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</si>
  <si>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</si>
  <si>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</si>
  <si>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</si>
  <si>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</si>
  <si>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</si>
  <si>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</si>
  <si>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</si>
  <si>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</si>
  <si>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</si>
  <si>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</si>
  <si>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</si>
  <si>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</si>
  <si>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</si>
  <si>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</si>
  <si>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</si>
  <si>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</si>
  <si>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</si>
  <si>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</si>
  <si>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</si>
  <si>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</si>
  <si>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</si>
  <si>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</si>
  <si>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</si>
  <si>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</si>
  <si>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</si>
  <si>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</si>
  <si>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</si>
  <si>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</si>
  <si>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</si>
  <si>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</si>
  <si>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</si>
  <si>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</si>
  <si>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</si>
  <si>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</si>
  <si>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</si>
  <si>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</si>
  <si>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</si>
  <si>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</si>
  <si>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</si>
  <si>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</si>
  <si>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</si>
  <si>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</si>
  <si>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</si>
  <si>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</si>
  <si>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</si>
  <si>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</si>
  <si>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</si>
  <si>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</si>
  <si>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</si>
  <si>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</si>
  <si>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</si>
  <si>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</si>
  <si>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</si>
  <si>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</si>
  <si>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</si>
  <si>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</si>
  <si>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</si>
  <si>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</si>
  <si>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</si>
  <si>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</si>
  <si>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</si>
  <si>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</si>
  <si>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</si>
  <si>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</si>
  <si>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</si>
  <si>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</si>
  <si>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</si>
  <si>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</si>
  <si>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</si>
  <si>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</si>
  <si>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</si>
  <si>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</si>
  <si>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</si>
  <si>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</si>
  <si>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</si>
  <si>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</si>
  <si>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</si>
  <si>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</si>
  <si>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</si>
  <si>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</si>
  <si>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</si>
  <si>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</si>
  <si>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</si>
  <si>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</si>
  <si>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</si>
  <si>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</si>
  <si>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</si>
  <si>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</si>
  <si>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</si>
  <si>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</si>
  <si>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</si>
  <si>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</si>
  <si>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</si>
  <si>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</si>
  <si>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</si>
  <si>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</si>
  <si>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</si>
  <si>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</si>
  <si>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</si>
  <si>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</si>
  <si>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</si>
  <si>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</si>
  <si>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</si>
  <si>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</si>
  <si>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</si>
  <si>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</si>
  <si>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</si>
  <si>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</si>
  <si>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</si>
  <si>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</si>
  <si>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</si>
  <si>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</si>
  <si>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</si>
  <si>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</si>
  <si>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</si>
  <si>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</si>
  <si>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</si>
  <si>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</si>
  <si>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</si>
  <si>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</si>
  <si>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</si>
  <si>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</si>
  <si>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</si>
  <si>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</si>
  <si>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</si>
  <si>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</si>
  <si>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</si>
  <si>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</si>
  <si>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</si>
  <si>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</si>
  <si>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</si>
  <si>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</si>
  <si>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</si>
  <si>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</si>
  <si>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</si>
  <si>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</si>
  <si>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</si>
  <si>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</si>
  <si>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</si>
  <si>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</si>
  <si>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</si>
  <si>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</si>
  <si>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</si>
  <si>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</si>
  <si>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</si>
  <si>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</si>
  <si>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</si>
  <si>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</si>
  <si>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</si>
  <si>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</si>
  <si>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</si>
  <si>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</si>
  <si>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</si>
  <si>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</si>
  <si>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</si>
  <si>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</si>
  <si>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</si>
  <si>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</si>
  <si>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</si>
  <si>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</si>
  <si>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</si>
  <si>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</si>
  <si>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</si>
  <si>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</si>
  <si>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</si>
  <si>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</si>
  <si>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</si>
  <si>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</si>
  <si>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</si>
  <si>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</si>
  <si>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</si>
  <si>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</si>
  <si>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</si>
  <si>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</si>
  <si>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</si>
  <si>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</si>
  <si>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</si>
  <si>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</si>
  <si>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</si>
  <si>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</si>
  <si>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</si>
  <si>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</si>
  <si>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</si>
  <si>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</si>
  <si>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</si>
  <si>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</si>
  <si>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</si>
  <si>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</si>
  <si>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</si>
  <si>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</si>
  <si>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</si>
  <si>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</si>
  <si>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</si>
  <si>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</si>
  <si>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</si>
  <si>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</si>
  <si>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</si>
  <si>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</si>
  <si>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</si>
  <si>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</si>
  <si>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</si>
  <si>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</si>
  <si>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</si>
  <si>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</si>
  <si>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</si>
  <si>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</si>
  <si>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</si>
  <si>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</si>
  <si>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</si>
  <si>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</si>
  <si>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</si>
  <si>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</si>
  <si>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</si>
  <si>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</si>
  <si>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</si>
  <si>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</si>
  <si>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</si>
  <si>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</si>
  <si>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</si>
  <si>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</si>
  <si>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</si>
  <si>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</si>
  <si>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</si>
  <si>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</si>
  <si>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</si>
  <si>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</si>
  <si>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</si>
  <si>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</si>
  <si>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</si>
  <si>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</si>
  <si>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</si>
  <si>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</si>
  <si>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</si>
  <si>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</si>
  <si>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</si>
  <si>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</si>
  <si>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</si>
  <si>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</si>
  <si>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</si>
  <si>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</si>
  <si>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</si>
  <si>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</si>
  <si>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</si>
  <si>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</si>
  <si>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</si>
  <si>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</si>
  <si>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</si>
  <si>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</si>
  <si>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</si>
  <si>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</si>
  <si>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</si>
  <si>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</si>
  <si>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</si>
  <si>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</si>
  <si>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</si>
  <si>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</si>
  <si>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</si>
  <si>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</si>
  <si>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</si>
  <si>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</si>
  <si>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</si>
  <si>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</si>
  <si>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</si>
  <si>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</si>
  <si>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</si>
  <si>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</si>
  <si>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</si>
  <si>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</si>
  <si>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</si>
  <si>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</si>
  <si>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</si>
  <si>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</si>
  <si>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</si>
  <si>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</si>
  <si>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</si>
  <si>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</si>
  <si>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</si>
  <si>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</si>
  <si>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</si>
  <si>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</si>
  <si>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</si>
  <si>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</si>
  <si>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</si>
  <si>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</si>
  <si>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</si>
  <si>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</si>
  <si>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</si>
  <si>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</si>
  <si>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</si>
  <si>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</si>
  <si>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</si>
  <si>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</si>
  <si>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</si>
  <si>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</si>
  <si>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</si>
  <si>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</si>
  <si>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</si>
  <si>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</si>
  <si>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</si>
  <si>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</si>
  <si>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</si>
  <si>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</si>
  <si>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</si>
  <si>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</si>
  <si>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</si>
  <si>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</si>
  <si>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</si>
  <si>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</si>
  <si>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</si>
  <si>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</si>
  <si>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</si>
  <si>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</si>
  <si>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</si>
  <si>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</si>
  <si>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</si>
  <si>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</si>
  <si>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</si>
  <si>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</si>
  <si>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</si>
  <si>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</si>
  <si>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</si>
  <si>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</si>
  <si>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</si>
  <si>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</si>
  <si>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</si>
  <si>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</si>
  <si>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</si>
  <si>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</si>
  <si>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</si>
  <si>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</si>
  <si>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</si>
  <si>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</si>
  <si>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</si>
  <si>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</si>
  <si>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</si>
  <si>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</si>
  <si>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</si>
  <si>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</si>
  <si>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</si>
  <si>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</si>
  <si>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</si>
  <si>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</si>
  <si>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</si>
  <si>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</si>
  <si>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</si>
  <si>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</si>
  <si>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</si>
  <si>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</si>
  <si>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</si>
  <si>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</si>
  <si>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</si>
  <si>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</si>
  <si>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</si>
  <si>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</si>
  <si>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</si>
  <si>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</si>
  <si>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</si>
  <si>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</si>
  <si>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</si>
  <si>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</si>
  <si>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</si>
  <si>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</si>
  <si>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</si>
  <si>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</si>
  <si>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</si>
  <si>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</si>
  <si>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</si>
  <si>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</si>
  <si>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</si>
  <si>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</si>
  <si>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</si>
  <si>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</si>
  <si>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</si>
  <si>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</si>
  <si>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</si>
  <si>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</si>
  <si>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</si>
  <si>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</si>
  <si>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</si>
  <si>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</si>
  <si>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</si>
  <si>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</si>
  <si>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</si>
  <si>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</si>
  <si>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</si>
  <si>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</si>
  <si>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</si>
  <si>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</si>
  <si>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</si>
  <si>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</si>
  <si>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</si>
  <si>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</si>
  <si>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</si>
  <si>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</si>
  <si>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</si>
  <si>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</si>
  <si>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</si>
  <si>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</si>
  <si>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</si>
  <si>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</si>
  <si>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</si>
  <si>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</si>
  <si>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</si>
  <si>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</si>
  <si>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</si>
  <si>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</si>
  <si>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</si>
  <si>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</si>
  <si>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</si>
  <si>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</si>
  <si>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</si>
  <si>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</si>
  <si>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</si>
  <si>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</si>
  <si>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</si>
  <si>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</si>
  <si>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</si>
  <si>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</si>
  <si>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</si>
  <si>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</si>
  <si>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</si>
  <si>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</si>
  <si>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</si>
  <si>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</si>
  <si>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</si>
  <si>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</si>
  <si>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</si>
  <si>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</si>
  <si>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</si>
  <si>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</si>
  <si>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</si>
  <si>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</si>
  <si>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</si>
  <si>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</si>
  <si>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</si>
  <si>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</si>
  <si>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</si>
  <si>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</si>
  <si>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</si>
  <si>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</si>
  <si>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</si>
  <si>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</si>
  <si>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</si>
  <si>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</si>
  <si>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</si>
  <si>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</si>
  <si>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</si>
  <si>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</si>
  <si>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</si>
  <si>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</si>
  <si>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</si>
  <si>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</si>
  <si>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</si>
  <si>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</si>
  <si>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</si>
  <si>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</si>
  <si>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</si>
  <si>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</si>
  <si>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</si>
  <si>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</si>
  <si>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</si>
  <si>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</si>
  <si>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</si>
  <si>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</si>
  <si>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</si>
  <si>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</si>
  <si>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</si>
  <si>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</si>
  <si>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</si>
  <si>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</si>
  <si>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</si>
  <si>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</si>
  <si>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</si>
  <si>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</si>
  <si>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</si>
  <si>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</si>
  <si>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</si>
  <si>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</si>
  <si>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</si>
  <si>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</si>
  <si>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</si>
  <si>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</si>
  <si>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</si>
  <si>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</si>
  <si>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</si>
  <si>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</si>
  <si>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</si>
  <si>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</si>
  <si>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</si>
  <si>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</si>
  <si>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</si>
  <si>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</si>
  <si>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</si>
  <si>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</si>
  <si>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</si>
  <si>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</si>
  <si>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</si>
  <si>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</si>
  <si>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</si>
  <si>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</si>
  <si>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</si>
  <si>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</si>
  <si>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</si>
  <si>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</si>
  <si>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</si>
  <si>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</si>
  <si>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</si>
  <si>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</si>
  <si>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</si>
  <si>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</si>
  <si>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</si>
  <si>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</si>
  <si>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</si>
  <si>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</si>
  <si>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</si>
  <si>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</si>
  <si>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</si>
  <si>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</si>
  <si>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</si>
  <si>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</si>
  <si>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</si>
  <si>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</si>
  <si>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</si>
  <si>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</si>
  <si>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</si>
  <si>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</si>
  <si>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</si>
  <si>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</si>
  <si>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</si>
  <si>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</si>
  <si>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</si>
  <si>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</si>
  <si>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</si>
  <si>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</si>
  <si>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</si>
  <si>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</si>
  <si>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</si>
  <si>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</si>
  <si>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</si>
  <si>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</si>
  <si>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</si>
  <si>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</si>
  <si>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</si>
  <si>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</si>
  <si>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</si>
  <si>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</si>
  <si>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</si>
  <si>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</si>
  <si>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</si>
  <si>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</si>
  <si>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</si>
  <si>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</si>
  <si>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</si>
  <si>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</si>
  <si>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</si>
  <si>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</si>
  <si>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</si>
  <si>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</si>
  <si>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</si>
  <si>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</si>
  <si>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</si>
  <si>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</si>
  <si>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</si>
  <si>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</si>
  <si>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</si>
  <si>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</si>
  <si>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</si>
  <si>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</si>
  <si>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</si>
  <si>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</si>
  <si>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</si>
  <si>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</si>
  <si>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</si>
  <si>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</si>
  <si>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</si>
  <si>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</si>
  <si>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</si>
  <si>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</si>
  <si>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</si>
  <si>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</si>
  <si>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</si>
  <si>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</si>
  <si>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</si>
  <si>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</si>
  <si>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</si>
  <si>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</si>
  <si>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</si>
  <si>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</si>
  <si>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</si>
  <si>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</si>
  <si>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</si>
  <si>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</si>
  <si>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</si>
  <si>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</si>
  <si>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</si>
  <si>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</si>
  <si>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</si>
  <si>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</si>
  <si>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</si>
  <si>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</si>
  <si>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</si>
  <si>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</si>
  <si>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</si>
  <si>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</si>
  <si>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</si>
  <si>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</si>
  <si>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</si>
  <si>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</si>
  <si>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</si>
  <si>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</si>
  <si>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</si>
  <si>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</si>
  <si>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</si>
  <si>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</si>
  <si>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</si>
  <si>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</si>
  <si>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</si>
  <si>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</si>
  <si>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</si>
  <si>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</si>
  <si>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</si>
  <si>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</si>
  <si>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</si>
  <si>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</si>
  <si>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</si>
  <si>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</si>
  <si>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</si>
  <si>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</si>
  <si>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</si>
  <si>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</si>
  <si>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</si>
  <si>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</si>
  <si>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</si>
  <si>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</si>
  <si>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</si>
  <si>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</si>
  <si>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</si>
  <si>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</si>
  <si>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</si>
  <si>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</si>
  <si>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</si>
  <si>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</si>
  <si>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</si>
  <si>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</si>
  <si>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</si>
  <si>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</si>
  <si>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</si>
  <si>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</si>
  <si>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</si>
  <si>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</si>
  <si>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</si>
  <si>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</si>
  <si>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</si>
  <si>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</si>
  <si>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</si>
  <si>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</si>
  <si>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</si>
  <si>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</si>
  <si>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</si>
  <si>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</si>
  <si>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</si>
  <si>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</si>
  <si>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</si>
  <si>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</si>
  <si>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</si>
  <si>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</si>
  <si>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</si>
  <si>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</si>
  <si>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</si>
  <si>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</si>
  <si>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</si>
  <si>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</si>
  <si>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</si>
  <si>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</si>
  <si>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</si>
  <si>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</si>
  <si>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</si>
  <si>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</si>
  <si>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</si>
  <si>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</si>
  <si>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</si>
  <si>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</si>
  <si>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</si>
  <si>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</si>
  <si>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</si>
  <si>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</si>
  <si>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</si>
  <si>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</si>
  <si>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</si>
  <si>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</si>
  <si>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</si>
  <si>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</si>
  <si>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</si>
  <si>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</si>
  <si>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</si>
  <si>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</si>
  <si>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</si>
  <si>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</si>
  <si>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</si>
  <si>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</si>
  <si>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</si>
  <si>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</si>
  <si>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</si>
  <si>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</si>
  <si>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</si>
  <si>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</si>
  <si>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</si>
  <si>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</si>
  <si>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</si>
  <si>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</si>
  <si>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</si>
  <si>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</si>
  <si>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</si>
  <si>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</si>
  <si>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</si>
  <si>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</si>
  <si>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</si>
  <si>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</si>
  <si>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</si>
  <si>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</si>
  <si>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</si>
  <si>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</si>
  <si>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</si>
  <si>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</si>
  <si>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</si>
  <si>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</si>
  <si>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</si>
  <si>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</si>
  <si>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</si>
  <si>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</si>
  <si>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</si>
  <si>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</si>
  <si>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</si>
  <si>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</si>
  <si>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</si>
  <si>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</si>
  <si>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</si>
  <si>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</si>
  <si>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</si>
  <si>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</si>
  <si>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</si>
  <si>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</si>
  <si>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</si>
  <si>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</si>
  <si>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</si>
  <si>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</si>
  <si>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</si>
  <si>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</si>
  <si>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</si>
  <si>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</si>
  <si>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</si>
  <si>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</si>
  <si>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</si>
  <si>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</si>
  <si>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</si>
  <si>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</si>
  <si>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</si>
  <si>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</si>
  <si>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</si>
  <si>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</si>
  <si>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</si>
  <si>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</si>
  <si>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</si>
  <si>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</si>
  <si>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</si>
  <si>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</si>
  <si>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</si>
  <si>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</si>
  <si>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</si>
  <si>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</si>
  <si>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</si>
  <si>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</si>
  <si>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</si>
  <si>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</si>
  <si>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</si>
  <si>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</si>
  <si>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</si>
  <si>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</si>
  <si>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</si>
  <si>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</si>
  <si>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</si>
  <si>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</si>
  <si>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</si>
  <si>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</si>
  <si>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</si>
  <si>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</si>
  <si>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</si>
  <si>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</si>
  <si>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</si>
  <si>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</si>
  <si>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</si>
  <si>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</si>
  <si>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</si>
  <si>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</si>
  <si>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</si>
  <si>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</si>
  <si>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</si>
  <si>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</si>
  <si>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</si>
  <si>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</si>
  <si>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</si>
  <si>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</si>
  <si>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</si>
  <si>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</si>
  <si>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</si>
  <si>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</si>
  <si>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</si>
  <si>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</si>
  <si>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</si>
  <si>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</si>
  <si>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</si>
  <si>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</si>
  <si>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</si>
  <si>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</si>
  <si>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</si>
  <si>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</si>
  <si>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</si>
  <si>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</si>
  <si>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</si>
  <si>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</si>
  <si>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</si>
  <si>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</si>
  <si>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</si>
  <si>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</si>
  <si>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</si>
  <si>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</si>
  <si>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</si>
  <si>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</si>
  <si>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</si>
  <si>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</si>
  <si>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</si>
  <si>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</si>
  <si>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</si>
  <si>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</si>
  <si>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</si>
  <si>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</si>
  <si>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</si>
  <si>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</si>
  <si>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</si>
  <si>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</si>
  <si>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</si>
  <si>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</si>
  <si>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</si>
  <si>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</si>
  <si>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</si>
  <si>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</si>
  <si>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</si>
  <si>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</si>
  <si>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</si>
  <si>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</si>
  <si>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</si>
  <si>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</si>
  <si>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</si>
  <si>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</si>
  <si>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</si>
  <si>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</si>
  <si>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</si>
  <si>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</si>
  <si>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</si>
  <si>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</si>
  <si>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</si>
  <si>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</si>
  <si>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</si>
  <si>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</si>
  <si>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</si>
  <si>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</si>
  <si>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</si>
  <si>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</si>
  <si>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</si>
  <si>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</si>
  <si>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</si>
  <si>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</si>
  <si>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</si>
  <si>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</si>
  <si>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</si>
  <si>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</si>
  <si>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</si>
  <si>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</si>
  <si>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</si>
  <si>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</si>
  <si>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</si>
  <si>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</si>
  <si>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</si>
  <si>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</si>
  <si>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</si>
  <si>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</si>
  <si>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</si>
  <si>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</si>
  <si>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</si>
  <si>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</si>
  <si>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</si>
  <si>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</si>
  <si>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</si>
  <si>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</si>
  <si>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</si>
  <si>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</si>
  <si>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</si>
  <si>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</si>
  <si>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</si>
  <si>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</si>
  <si>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</si>
  <si>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</si>
  <si>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</si>
  <si>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</si>
  <si>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</si>
  <si>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</si>
  <si>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</si>
  <si>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</si>
  <si>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</si>
  <si>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</si>
  <si>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</si>
  <si>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</si>
  <si>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</si>
  <si>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</si>
  <si>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</si>
  <si>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</si>
  <si>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</si>
  <si>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</si>
  <si>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</si>
  <si>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</si>
  <si>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</si>
  <si>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</si>
  <si>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</si>
  <si>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</si>
  <si>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</si>
  <si>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</si>
  <si>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</si>
  <si>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</si>
  <si>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</si>
  <si>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</si>
  <si>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</si>
  <si>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</si>
  <si>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</si>
  <si>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</si>
  <si>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</si>
  <si>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</si>
  <si>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</si>
  <si>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</si>
  <si>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</si>
  <si>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</si>
  <si>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</si>
  <si>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</si>
  <si>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</si>
  <si>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</si>
  <si>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</si>
  <si>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</si>
  <si>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</si>
  <si>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</si>
  <si>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</si>
  <si>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</si>
  <si>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</si>
  <si>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</si>
  <si>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</si>
  <si>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</si>
  <si>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</si>
  <si>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</si>
  <si>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</si>
  <si>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</si>
  <si>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</si>
  <si>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</si>
  <si>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</si>
  <si>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</si>
  <si>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</si>
  <si>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</si>
  <si>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</si>
  <si>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</si>
  <si>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</si>
  <si>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</si>
  <si>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</si>
  <si>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</si>
  <si>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</si>
  <si>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</si>
  <si>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</si>
  <si>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</si>
  <si>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</si>
  <si>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</si>
  <si>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</si>
  <si>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</si>
  <si>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</si>
  <si>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</si>
  <si>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</si>
  <si>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</si>
  <si>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</si>
  <si>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</si>
  <si>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</si>
  <si>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</si>
  <si>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</si>
  <si>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</si>
  <si>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</si>
  <si>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</si>
  <si>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</si>
  <si>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</si>
  <si>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</si>
  <si>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</si>
  <si>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</si>
  <si>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</si>
  <si>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</si>
  <si>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</si>
  <si>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</si>
  <si>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</si>
  <si>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</si>
  <si>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</si>
  <si>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</si>
  <si>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</si>
  <si>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</si>
  <si>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</si>
  <si>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</si>
  <si>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</si>
  <si>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</si>
  <si>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</si>
  <si>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</si>
  <si>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</si>
  <si>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</si>
  <si>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</si>
  <si>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</si>
  <si>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</si>
  <si>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</si>
  <si>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</si>
  <si>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</si>
  <si>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</si>
  <si>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</si>
  <si>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</si>
  <si>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</si>
  <si>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</si>
  <si>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</si>
  <si>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</si>
  <si>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</si>
  <si>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</si>
  <si>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</si>
  <si>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</si>
  <si>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</si>
  <si>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</si>
  <si>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</si>
  <si>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</si>
  <si>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</si>
  <si>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</si>
  <si>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</si>
  <si>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</si>
  <si>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</si>
  <si>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</si>
  <si>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</si>
  <si>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</si>
  <si>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</si>
  <si>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</si>
  <si>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</si>
  <si>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</si>
  <si>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</si>
  <si>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</si>
  <si>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</si>
  <si>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</si>
  <si>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</si>
  <si>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</si>
  <si>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</si>
  <si>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</si>
  <si>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</si>
  <si>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</si>
  <si>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</si>
  <si>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</si>
  <si>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</si>
  <si>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</si>
  <si>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</si>
  <si>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</si>
  <si>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</si>
  <si>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</si>
  <si>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</si>
  <si>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</si>
  <si>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</si>
  <si>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</si>
  <si>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</si>
  <si>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</si>
  <si>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</si>
  <si>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</si>
  <si>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</si>
  <si>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</si>
  <si>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</si>
  <si>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</si>
  <si>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</si>
  <si>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</si>
  <si>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</si>
  <si>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</si>
  <si>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</si>
  <si>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</si>
  <si>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</si>
  <si>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</si>
  <si>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</si>
  <si>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</si>
  <si>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</si>
  <si>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</si>
  <si>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</si>
  <si>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</si>
  <si>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</si>
  <si>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</si>
  <si>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</si>
  <si>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</si>
  <si>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</si>
  <si>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</si>
  <si>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</si>
  <si>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</si>
  <si>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</si>
  <si>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</si>
  <si>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</si>
  <si>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</si>
  <si>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</si>
  <si>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</si>
  <si>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</si>
  <si>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</si>
  <si>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</si>
  <si>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</si>
  <si>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</si>
  <si>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</si>
  <si>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</si>
  <si>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</si>
  <si>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</si>
  <si>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</si>
  <si>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</si>
  <si>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</si>
  <si>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</si>
  <si>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</si>
  <si>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</si>
  <si>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</si>
  <si>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</si>
  <si>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</si>
  <si>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</si>
  <si>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</si>
  <si>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</si>
  <si>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</si>
  <si>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</si>
  <si>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</si>
  <si>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</si>
  <si>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</si>
  <si>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</si>
  <si>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</si>
  <si>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</si>
  <si>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</si>
  <si>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</si>
  <si>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</si>
  <si>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</si>
  <si>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</si>
  <si>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</si>
  <si>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</si>
  <si>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</si>
  <si>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</si>
  <si>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</si>
  <si>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</si>
  <si>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</si>
  <si>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</si>
  <si>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</si>
  <si>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</si>
  <si>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</si>
  <si>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</si>
  <si>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</si>
  <si>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</si>
  <si>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</si>
  <si>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</si>
  <si>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</si>
  <si>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</si>
  <si>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</si>
  <si>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</si>
  <si>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</si>
  <si>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</si>
  <si>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</si>
  <si>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</si>
  <si>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</si>
  <si>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</si>
  <si>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</si>
  <si>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</si>
  <si>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</si>
  <si>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</si>
  <si>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</si>
  <si>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</si>
  <si>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</si>
  <si>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</si>
  <si>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</si>
  <si>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</si>
  <si>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</si>
  <si>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</si>
  <si>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</si>
  <si>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</si>
  <si>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</si>
  <si>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</si>
  <si>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</si>
  <si>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</si>
  <si>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</si>
  <si>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</si>
  <si>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</si>
  <si>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</si>
  <si>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</si>
  <si>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</si>
  <si>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</si>
  <si>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</si>
  <si>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</si>
  <si>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</si>
  <si>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</si>
  <si>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</si>
  <si>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</si>
  <si>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</si>
  <si>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</si>
  <si>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</si>
  <si>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</si>
  <si>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</si>
  <si>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</si>
  <si>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</si>
  <si>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</si>
  <si>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</si>
  <si>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</si>
  <si>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</si>
  <si>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</si>
  <si>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</si>
  <si>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</si>
  <si>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</si>
  <si>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</si>
  <si>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</si>
  <si>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</si>
  <si>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</si>
  <si>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</si>
  <si>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</si>
  <si>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</si>
  <si>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</si>
  <si>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</si>
  <si>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</si>
  <si>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</si>
  <si>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</si>
  <si>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</si>
  <si>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</si>
  <si>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</si>
  <si>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</si>
  <si>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</si>
  <si>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</si>
  <si>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</si>
  <si>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</si>
  <si>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</si>
  <si>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</si>
  <si>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</si>
  <si>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</si>
  <si>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</si>
  <si>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</si>
  <si>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</si>
  <si>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</si>
  <si>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</si>
  <si>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</si>
  <si>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</si>
  <si>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</si>
  <si>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</si>
  <si>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</si>
  <si>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</si>
  <si>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</si>
  <si>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</si>
  <si>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</si>
  <si>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</si>
  <si>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</si>
  <si>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</si>
  <si>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</si>
  <si>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</si>
  <si>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</si>
  <si>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</si>
  <si>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</si>
  <si>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</si>
  <si>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</si>
  <si>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</si>
  <si>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</si>
  <si>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</si>
  <si>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</si>
  <si>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</si>
  <si>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</si>
  <si>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</si>
  <si>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</si>
  <si>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</si>
  <si>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</si>
  <si>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</si>
  <si>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</si>
  <si>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</si>
  <si>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</si>
  <si>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</si>
  <si>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</si>
  <si>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</si>
  <si>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</si>
  <si>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</si>
  <si>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</si>
  <si>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</si>
  <si>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</si>
  <si>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</si>
  <si>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</si>
  <si>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</si>
  <si>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</si>
  <si>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</si>
  <si>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</si>
  <si>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</si>
  <si>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</si>
  <si>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</si>
  <si>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</si>
  <si>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</si>
  <si>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</si>
  <si>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</si>
  <si>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</si>
  <si>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</si>
  <si>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</si>
  <si>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</si>
  <si>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</si>
  <si>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</si>
  <si>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</si>
  <si>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</si>
  <si>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</si>
  <si>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</si>
  <si>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</si>
  <si>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</si>
  <si>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</si>
  <si>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</si>
  <si>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</si>
  <si>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</si>
  <si>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</si>
  <si>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</si>
  <si>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</si>
  <si>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</si>
  <si>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</si>
  <si>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</si>
  <si>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</si>
  <si>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</si>
  <si>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</si>
  <si>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</si>
  <si>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</si>
  <si>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</si>
  <si>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</si>
  <si>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</si>
  <si>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</si>
  <si>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</si>
  <si>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</si>
  <si>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</si>
  <si>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</si>
  <si>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</si>
  <si>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</si>
  <si>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</si>
  <si>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</si>
  <si>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</si>
  <si>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</si>
  <si>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</si>
  <si>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</si>
  <si>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</si>
  <si>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</si>
  <si>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</si>
  <si>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</si>
  <si>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</si>
  <si>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</si>
  <si>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</si>
  <si>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</si>
  <si>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</si>
  <si>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</si>
  <si>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</si>
  <si>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</si>
  <si>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</si>
  <si>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</si>
  <si>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</si>
  <si>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</si>
  <si>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</si>
  <si>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</si>
  <si>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</si>
  <si>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</si>
  <si>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</si>
  <si>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</si>
  <si>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</si>
  <si>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</si>
  <si>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</si>
  <si>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</si>
  <si>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</si>
  <si>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</si>
  <si>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</si>
  <si>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</si>
  <si>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</si>
  <si>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</si>
  <si>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</si>
  <si>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</si>
  <si>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</si>
  <si>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</si>
  <si>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</si>
  <si>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</si>
  <si>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</si>
  <si>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</si>
  <si>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</si>
  <si>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</si>
  <si>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</si>
  <si>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</si>
  <si>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</si>
  <si>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</si>
  <si>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</si>
  <si>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</si>
  <si>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</si>
  <si>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</si>
  <si>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</si>
  <si>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</si>
  <si>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</si>
  <si>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</si>
  <si>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</si>
  <si>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</si>
  <si>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</si>
  <si>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</si>
  <si>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</si>
  <si>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</si>
  <si>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</si>
  <si>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</si>
  <si>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</si>
  <si>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</si>
  <si>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</si>
  <si>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</si>
  <si>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</si>
  <si>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</si>
  <si>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</si>
  <si>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</si>
  <si>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</si>
  <si>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</si>
  <si>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</si>
  <si>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</si>
  <si>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</si>
  <si>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</si>
  <si>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</si>
  <si>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</si>
  <si>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</si>
  <si>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</si>
  <si>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</si>
  <si>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</si>
  <si>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</si>
  <si>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</si>
  <si>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</si>
  <si>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</si>
  <si>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</si>
  <si>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</si>
  <si>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</si>
  <si>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</si>
  <si>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</si>
  <si>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</si>
  <si>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</si>
  <si>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</si>
  <si>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</si>
  <si>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</si>
  <si>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</si>
  <si>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</si>
  <si>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</si>
  <si>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</si>
  <si>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</si>
  <si>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</si>
  <si>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</si>
  <si>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</si>
  <si>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</si>
  <si>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</si>
  <si>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</si>
  <si>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</si>
  <si>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</si>
  <si>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</si>
  <si>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</si>
  <si>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</si>
  <si>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</si>
  <si>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</si>
  <si>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</si>
  <si>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</si>
  <si>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</si>
  <si>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</si>
  <si>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</si>
  <si>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</si>
  <si>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</si>
  <si>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</si>
  <si>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</si>
  <si>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</si>
  <si>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</si>
  <si>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</si>
  <si>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</si>
  <si>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</si>
  <si>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</si>
  <si>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</si>
  <si>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</si>
  <si>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</si>
  <si>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</si>
  <si>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</si>
  <si>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</si>
  <si>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</si>
  <si>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</si>
  <si>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</si>
  <si>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</si>
  <si>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</si>
  <si>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</si>
  <si>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</si>
  <si>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</si>
  <si>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</si>
  <si>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</si>
  <si>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</si>
  <si>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</si>
  <si>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</si>
  <si>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</si>
  <si>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</si>
  <si>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</si>
  <si>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</si>
  <si>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</si>
  <si>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</si>
  <si>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</si>
  <si>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</si>
  <si>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</si>
  <si>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</si>
  <si>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</si>
  <si>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</si>
  <si>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</si>
  <si>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</si>
  <si>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</si>
  <si>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</si>
  <si>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</si>
  <si>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</si>
  <si>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</si>
  <si>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</si>
  <si>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</si>
  <si>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</si>
  <si>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</si>
  <si>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</si>
  <si>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</si>
  <si>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</si>
  <si>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</si>
  <si>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</si>
  <si>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</si>
  <si>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</si>
  <si>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</si>
  <si>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</si>
  <si>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</si>
  <si>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</si>
  <si>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</si>
  <si>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</si>
  <si>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</si>
  <si>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</si>
  <si>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</si>
  <si>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</si>
  <si>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</si>
  <si>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</si>
  <si>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</si>
  <si>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</si>
  <si>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</si>
  <si>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</si>
  <si>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</si>
  <si>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</si>
  <si>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</si>
  <si>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</si>
  <si>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</si>
  <si>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</si>
  <si>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</si>
  <si>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</si>
  <si>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</si>
  <si>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</si>
  <si>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</si>
  <si>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</si>
  <si>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</si>
  <si>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</si>
  <si>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</si>
  <si>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</si>
  <si>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</si>
  <si>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</si>
  <si>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</si>
  <si>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</si>
  <si>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</si>
  <si>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</si>
  <si>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</si>
  <si>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</si>
  <si>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</si>
  <si>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</si>
  <si>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</si>
  <si>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</si>
  <si>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</si>
  <si>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</si>
  <si>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</si>
  <si>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</si>
  <si>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</si>
  <si>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</si>
  <si>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</si>
  <si>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</si>
  <si>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</si>
  <si>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</si>
  <si>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</si>
  <si>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</si>
  <si>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</si>
  <si>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</si>
  <si>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</si>
  <si>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</si>
  <si>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</si>
  <si>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</si>
  <si>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</si>
  <si>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</si>
  <si>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</si>
  <si>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</si>
  <si>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</si>
  <si>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</si>
  <si>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</si>
  <si>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</si>
  <si>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</si>
  <si>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</si>
  <si>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</si>
  <si>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</si>
  <si>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</si>
  <si>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</si>
  <si>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</si>
  <si>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</si>
  <si>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</si>
  <si>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</si>
  <si>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</si>
  <si>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</si>
  <si>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</si>
  <si>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</si>
  <si>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</si>
  <si>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</si>
  <si>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</si>
  <si>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</si>
  <si>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</si>
  <si>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</si>
  <si>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</si>
  <si>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</si>
  <si>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</si>
  <si>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</si>
  <si>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</si>
  <si>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</si>
  <si>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</si>
  <si>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</si>
  <si>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</si>
  <si>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</si>
  <si>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</si>
  <si>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</si>
  <si>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</si>
  <si>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</si>
  <si>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</si>
  <si>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</si>
  <si>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</si>
  <si>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</si>
  <si>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</si>
  <si>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</si>
  <si>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</si>
  <si>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</si>
  <si>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</si>
  <si>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</si>
  <si>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</si>
  <si>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</si>
  <si>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</si>
  <si>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</si>
  <si>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</si>
  <si>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</si>
  <si>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</si>
  <si>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</si>
  <si>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</si>
  <si>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</si>
  <si>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</si>
  <si>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</si>
  <si>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</si>
  <si>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</si>
  <si>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</si>
  <si>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</si>
  <si>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</si>
  <si>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</si>
  <si>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</si>
  <si>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</si>
  <si>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</si>
  <si>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</si>
  <si>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</si>
  <si>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</si>
  <si>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</si>
  <si>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</si>
  <si>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</si>
  <si>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</si>
  <si>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</si>
  <si>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</si>
  <si>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</si>
  <si>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</si>
  <si>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</si>
  <si>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</si>
  <si>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</si>
  <si>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</si>
  <si>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</si>
  <si>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</si>
  <si>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</si>
  <si>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</si>
  <si>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</si>
  <si>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</si>
  <si>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</si>
  <si>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</si>
  <si>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</si>
  <si>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</si>
  <si>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</si>
  <si>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</si>
  <si>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</si>
  <si>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</si>
  <si>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</si>
  <si>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</si>
  <si>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</si>
  <si>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</si>
  <si>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</si>
  <si>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</si>
  <si>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</si>
  <si>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</si>
  <si>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</si>
  <si>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</si>
  <si>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</si>
  <si>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</si>
  <si>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</si>
  <si>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</si>
  <si>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</si>
  <si>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</si>
  <si>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</si>
  <si>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</si>
  <si>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</si>
  <si>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</si>
  <si>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</si>
  <si>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</si>
  <si>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</si>
  <si>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</si>
  <si>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</si>
  <si>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</si>
  <si>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</si>
  <si>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</si>
  <si>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</si>
  <si>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</si>
  <si>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</si>
  <si>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</si>
  <si>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</si>
  <si>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</si>
  <si>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</si>
  <si>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</si>
  <si>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</si>
  <si>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</si>
  <si>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</si>
  <si>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</si>
  <si>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</si>
  <si>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</si>
  <si>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</si>
  <si>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</si>
  <si>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</si>
  <si>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</si>
  <si>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</si>
  <si>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</si>
  <si>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</si>
  <si>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</si>
  <si>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</si>
  <si>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</si>
  <si>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</si>
  <si>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</si>
  <si>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</si>
  <si>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</si>
  <si>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</si>
  <si>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</si>
  <si>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</si>
  <si>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</si>
  <si>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</si>
  <si>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</si>
  <si>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</si>
  <si>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</si>
  <si>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</si>
  <si>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</si>
  <si>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</si>
  <si>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</si>
  <si>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</si>
  <si>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</si>
  <si>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</si>
  <si>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</si>
  <si>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</si>
  <si>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</si>
  <si>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</si>
  <si>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</si>
  <si>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</si>
  <si>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</si>
  <si>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</si>
  <si>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</si>
  <si>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</si>
  <si>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</si>
  <si>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</si>
  <si>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</si>
  <si>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</si>
  <si>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</si>
  <si>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</si>
  <si>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</si>
  <si>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</si>
  <si>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</si>
  <si>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</si>
  <si>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</si>
  <si>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</si>
  <si>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</si>
  <si>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</si>
  <si>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</si>
  <si>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</si>
  <si>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</si>
  <si>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</si>
  <si>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</si>
  <si>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</si>
  <si>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</si>
  <si>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</si>
  <si>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</si>
  <si>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</si>
  <si>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</si>
  <si>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</si>
  <si>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</si>
  <si>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</si>
  <si>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</si>
  <si>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</si>
  <si>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</si>
  <si>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</si>
  <si>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</si>
  <si>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</si>
  <si>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</si>
  <si>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</si>
  <si>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</si>
  <si>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</si>
  <si>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</si>
  <si>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</si>
  <si>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</si>
  <si>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</si>
  <si>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</si>
  <si>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</si>
  <si>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</si>
  <si>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</si>
  <si>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</si>
  <si>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</si>
  <si>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</si>
  <si>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</si>
  <si>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</si>
  <si>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</si>
  <si>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</si>
  <si>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</si>
  <si>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</si>
  <si>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</si>
  <si>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</si>
  <si>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</si>
  <si>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</si>
  <si>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</si>
  <si>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</si>
  <si>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</si>
  <si>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</si>
  <si>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</si>
  <si>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</si>
  <si>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</si>
  <si>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</si>
  <si>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</si>
  <si>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</si>
  <si>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</si>
  <si>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</si>
  <si>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</si>
  <si>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</si>
  <si>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</si>
  <si>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</si>
  <si>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</si>
  <si>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</si>
  <si>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</si>
  <si>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</si>
  <si>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</si>
  <si>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</si>
  <si>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</si>
  <si>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</si>
  <si>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</si>
  <si>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</si>
  <si>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</si>
  <si>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</si>
  <si>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</si>
  <si>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</si>
  <si>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</si>
  <si>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</si>
  <si>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</si>
  <si>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</si>
  <si>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</si>
  <si>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</si>
  <si>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</si>
  <si>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</si>
  <si>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</si>
  <si>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</si>
  <si>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</si>
  <si>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</si>
  <si>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</si>
  <si>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</si>
  <si>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</si>
  <si>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</si>
  <si>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</si>
  <si>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</si>
  <si>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</si>
  <si>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</si>
  <si>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</si>
  <si>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</si>
  <si>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</si>
  <si>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</si>
  <si>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</si>
  <si>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</si>
  <si>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</si>
  <si>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</si>
  <si>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</si>
  <si>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</si>
  <si>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</si>
  <si>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</si>
  <si>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</si>
  <si>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</si>
  <si>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</si>
  <si>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</si>
  <si>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</si>
  <si>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</si>
  <si>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</si>
  <si>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</si>
  <si>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</si>
  <si>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</si>
  <si>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</si>
  <si>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</si>
  <si>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</si>
  <si>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</si>
  <si>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</si>
  <si>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</si>
  <si>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</si>
  <si>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</si>
  <si>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</si>
  <si>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</si>
  <si>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</si>
  <si>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</si>
  <si>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</si>
  <si>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</si>
  <si>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</si>
  <si>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</si>
  <si>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</si>
  <si>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</si>
  <si>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</si>
  <si>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</si>
  <si>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</si>
  <si>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</si>
  <si>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</si>
  <si>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</si>
  <si>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</si>
  <si>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</si>
  <si>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</si>
  <si>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</si>
  <si>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</si>
  <si>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</si>
  <si>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</si>
  <si>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</si>
  <si>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</si>
  <si>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</si>
  <si>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</si>
  <si>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</si>
  <si>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</si>
  <si>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</si>
  <si>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</si>
  <si>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</si>
  <si>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</si>
  <si>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</si>
  <si>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</si>
  <si>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</si>
  <si>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</si>
  <si>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</si>
  <si>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</si>
  <si>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</si>
  <si>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</si>
  <si>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</si>
  <si>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</si>
  <si>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</si>
  <si>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</si>
  <si>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</si>
  <si>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</si>
  <si>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</si>
  <si>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</si>
  <si>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</si>
  <si>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</si>
  <si>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</si>
  <si>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</si>
  <si>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</si>
  <si>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</si>
  <si>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</si>
  <si>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</si>
  <si>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</si>
  <si>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</si>
  <si>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</si>
  <si>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</si>
  <si>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</si>
  <si>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</si>
  <si>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</si>
  <si>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</si>
  <si>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</si>
  <si>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</si>
  <si>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</si>
  <si>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</si>
  <si>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</si>
  <si>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</si>
  <si>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</si>
  <si>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</si>
  <si>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</si>
  <si>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</si>
  <si>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</si>
  <si>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</si>
  <si>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</si>
  <si>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</si>
  <si>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</si>
  <si>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</si>
  <si>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</si>
  <si>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</si>
  <si>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</si>
  <si>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</si>
  <si>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</si>
  <si>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</si>
  <si>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</si>
  <si>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</si>
  <si>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</si>
  <si>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</si>
  <si>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</si>
  <si>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</si>
  <si>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</si>
  <si>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</si>
  <si>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</si>
  <si>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</si>
  <si>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</si>
  <si>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</si>
  <si>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</si>
  <si>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</si>
  <si>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</si>
  <si>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</si>
  <si>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</si>
  <si>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</si>
  <si>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</si>
  <si>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</si>
  <si>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</si>
  <si>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</si>
  <si>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</si>
  <si>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</si>
  <si>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</si>
  <si>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</si>
  <si>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</si>
  <si>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</si>
  <si>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</si>
  <si>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</si>
  <si>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</si>
  <si>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</si>
  <si>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</si>
  <si>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</si>
  <si>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</si>
  <si>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</si>
  <si>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</si>
  <si>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</si>
  <si>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</si>
  <si>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</si>
  <si>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</si>
  <si>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</si>
  <si>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</si>
  <si>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</si>
  <si>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</si>
  <si>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</si>
  <si>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</si>
  <si>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</si>
  <si>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</si>
  <si>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</si>
  <si>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</si>
  <si>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</si>
  <si>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</si>
  <si>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</si>
  <si>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</si>
  <si>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</si>
  <si>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</si>
  <si>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</si>
  <si>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</si>
  <si>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</si>
  <si>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</si>
  <si>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</si>
  <si>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</si>
  <si>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</si>
  <si>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</si>
  <si>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</si>
  <si>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</si>
  <si>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</si>
  <si>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</si>
  <si>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</si>
  <si>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</si>
  <si>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</si>
  <si>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</si>
  <si>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</si>
  <si>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</si>
  <si>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</si>
  <si>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</si>
  <si>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</si>
  <si>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</si>
  <si>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</si>
  <si>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</si>
  <si>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</si>
  <si>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</si>
  <si>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</si>
  <si>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</si>
  <si>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</si>
  <si>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</si>
  <si>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</si>
  <si>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</si>
  <si>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</si>
  <si>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</si>
  <si>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</si>
  <si>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</si>
  <si>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</si>
  <si>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</si>
  <si>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</si>
  <si>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</si>
  <si>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</si>
  <si>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</si>
  <si>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</si>
  <si>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</si>
  <si>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</si>
  <si>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</si>
  <si>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</si>
  <si>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</si>
  <si>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</si>
  <si>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</si>
  <si>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</si>
  <si>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</si>
  <si>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</si>
  <si>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</si>
  <si>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</si>
  <si>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</si>
  <si>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</si>
  <si>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</si>
  <si>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</si>
  <si>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</si>
  <si>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</si>
  <si>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</si>
  <si>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</si>
  <si>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</si>
  <si>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</si>
  <si>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</si>
  <si>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</si>
  <si>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</si>
  <si>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</si>
  <si>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</si>
  <si>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</si>
  <si>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</si>
  <si>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</si>
  <si>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</si>
  <si>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</si>
  <si>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</si>
  <si>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</si>
  <si>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</si>
  <si>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</si>
  <si>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</si>
  <si>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</si>
  <si>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</si>
  <si>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</si>
  <si>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</si>
  <si>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</si>
  <si>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</si>
  <si>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</si>
  <si>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</si>
  <si>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</si>
  <si>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</si>
  <si>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</si>
  <si>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</si>
  <si>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</si>
  <si>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</si>
  <si>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</si>
  <si>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</si>
  <si>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</si>
  <si>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</si>
  <si>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</si>
  <si>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</si>
  <si>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</si>
  <si>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</si>
  <si>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</si>
  <si>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</si>
  <si>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</si>
  <si>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</si>
  <si>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</si>
  <si>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</si>
  <si>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</si>
  <si>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</si>
  <si>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</si>
  <si>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</si>
  <si>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</si>
  <si>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</si>
  <si>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</si>
  <si>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</si>
  <si>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</si>
  <si>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</si>
  <si>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</si>
  <si>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</si>
  <si>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</si>
  <si>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</si>
  <si>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</si>
  <si>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</si>
  <si>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</si>
  <si>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</si>
  <si>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</si>
  <si>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</si>
  <si>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</si>
  <si>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</si>
  <si>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</si>
  <si>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</si>
  <si>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</si>
  <si>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</si>
  <si>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</si>
  <si>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</si>
  <si>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</si>
  <si>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</si>
  <si>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</si>
  <si>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</si>
  <si>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</si>
  <si>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</si>
  <si>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</si>
  <si>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</si>
  <si>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</si>
  <si>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</si>
  <si>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</si>
  <si>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</si>
  <si>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</si>
  <si>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</si>
  <si>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</si>
  <si>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</si>
  <si>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</si>
  <si>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</si>
  <si>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</si>
  <si>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</si>
  <si>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</si>
  <si>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</si>
  <si>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</si>
  <si>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</si>
  <si>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</si>
  <si>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</si>
  <si>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</si>
  <si>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</si>
  <si>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</si>
  <si>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</si>
  <si>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</si>
  <si>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</si>
  <si>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</si>
  <si>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</si>
  <si>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</si>
  <si>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</si>
  <si>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</si>
  <si>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</si>
  <si>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</si>
  <si>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</si>
  <si>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</si>
  <si>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</si>
  <si>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</si>
  <si>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</si>
  <si>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</si>
  <si>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</si>
  <si>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</si>
  <si>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</si>
  <si>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</si>
  <si>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</si>
  <si>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</si>
  <si>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</si>
  <si>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</si>
  <si>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</si>
  <si>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</si>
  <si>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</si>
  <si>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</si>
  <si>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</si>
  <si>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</si>
  <si>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</si>
  <si>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</si>
  <si>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</si>
  <si>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</si>
  <si>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</si>
  <si>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</si>
  <si>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</si>
  <si>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</si>
  <si>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</si>
  <si>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</si>
  <si>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</si>
  <si>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</si>
  <si>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</si>
  <si>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</si>
  <si>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</si>
  <si>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</si>
  <si>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</si>
  <si>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</si>
  <si>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</si>
  <si>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</si>
  <si>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</si>
  <si>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</si>
  <si>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</si>
  <si>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</si>
  <si>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</si>
  <si>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</si>
  <si>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</si>
  <si>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</si>
  <si>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</si>
  <si>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</si>
  <si>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</si>
  <si>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</si>
  <si>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</si>
  <si>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</si>
  <si>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</si>
  <si>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</si>
  <si>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</si>
  <si>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</si>
  <si>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</si>
  <si>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</si>
  <si>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</si>
  <si>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</si>
  <si>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</si>
  <si>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</si>
  <si>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</si>
  <si>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</si>
  <si>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</si>
  <si>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</si>
  <si>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</si>
  <si>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</si>
  <si>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</si>
  <si>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</si>
  <si>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</si>
  <si>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</si>
  <si>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</si>
  <si>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</si>
  <si>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</si>
  <si>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</si>
  <si>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</si>
  <si>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</si>
  <si>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</si>
  <si>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</si>
  <si>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</si>
  <si>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</si>
  <si>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</si>
  <si>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</si>
  <si>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</si>
  <si>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</si>
  <si>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</si>
  <si>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</si>
  <si>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</si>
  <si>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</si>
  <si>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</si>
  <si>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</si>
  <si>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</si>
  <si>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</si>
  <si>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</si>
  <si>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</si>
  <si>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</si>
  <si>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</si>
  <si>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</si>
  <si>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</si>
  <si>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</si>
  <si>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</si>
  <si>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</si>
  <si>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</si>
  <si>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</si>
  <si>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</si>
  <si>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</si>
  <si>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</si>
  <si>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</si>
  <si>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</si>
  <si>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</si>
  <si>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</si>
  <si>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</si>
  <si>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</si>
  <si>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</si>
  <si>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</si>
  <si>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</si>
  <si>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</si>
  <si>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</si>
  <si>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</si>
  <si>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</si>
  <si>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</si>
  <si>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</si>
  <si>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</si>
  <si>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</si>
  <si>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</si>
  <si>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</si>
  <si>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</si>
  <si>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</si>
  <si>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</si>
  <si>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</si>
  <si>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</si>
  <si>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</si>
  <si>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</si>
  <si>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</si>
  <si>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</si>
  <si>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</si>
  <si>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</si>
  <si>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</si>
  <si>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</si>
  <si>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</si>
  <si>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</si>
  <si>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</si>
  <si>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</si>
  <si>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</si>
  <si>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</si>
  <si>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</si>
  <si>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</si>
  <si>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</si>
  <si>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</si>
  <si>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</si>
  <si>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</si>
  <si>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</si>
  <si>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</si>
  <si>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</si>
  <si>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</si>
  <si>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</si>
  <si>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</si>
  <si>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</si>
  <si>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</si>
  <si>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</si>
  <si>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</si>
  <si>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</si>
  <si>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</si>
  <si>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</si>
  <si>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</si>
  <si>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</si>
  <si>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外用剤</t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</si>
  <si>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</si>
  <si>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</si>
  <si>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</si>
  <si>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</si>
  <si>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</si>
  <si>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</si>
  <si>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</si>
  <si>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</si>
  <si>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</si>
  <si>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</si>
  <si>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</si>
  <si>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</si>
  <si>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</si>
  <si>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</si>
  <si>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</si>
  <si>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</si>
  <si>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</si>
  <si>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</si>
  <si>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</si>
  <si>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</si>
  <si>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クラシエ小青竜湯エキス細粒</t>
  </si>
  <si>
    <t>アウィクリ注 フレックスタッチ 総量３００単位</t>
  </si>
  <si>
    <t>アレギサール点眼液０．１％</t>
  </si>
  <si>
    <t>ルボックス錠２５</t>
  </si>
  <si>
    <t>クレナフィン爪外用液１０％</t>
  </si>
  <si>
    <t>ビムパット錠５０ｍｇ</t>
  </si>
  <si>
    <t>ヒューマリンＲ注ミリオペン</t>
  </si>
  <si>
    <t>ランタスＸＲ注ソロスター</t>
  </si>
  <si>
    <t>非採用</t>
    <rPh sb="0" eb="3">
      <t>ヒサイヨウ</t>
    </rPh>
    <phoneticPr fontId="2"/>
  </si>
  <si>
    <t>白色ワセリン「ケンエー」</t>
    <phoneticPr fontId="2"/>
  </si>
  <si>
    <t>B候補</t>
  </si>
  <si>
    <t>B行番号</t>
  </si>
  <si>
    <t>類似度(0-100)</t>
  </si>
  <si>
    <t>ポビドンヨードゲル１０％</t>
  </si>
  <si>
    <t>フェノバルビタール散１０％_x000D_
「ホエイ」</t>
  </si>
  <si>
    <t>B候補1</t>
  </si>
  <si>
    <t>B行番号1</t>
  </si>
  <si>
    <t>類似度1</t>
  </si>
  <si>
    <t>B候補2</t>
  </si>
  <si>
    <t>B行番号2</t>
  </si>
  <si>
    <t>類似度2</t>
  </si>
  <si>
    <t>B候補3</t>
  </si>
  <si>
    <t>B行番号3</t>
  </si>
  <si>
    <t>類似度3</t>
  </si>
  <si>
    <t>B候補4</t>
  </si>
  <si>
    <t>B行番号4</t>
  </si>
  <si>
    <t>類似度4</t>
  </si>
  <si>
    <t>B候補5</t>
  </si>
  <si>
    <t>B行番号5</t>
  </si>
  <si>
    <t>類似度5</t>
  </si>
  <si>
    <t>エビリファイ内用液０．１％　３ｍｌ</t>
  </si>
  <si>
    <t>エビリファイ内用液０．１％　６ｍｌ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</si>
</sst>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0_ "/>
    <numFmt numFmtId="181" formatCode="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1" xfId="0" applyFont="1" applyBorder="1" applyProtection="1">
      <alignment vertical="center"/>
      <protection locked="0"/>
    </xf>
    <xf numFmtId="0" fontId="0" fillId="0" borderId="4" xfId="0" applyBorder="1">
      <alignment vertical="center"/>
    </xf>
    <xf numFmtId="0" fontId="9" fillId="0" borderId="0" xfId="0" applyFo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181" fontId="0" fillId="0" borderId="0" xfId="0" applyNumberFormat="1">
      <alignment vertical="center"/>
    </xf>
  </cellXfs>
  <cellStyles count="7">
    <cellStyle name="どちらでもない 2" xfId="6" xr:uid="{233E0DF5-E0B7-4DF8-8654-57AE234D0E7C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2000000}"/>
    <cellStyle name="良い" xfId="3" builtinId="26"/>
  </cellStyles>
  <dxfs count="0"/>
  <tableStyles count="0" defaultTableStyle="TableStyleMedium2" defaultPivotStyle="PivotStyleLight16"/>
  <colors>
    <mruColors>
      <color rgb="FFFFCC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9F29-E88E-486B-9255-D1035979C151}">
  <sheetPr>
    <tabColor rgb="FFFFFF00"/>
  </sheetPr>
  <dimension ref="A1:AA836"/>
  <sheetViews>
    <sheetView workbookViewId="0">
      <pane xSplit="1" ySplit="4" topLeftCell="B817" activePane="bottomRight" state="frozen"/>
      <selection pane="topRight" activeCell="B1" sqref="B1"/>
      <selection pane="bottomLeft" activeCell="A5" sqref="A5"/>
      <selection pane="bottomRight" activeCell="C1" sqref="C1"/>
    </sheetView>
  </sheetViews>
  <sheetFormatPr defaultRowHeight="13.2"/>
  <cols>
    <col min="1" max="1" width="3.77734375" customWidth="1"/>
    <col min="2" max="2" width="6.33203125" customWidth="1"/>
    <col min="3" max="3" width="41.6640625" customWidth="1"/>
    <col min="4" max="4" width="0.88671875" customWidth="1"/>
    <col min="5" max="5" width="5.77734375" customWidth="1"/>
    <col min="6" max="6" width="10.77734375" customWidth="1"/>
    <col min="7" max="7" width="12.33203125" customWidth="1"/>
    <col min="8" max="13" width="5.77734375" customWidth="1"/>
    <col min="14" max="15" width="0.88671875" customWidth="1"/>
    <col min="16" max="16" width="15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4" max="24" width="5.77734375" customWidth="1"/>
    <col min="25" max="25" width="0.88671875" customWidth="1"/>
  </cols>
  <sheetData>
    <row r="1" spans="1:27">
      <c r="C1" s="16"/>
    </row>
    <row r="3" spans="1:27">
      <c r="C3" s="63" t="s">
        <v>4061</v>
      </c>
      <c r="D3" s="64"/>
      <c r="E3" s="64"/>
      <c r="F3" s="64"/>
      <c r="G3" s="64"/>
      <c r="H3" s="64"/>
      <c r="I3" s="64"/>
      <c r="J3" s="64"/>
      <c r="K3" s="64"/>
      <c r="L3" s="64"/>
      <c r="M3" s="65"/>
      <c r="N3" s="66" t="s">
        <v>4062</v>
      </c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7" s="17" customFormat="1" ht="118.8">
      <c r="B4" s="41" t="s">
        <v>4056</v>
      </c>
      <c r="C4" s="41" t="s">
        <v>1888</v>
      </c>
      <c r="D4" s="54" t="s">
        <v>4057</v>
      </c>
      <c r="E4" s="41" t="s">
        <v>6</v>
      </c>
      <c r="F4" s="41" t="s">
        <v>2</v>
      </c>
      <c r="G4" s="41" t="s">
        <v>3</v>
      </c>
      <c r="H4" s="41" t="s">
        <v>1</v>
      </c>
      <c r="I4" s="41" t="s">
        <v>4058</v>
      </c>
      <c r="J4" s="41" t="s">
        <v>4</v>
      </c>
      <c r="K4" s="41" t="s">
        <v>5</v>
      </c>
      <c r="L4" s="41" t="s">
        <v>4059</v>
      </c>
      <c r="M4" s="41" t="s">
        <v>1223</v>
      </c>
      <c r="N4" s="54" t="s">
        <v>1886</v>
      </c>
      <c r="O4" s="54" t="s">
        <v>1887</v>
      </c>
      <c r="P4" s="41" t="s">
        <v>1888</v>
      </c>
      <c r="Q4" s="54" t="s">
        <v>1889</v>
      </c>
      <c r="R4" s="41" t="s">
        <v>1890</v>
      </c>
      <c r="S4" s="54" t="s">
        <v>1891</v>
      </c>
      <c r="T4" s="41" t="s">
        <v>1892</v>
      </c>
      <c r="U4" s="54" t="s">
        <v>1893</v>
      </c>
      <c r="V4" s="41" t="s">
        <v>1894</v>
      </c>
      <c r="W4" s="41" t="s">
        <v>1895</v>
      </c>
      <c r="X4" s="41" t="s">
        <v>1896</v>
      </c>
      <c r="Y4" s="54" t="s">
        <v>1897</v>
      </c>
      <c r="Z4" s="41" t="s">
        <v>4064</v>
      </c>
      <c r="AA4" s="41" t="s">
        <v>4065</v>
      </c>
    </row>
    <row r="5" spans="1:27">
      <c r="A5" s="42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5" t="str">
        <f>元データ!B2</f>
        <v>メディセオ</v>
      </c>
      <c r="E5" s="27" t="str">
        <f>元データ!C2</f>
        <v>粉</v>
      </c>
      <c r="F5" s="27" t="str">
        <f>元データ!D2</f>
        <v>2.5ｇｘ189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5" t="str">
        <f ca="1">IF(OFFSET(マスタ非採用削除!A$4,統合マスタ!$A5,0)="","",OFFSET(マスタ非採用削除!A$4,統合マスタ!$A5,0))</f>
        <v>ﾂﾑﾗ007</v>
      </c>
      <c r="O5" s="55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5" t="str">
        <f ca="1">IF(OFFSET(マスタ非採用削除!D$4,統合マスタ!$A5,0)="","",OFFSET(マスタ非採用削除!D$4,統合マスタ!$A5,0))</f>
        <v>ﾊﾁﾐ</v>
      </c>
      <c r="R5" s="27">
        <f ca="1">IF(OFFSET(マスタ非採用削除!E$4,統合マスタ!$A5,0)="","",OFFSET(マスタ非採用削除!E$4,統合マスタ!$A5,0))</f>
        <v>2</v>
      </c>
      <c r="S5" s="55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5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5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/>
    </row>
    <row r="6" spans="1:27">
      <c r="A6" s="42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5" t="str">
        <f>元データ!B3</f>
        <v/>
      </c>
      <c r="E6" s="27" t="str">
        <f>元データ!C3</f>
        <v>粉</v>
      </c>
      <c r="F6" s="27" t="str">
        <f>元データ!D3</f>
        <v>2.5ｇｘ42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5" t="str">
        <f ca="1">IF(OFFSET(マスタ非採用削除!A$4,統合マスタ!$A6,0)="","",OFFSET(マスタ非採用削除!A$4,統合マスタ!$A6,0))</f>
        <v>ﾂﾑﾗ007</v>
      </c>
      <c r="O6" s="55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5" t="str">
        <f ca="1">IF(OFFSET(マスタ非採用削除!D$4,統合マスタ!$A6,0)="","",OFFSET(マスタ非採用削除!D$4,統合マスタ!$A6,0))</f>
        <v>ﾊﾁﾐ</v>
      </c>
      <c r="R6" s="27">
        <f ca="1">IF(OFFSET(マスタ非採用削除!E$4,統合マスタ!$A6,0)="","",OFFSET(マスタ非採用削除!E$4,統合マスタ!$A6,0))</f>
        <v>2</v>
      </c>
      <c r="S6" s="55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5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5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/>
    </row>
    <row r="7" spans="1:27">
      <c r="A7" s="42">
        <f>元データ!P4</f>
        <v>296</v>
      </c>
      <c r="B7" s="27">
        <f t="shared" ref="B7:B70" si="0">B6+1</f>
        <v>3</v>
      </c>
      <c r="C7" s="27" t="str">
        <f>DBCS(元データ!A4)</f>
        <v>０１２　ツムラ　サイコカリュウコツボレイトウ</v>
      </c>
      <c r="D7" s="55" t="str">
        <f>元データ!B4</f>
        <v>メディセオ</v>
      </c>
      <c r="E7" s="27" t="str">
        <f>元データ!C4</f>
        <v>粉</v>
      </c>
      <c r="F7" s="27" t="str">
        <f>元データ!D4</f>
        <v>2.5ｇｘ189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5" t="str">
        <f ca="1">IF(OFFSET(マスタ非採用削除!A$4,統合マスタ!$A7,0)="","",OFFSET(マスタ非採用削除!A$4,統合マスタ!$A7,0))</f>
        <v>ﾂﾑﾗ012</v>
      </c>
      <c r="O7" s="55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5" t="str">
        <f ca="1">IF(OFFSET(マスタ非採用削除!D$4,統合マスタ!$A7,0)="","",OFFSET(マスタ非採用削除!D$4,統合マスタ!$A7,0))</f>
        <v>ｻｲｺ</v>
      </c>
      <c r="R7" s="27">
        <f ca="1">IF(OFFSET(マスタ非採用削除!E$4,統合マスタ!$A7,0)="","",OFFSET(マスタ非採用削除!E$4,統合マスタ!$A7,0))</f>
        <v>2</v>
      </c>
      <c r="S7" s="55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5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5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/>
    </row>
    <row r="8" spans="1:27">
      <c r="A8" s="42">
        <f>元データ!P5</f>
        <v>297</v>
      </c>
      <c r="B8" s="27">
        <f t="shared" si="0"/>
        <v>4</v>
      </c>
      <c r="C8" s="27" t="str">
        <f>DBCS(元データ!A5)</f>
        <v>０１６　ツムラ　ハンゲコウボクトウ</v>
      </c>
      <c r="D8" s="55" t="str">
        <f>元データ!B5</f>
        <v>メディセオ</v>
      </c>
      <c r="E8" s="27" t="str">
        <f>元データ!C5</f>
        <v>粉</v>
      </c>
      <c r="F8" s="27" t="str">
        <f>元データ!D5</f>
        <v>2.5ｇｘ189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5" t="str">
        <f ca="1">IF(OFFSET(マスタ非採用削除!A$4,統合マスタ!$A8,0)="","",OFFSET(マスタ非採用削除!A$4,統合マスタ!$A8,0))</f>
        <v>ﾂﾑﾗ016</v>
      </c>
      <c r="O8" s="55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5" t="str">
        <f ca="1">IF(OFFSET(マスタ非採用削除!D$4,統合マスタ!$A8,0)="","",OFFSET(マスタ非採用削除!D$4,統合マスタ!$A8,0))</f>
        <v>ﾊﾝｹﾞｺ</v>
      </c>
      <c r="R8" s="27">
        <f ca="1">IF(OFFSET(マスタ非採用削除!E$4,統合マスタ!$A8,0)="","",OFFSET(マスタ非採用削除!E$4,統合マスタ!$A8,0))</f>
        <v>2</v>
      </c>
      <c r="S8" s="55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5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5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/>
    </row>
    <row r="9" spans="1:27">
      <c r="A9" s="42">
        <f>元データ!P6</f>
        <v>298</v>
      </c>
      <c r="B9" s="27">
        <f t="shared" si="0"/>
        <v>5</v>
      </c>
      <c r="C9" s="27" t="str">
        <f>DBCS(元データ!A6)</f>
        <v>０１７　ツムラ　ゴレイサン</v>
      </c>
      <c r="D9" s="55" t="str">
        <f>元データ!B6</f>
        <v>メディセオ</v>
      </c>
      <c r="E9" s="27" t="str">
        <f>元データ!C6</f>
        <v>粉</v>
      </c>
      <c r="F9" s="27" t="str">
        <f>元データ!D6</f>
        <v>2.5ｇｘ189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5" t="str">
        <f ca="1">IF(OFFSET(マスタ非採用削除!A$4,統合マスタ!$A9,0)="","",OFFSET(マスタ非採用削除!A$4,統合マスタ!$A9,0))</f>
        <v>ﾂﾑﾗ017</v>
      </c>
      <c r="O9" s="55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5" t="str">
        <f ca="1">IF(OFFSET(マスタ非採用削除!D$4,統合マスタ!$A9,0)="","",OFFSET(マスタ非採用削除!D$4,統合マスタ!$A9,0))</f>
        <v>ｺﾞﾚｲ</v>
      </c>
      <c r="R9" s="27">
        <f ca="1">IF(OFFSET(マスタ非採用削除!E$4,統合マスタ!$A9,0)="","",OFFSET(マスタ非採用削除!E$4,統合マスタ!$A9,0))</f>
        <v>1</v>
      </c>
      <c r="S9" s="55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5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5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/>
    </row>
    <row r="10" spans="1:27">
      <c r="A10" s="42">
        <f>元データ!P7</f>
        <v>299</v>
      </c>
      <c r="B10" s="27">
        <f t="shared" si="0"/>
        <v>6</v>
      </c>
      <c r="C10" s="27" t="str">
        <f>DBCS(元データ!A7)</f>
        <v>０１９　ツムラ　ショウセイリュウトウ</v>
      </c>
      <c r="D10" s="55" t="str">
        <f>元データ!B7</f>
        <v>メディセオ</v>
      </c>
      <c r="E10" s="27" t="str">
        <f>元データ!C7</f>
        <v>粉</v>
      </c>
      <c r="F10" s="27" t="str">
        <f>元データ!D7</f>
        <v>3ｇX42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5" t="str">
        <f ca="1">IF(OFFSET(マスタ非採用削除!A$4,統合マスタ!$A10,0)="","",OFFSET(マスタ非採用削除!A$4,統合マスタ!$A10,0))</f>
        <v>ﾂﾑﾗ019</v>
      </c>
      <c r="O10" s="55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5" t="str">
        <f ca="1">IF(OFFSET(マスタ非採用削除!D$4,統合マスタ!$A10,0)="","",OFFSET(マスタ非採用削除!D$4,統合マスタ!$A10,0))</f>
        <v/>
      </c>
      <c r="R10" s="27">
        <f ca="1">IF(OFFSET(マスタ非採用削除!E$4,統合マスタ!$A10,0)="","",OFFSET(マスタ非採用削除!E$4,統合マスタ!$A10,0))</f>
        <v>2</v>
      </c>
      <c r="S10" s="55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5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5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/>
    </row>
    <row r="11" spans="1:27">
      <c r="A11" s="42">
        <f>元データ!P8</f>
        <v>301</v>
      </c>
      <c r="B11" s="27">
        <f t="shared" si="0"/>
        <v>7</v>
      </c>
      <c r="C11" s="27" t="str">
        <f>DBCS(元データ!A8)</f>
        <v>０４３　ツムラ　リツクンシトウ</v>
      </c>
      <c r="D11" s="55" t="str">
        <f>元データ!B8</f>
        <v>メディセオ</v>
      </c>
      <c r="E11" s="27" t="str">
        <f>元データ!C8</f>
        <v>粉</v>
      </c>
      <c r="F11" s="27" t="str">
        <f>元データ!D8</f>
        <v>2.5ｇｘ189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5" t="str">
        <f ca="1">IF(OFFSET(マスタ非採用削除!A$4,統合マスタ!$A11,0)="","",OFFSET(マスタ非採用削除!A$4,統合マスタ!$A11,0))</f>
        <v>ﾂﾑﾗ043</v>
      </c>
      <c r="O11" s="55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5" t="str">
        <f ca="1">IF(OFFSET(マスタ非採用削除!D$4,統合マスタ!$A11,0)="","",OFFSET(マスタ非採用削除!D$4,統合マスタ!$A11,0))</f>
        <v>ﾘｯｸ</v>
      </c>
      <c r="R11" s="27">
        <f ca="1">IF(OFFSET(マスタ非採用削除!E$4,統合マスタ!$A11,0)="","",OFFSET(マスタ非採用削除!E$4,統合マスタ!$A11,0))</f>
        <v>2</v>
      </c>
      <c r="S11" s="55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5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5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/>
    </row>
    <row r="12" spans="1:27">
      <c r="A12" s="42">
        <f>元データ!P9</f>
        <v>0</v>
      </c>
      <c r="B12" s="27">
        <f t="shared" si="0"/>
        <v>8</v>
      </c>
      <c r="C12" s="27" t="str">
        <f>DBCS(元データ!A9)</f>
        <v>０４８　ツムラ　ジュウゼンタイホトウ</v>
      </c>
      <c r="D12" s="55" t="str">
        <f>元データ!B9</f>
        <v/>
      </c>
      <c r="E12" s="27" t="str">
        <f>元データ!C9</f>
        <v>粉</v>
      </c>
      <c r="F12" s="27" t="str">
        <f>元データ!D9</f>
        <v>2.5ｇｘ189包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5" t="str">
        <f ca="1">IF(OFFSET(マスタ非採用削除!A$4,統合マスタ!$A12,0)="","",OFFSET(マスタ非採用削除!A$4,統合マスタ!$A12,0))</f>
        <v>コード(区分値)</v>
      </c>
      <c r="O12" s="55" t="str">
        <f ca="1">IF(OFFSET(マスタ非採用削除!B$4,統合マスタ!$A12,0)="","",OFFSET(マスタ非採用削除!B$4,統合マスタ!$A12,0))</f>
        <v>コード</v>
      </c>
      <c r="P12" s="27" t="str">
        <f ca="1">IF(OFFSET(マスタ非採用削除!C$4,統合マスタ!$A12,0)="","",OFFSET(マスタ非採用削除!C$4,統合マスタ!$A12,0))</f>
        <v>名称</v>
      </c>
      <c r="Q12" s="55" t="str">
        <f ca="1">IF(OFFSET(マスタ非採用削除!D$4,統合マスタ!$A12,0)="","",OFFSET(マスタ非採用削除!D$4,統合マスタ!$A12,0))</f>
        <v>ホストコード</v>
      </c>
      <c r="R12" s="27" t="str">
        <f ca="1">IF(OFFSET(マスタ非採用削除!E$4,統合マスタ!$A12,0)="","",OFFSET(マスタ非採用削除!E$4,統合マスタ!$A12,0))</f>
        <v>採用区分（区分値）(区分値)</v>
      </c>
      <c r="S12" s="55" t="str">
        <f ca="1">IF(OFFSET(マスタ非採用削除!F$4,統合マスタ!$A12,0)="","",OFFSET(マスタ非採用削除!F$4,統合マスタ!$A12,0))</f>
        <v>採用区分（区分値）</v>
      </c>
      <c r="T12" s="27" t="str">
        <f ca="1">IF(OFFSET(マスタ非採用削除!G$4,統合マスタ!$A12,0)="","",OFFSET(マスタ非採用削除!G$4,統合マスタ!$A12,0))</f>
        <v>薬価</v>
      </c>
      <c r="U12" s="55" t="str">
        <f ca="1">IF(OFFSET(マスタ非採用削除!H$4,統合マスタ!$A12,0)="","",OFFSET(マスタ非採用削除!H$4,統合マスタ!$A12,0))</f>
        <v>カナ名称</v>
      </c>
      <c r="V12" s="27" t="str">
        <f ca="1">IF(OFFSET(マスタ非採用削除!I$4,統合マスタ!$A12,0)="","",OFFSET(マスタ非採用削除!I$4,統合マスタ!$A12,0))</f>
        <v>剤形(区分値)</v>
      </c>
      <c r="W12" s="27" t="str">
        <f ca="1">IF(OFFSET(マスタ非採用削除!J$4,統合マスタ!$A12,0)="","",OFFSET(マスタ非採用削除!J$4,統合マスタ!$A12,0))</f>
        <v>剤形</v>
      </c>
      <c r="X12" s="27" t="str">
        <f ca="1">IF(OFFSET(マスタ非採用削除!K$4,統合マスタ!$A12,0)="","",OFFSET(マスタ非採用削除!K$4,統合マスタ!$A12,0))</f>
        <v>毒劇薬（区分値）(区分値)</v>
      </c>
      <c r="Y12" s="55" t="str">
        <f ca="1">IF(OFFSET(マスタ非採用削除!L$4,統合マスタ!$A12,0)="","",OFFSET(マスタ非採用削除!L$4,統合マスタ!$A12,0))</f>
        <v>毒劇薬（区分値）</v>
      </c>
      <c r="Z12" s="27" t="str">
        <f ca="1">IF(OFFSET(マスタ非採用削除!M$4,統合マスタ!$A12,0)="","",OFFSET(マスタ非採用削除!M$4,統合マスタ!$A12,0))</f>
        <v>棚</v>
      </c>
      <c r="AA12" s="27"/>
    </row>
    <row r="13" spans="1:27">
      <c r="A13" s="42">
        <f>元データ!P10</f>
        <v>302</v>
      </c>
      <c r="B13" s="27">
        <f t="shared" si="0"/>
        <v>9</v>
      </c>
      <c r="C13" s="27" t="str">
        <f>DBCS(元データ!A10)</f>
        <v>０５４　ツムラ　ヨクカンサン</v>
      </c>
      <c r="D13" s="55" t="str">
        <f>元データ!B10</f>
        <v>メディセオ</v>
      </c>
      <c r="E13" s="27" t="str">
        <f>元データ!C10</f>
        <v>粉</v>
      </c>
      <c r="F13" s="27" t="str">
        <f>元データ!D10</f>
        <v>2.5ｇX189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5" t="str">
        <f ca="1">IF(OFFSET(マスタ非採用削除!A$4,統合マスタ!$A13,0)="","",OFFSET(マスタ非採用削除!A$4,統合マスタ!$A13,0))</f>
        <v>ﾂﾑﾗ054</v>
      </c>
      <c r="O13" s="55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5" t="str">
        <f ca="1">IF(OFFSET(マスタ非採用削除!D$4,統合マスタ!$A13,0)="","",OFFSET(マスタ非採用削除!D$4,統合マスタ!$A13,0))</f>
        <v>ﾖｸｶ</v>
      </c>
      <c r="R13" s="27">
        <f ca="1">IF(OFFSET(マスタ非採用削除!E$4,統合マスタ!$A13,0)="","",OFFSET(マスタ非採用削除!E$4,統合マスタ!$A13,0))</f>
        <v>1</v>
      </c>
      <c r="S13" s="55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5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5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/>
    </row>
    <row r="14" spans="1:27">
      <c r="A14" s="42">
        <f>元データ!P11</f>
        <v>303</v>
      </c>
      <c r="B14" s="27">
        <f t="shared" si="0"/>
        <v>10</v>
      </c>
      <c r="C14" s="27" t="str">
        <f>DBCS(元データ!A11)</f>
        <v>０６２　ツムラ　　ボウフウツウシヨウサン</v>
      </c>
      <c r="D14" s="55" t="str">
        <f>元データ!B11</f>
        <v>メディセオ</v>
      </c>
      <c r="E14" s="27" t="str">
        <f>元データ!C11</f>
        <v>粉</v>
      </c>
      <c r="F14" s="27" t="str">
        <f>元データ!D11</f>
        <v>2.5ｇｘ189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5" t="str">
        <f ca="1">IF(OFFSET(マスタ非採用削除!A$4,統合マスタ!$A14,0)="","",OFFSET(マスタ非採用削除!A$4,統合マスタ!$A14,0))</f>
        <v>ﾂﾑﾗ062</v>
      </c>
      <c r="O14" s="55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5" t="str">
        <f ca="1">IF(OFFSET(マスタ非採用削除!D$4,統合マスタ!$A14,0)="","",OFFSET(マスタ非採用削除!D$4,統合マスタ!$A14,0))</f>
        <v>ﾎﾞｳﾌｳ</v>
      </c>
      <c r="R14" s="27">
        <f ca="1">IF(OFFSET(マスタ非採用削除!E$4,統合マスタ!$A14,0)="","",OFFSET(マスタ非採用削除!E$4,統合マスタ!$A14,0))</f>
        <v>1</v>
      </c>
      <c r="S14" s="55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5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5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/>
    </row>
    <row r="15" spans="1:27">
      <c r="A15" s="42">
        <f>元データ!P12</f>
        <v>304</v>
      </c>
      <c r="B15" s="27">
        <f t="shared" si="0"/>
        <v>11</v>
      </c>
      <c r="C15" s="27" t="str">
        <f>DBCS(元データ!A12)</f>
        <v>０６８　ツムラ　シャクヤクカンゾウトウ</v>
      </c>
      <c r="D15" s="55" t="str">
        <f>元データ!B12</f>
        <v>メディセオ</v>
      </c>
      <c r="E15" s="27" t="str">
        <f>元データ!C12</f>
        <v>粉</v>
      </c>
      <c r="F15" s="27" t="str">
        <f>元データ!D12</f>
        <v>2.5ｇｘ42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5" t="str">
        <f ca="1">IF(OFFSET(マスタ非採用削除!A$4,統合マスタ!$A15,0)="","",OFFSET(マスタ非採用削除!A$4,統合マスタ!$A15,0))</f>
        <v>ﾂﾑﾗ068</v>
      </c>
      <c r="O15" s="55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5" t="str">
        <f ca="1">IF(OFFSET(マスタ非採用削除!D$4,統合マスタ!$A15,0)="","",OFFSET(マスタ非採用削除!D$4,統合マスタ!$A15,0))</f>
        <v>ｼｬｸ</v>
      </c>
      <c r="R15" s="27">
        <f ca="1">IF(OFFSET(マスタ非採用削除!E$4,統合マスタ!$A15,0)="","",OFFSET(マスタ非採用削除!E$4,統合マスタ!$A15,0))</f>
        <v>1</v>
      </c>
      <c r="S15" s="55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5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5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/>
    </row>
    <row r="16" spans="1:27">
      <c r="A16" s="42">
        <f>元データ!P13</f>
        <v>305</v>
      </c>
      <c r="B16" s="27">
        <f t="shared" si="0"/>
        <v>12</v>
      </c>
      <c r="C16" s="27" t="str">
        <f>DBCS(元データ!A13)</f>
        <v>０８３　ツムラ　ヨクカンサンカチンピハンゲ</v>
      </c>
      <c r="D16" s="55" t="str">
        <f>元データ!B13</f>
        <v>メディセオ</v>
      </c>
      <c r="E16" s="27" t="str">
        <f>元データ!C13</f>
        <v>粉</v>
      </c>
      <c r="F16" s="27" t="str">
        <f>元データ!D13</f>
        <v>2.5ｇｘ189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5" t="str">
        <f ca="1">IF(OFFSET(マスタ非採用削除!A$4,統合マスタ!$A16,0)="","",OFFSET(マスタ非採用削除!A$4,統合マスタ!$A16,0))</f>
        <v>ﾂﾑﾗ083</v>
      </c>
      <c r="O16" s="55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5" t="str">
        <f ca="1">IF(OFFSET(マスタ非採用削除!D$4,統合マスタ!$A16,0)="","",OFFSET(マスタ非採用削除!D$4,統合マスタ!$A16,0))</f>
        <v>ﾖｸｶﾁﾝ</v>
      </c>
      <c r="R16" s="27">
        <f ca="1">IF(OFFSET(マスタ非採用削除!E$4,統合マスタ!$A16,0)="","",OFFSET(マスタ非採用削除!E$4,統合マスタ!$A16,0))</f>
        <v>1</v>
      </c>
      <c r="S16" s="55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5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5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/>
    </row>
    <row r="17" spans="1:27">
      <c r="A17" s="42">
        <f>元データ!P14</f>
        <v>306</v>
      </c>
      <c r="B17" s="27">
        <f t="shared" si="0"/>
        <v>13</v>
      </c>
      <c r="C17" s="27" t="str">
        <f>DBCS(元データ!A14)</f>
        <v>１００　ツムラ　ダイケンチユウトウ</v>
      </c>
      <c r="D17" s="55" t="str">
        <f>元データ!B14</f>
        <v>メディセオ</v>
      </c>
      <c r="E17" s="27" t="str">
        <f>元データ!C14</f>
        <v>粉</v>
      </c>
      <c r="F17" s="27" t="str">
        <f>元データ!D14</f>
        <v>2.5ｇX189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5" t="str">
        <f ca="1">IF(OFFSET(マスタ非採用削除!A$4,統合マスタ!$A17,0)="","",OFFSET(マスタ非採用削除!A$4,統合マスタ!$A17,0))</f>
        <v>ﾂﾑﾗ100</v>
      </c>
      <c r="O17" s="55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5" t="str">
        <f ca="1">IF(OFFSET(マスタ非採用削除!D$4,統合マスタ!$A17,0)="","",OFFSET(マスタ非採用削除!D$4,統合マスタ!$A17,0))</f>
        <v>ﾀﾞｲｹﾝﾁ</v>
      </c>
      <c r="R17" s="27">
        <f ca="1">IF(OFFSET(マスタ非採用削除!E$4,統合マスタ!$A17,0)="","",OFFSET(マスタ非採用削除!E$4,統合マスタ!$A17,0))</f>
        <v>1</v>
      </c>
      <c r="S17" s="55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5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5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/>
    </row>
    <row r="18" spans="1:27">
      <c r="A18" s="42">
        <f>元データ!P15</f>
        <v>307</v>
      </c>
      <c r="B18" s="27">
        <f t="shared" si="0"/>
        <v>14</v>
      </c>
      <c r="C18" s="27" t="str">
        <f>DBCS(元データ!A15)</f>
        <v>１０８　ツムラ　ニンジンヨウエイトウ</v>
      </c>
      <c r="D18" s="55" t="str">
        <f>元データ!B15</f>
        <v>メディセオ</v>
      </c>
      <c r="E18" s="27" t="str">
        <f>元データ!C15</f>
        <v>粉</v>
      </c>
      <c r="F18" s="27" t="str">
        <f>元データ!D15</f>
        <v>3ｇｘ42包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5" t="str">
        <f ca="1">IF(OFFSET(マスタ非採用削除!A$4,統合マスタ!$A18,0)="","",OFFSET(マスタ非採用削除!A$4,統合マスタ!$A18,0))</f>
        <v>ﾂﾑﾗ108</v>
      </c>
      <c r="O18" s="55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5" t="str">
        <f ca="1">IF(OFFSET(マスタ非採用削除!D$4,統合マスタ!$A18,0)="","",OFFSET(マスタ非採用削除!D$4,統合マスタ!$A18,0))</f>
        <v>ﾆﾝｼﾞﾝﾖ</v>
      </c>
      <c r="R18" s="27">
        <f ca="1">IF(OFFSET(マスタ非採用削除!E$4,統合マスタ!$A18,0)="","",OFFSET(マスタ非採用削除!E$4,統合マスタ!$A18,0))</f>
        <v>2</v>
      </c>
      <c r="S18" s="55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5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5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/>
    </row>
    <row r="19" spans="1:27">
      <c r="A19" s="42">
        <f>元データ!P16</f>
        <v>308</v>
      </c>
      <c r="B19" s="27">
        <f t="shared" si="0"/>
        <v>15</v>
      </c>
      <c r="C19" s="27" t="str">
        <f>DBCS(元データ!A16)</f>
        <v>１１２　ツムラ　チョレイトウゴウシモットウ</v>
      </c>
      <c r="D19" s="55" t="str">
        <f>元データ!B16</f>
        <v/>
      </c>
      <c r="E19" s="27" t="str">
        <f>元データ!C16</f>
        <v>粉</v>
      </c>
      <c r="F19" s="27" t="str">
        <f>元データ!D16</f>
        <v>2.5ｇｘ42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5" t="str">
        <f ca="1">IF(OFFSET(マスタ非採用削除!A$4,統合マスタ!$A19,0)="","",OFFSET(マスタ非採用削除!A$4,統合マスタ!$A19,0))</f>
        <v>ﾂﾑﾗ112</v>
      </c>
      <c r="O19" s="55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5" t="str">
        <f ca="1">IF(OFFSET(マスタ非採用削除!D$4,統合マスタ!$A19,0)="","",OFFSET(マスタ非採用削除!D$4,統合マスタ!$A19,0))</f>
        <v/>
      </c>
      <c r="R19" s="27">
        <f ca="1">IF(OFFSET(マスタ非採用削除!E$4,統合マスタ!$A19,0)="","",OFFSET(マスタ非採用削除!E$4,統合マスタ!$A19,0))</f>
        <v>2</v>
      </c>
      <c r="S19" s="55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5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5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/>
    </row>
    <row r="20" spans="1:27">
      <c r="A20" s="42">
        <f>元データ!P17</f>
        <v>43</v>
      </c>
      <c r="B20" s="27">
        <f t="shared" si="0"/>
        <v>16</v>
      </c>
      <c r="C20" s="27" t="str">
        <f>DBCS(元データ!A17)</f>
        <v>２５ｍｇアリナミン　Ｆ糖衣錠</v>
      </c>
      <c r="D20" s="55" t="str">
        <f>元データ!B17</f>
        <v>メディセオ</v>
      </c>
      <c r="E20" s="27" t="str">
        <f>元データ!C17</f>
        <v>PTP</v>
      </c>
      <c r="F20" s="27" t="str">
        <f>元データ!D17</f>
        <v>100Ｔ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5" t="str">
        <f ca="1">IF(OFFSET(マスタ非採用削除!A$4,統合マスタ!$A20,0)="","",OFFSET(マスタ非採用削除!A$4,統合マスタ!$A20,0))</f>
        <v>ｱﾘﾅ001</v>
      </c>
      <c r="O20" s="55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5" t="str">
        <f ca="1">IF(OFFSET(マスタ非採用削除!D$4,統合マスタ!$A20,0)="","",OFFSET(マスタ非採用削除!D$4,統合マスタ!$A20,0))</f>
        <v>ｱﾘF**</v>
      </c>
      <c r="R20" s="27">
        <f ca="1">IF(OFFSET(マスタ非採用削除!E$4,統合マスタ!$A20,0)="","",OFFSET(マスタ非採用削除!E$4,統合マスタ!$A20,0))</f>
        <v>1</v>
      </c>
      <c r="S20" s="55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5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5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5</v>
      </c>
      <c r="AA20" s="27"/>
    </row>
    <row r="21" spans="1:27">
      <c r="A21" s="42">
        <f>元データ!P18</f>
        <v>139</v>
      </c>
      <c r="B21" s="27">
        <f t="shared" si="0"/>
        <v>17</v>
      </c>
      <c r="C21" s="27" t="str">
        <f>DBCS(元データ!A18)</f>
        <v>ＥＫ１　葛根湯エキス細粒</v>
      </c>
      <c r="D21" s="55" t="str">
        <f>元データ!B18</f>
        <v>メディセオ</v>
      </c>
      <c r="E21" s="27" t="str">
        <f>元データ!C18</f>
        <v>粉</v>
      </c>
      <c r="F21" s="27" t="str">
        <f>元データ!D18</f>
        <v>2.5ｇ×294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5" t="str">
        <f ca="1">IF(OFFSET(マスタ非採用削除!A$4,統合マスタ!$A21,0)="","",OFFSET(マスタ非採用削除!A$4,統合マスタ!$A21,0))</f>
        <v>ｸﾗｼ001</v>
      </c>
      <c r="O21" s="55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5" t="str">
        <f ca="1">IF(OFFSET(マスタ非採用削除!D$4,統合マスタ!$A21,0)="","",OFFSET(マスタ非採用削除!D$4,統合マスタ!$A21,0))</f>
        <v>ｶｯｺﾝ</v>
      </c>
      <c r="R21" s="27">
        <f ca="1">IF(OFFSET(マスタ非採用削除!E$4,統合マスタ!$A21,0)="","",OFFSET(マスタ非採用削除!E$4,統合マスタ!$A21,0))</f>
        <v>1</v>
      </c>
      <c r="S21" s="55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5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5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/>
    </row>
    <row r="22" spans="1:27">
      <c r="A22" s="42">
        <f>元データ!P19</f>
        <v>144</v>
      </c>
      <c r="B22" s="27">
        <f t="shared" si="0"/>
        <v>18</v>
      </c>
      <c r="C22" s="27" t="str">
        <f>DBCS(元データ!A19)</f>
        <v>ＥＫ１１４　柴苓湯　　　　　　　　　　　</v>
      </c>
      <c r="D22" s="55" t="str">
        <f>元データ!B19</f>
        <v>メディセオ</v>
      </c>
      <c r="E22" s="27" t="str">
        <f>元データ!C19</f>
        <v>粉</v>
      </c>
      <c r="F22" s="27" t="str">
        <f>元データ!D19</f>
        <v>2.7ｇ×２９４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5" t="str">
        <f ca="1">IF(OFFSET(マスタ非採用削除!A$4,統合マスタ!$A22,0)="","",OFFSET(マスタ非採用削除!A$4,統合マスタ!$A22,0))</f>
        <v>ｸﾗｼ114</v>
      </c>
      <c r="O22" s="55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5" t="str">
        <f ca="1">IF(OFFSET(マスタ非採用削除!D$4,統合マスタ!$A22,0)="","",OFFSET(マスタ非採用削除!D$4,統合マスタ!$A22,0))</f>
        <v>ｻｲﾚ</v>
      </c>
      <c r="R22" s="27">
        <f ca="1">IF(OFFSET(マスタ非採用削除!E$4,統合マスタ!$A22,0)="","",OFFSET(マスタ非採用削除!E$4,統合マスタ!$A22,0))</f>
        <v>2</v>
      </c>
      <c r="S22" s="55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5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5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/>
    </row>
    <row r="23" spans="1:27">
      <c r="A23" s="42">
        <f>元データ!P20</f>
        <v>140</v>
      </c>
      <c r="B23" s="27">
        <f t="shared" si="0"/>
        <v>19</v>
      </c>
      <c r="C23" s="27" t="str">
        <f>DBCS(元データ!A20)</f>
        <v>ＥＫ１５　黄連解毒湯エキス細粒</v>
      </c>
      <c r="D23" s="55" t="str">
        <f>元データ!B20</f>
        <v>メディセオ</v>
      </c>
      <c r="E23" s="27" t="str">
        <f>元データ!C20</f>
        <v>粉</v>
      </c>
      <c r="F23" s="27" t="str">
        <f>元データ!D20</f>
        <v>2ｇｘ42包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5" t="str">
        <f ca="1">IF(OFFSET(マスタ非採用削除!A$4,統合マスタ!$A23,0)="","",OFFSET(マスタ非採用削除!A$4,統合マスタ!$A23,0))</f>
        <v>ｸﾗｼ015</v>
      </c>
      <c r="O23" s="55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5" t="str">
        <f ca="1">IF(OFFSET(マスタ非採用削除!D$4,統合マスタ!$A23,0)="","",OFFSET(マスタ非採用削除!D$4,統合マスタ!$A23,0))</f>
        <v>ｵｳ</v>
      </c>
      <c r="R23" s="27">
        <f ca="1">IF(OFFSET(マスタ非採用削除!E$4,統合マスタ!$A23,0)="","",OFFSET(マスタ非採用削除!E$4,統合マスタ!$A23,0))</f>
        <v>2</v>
      </c>
      <c r="S23" s="55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5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5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/>
    </row>
    <row r="24" spans="1:27">
      <c r="A24" s="42" t="str">
        <f>元データ!P21</f>
        <v>非採用</v>
      </c>
      <c r="B24" s="27">
        <f t="shared" si="0"/>
        <v>20</v>
      </c>
      <c r="C24" s="27" t="str">
        <f>DBCS(元データ!A21)</f>
        <v>ＥＫ１９　小青竜湯エキス細粒</v>
      </c>
      <c r="D24" s="55" t="str">
        <f>元データ!B21</f>
        <v>アルフレッサ</v>
      </c>
      <c r="E24" s="27" t="str">
        <f>元データ!C21</f>
        <v/>
      </c>
      <c r="F24" s="27" t="str">
        <f>元データ!D21</f>
        <v>2ｇｘ42包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5" t="e">
        <f ca="1">IF(OFFSET(マスタ非採用削除!A$4,統合マスタ!$A24,0)="","",OFFSET(マスタ非採用削除!A$4,統合マスタ!$A24,0))</f>
        <v>#VALUE!</v>
      </c>
      <c r="O24" s="55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5" t="e">
        <f ca="1">IF(OFFSET(マスタ非採用削除!D$4,統合マスタ!$A24,0)="","",OFFSET(マスタ非採用削除!D$4,統合マスタ!$A24,0))</f>
        <v>#VALUE!</v>
      </c>
      <c r="R24" s="27" t="e">
        <f ca="1">IF(OFFSET(マスタ非採用削除!E$4,統合マスタ!$A24,0)="","",OFFSET(マスタ非採用削除!E$4,統合マスタ!$A24,0))</f>
        <v>#VALUE!</v>
      </c>
      <c r="S24" s="55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5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5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">
        <v>4076</v>
      </c>
    </row>
    <row r="25" spans="1:27">
      <c r="A25" s="42">
        <f>元データ!P22</f>
        <v>141</v>
      </c>
      <c r="B25" s="27">
        <f t="shared" si="0"/>
        <v>21</v>
      </c>
      <c r="C25" s="27" t="str">
        <f>DBCS(元データ!A22)</f>
        <v>ＥＫ２４　加味逍遥散料エキス細粒</v>
      </c>
      <c r="D25" s="55" t="str">
        <f>元データ!B22</f>
        <v>メディセオ</v>
      </c>
      <c r="E25" s="27" t="str">
        <f>元データ!C22</f>
        <v>粉</v>
      </c>
      <c r="F25" s="27" t="str">
        <f>元データ!D22</f>
        <v>2ｇｘ42包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5" t="str">
        <f ca="1">IF(OFFSET(マスタ非採用削除!A$4,統合マスタ!$A25,0)="","",OFFSET(マスタ非採用削除!A$4,統合マスタ!$A25,0))</f>
        <v>ｸﾗｼ024</v>
      </c>
      <c r="O25" s="55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5" t="str">
        <f ca="1">IF(OFFSET(マスタ非採用削除!D$4,統合マスタ!$A25,0)="","",OFFSET(マスタ非採用削除!D$4,統合マスタ!$A25,0))</f>
        <v>ｶﾐｼｮ1</v>
      </c>
      <c r="R25" s="27">
        <f ca="1">IF(OFFSET(マスタ非採用削除!E$4,統合マスタ!$A25,0)="","",OFFSET(マスタ非採用削除!E$4,統合マスタ!$A25,0))</f>
        <v>1</v>
      </c>
      <c r="S25" s="55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5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5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/>
    </row>
    <row r="26" spans="1:27">
      <c r="A26" s="42">
        <f>元データ!P23</f>
        <v>142</v>
      </c>
      <c r="B26" s="27">
        <f t="shared" si="0"/>
        <v>22</v>
      </c>
      <c r="C26" s="27" t="str">
        <f>DBCS(元データ!A23)</f>
        <v>ＥＫ４０　猪苓湯エキス細粒</v>
      </c>
      <c r="D26" s="55" t="str">
        <f>元データ!B23</f>
        <v>メディセオ</v>
      </c>
      <c r="E26" s="27" t="str">
        <f>元データ!C23</f>
        <v>粉</v>
      </c>
      <c r="F26" s="27" t="str">
        <f>元データ!D23</f>
        <v>2ｇｘ42包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5" t="str">
        <f ca="1">IF(OFFSET(マスタ非採用削除!A$4,統合マスタ!$A26,0)="","",OFFSET(マスタ非採用削除!A$4,統合マスタ!$A26,0))</f>
        <v>ｸﾗｼ040</v>
      </c>
      <c r="O26" s="55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5" t="str">
        <f ca="1">IF(OFFSET(マスタ非採用削除!D$4,統合マスタ!$A26,0)="","",OFFSET(マスタ非採用削除!D$4,統合マスタ!$A26,0))</f>
        <v>ﾁｮﾚ</v>
      </c>
      <c r="R26" s="27">
        <f ca="1">IF(OFFSET(マスタ非採用削除!E$4,統合マスタ!$A26,0)="","",OFFSET(マスタ非採用削除!E$4,統合マスタ!$A26,0))</f>
        <v>2</v>
      </c>
      <c r="S26" s="55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5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5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/>
    </row>
    <row r="27" spans="1:27">
      <c r="A27" s="42">
        <f>元データ!P24</f>
        <v>143</v>
      </c>
      <c r="B27" s="27">
        <f t="shared" si="0"/>
        <v>23</v>
      </c>
      <c r="C27" s="27" t="str">
        <f>DBCS(元データ!A24)</f>
        <v>ＥＫ４１　補中益気湯エキス細粒</v>
      </c>
      <c r="D27" s="55" t="str">
        <f>元データ!B24</f>
        <v>メディセオ</v>
      </c>
      <c r="E27" s="27" t="str">
        <f>元データ!C24</f>
        <v>粉</v>
      </c>
      <c r="F27" s="27" t="str">
        <f>元データ!D24</f>
        <v>2.5ｇｘ294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5" t="str">
        <f ca="1">IF(OFFSET(マスタ非採用削除!A$4,統合マスタ!$A27,0)="","",OFFSET(マスタ非採用削除!A$4,統合マスタ!$A27,0))</f>
        <v>ｸﾗｼ041</v>
      </c>
      <c r="O27" s="55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5" t="str">
        <f ca="1">IF(OFFSET(マスタ非採用削除!D$4,統合マスタ!$A27,0)="","",OFFSET(マスタ非採用削除!D$4,統合マスタ!$A27,0))</f>
        <v>ﾎﾁｭｳ</v>
      </c>
      <c r="R27" s="27">
        <f ca="1">IF(OFFSET(マスタ非採用削除!E$4,統合マスタ!$A27,0)="","",OFFSET(マスタ非採用削除!E$4,統合マスタ!$A27,0))</f>
        <v>1</v>
      </c>
      <c r="S27" s="55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5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5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/>
    </row>
    <row r="28" spans="1:27">
      <c r="A28" s="42">
        <f>元データ!P25</f>
        <v>59</v>
      </c>
      <c r="B28" s="27">
        <f t="shared" si="0"/>
        <v>24</v>
      </c>
      <c r="C28" s="27" t="str">
        <f>DBCS(元データ!A25)</f>
        <v>ＥＰＬカプセル２５０ｍｇ　販売中止</v>
      </c>
      <c r="D28" s="55" t="str">
        <f>元データ!B25</f>
        <v>アルフレッサ</v>
      </c>
      <c r="E28" s="27" t="str">
        <f>元データ!C25</f>
        <v>ＰＴＰ</v>
      </c>
      <c r="F28" s="27" t="str">
        <f>元データ!D25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5" t="str">
        <f ca="1">IF(OFFSET(マスタ非採用削除!A$4,統合マスタ!$A28,0)="","",OFFSET(マスタ非採用削除!A$4,統合マスタ!$A28,0))</f>
        <v>ｲﾋｴ001</v>
      </c>
      <c r="O28" s="55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5" t="str">
        <f ca="1">IF(OFFSET(マスタ非採用削除!D$4,統合マスタ!$A28,0)="","",OFFSET(マスタ非採用削除!D$4,統合マスタ!$A28,0))</f>
        <v>EPL**</v>
      </c>
      <c r="R28" s="27">
        <f ca="1">IF(OFFSET(マスタ非採用削除!E$4,統合マスタ!$A28,0)="","",OFFSET(マスタ非採用削除!E$4,統合マスタ!$A28,0))</f>
        <v>1</v>
      </c>
      <c r="S28" s="55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5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5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/>
    </row>
    <row r="29" spans="1:27">
      <c r="A29" s="42">
        <f>元データ!P26</f>
        <v>76</v>
      </c>
      <c r="B29" s="27">
        <f t="shared" si="0"/>
        <v>25</v>
      </c>
      <c r="C29" s="27" t="str">
        <f>DBCS(元データ!A26)</f>
        <v>ＳＰトローチ０．２５ｍｇ「明治」</v>
      </c>
      <c r="D29" s="55" t="str">
        <f>元データ!B26</f>
        <v>メディセオ</v>
      </c>
      <c r="E29" s="27" t="str">
        <f>元データ!C26</f>
        <v>PTP</v>
      </c>
      <c r="F29" s="27" t="str">
        <f>元データ!D26</f>
        <v>1200T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5" t="str">
        <f ca="1">IF(OFFSET(マスタ非採用削除!A$4,統合マスタ!$A29,0)="","",OFFSET(マスタ非採用削除!A$4,統合マスタ!$A29,0))</f>
        <v>ｴｽﾋ001</v>
      </c>
      <c r="O29" s="55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5" t="str">
        <f ca="1">IF(OFFSET(マスタ非採用削除!D$4,統合マスタ!$A29,0)="","",OFFSET(マスタ非採用削除!D$4,統合マスタ!$A29,0))</f>
        <v>SPﾄ</v>
      </c>
      <c r="R29" s="27">
        <f ca="1">IF(OFFSET(マスタ非採用削除!E$4,統合マスタ!$A29,0)="","",OFFSET(マスタ非採用削除!E$4,統合マスタ!$A29,0))</f>
        <v>1</v>
      </c>
      <c r="S29" s="55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5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5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/>
    </row>
    <row r="30" spans="1:27">
      <c r="A30" s="42">
        <f>元データ!P27</f>
        <v>581</v>
      </c>
      <c r="B30" s="27">
        <f t="shared" si="0"/>
        <v>26</v>
      </c>
      <c r="C30" s="27" t="str">
        <f>DBCS(元データ!A27)</f>
        <v>Ｔ７２　ヨクイニンエキス錠「コタロー」</v>
      </c>
      <c r="D30" s="55" t="str">
        <f>元データ!B27</f>
        <v>メディセオ</v>
      </c>
      <c r="E30" s="27" t="str">
        <f>元データ!C27</f>
        <v>バラ</v>
      </c>
      <c r="F30" s="27" t="str">
        <f>元データ!D27</f>
        <v>126Tx10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5" t="str">
        <f ca="1">IF(OFFSET(マスタ非採用削除!A$4,統合マスタ!$A30,0)="","",OFFSET(マスタ非採用削除!A$4,統合マスタ!$A30,0))</f>
        <v>ﾖｸｲ001</v>
      </c>
      <c r="O30" s="55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5" t="str">
        <f ca="1">IF(OFFSET(マスタ非採用削除!D$4,統合マスタ!$A30,0)="","",OFFSET(マスタ非採用削除!D$4,統合マスタ!$A30,0))</f>
        <v/>
      </c>
      <c r="R30" s="27">
        <f ca="1">IF(OFFSET(マスタ非採用削除!E$4,統合マスタ!$A30,0)="","",OFFSET(マスタ非採用削除!E$4,統合マスタ!$A30,0))</f>
        <v>2</v>
      </c>
      <c r="S30" s="55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5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5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/>
    </row>
    <row r="31" spans="1:27">
      <c r="A31" s="42">
        <f>元データ!P28</f>
        <v>22</v>
      </c>
      <c r="B31" s="27">
        <f t="shared" si="0"/>
        <v>27</v>
      </c>
      <c r="C31" s="27" t="str">
        <f>DBCS(元データ!A28)</f>
        <v>アーチスト錠１．２５ｍｇ</v>
      </c>
      <c r="D31" s="55" t="str">
        <f>元データ!B28</f>
        <v>メディセオ</v>
      </c>
      <c r="E31" s="27" t="str">
        <f>元データ!C28</f>
        <v>PTP</v>
      </c>
      <c r="F31" s="27" t="str">
        <f>元データ!D28</f>
        <v>100T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5" t="str">
        <f ca="1">IF(OFFSET(マスタ非採用削除!A$4,統合マスタ!$A31,0)="","",OFFSET(マスタ非採用削除!A$4,統合マスタ!$A31,0))</f>
        <v>ｱﾁｽ001</v>
      </c>
      <c r="O31" s="55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5" t="str">
        <f ca="1">IF(OFFSET(マスタ非採用削除!D$4,統合マスタ!$A31,0)="","",OFFSET(マスタ非採用削除!D$4,統合マスタ!$A31,0))</f>
        <v>ｱｰﾁ</v>
      </c>
      <c r="R31" s="27">
        <f ca="1">IF(OFFSET(マスタ非採用削除!E$4,統合マスタ!$A31,0)="","",OFFSET(マスタ非採用削除!E$4,統合マスタ!$A31,0))</f>
        <v>1</v>
      </c>
      <c r="S31" s="55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5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5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/>
    </row>
    <row r="32" spans="1:27">
      <c r="A32" s="42" t="str">
        <f>元データ!P29</f>
        <v>非採用</v>
      </c>
      <c r="B32" s="27">
        <f t="shared" si="0"/>
        <v>28</v>
      </c>
      <c r="C32" s="27" t="str">
        <f>DBCS(元データ!A29)</f>
        <v>アイファガン点眼液０．１％</v>
      </c>
      <c r="D32" s="55" t="str">
        <f>元データ!B29</f>
        <v/>
      </c>
      <c r="E32" s="27" t="str">
        <f>元データ!C29</f>
        <v/>
      </c>
      <c r="F32" s="27" t="str">
        <f>元データ!D29</f>
        <v>5ｍｌｘ5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5" t="e">
        <f ca="1">IF(OFFSET(マスタ非採用削除!A$4,統合マスタ!$A32,0)="","",OFFSET(マスタ非採用削除!A$4,統合マスタ!$A32,0))</f>
        <v>#VALUE!</v>
      </c>
      <c r="O32" s="55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5" t="e">
        <f ca="1">IF(OFFSET(マスタ非採用削除!D$4,統合マスタ!$A32,0)="","",OFFSET(マスタ非採用削除!D$4,統合マスタ!$A32,0))</f>
        <v>#VALUE!</v>
      </c>
      <c r="R32" s="27" t="e">
        <f ca="1">IF(OFFSET(マスタ非採用削除!E$4,統合マスタ!$A32,0)="","",OFFSET(マスタ非採用削除!E$4,統合マスタ!$A32,0))</f>
        <v>#VALUE!</v>
      </c>
      <c r="S32" s="55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5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5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">
        <v>4065</v>
      </c>
    </row>
    <row r="33" spans="1:27">
      <c r="A33" s="42" t="str">
        <f>元データ!P30</f>
        <v>非採用</v>
      </c>
      <c r="B33" s="27">
        <f t="shared" si="0"/>
        <v>29</v>
      </c>
      <c r="C33" s="27" t="str">
        <f>DBCS(元データ!A30)</f>
        <v>アウィクリ注　フレックスタッチ　総量３００単位</v>
      </c>
      <c r="D33" s="55" t="str">
        <f>元データ!B30</f>
        <v>アルフレッサ</v>
      </c>
      <c r="E33" s="27" t="str">
        <f>元データ!C30</f>
        <v/>
      </c>
      <c r="F33" s="27" t="str">
        <f>元データ!D30</f>
        <v>0.43ｍｌｘ2kit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5" t="e">
        <f ca="1">IF(OFFSET(マスタ非採用削除!A$4,統合マスタ!$A33,0)="","",OFFSET(マスタ非採用削除!A$4,統合マスタ!$A33,0))</f>
        <v>#VALUE!</v>
      </c>
      <c r="O33" s="55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5" t="e">
        <f ca="1">IF(OFFSET(マスタ非採用削除!D$4,統合マスタ!$A33,0)="","",OFFSET(マスタ非採用削除!D$4,統合マスタ!$A33,0))</f>
        <v>#VALUE!</v>
      </c>
      <c r="R33" s="27" t="e">
        <f ca="1">IF(OFFSET(マスタ非採用削除!E$4,統合マスタ!$A33,0)="","",OFFSET(マスタ非採用削除!E$4,統合マスタ!$A33,0))</f>
        <v>#VALUE!</v>
      </c>
      <c r="S33" s="55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5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5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">
        <v>4065</v>
      </c>
    </row>
    <row r="34" spans="1:27">
      <c r="A34" s="42" t="str">
        <f>元データ!P31</f>
        <v>非採用</v>
      </c>
      <c r="B34" s="27">
        <f t="shared" si="0"/>
        <v>30</v>
      </c>
      <c r="C34" s="27" t="str">
        <f>DBCS(元データ!A31)</f>
        <v>アキネトン細粒１％</v>
      </c>
      <c r="D34" s="55" t="str">
        <f>元データ!B31</f>
        <v/>
      </c>
      <c r="E34" s="27" t="str">
        <f>元データ!C31</f>
        <v>粉</v>
      </c>
      <c r="F34" s="27" t="str">
        <f>元データ!D31</f>
        <v>100ｇ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5" t="e">
        <f ca="1">IF(OFFSET(マスタ非採用削除!A$4,統合マスタ!$A34,0)="","",OFFSET(マスタ非採用削除!A$4,統合マスタ!$A34,0))</f>
        <v>#VALUE!</v>
      </c>
      <c r="O34" s="55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5" t="e">
        <f ca="1">IF(OFFSET(マスタ非採用削除!D$4,統合マスタ!$A34,0)="","",OFFSET(マスタ非採用削除!D$4,統合マスタ!$A34,0))</f>
        <v>#VALUE!</v>
      </c>
      <c r="R34" s="27" t="e">
        <f ca="1">IF(OFFSET(マスタ非採用削除!E$4,統合マスタ!$A34,0)="","",OFFSET(マスタ非採用削除!E$4,統合マスタ!$A34,0))</f>
        <v>#VALUE!</v>
      </c>
      <c r="S34" s="55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5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5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">
        <v>4065</v>
      </c>
    </row>
    <row r="35" spans="1:27">
      <c r="A35" s="42">
        <f>元データ!P32</f>
        <v>2</v>
      </c>
      <c r="B35" s="27">
        <f t="shared" si="0"/>
        <v>31</v>
      </c>
      <c r="C35" s="27" t="str">
        <f>DBCS(元データ!A32)</f>
        <v>アキネトン注射液５ｍｇ　　　　　　　　　</v>
      </c>
      <c r="D35" s="55" t="str">
        <f>元データ!B32</f>
        <v/>
      </c>
      <c r="E35" s="27" t="str">
        <f>元データ!C32</f>
        <v/>
      </c>
      <c r="F35" s="27" t="str">
        <f>元データ!D32</f>
        <v>１ｍＬ×5０Ａ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5" t="str">
        <f ca="1">IF(OFFSET(マスタ非採用削除!A$4,統合マスタ!$A35,0)="","",OFFSET(マスタ非採用削除!A$4,統合マスタ!$A35,0))</f>
        <v>ｱｷﾈ002</v>
      </c>
      <c r="O35" s="55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5" t="str">
        <f ca="1">IF(OFFSET(マスタ非採用削除!D$4,統合マスタ!$A35,0)="","",OFFSET(マスタ非採用削除!D$4,統合マスタ!$A35,0))</f>
        <v>ｱｷﾈﾄﾝﾁ</v>
      </c>
      <c r="R35" s="27">
        <f ca="1">IF(OFFSET(マスタ非採用削除!E$4,統合マスタ!$A35,0)="","",OFFSET(マスタ非採用削除!E$4,統合マスタ!$A35,0))</f>
        <v>1</v>
      </c>
      <c r="S35" s="55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5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5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/>
    </row>
    <row r="36" spans="1:27">
      <c r="A36" s="42">
        <f>元データ!P33</f>
        <v>3</v>
      </c>
      <c r="B36" s="27">
        <f t="shared" si="0"/>
        <v>32</v>
      </c>
      <c r="C36" s="27" t="str">
        <f>DBCS(元データ!A33)</f>
        <v>アクアチムクリーム１％</v>
      </c>
      <c r="D36" s="55" t="str">
        <f>元データ!B33</f>
        <v>スズケン</v>
      </c>
      <c r="E36" s="27" t="str">
        <f>元データ!C33</f>
        <v/>
      </c>
      <c r="F36" s="27" t="str">
        <f>元データ!D33</f>
        <v>10ｇX10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5" t="str">
        <f ca="1">IF(OFFSET(マスタ非採用削除!A$4,統合マスタ!$A36,0)="","",OFFSET(マスタ非採用削除!A$4,統合マスタ!$A36,0))</f>
        <v>ｱｸｱ001</v>
      </c>
      <c r="O36" s="55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5" t="str">
        <f ca="1">IF(OFFSET(マスタ非採用削除!D$4,統合マスタ!$A36,0)="","",OFFSET(マスタ非採用削除!D$4,統合マスタ!$A36,0))</f>
        <v>ｱｸｱﾁﾑ</v>
      </c>
      <c r="R36" s="27">
        <f ca="1">IF(OFFSET(マスタ非採用削除!E$4,統合マスタ!$A36,0)="","",OFFSET(マスタ非採用削除!E$4,統合マスタ!$A36,0))</f>
        <v>1</v>
      </c>
      <c r="S36" s="55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5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5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/>
    </row>
    <row r="37" spans="1:27">
      <c r="A37" s="42">
        <f>元データ!P34</f>
        <v>4</v>
      </c>
      <c r="B37" s="27">
        <f t="shared" si="0"/>
        <v>33</v>
      </c>
      <c r="C37" s="27" t="str">
        <f>DBCS(元データ!A34)</f>
        <v>アクチット輸液　　　　　　　　　　　　　　</v>
      </c>
      <c r="D37" s="55" t="str">
        <f>元データ!B34</f>
        <v>メディセオ</v>
      </c>
      <c r="E37" s="27" t="str">
        <f>元データ!C34</f>
        <v/>
      </c>
      <c r="F37" s="27" t="str">
        <f>元データ!D34</f>
        <v>500ｍｌｘ20袋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5" t="str">
        <f ca="1">IF(OFFSET(マスタ非採用削除!A$4,統合マスタ!$A37,0)="","",OFFSET(マスタ非採用削除!A$4,統合マスタ!$A37,0))</f>
        <v>ｱｸﾁ002</v>
      </c>
      <c r="O37" s="55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5" t="str">
        <f ca="1">IF(OFFSET(マスタ非採用削除!D$4,統合マスタ!$A37,0)="","",OFFSET(マスタ非採用削除!D$4,統合マスタ!$A37,0))</f>
        <v/>
      </c>
      <c r="R37" s="27">
        <f ca="1">IF(OFFSET(マスタ非採用削除!E$4,統合マスタ!$A37,0)="","",OFFSET(マスタ非採用削除!E$4,統合マスタ!$A37,0))</f>
        <v>1</v>
      </c>
      <c r="S37" s="55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5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5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/>
    </row>
    <row r="38" spans="1:27">
      <c r="A38" s="42">
        <f>元データ!P35</f>
        <v>5</v>
      </c>
      <c r="B38" s="27">
        <f t="shared" si="0"/>
        <v>34</v>
      </c>
      <c r="C38" s="27" t="str">
        <f>DBCS(元データ!A35)</f>
        <v>アクトシン軟膏３％</v>
      </c>
      <c r="D38" s="55" t="str">
        <f>元データ!B35</f>
        <v>アルフレッサ</v>
      </c>
      <c r="E38" s="27" t="str">
        <f>元データ!C35</f>
        <v/>
      </c>
      <c r="F38" s="27" t="str">
        <f>元データ!D35</f>
        <v>30ｇ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5" t="str">
        <f ca="1">IF(OFFSET(マスタ非採用削除!A$4,統合マスタ!$A38,0)="","",OFFSET(マスタ非採用削除!A$4,統合マスタ!$A38,0))</f>
        <v>ｱｸﾄ001</v>
      </c>
      <c r="O38" s="55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5" t="str">
        <f ca="1">IF(OFFSET(マスタ非採用削除!D$4,統合マスタ!$A38,0)="","",OFFSET(マスタ非採用削除!D$4,統合マスタ!$A38,0))</f>
        <v>ｱｸﾄｼﾝ</v>
      </c>
      <c r="R38" s="27">
        <f ca="1">IF(OFFSET(マスタ非採用削除!E$4,統合マスタ!$A38,0)="","",OFFSET(マスタ非採用削除!E$4,統合マスタ!$A38,0))</f>
        <v>1</v>
      </c>
      <c r="S38" s="55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5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5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/>
    </row>
    <row r="39" spans="1:27">
      <c r="A39" s="42">
        <f>元データ!P36</f>
        <v>6</v>
      </c>
      <c r="B39" s="27">
        <f t="shared" si="0"/>
        <v>35</v>
      </c>
      <c r="C39" s="27" t="str">
        <f>DBCS(元データ!A36)</f>
        <v>アザルフィジンＥＮ錠５００ｍｇ</v>
      </c>
      <c r="D39" s="55" t="str">
        <f>元データ!B36</f>
        <v>KSK</v>
      </c>
      <c r="E39" s="27" t="str">
        <f>元データ!C36</f>
        <v>PTP</v>
      </c>
      <c r="F39" s="27" t="str">
        <f>元データ!D36</f>
        <v>100Ｔ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5" t="str">
        <f ca="1">IF(OFFSET(マスタ非採用削除!A$4,統合マスタ!$A39,0)="","",OFFSET(マスタ非採用削除!A$4,統合マスタ!$A39,0))</f>
        <v>ｱｻﾙ001</v>
      </c>
      <c r="O39" s="55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5" t="str">
        <f ca="1">IF(OFFSET(マスタ非採用削除!D$4,統合マスタ!$A39,0)="","",OFFSET(マスタ非採用削除!D$4,統合マスタ!$A39,0))</f>
        <v>ｱｻﾞﾙ1</v>
      </c>
      <c r="R39" s="27">
        <f ca="1">IF(OFFSET(マスタ非採用削除!E$4,統合マスタ!$A39,0)="","",OFFSET(マスタ非採用削除!E$4,統合マスタ!$A39,0))</f>
        <v>2</v>
      </c>
      <c r="S39" s="55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5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5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/>
    </row>
    <row r="40" spans="1:27">
      <c r="A40" s="42">
        <f>元データ!P37</f>
        <v>7</v>
      </c>
      <c r="B40" s="27">
        <f t="shared" si="0"/>
        <v>36</v>
      </c>
      <c r="C40" s="27" t="str">
        <f>DBCS(元データ!A37)</f>
        <v>アシクロビル点滴静注用２５０ｍｇ「サワイ」</v>
      </c>
      <c r="D40" s="55" t="str">
        <f>元データ!B37</f>
        <v/>
      </c>
      <c r="E40" s="27" t="str">
        <f>元データ!C37</f>
        <v/>
      </c>
      <c r="F40" s="27" t="str">
        <f>元データ!D37</f>
        <v>10V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5" t="str">
        <f ca="1">IF(OFFSET(マスタ非採用削除!A$4,統合マスタ!$A40,0)="","",OFFSET(マスタ非採用削除!A$4,統合マスタ!$A40,0))</f>
        <v>ｱｼｸ001</v>
      </c>
      <c r="O40" s="55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5" t="str">
        <f ca="1">IF(OFFSET(マスタ非採用削除!D$4,統合マスタ!$A40,0)="","",OFFSET(マスタ非採用削除!D$4,統合マスタ!$A40,0))</f>
        <v>ｱｼｸﾛ</v>
      </c>
      <c r="R40" s="27">
        <f ca="1">IF(OFFSET(マスタ非採用削除!E$4,統合マスタ!$A40,0)="","",OFFSET(マスタ非採用削除!E$4,統合マスタ!$A40,0))</f>
        <v>2</v>
      </c>
      <c r="S40" s="55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5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5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/>
    </row>
    <row r="41" spans="1:27">
      <c r="A41" s="42">
        <f>元データ!P38</f>
        <v>8</v>
      </c>
      <c r="B41" s="27">
        <f t="shared" si="0"/>
        <v>37</v>
      </c>
      <c r="C41" s="27" t="str">
        <f>DBCS(元データ!A38)</f>
        <v>アジスロマイシン錠２５０ｍｇ「トーワ」</v>
      </c>
      <c r="D41" s="55" t="str">
        <f>元データ!B38</f>
        <v/>
      </c>
      <c r="E41" s="27" t="str">
        <f>元データ!C38</f>
        <v>ＰＴＰ</v>
      </c>
      <c r="F41" s="27" t="str">
        <f>元データ!D38</f>
        <v>60T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5" t="str">
        <f ca="1">IF(OFFSET(マスタ非採用削除!A$4,統合マスタ!$A41,0)="","",OFFSET(マスタ非採用削除!A$4,統合マスタ!$A41,0))</f>
        <v>ｱｼｽ001</v>
      </c>
      <c r="O41" s="55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5" t="str">
        <f ca="1">IF(OFFSET(マスタ非採用削除!D$4,統合マスタ!$A41,0)="","",OFFSET(マスタ非採用削除!D$4,統合マスタ!$A41,0))</f>
        <v>ｱｼﾞｽ</v>
      </c>
      <c r="R41" s="27">
        <f ca="1">IF(OFFSET(マスタ非採用削除!E$4,統合マスタ!$A41,0)="","",OFFSET(マスタ非採用削除!E$4,統合マスタ!$A41,0))</f>
        <v>1</v>
      </c>
      <c r="S41" s="55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5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5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/>
    </row>
    <row r="42" spans="1:27">
      <c r="A42" s="42">
        <f>元データ!P39</f>
        <v>9</v>
      </c>
      <c r="B42" s="27">
        <f t="shared" si="0"/>
        <v>38</v>
      </c>
      <c r="C42" s="27" t="str">
        <f>DBCS(元データ!A39)</f>
        <v>アジルサルタンＯＤ錠２０ｍｇ「サワイ」</v>
      </c>
      <c r="D42" s="55" t="str">
        <f>元データ!B39</f>
        <v>アルフレッサ</v>
      </c>
      <c r="E42" s="27" t="str">
        <f>元データ!C39</f>
        <v>PTP</v>
      </c>
      <c r="F42" s="27" t="str">
        <f>元データ!D39</f>
        <v>100T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5" t="str">
        <f ca="1">IF(OFFSET(マスタ非採用削除!A$4,統合マスタ!$A42,0)="","",OFFSET(マスタ非採用削除!A$4,統合マスタ!$A42,0))</f>
        <v>ｱｼﾙ003</v>
      </c>
      <c r="O42" s="55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5" t="str">
        <f ca="1">IF(OFFSET(マスタ非採用削除!D$4,統合マスタ!$A42,0)="","",OFFSET(マスタ非採用削除!D$4,統合マスタ!$A42,0))</f>
        <v/>
      </c>
      <c r="R42" s="27">
        <f ca="1">IF(OFFSET(マスタ非採用削除!E$4,統合マスタ!$A42,0)="","",OFFSET(マスタ非採用削除!E$4,統合マスタ!$A42,0))</f>
        <v>1</v>
      </c>
      <c r="S42" s="55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5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5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5</v>
      </c>
      <c r="AA42" s="27"/>
    </row>
    <row r="43" spans="1:27">
      <c r="A43" s="42">
        <f>元データ!P40</f>
        <v>9</v>
      </c>
      <c r="B43" s="27">
        <f t="shared" si="0"/>
        <v>39</v>
      </c>
      <c r="C43" s="27" t="str">
        <f>DBCS(元データ!A40)</f>
        <v>アジルサルタンＯＤ錠２０ｍｇ「サワイ」</v>
      </c>
      <c r="D43" s="55" t="str">
        <f>元データ!B40</f>
        <v>アルフレッサ</v>
      </c>
      <c r="E43" s="27" t="str">
        <f>元データ!C40</f>
        <v>バラ</v>
      </c>
      <c r="F43" s="27" t="str">
        <f>元データ!D40</f>
        <v>200T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5" t="str">
        <f ca="1">IF(OFFSET(マスタ非採用削除!A$4,統合マスタ!$A43,0)="","",OFFSET(マスタ非採用削除!A$4,統合マスタ!$A43,0))</f>
        <v>ｱｼﾙ003</v>
      </c>
      <c r="O43" s="55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5" t="str">
        <f ca="1">IF(OFFSET(マスタ非採用削除!D$4,統合マスタ!$A43,0)="","",OFFSET(マスタ非採用削除!D$4,統合マスタ!$A43,0))</f>
        <v/>
      </c>
      <c r="R43" s="27">
        <f ca="1">IF(OFFSET(マスタ非採用削除!E$4,統合マスタ!$A43,0)="","",OFFSET(マスタ非採用削除!E$4,統合マスタ!$A43,0))</f>
        <v>1</v>
      </c>
      <c r="S43" s="55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5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5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5</v>
      </c>
      <c r="AA43" s="27"/>
    </row>
    <row r="44" spans="1:27">
      <c r="A44" s="42">
        <f>元データ!P41</f>
        <v>10</v>
      </c>
      <c r="B44" s="27">
        <f t="shared" si="0"/>
        <v>40</v>
      </c>
      <c r="C44" s="27" t="str">
        <f>DBCS(元データ!A41)</f>
        <v>アスコルビン酸注５００ｍｇ「イセイ」　</v>
      </c>
      <c r="D44" s="55" t="str">
        <f>元データ!B41</f>
        <v>アルフレッサ</v>
      </c>
      <c r="E44" s="27" t="str">
        <f>元データ!C41</f>
        <v/>
      </c>
      <c r="F44" s="27" t="str">
        <f>元データ!D41</f>
        <v>2ｍｌｘ50Ａ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5" t="str">
        <f ca="1">IF(OFFSET(マスタ非採用削除!A$4,統合マスタ!$A44,0)="","",OFFSET(マスタ非採用削除!A$4,統合マスタ!$A44,0))</f>
        <v>ｱｽｺ003</v>
      </c>
      <c r="O44" s="55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5" t="str">
        <f ca="1">IF(OFFSET(マスタ非採用削除!D$4,統合マスタ!$A44,0)="","",OFFSET(マスタ非採用削除!D$4,統合マスタ!$A44,0))</f>
        <v/>
      </c>
      <c r="R44" s="27">
        <f ca="1">IF(OFFSET(マスタ非採用削除!E$4,統合マスタ!$A44,0)="","",OFFSET(マスタ非採用削除!E$4,統合マスタ!$A44,0))</f>
        <v>1</v>
      </c>
      <c r="S44" s="55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5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5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/>
    </row>
    <row r="45" spans="1:27">
      <c r="A45" s="42">
        <f>元データ!P42</f>
        <v>0</v>
      </c>
      <c r="B45" s="27">
        <f t="shared" si="0"/>
        <v>41</v>
      </c>
      <c r="C45" s="27" t="str">
        <f>DBCS(元データ!A42)</f>
        <v>アスコルビン酸注射液５００ｍｇ「トーワ」　　</v>
      </c>
      <c r="D45" s="55" t="str">
        <f>元データ!B42</f>
        <v>東和薬品</v>
      </c>
      <c r="E45" s="27" t="str">
        <f>元データ!C42</f>
        <v/>
      </c>
      <c r="F45" s="27" t="str">
        <f>元データ!D42</f>
        <v>2ｍｌｘ1００Ａ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5" t="str">
        <f ca="1">IF(OFFSET(マスタ非採用削除!A$4,統合マスタ!$A45,0)="","",OFFSET(マスタ非採用削除!A$4,統合マスタ!$A45,0))</f>
        <v>コード(区分値)</v>
      </c>
      <c r="O45" s="55" t="str">
        <f ca="1">IF(OFFSET(マスタ非採用削除!B$4,統合マスタ!$A45,0)="","",OFFSET(マスタ非採用削除!B$4,統合マスタ!$A45,0))</f>
        <v>コード</v>
      </c>
      <c r="P45" s="27" t="str">
        <f ca="1">IF(OFFSET(マスタ非採用削除!C$4,統合マスタ!$A45,0)="","",OFFSET(マスタ非採用削除!C$4,統合マスタ!$A45,0))</f>
        <v>名称</v>
      </c>
      <c r="Q45" s="55" t="str">
        <f ca="1">IF(OFFSET(マスタ非採用削除!D$4,統合マスタ!$A45,0)="","",OFFSET(マスタ非採用削除!D$4,統合マスタ!$A45,0))</f>
        <v>ホストコード</v>
      </c>
      <c r="R45" s="27" t="str">
        <f ca="1">IF(OFFSET(マスタ非採用削除!E$4,統合マスタ!$A45,0)="","",OFFSET(マスタ非採用削除!E$4,統合マスタ!$A45,0))</f>
        <v>採用区分（区分値）(区分値)</v>
      </c>
      <c r="S45" s="55" t="str">
        <f ca="1">IF(OFFSET(マスタ非採用削除!F$4,統合マスタ!$A45,0)="","",OFFSET(マスタ非採用削除!F$4,統合マスタ!$A45,0))</f>
        <v>採用区分（区分値）</v>
      </c>
      <c r="T45" s="27" t="str">
        <f ca="1">IF(OFFSET(マスタ非採用削除!G$4,統合マスタ!$A45,0)="","",OFFSET(マスタ非採用削除!G$4,統合マスタ!$A45,0))</f>
        <v>薬価</v>
      </c>
      <c r="U45" s="55" t="str">
        <f ca="1">IF(OFFSET(マスタ非採用削除!H$4,統合マスタ!$A45,0)="","",OFFSET(マスタ非採用削除!H$4,統合マスタ!$A45,0))</f>
        <v>カナ名称</v>
      </c>
      <c r="V45" s="27" t="str">
        <f ca="1">IF(OFFSET(マスタ非採用削除!I$4,統合マスタ!$A45,0)="","",OFFSET(マスタ非採用削除!I$4,統合マスタ!$A45,0))</f>
        <v>剤形(区分値)</v>
      </c>
      <c r="W45" s="27" t="str">
        <f ca="1">IF(OFFSET(マスタ非採用削除!J$4,統合マスタ!$A45,0)="","",OFFSET(マスタ非採用削除!J$4,統合マスタ!$A45,0))</f>
        <v>剤形</v>
      </c>
      <c r="X45" s="27" t="str">
        <f ca="1">IF(OFFSET(マスタ非採用削除!K$4,統合マスタ!$A45,0)="","",OFFSET(マスタ非採用削除!K$4,統合マスタ!$A45,0))</f>
        <v>毒劇薬（区分値）(区分値)</v>
      </c>
      <c r="Y45" s="55" t="str">
        <f ca="1">IF(OFFSET(マスタ非採用削除!L$4,統合マスタ!$A45,0)="","",OFFSET(マスタ非採用削除!L$4,統合マスタ!$A45,0))</f>
        <v>毒劇薬（区分値）</v>
      </c>
      <c r="Z45" s="27" t="str">
        <f ca="1">IF(OFFSET(マスタ非採用削除!M$4,統合マスタ!$A45,0)="","",OFFSET(マスタ非採用削除!M$4,統合マスタ!$A45,0))</f>
        <v>棚</v>
      </c>
      <c r="AA45" s="27"/>
    </row>
    <row r="46" spans="1:27">
      <c r="A46" s="42" t="str">
        <f>元データ!P43</f>
        <v>非採用</v>
      </c>
      <c r="B46" s="27">
        <f t="shared" si="0"/>
        <v>42</v>
      </c>
      <c r="C46" s="27" t="str">
        <f>DBCS(元データ!A43)</f>
        <v>アズノール軟膏０．０３３％</v>
      </c>
      <c r="D46" s="55" t="str">
        <f>元データ!B43</f>
        <v>メディセオ</v>
      </c>
      <c r="E46" s="27" t="str">
        <f>元データ!C43</f>
        <v/>
      </c>
      <c r="F46" s="27" t="str">
        <f>元データ!D43</f>
        <v>20ｇｘ10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5" t="e">
        <f ca="1">IF(OFFSET(マスタ非採用削除!A$4,統合マスタ!$A46,0)="","",OFFSET(マスタ非採用削除!A$4,統合マスタ!$A46,0))</f>
        <v>#VALUE!</v>
      </c>
      <c r="O46" s="55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5" t="e">
        <f ca="1">IF(OFFSET(マスタ非採用削除!D$4,統合マスタ!$A46,0)="","",OFFSET(マスタ非採用削除!D$4,統合マスタ!$A46,0))</f>
        <v>#VALUE!</v>
      </c>
      <c r="R46" s="27" t="e">
        <f ca="1">IF(OFFSET(マスタ非採用削除!E$4,統合マスタ!$A46,0)="","",OFFSET(マスタ非採用削除!E$4,統合マスタ!$A46,0))</f>
        <v>#VALUE!</v>
      </c>
      <c r="S46" s="55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5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5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">
        <v>4065</v>
      </c>
    </row>
    <row r="47" spans="1:27">
      <c r="A47" s="42">
        <f>元データ!P44</f>
        <v>12</v>
      </c>
      <c r="B47" s="27">
        <f t="shared" si="0"/>
        <v>43</v>
      </c>
      <c r="C47" s="27" t="str">
        <f>DBCS(元データ!A44)</f>
        <v>アスパラ－ＣＡ錠２００</v>
      </c>
      <c r="D47" s="55" t="str">
        <f>元データ!B44</f>
        <v>KSK</v>
      </c>
      <c r="E47" s="27" t="str">
        <f>元データ!C44</f>
        <v>PTP</v>
      </c>
      <c r="F47" s="27" t="str">
        <f>元データ!D44</f>
        <v>100T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5" t="str">
        <f ca="1">IF(OFFSET(マスタ非採用削除!A$4,統合マスタ!$A47,0)="","",OFFSET(マスタ非採用削除!A$4,統合マスタ!$A47,0))</f>
        <v>ｱｽﾊ001</v>
      </c>
      <c r="O47" s="55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5" t="str">
        <f ca="1">IF(OFFSET(マスタ非採用削除!D$4,統合マスタ!$A47,0)="","",OFFSET(マスタ非採用削除!D$4,統合マスタ!$A47,0))</f>
        <v>ｱｽﾊﾟ</v>
      </c>
      <c r="R47" s="27">
        <f ca="1">IF(OFFSET(マスタ非採用削除!E$4,統合マスタ!$A47,0)="","",OFFSET(マスタ非採用削除!E$4,統合マスタ!$A47,0))</f>
        <v>1</v>
      </c>
      <c r="S47" s="55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5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5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5</v>
      </c>
      <c r="AA47" s="27"/>
    </row>
    <row r="48" spans="1:27">
      <c r="A48" s="42">
        <f>元データ!P45</f>
        <v>12</v>
      </c>
      <c r="B48" s="27">
        <f t="shared" si="0"/>
        <v>44</v>
      </c>
      <c r="C48" s="27" t="str">
        <f>DBCS(元データ!A45)</f>
        <v>アスパラ－ＣＡ錠２００</v>
      </c>
      <c r="D48" s="55" t="str">
        <f>元データ!B45</f>
        <v>KSK</v>
      </c>
      <c r="E48" s="27" t="str">
        <f>元データ!C45</f>
        <v>バラ</v>
      </c>
      <c r="F48" s="27" t="str">
        <f>元データ!D45</f>
        <v>500Ｔ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5" t="str">
        <f ca="1">IF(OFFSET(マスタ非採用削除!A$4,統合マスタ!$A48,0)="","",OFFSET(マスタ非採用削除!A$4,統合マスタ!$A48,0))</f>
        <v>ｱｽﾊ001</v>
      </c>
      <c r="O48" s="55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5" t="str">
        <f ca="1">IF(OFFSET(マスタ非採用削除!D$4,統合マスタ!$A48,0)="","",OFFSET(マスタ非採用削除!D$4,統合マスタ!$A48,0))</f>
        <v>ｱｽﾊﾟ</v>
      </c>
      <c r="R48" s="27">
        <f ca="1">IF(OFFSET(マスタ非採用削除!E$4,統合マスタ!$A48,0)="","",OFFSET(マスタ非採用削除!E$4,統合マスタ!$A48,0))</f>
        <v>1</v>
      </c>
      <c r="S48" s="55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5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5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5</v>
      </c>
      <c r="AA48" s="27"/>
    </row>
    <row r="49" spans="1:27">
      <c r="A49" s="42">
        <f>元データ!P46</f>
        <v>14</v>
      </c>
      <c r="B49" s="27">
        <f t="shared" si="0"/>
        <v>45</v>
      </c>
      <c r="C49" s="27" t="str">
        <f>DBCS(元データ!A46)</f>
        <v>アスパラカリウム散５０％</v>
      </c>
      <c r="D49" s="55" t="str">
        <f>元データ!B46</f>
        <v>KSK</v>
      </c>
      <c r="E49" s="27" t="str">
        <f>元データ!C46</f>
        <v>粉</v>
      </c>
      <c r="F49" s="27" t="str">
        <f>元データ!D46</f>
        <v>500ｇ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5" t="str">
        <f ca="1">IF(OFFSET(マスタ非採用削除!A$4,統合マスタ!$A49,0)="","",OFFSET(マスタ非採用削除!A$4,統合マスタ!$A49,0))</f>
        <v>ｱｽﾊ003</v>
      </c>
      <c r="O49" s="55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5" t="str">
        <f ca="1">IF(OFFSET(マスタ非採用削除!D$4,統合マスタ!$A49,0)="","",OFFSET(マスタ非採用削除!D$4,統合マスタ!$A49,0))</f>
        <v>ｱｽﾊﾟ1</v>
      </c>
      <c r="R49" s="27">
        <f ca="1">IF(OFFSET(マスタ非採用削除!E$4,統合マスタ!$A49,0)="","",OFFSET(マスタ非採用削除!E$4,統合マスタ!$A49,0))</f>
        <v>1</v>
      </c>
      <c r="S49" s="55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5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5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/>
    </row>
    <row r="50" spans="1:27">
      <c r="A50" s="42">
        <f>元データ!P47</f>
        <v>13</v>
      </c>
      <c r="B50" s="27">
        <f t="shared" si="0"/>
        <v>46</v>
      </c>
      <c r="C50" s="27" t="str">
        <f>DBCS(元データ!A47)</f>
        <v>アスパラカリウム錠３００ｍｇ</v>
      </c>
      <c r="D50" s="55" t="str">
        <f>元データ!B47</f>
        <v>KSK</v>
      </c>
      <c r="E50" s="27" t="str">
        <f>元データ!C47</f>
        <v>ＰＴＰ</v>
      </c>
      <c r="F50" s="27" t="str">
        <f>元データ!D47</f>
        <v>1000T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5" t="str">
        <f ca="1">IF(OFFSET(マスタ非採用削除!A$4,統合マスタ!$A50,0)="","",OFFSET(マスタ非採用削除!A$4,統合マスタ!$A50,0))</f>
        <v>ｱｽﾊ002</v>
      </c>
      <c r="O50" s="55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5" t="str">
        <f ca="1">IF(OFFSET(マスタ非採用削除!D$4,統合マスタ!$A50,0)="","",OFFSET(マスタ非採用削除!D$4,統合マスタ!$A50,0))</f>
        <v>ｱｽﾊﾟﾗ</v>
      </c>
      <c r="R50" s="27">
        <f ca="1">IF(OFFSET(マスタ非採用削除!E$4,統合マスタ!$A50,0)="","",OFFSET(マスタ非採用削除!E$4,統合マスタ!$A50,0))</f>
        <v>1</v>
      </c>
      <c r="S50" s="55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5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5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/>
    </row>
    <row r="51" spans="1:27">
      <c r="A51" s="42">
        <f>元データ!P48</f>
        <v>13</v>
      </c>
      <c r="B51" s="27">
        <f t="shared" si="0"/>
        <v>47</v>
      </c>
      <c r="C51" s="27" t="str">
        <f>DBCS(元データ!A48)</f>
        <v>アスパラカリウム錠３００ｍｇ</v>
      </c>
      <c r="D51" s="55" t="str">
        <f>元データ!B48</f>
        <v>KSK</v>
      </c>
      <c r="E51" s="27" t="str">
        <f>元データ!C48</f>
        <v>ＰＴＰ</v>
      </c>
      <c r="F51" s="27" t="str">
        <f>元データ!D48</f>
        <v>100T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5" t="str">
        <f ca="1">IF(OFFSET(マスタ非採用削除!A$4,統合マスタ!$A51,0)="","",OFFSET(マスタ非採用削除!A$4,統合マスタ!$A51,0))</f>
        <v>ｱｽﾊ002</v>
      </c>
      <c r="O51" s="55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5" t="str">
        <f ca="1">IF(OFFSET(マスタ非採用削除!D$4,統合マスタ!$A51,0)="","",OFFSET(マスタ非採用削除!D$4,統合マスタ!$A51,0))</f>
        <v>ｱｽﾊﾟﾗ</v>
      </c>
      <c r="R51" s="27">
        <f ca="1">IF(OFFSET(マスタ非採用削除!E$4,統合マスタ!$A51,0)="","",OFFSET(マスタ非採用削除!E$4,統合マスタ!$A51,0))</f>
        <v>1</v>
      </c>
      <c r="S51" s="55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5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5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/>
    </row>
    <row r="52" spans="1:27">
      <c r="A52" s="42">
        <f>元データ!P49</f>
        <v>15</v>
      </c>
      <c r="B52" s="27">
        <f t="shared" si="0"/>
        <v>48</v>
      </c>
      <c r="C52" s="27" t="str">
        <f>DBCS(元データ!A49)</f>
        <v>アスパラギン酸カリウム注　１０ＭＥＱキット「テルモ」</v>
      </c>
      <c r="D52" s="55" t="str">
        <f>元データ!B49</f>
        <v>アルフレッサ</v>
      </c>
      <c r="E52" s="27" t="str">
        <f>元データ!C49</f>
        <v/>
      </c>
      <c r="F52" s="27" t="str">
        <f>元データ!D49</f>
        <v>10ｍｌｘ10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5" t="str">
        <f ca="1">IF(OFFSET(マスタ非採用削除!A$4,統合マスタ!$A52,0)="","",OFFSET(マスタ非採用削除!A$4,統合マスタ!$A52,0))</f>
        <v>ｱｽﾊ004</v>
      </c>
      <c r="O52" s="55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5" t="str">
        <f ca="1">IF(OFFSET(マスタ非採用削除!D$4,統合マスタ!$A52,0)="","",OFFSET(マスタ非採用削除!D$4,統合マスタ!$A52,0))</f>
        <v>ｱｽﾊﾟ2</v>
      </c>
      <c r="R52" s="27">
        <f ca="1">IF(OFFSET(マスタ非採用削除!E$4,統合マスタ!$A52,0)="","",OFFSET(マスタ非採用削除!E$4,統合マスタ!$A52,0))</f>
        <v>1</v>
      </c>
      <c r="S52" s="55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5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5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/>
    </row>
    <row r="53" spans="1:27">
      <c r="A53" s="42">
        <f>元データ!P50</f>
        <v>16</v>
      </c>
      <c r="B53" s="27">
        <f t="shared" si="0"/>
        <v>49</v>
      </c>
      <c r="C53" s="27" t="str">
        <f>DBCS(元データ!A50)</f>
        <v>アズレン点眼液０．０２％「ニットー」</v>
      </c>
      <c r="D53" s="55" t="str">
        <f>元データ!B50</f>
        <v/>
      </c>
      <c r="E53" s="27" t="str">
        <f>元データ!C50</f>
        <v/>
      </c>
      <c r="F53" s="27" t="str">
        <f>元データ!D50</f>
        <v>5ｍｌｘ10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5" t="str">
        <f ca="1">IF(OFFSET(マスタ非採用削除!A$4,統合マスタ!$A53,0)="","",OFFSET(マスタ非採用削除!A$4,統合マスタ!$A53,0))</f>
        <v>ｱｽﾚ001</v>
      </c>
      <c r="O53" s="55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5" t="str">
        <f ca="1">IF(OFFSET(マスタ非採用削除!D$4,統合マスタ!$A53,0)="","",OFFSET(マスタ非採用削除!D$4,統合マスタ!$A53,0))</f>
        <v>ｱｽﾞﾚ</v>
      </c>
      <c r="R53" s="27">
        <f ca="1">IF(OFFSET(マスタ非採用削除!E$4,統合マスタ!$A53,0)="","",OFFSET(マスタ非採用削除!E$4,統合マスタ!$A53,0))</f>
        <v>1</v>
      </c>
      <c r="S53" s="55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5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5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/>
    </row>
    <row r="54" spans="1:27">
      <c r="A54" s="42">
        <f>元データ!P51</f>
        <v>0</v>
      </c>
      <c r="B54" s="27">
        <f t="shared" si="0"/>
        <v>50</v>
      </c>
      <c r="C54" s="27" t="str">
        <f>DBCS(元データ!A51)</f>
        <v>アセサイド消毒液６％　８００ｍｌｘ２</v>
      </c>
      <c r="D54" s="55" t="str">
        <f>元データ!B51</f>
        <v/>
      </c>
      <c r="E54" s="27" t="str">
        <f>元データ!C51</f>
        <v/>
      </c>
      <c r="F54" s="27" t="str">
        <f>元データ!D51</f>
        <v>6本セット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5" t="str">
        <f ca="1">IF(OFFSET(マスタ非採用削除!A$4,統合マスタ!$A54,0)="","",OFFSET(マスタ非採用削除!A$4,統合マスタ!$A54,0))</f>
        <v>コード(区分値)</v>
      </c>
      <c r="O54" s="55" t="str">
        <f ca="1">IF(OFFSET(マスタ非採用削除!B$4,統合マスタ!$A54,0)="","",OFFSET(マスタ非採用削除!B$4,統合マスタ!$A54,0))</f>
        <v>コード</v>
      </c>
      <c r="P54" s="27" t="str">
        <f ca="1">IF(OFFSET(マスタ非採用削除!C$4,統合マスタ!$A54,0)="","",OFFSET(マスタ非採用削除!C$4,統合マスタ!$A54,0))</f>
        <v>名称</v>
      </c>
      <c r="Q54" s="55" t="str">
        <f ca="1">IF(OFFSET(マスタ非採用削除!D$4,統合マスタ!$A54,0)="","",OFFSET(マスタ非採用削除!D$4,統合マスタ!$A54,0))</f>
        <v>ホストコード</v>
      </c>
      <c r="R54" s="27" t="str">
        <f ca="1">IF(OFFSET(マスタ非採用削除!E$4,統合マスタ!$A54,0)="","",OFFSET(マスタ非採用削除!E$4,統合マスタ!$A54,0))</f>
        <v>採用区分（区分値）(区分値)</v>
      </c>
      <c r="S54" s="55" t="str">
        <f ca="1">IF(OFFSET(マスタ非採用削除!F$4,統合マスタ!$A54,0)="","",OFFSET(マスタ非採用削除!F$4,統合マスタ!$A54,0))</f>
        <v>採用区分（区分値）</v>
      </c>
      <c r="T54" s="27" t="str">
        <f ca="1">IF(OFFSET(マスタ非採用削除!G$4,統合マスタ!$A54,0)="","",OFFSET(マスタ非採用削除!G$4,統合マスタ!$A54,0))</f>
        <v>薬価</v>
      </c>
      <c r="U54" s="55" t="str">
        <f ca="1">IF(OFFSET(マスタ非採用削除!H$4,統合マスタ!$A54,0)="","",OFFSET(マスタ非採用削除!H$4,統合マスタ!$A54,0))</f>
        <v>カナ名称</v>
      </c>
      <c r="V54" s="27" t="str">
        <f ca="1">IF(OFFSET(マスタ非採用削除!I$4,統合マスタ!$A54,0)="","",OFFSET(マスタ非採用削除!I$4,統合マスタ!$A54,0))</f>
        <v>剤形(区分値)</v>
      </c>
      <c r="W54" s="27" t="str">
        <f ca="1">IF(OFFSET(マスタ非採用削除!J$4,統合マスタ!$A54,0)="","",OFFSET(マスタ非採用削除!J$4,統合マスタ!$A54,0))</f>
        <v>剤形</v>
      </c>
      <c r="X54" s="27" t="str">
        <f ca="1">IF(OFFSET(マスタ非採用削除!K$4,統合マスタ!$A54,0)="","",OFFSET(マスタ非採用削除!K$4,統合マスタ!$A54,0))</f>
        <v>毒劇薬（区分値）(区分値)</v>
      </c>
      <c r="Y54" s="55" t="str">
        <f ca="1">IF(OFFSET(マスタ非採用削除!L$4,統合マスタ!$A54,0)="","",OFFSET(マスタ非採用削除!L$4,統合マスタ!$A54,0))</f>
        <v>毒劇薬（区分値）</v>
      </c>
      <c r="Z54" s="27" t="str">
        <f ca="1">IF(OFFSET(マスタ非採用削除!M$4,統合マスタ!$A54,0)="","",OFFSET(マスタ非採用削除!M$4,統合マスタ!$A54,0))</f>
        <v>棚</v>
      </c>
      <c r="AA54" s="27"/>
    </row>
    <row r="55" spans="1:27">
      <c r="A55" s="42">
        <f>元データ!P52</f>
        <v>17</v>
      </c>
      <c r="B55" s="27">
        <f t="shared" si="0"/>
        <v>51</v>
      </c>
      <c r="C55" s="27" t="str">
        <f>DBCS(元データ!A52)</f>
        <v>アセリオ静注液１０００ｍｇバッグ</v>
      </c>
      <c r="D55" s="55" t="str">
        <f>元データ!B52</f>
        <v>アルフレッサ</v>
      </c>
      <c r="E55" s="27" t="str">
        <f>元データ!C52</f>
        <v/>
      </c>
      <c r="F55" s="27" t="str">
        <f>元データ!D52</f>
        <v>100ｍｌｘ20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5" t="str">
        <f ca="1">IF(OFFSET(マスタ非採用削除!A$4,統合マスタ!$A55,0)="","",OFFSET(マスタ非採用削除!A$4,統合マスタ!$A55,0))</f>
        <v>ｱｾﾘ001</v>
      </c>
      <c r="O55" s="55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5" t="str">
        <f ca="1">IF(OFFSET(マスタ非採用削除!D$4,統合マスタ!$A55,0)="","",OFFSET(マスタ非採用削除!D$4,統合マスタ!$A55,0))</f>
        <v>ｱｾﾘ</v>
      </c>
      <c r="R55" s="27">
        <f ca="1">IF(OFFSET(マスタ非採用削除!E$4,統合マスタ!$A55,0)="","",OFFSET(マスタ非採用削除!E$4,統合マスタ!$A55,0))</f>
        <v>2</v>
      </c>
      <c r="S55" s="55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5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5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/>
    </row>
    <row r="56" spans="1:27">
      <c r="A56" s="42">
        <f>元データ!P53</f>
        <v>18</v>
      </c>
      <c r="B56" s="27">
        <f t="shared" si="0"/>
        <v>52</v>
      </c>
      <c r="C56" s="27" t="str">
        <f>DBCS(元データ!A53)</f>
        <v>アセレンド注１００μｇ</v>
      </c>
      <c r="D56" s="55" t="str">
        <f>元データ!B53</f>
        <v/>
      </c>
      <c r="E56" s="27" t="str">
        <f>元データ!C53</f>
        <v/>
      </c>
      <c r="F56" s="27" t="str">
        <f>元データ!D53</f>
        <v>2ｍｌｘ10A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5" t="str">
        <f ca="1">IF(OFFSET(マスタ非採用削除!A$4,統合マスタ!$A56,0)="","",OFFSET(マスタ非採用削除!A$4,統合マスタ!$A56,0))</f>
        <v>ｱｾﾚ001</v>
      </c>
      <c r="O56" s="55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5" t="str">
        <f ca="1">IF(OFFSET(マスタ非採用削除!D$4,統合マスタ!$A56,0)="","",OFFSET(マスタ非採用削除!D$4,統合マスタ!$A56,0))</f>
        <v>ｱｾﾚ</v>
      </c>
      <c r="R56" s="27">
        <f ca="1">IF(OFFSET(マスタ非採用削除!E$4,統合マスタ!$A56,0)="","",OFFSET(マスタ非採用削除!E$4,統合マスタ!$A56,0))</f>
        <v>2</v>
      </c>
      <c r="S56" s="55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5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5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/>
    </row>
    <row r="57" spans="1:27">
      <c r="A57" s="42">
        <f>元データ!P54</f>
        <v>19</v>
      </c>
      <c r="B57" s="27">
        <f t="shared" si="0"/>
        <v>53</v>
      </c>
      <c r="C57" s="27" t="str">
        <f>DBCS(元データ!A54)</f>
        <v>アゾセミド錠３０ｍｇ「ＤＳＥＰ」</v>
      </c>
      <c r="D57" s="55" t="str">
        <f>元データ!B54</f>
        <v>メディセオ</v>
      </c>
      <c r="E57" s="27" t="str">
        <f>元データ!C54</f>
        <v>PTP</v>
      </c>
      <c r="F57" s="27" t="str">
        <f>元データ!D54</f>
        <v>100T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5" t="str">
        <f ca="1">IF(OFFSET(マスタ非採用削除!A$4,統合マスタ!$A57,0)="","",OFFSET(マスタ非採用削除!A$4,統合マスタ!$A57,0))</f>
        <v>ｱｿｾ002</v>
      </c>
      <c r="O57" s="55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5" t="str">
        <f ca="1">IF(OFFSET(マスタ非採用削除!D$4,統合マスタ!$A57,0)="","",OFFSET(マスタ非採用削除!D$4,統合マスタ!$A57,0))</f>
        <v>ｱｿﾞｾ2</v>
      </c>
      <c r="R57" s="27">
        <f ca="1">IF(OFFSET(マスタ非採用削除!E$4,統合マスタ!$A57,0)="","",OFFSET(マスタ非採用削除!E$4,統合マスタ!$A57,0))</f>
        <v>2</v>
      </c>
      <c r="S57" s="55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5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5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/>
    </row>
    <row r="58" spans="1:27">
      <c r="A58" s="42">
        <f>元データ!P55</f>
        <v>0</v>
      </c>
      <c r="B58" s="27">
        <f t="shared" si="0"/>
        <v>54</v>
      </c>
      <c r="C58" s="27" t="str">
        <f>DBCS(元データ!A55)</f>
        <v>アゾセミド錠６０ｍｇ「ＤＳＥＰ」</v>
      </c>
      <c r="D58" s="55" t="str">
        <f>元データ!B55</f>
        <v/>
      </c>
      <c r="E58" s="27" t="str">
        <f>元データ!C55</f>
        <v>PTP</v>
      </c>
      <c r="F58" s="27" t="str">
        <f>元データ!D55</f>
        <v>100T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5" t="str">
        <f ca="1">IF(OFFSET(マスタ非採用削除!A$4,統合マスタ!$A58,0)="","",OFFSET(マスタ非採用削除!A$4,統合マスタ!$A58,0))</f>
        <v>コード(区分値)</v>
      </c>
      <c r="O58" s="55" t="str">
        <f ca="1">IF(OFFSET(マスタ非採用削除!B$4,統合マスタ!$A58,0)="","",OFFSET(マスタ非採用削除!B$4,統合マスタ!$A58,0))</f>
        <v>コード</v>
      </c>
      <c r="P58" s="27" t="str">
        <f ca="1">IF(OFFSET(マスタ非採用削除!C$4,統合マスタ!$A58,0)="","",OFFSET(マスタ非採用削除!C$4,統合マスタ!$A58,0))</f>
        <v>名称</v>
      </c>
      <c r="Q58" s="55" t="str">
        <f ca="1">IF(OFFSET(マスタ非採用削除!D$4,統合マスタ!$A58,0)="","",OFFSET(マスタ非採用削除!D$4,統合マスタ!$A58,0))</f>
        <v>ホストコード</v>
      </c>
      <c r="R58" s="27" t="str">
        <f ca="1">IF(OFFSET(マスタ非採用削除!E$4,統合マスタ!$A58,0)="","",OFFSET(マスタ非採用削除!E$4,統合マスタ!$A58,0))</f>
        <v>採用区分（区分値）(区分値)</v>
      </c>
      <c r="S58" s="55" t="str">
        <f ca="1">IF(OFFSET(マスタ非採用削除!F$4,統合マスタ!$A58,0)="","",OFFSET(マスタ非採用削除!F$4,統合マスタ!$A58,0))</f>
        <v>採用区分（区分値）</v>
      </c>
      <c r="T58" s="27" t="str">
        <f ca="1">IF(OFFSET(マスタ非採用削除!G$4,統合マスタ!$A58,0)="","",OFFSET(マスタ非採用削除!G$4,統合マスタ!$A58,0))</f>
        <v>薬価</v>
      </c>
      <c r="U58" s="55" t="str">
        <f ca="1">IF(OFFSET(マスタ非採用削除!H$4,統合マスタ!$A58,0)="","",OFFSET(マスタ非採用削除!H$4,統合マスタ!$A58,0))</f>
        <v>カナ名称</v>
      </c>
      <c r="V58" s="27" t="str">
        <f ca="1">IF(OFFSET(マスタ非採用削除!I$4,統合マスタ!$A58,0)="","",OFFSET(マスタ非採用削除!I$4,統合マスタ!$A58,0))</f>
        <v>剤形(区分値)</v>
      </c>
      <c r="W58" s="27" t="str">
        <f ca="1">IF(OFFSET(マスタ非採用削除!J$4,統合マスタ!$A58,0)="","",OFFSET(マスタ非採用削除!J$4,統合マスタ!$A58,0))</f>
        <v>剤形</v>
      </c>
      <c r="X58" s="27" t="str">
        <f ca="1">IF(OFFSET(マスタ非採用削除!K$4,統合マスタ!$A58,0)="","",OFFSET(マスタ非採用削除!K$4,統合マスタ!$A58,0))</f>
        <v>毒劇薬（区分値）(区分値)</v>
      </c>
      <c r="Y58" s="55" t="str">
        <f ca="1">IF(OFFSET(マスタ非採用削除!L$4,統合マスタ!$A58,0)="","",OFFSET(マスタ非採用削除!L$4,統合マスタ!$A58,0))</f>
        <v>毒劇薬（区分値）</v>
      </c>
      <c r="Z58" s="27" t="str">
        <f ca="1">IF(OFFSET(マスタ非採用削除!M$4,統合マスタ!$A58,0)="","",OFFSET(マスタ非採用削除!M$4,統合マスタ!$A58,0))</f>
        <v>棚</v>
      </c>
      <c r="AA58" s="27"/>
    </row>
    <row r="59" spans="1:27">
      <c r="A59" s="42">
        <f>元データ!P56</f>
        <v>21</v>
      </c>
      <c r="B59" s="27">
        <f t="shared" si="0"/>
        <v>55</v>
      </c>
      <c r="C59" s="27" t="str">
        <f>DBCS(元データ!A56)</f>
        <v>アダラートＣＲ錠２０ｍｇ</v>
      </c>
      <c r="D59" s="55" t="str">
        <f>元データ!B56</f>
        <v>メディセオ</v>
      </c>
      <c r="E59" s="27" t="str">
        <f>元データ!C56</f>
        <v>PTP</v>
      </c>
      <c r="F59" s="27" t="str">
        <f>元データ!D56</f>
        <v>100Ｔ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5" t="str">
        <f ca="1">IF(OFFSET(マスタ非採用削除!A$4,統合マスタ!$A59,0)="","",OFFSET(マスタ非採用削除!A$4,統合マスタ!$A59,0))</f>
        <v>ｱﾀﾗ002</v>
      </c>
      <c r="O59" s="55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5" t="str">
        <f ca="1">IF(OFFSET(マスタ非採用削除!D$4,統合マスタ!$A59,0)="","",OFFSET(マスタ非採用削除!D$4,統合マスタ!$A59,0))</f>
        <v>ｱﾀﾞﾗ</v>
      </c>
      <c r="R59" s="27">
        <f ca="1">IF(OFFSET(マスタ非採用削除!E$4,統合マスタ!$A59,0)="","",OFFSET(マスタ非採用削除!E$4,統合マスタ!$A59,0))</f>
        <v>1</v>
      </c>
      <c r="S59" s="55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5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5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/>
    </row>
    <row r="60" spans="1:27">
      <c r="A60" s="42">
        <f>元データ!P57</f>
        <v>20</v>
      </c>
      <c r="B60" s="27">
        <f t="shared" si="0"/>
        <v>56</v>
      </c>
      <c r="C60" s="27" t="str">
        <f>DBCS(元データ!A57)</f>
        <v>アタラックス錠２５ｍｇ</v>
      </c>
      <c r="D60" s="55" t="str">
        <f>元データ!B57</f>
        <v>KSK</v>
      </c>
      <c r="E60" s="27" t="str">
        <f>元データ!C57</f>
        <v>PTP</v>
      </c>
      <c r="F60" s="27" t="str">
        <f>元データ!D57</f>
        <v>100Ｔ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5" t="str">
        <f ca="1">IF(OFFSET(マスタ非採用削除!A$4,統合マスタ!$A60,0)="","",OFFSET(マスタ非採用削除!A$4,統合マスタ!$A60,0))</f>
        <v>ｱﾀﾗ001</v>
      </c>
      <c r="O60" s="55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5" t="str">
        <f ca="1">IF(OFFSET(マスタ非採用削除!D$4,統合マスタ!$A60,0)="","",OFFSET(マスタ非採用削除!D$4,統合マスタ!$A60,0))</f>
        <v>ｱﾀﾗｯ2</v>
      </c>
      <c r="R60" s="27">
        <f ca="1">IF(OFFSET(マスタ非採用削除!E$4,統合マスタ!$A60,0)="","",OFFSET(マスタ非採用削除!E$4,統合マスタ!$A60,0))</f>
        <v>1</v>
      </c>
      <c r="S60" s="55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5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5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5</v>
      </c>
      <c r="AA60" s="27"/>
    </row>
    <row r="61" spans="1:27">
      <c r="A61" s="42">
        <f>元データ!P58</f>
        <v>23</v>
      </c>
      <c r="B61" s="27">
        <f t="shared" si="0"/>
        <v>57</v>
      </c>
      <c r="C61" s="27" t="str">
        <f>DBCS(元データ!A58)</f>
        <v>アドエア５００ディスカス
６０吸入用</v>
      </c>
      <c r="D61" s="55" t="str">
        <f>元データ!B58</f>
        <v>東邦</v>
      </c>
      <c r="E61" s="27" t="str">
        <f>元データ!C58</f>
        <v/>
      </c>
      <c r="F61" s="27" t="str">
        <f>元データ!D58</f>
        <v>60ﾌﾞﾘｽﾀｰｘ１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5" t="str">
        <f ca="1">IF(OFFSET(マスタ非採用削除!A$4,統合マスタ!$A61,0)="","",OFFSET(マスタ非採用削除!A$4,統合マスタ!$A61,0))</f>
        <v>ｱﾄｴ001</v>
      </c>
      <c r="O61" s="55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5" t="str">
        <f ca="1">IF(OFFSET(マスタ非採用削除!D$4,統合マスタ!$A61,0)="","",OFFSET(マスタ非採用削除!D$4,統合マスタ!$A61,0))</f>
        <v>ｱﾄﾞｴ</v>
      </c>
      <c r="R61" s="27">
        <f ca="1">IF(OFFSET(マスタ非採用削除!E$4,統合マスタ!$A61,0)="","",OFFSET(マスタ非採用削除!E$4,統合マスタ!$A61,0))</f>
        <v>2</v>
      </c>
      <c r="S61" s="55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5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5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/>
    </row>
    <row r="62" spans="1:27">
      <c r="A62" s="42">
        <f>元データ!P59</f>
        <v>26</v>
      </c>
      <c r="B62" s="27">
        <f t="shared" si="0"/>
        <v>58</v>
      </c>
      <c r="C62" s="27" t="str">
        <f>DBCS(元データ!A59)</f>
        <v>アドナ散１０％</v>
      </c>
      <c r="D62" s="55" t="str">
        <f>元データ!B59</f>
        <v>アルフレッサ</v>
      </c>
      <c r="E62" s="27" t="str">
        <f>元データ!C59</f>
        <v>粉</v>
      </c>
      <c r="F62" s="27" t="str">
        <f>元データ!D59</f>
        <v>100ｇ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5" t="str">
        <f ca="1">IF(OFFSET(マスタ非採用削除!A$4,統合マスタ!$A62,0)="","",OFFSET(マスタ非採用削除!A$4,統合マスタ!$A62,0))</f>
        <v>ｱﾄﾅ003</v>
      </c>
      <c r="O62" s="55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5" t="str">
        <f ca="1">IF(OFFSET(マスタ非採用削除!D$4,統合マスタ!$A62,0)="","",OFFSET(マスタ非採用削除!D$4,統合マスタ!$A62,0))</f>
        <v>ｱﾄﾞﾅ2*</v>
      </c>
      <c r="R62" s="27">
        <f ca="1">IF(OFFSET(マスタ非採用削除!E$4,統合マスタ!$A62,0)="","",OFFSET(マスタ非採用削除!E$4,統合マスタ!$A62,0))</f>
        <v>1</v>
      </c>
      <c r="S62" s="55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5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5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/>
    </row>
    <row r="63" spans="1:27">
      <c r="A63" s="42">
        <f>元データ!P60</f>
        <v>24</v>
      </c>
      <c r="B63" s="27">
        <f t="shared" si="0"/>
        <v>59</v>
      </c>
      <c r="C63" s="27" t="str">
        <f>DBCS(元データ!A60)</f>
        <v>アドナ錠３０ｍｇ</v>
      </c>
      <c r="D63" s="55" t="str">
        <f>元データ!B60</f>
        <v>アルフレッサ</v>
      </c>
      <c r="E63" s="27" t="str">
        <f>元データ!C60</f>
        <v>バラ</v>
      </c>
      <c r="F63" s="27" t="str">
        <f>元データ!D60</f>
        <v>500T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5" t="str">
        <f ca="1">IF(OFFSET(マスタ非採用削除!A$4,統合マスタ!$A63,0)="","",OFFSET(マスタ非採用削除!A$4,統合マスタ!$A63,0))</f>
        <v>ｱﾄﾅ001</v>
      </c>
      <c r="O63" s="55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5" t="str">
        <f ca="1">IF(OFFSET(マスタ非採用削除!D$4,統合マスタ!$A63,0)="","",OFFSET(マスタ非採用削除!D$4,統合マスタ!$A63,0))</f>
        <v>ｱﾄﾞﾅ</v>
      </c>
      <c r="R63" s="27">
        <f ca="1">IF(OFFSET(マスタ非採用削除!E$4,統合マスタ!$A63,0)="","",OFFSET(マスタ非採用削除!E$4,統合マスタ!$A63,0))</f>
        <v>1</v>
      </c>
      <c r="S63" s="55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5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5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5</v>
      </c>
      <c r="AA63" s="27"/>
    </row>
    <row r="64" spans="1:27">
      <c r="A64" s="42">
        <f>元データ!P61</f>
        <v>25</v>
      </c>
      <c r="B64" s="27">
        <f t="shared" si="0"/>
        <v>60</v>
      </c>
      <c r="C64" s="27" t="str">
        <f>DBCS(元データ!A61)</f>
        <v>アドナ注（静脈用）５０ｍｇ　　　　　　　</v>
      </c>
      <c r="D64" s="55" t="str">
        <f>元データ!B61</f>
        <v>アルフレッサ</v>
      </c>
      <c r="E64" s="27" t="str">
        <f>元データ!C61</f>
        <v/>
      </c>
      <c r="F64" s="27" t="str">
        <f>元データ!D61</f>
        <v>10ml×10A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5" t="str">
        <f ca="1">IF(OFFSET(マスタ非採用削除!A$4,統合マスタ!$A64,0)="","",OFFSET(マスタ非採用削除!A$4,統合マスタ!$A64,0))</f>
        <v>ｱﾄﾅ002</v>
      </c>
      <c r="O64" s="55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5" t="str">
        <f ca="1">IF(OFFSET(マスタ非採用削除!D$4,統合マスタ!$A64,0)="","",OFFSET(マスタ非採用削除!D$4,統合マスタ!$A64,0))</f>
        <v>ｱﾄﾞﾅ1</v>
      </c>
      <c r="R64" s="27">
        <f ca="1">IF(OFFSET(マスタ非採用削除!E$4,統合マスタ!$A64,0)="","",OFFSET(マスタ非採用削除!E$4,統合マスタ!$A64,0))</f>
        <v>1</v>
      </c>
      <c r="S64" s="55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5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5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/>
    </row>
    <row r="65" spans="1:27">
      <c r="A65" s="42">
        <f>元データ!P62</f>
        <v>25</v>
      </c>
      <c r="B65" s="27">
        <f t="shared" si="0"/>
        <v>61</v>
      </c>
      <c r="C65" s="27" t="str">
        <f>DBCS(元データ!A62)</f>
        <v>アドナ注（静脈用）５０ｍｇ　　　　　　　</v>
      </c>
      <c r="D65" s="55" t="str">
        <f>元データ!B62</f>
        <v/>
      </c>
      <c r="E65" s="27" t="str">
        <f>元データ!C62</f>
        <v/>
      </c>
      <c r="F65" s="27" t="str">
        <f>元データ!D62</f>
        <v>10ml×50A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5" t="str">
        <f ca="1">IF(OFFSET(マスタ非採用削除!A$4,統合マスタ!$A65,0)="","",OFFSET(マスタ非採用削除!A$4,統合マスタ!$A65,0))</f>
        <v>ｱﾄﾅ002</v>
      </c>
      <c r="O65" s="55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5" t="str">
        <f ca="1">IF(OFFSET(マスタ非採用削除!D$4,統合マスタ!$A65,0)="","",OFFSET(マスタ非採用削除!D$4,統合マスタ!$A65,0))</f>
        <v>ｱﾄﾞﾅ1</v>
      </c>
      <c r="R65" s="27">
        <f ca="1">IF(OFFSET(マスタ非採用削除!E$4,統合マスタ!$A65,0)="","",OFFSET(マスタ非採用削除!E$4,統合マスタ!$A65,0))</f>
        <v>1</v>
      </c>
      <c r="S65" s="55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5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5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/>
    </row>
    <row r="66" spans="1:27">
      <c r="A66" s="42">
        <f>元データ!P63</f>
        <v>27</v>
      </c>
      <c r="B66" s="27">
        <f t="shared" si="0"/>
        <v>62</v>
      </c>
      <c r="C66" s="27" t="str">
        <f>DBCS(元データ!A63)</f>
        <v>アドフィードパップ４０ｍｇ</v>
      </c>
      <c r="D66" s="55" t="str">
        <f>元データ!B63</f>
        <v/>
      </c>
      <c r="E66" s="27" t="str">
        <f>元データ!C63</f>
        <v/>
      </c>
      <c r="F66" s="27" t="str">
        <f>元データ!D63</f>
        <v>７枚ｘ50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5" t="str">
        <f ca="1">IF(OFFSET(マスタ非採用削除!A$4,統合マスタ!$A66,0)="","",OFFSET(マスタ非採用削除!A$4,統合マスタ!$A66,0))</f>
        <v>ｱﾄﾌ001</v>
      </c>
      <c r="O66" s="55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5" t="str">
        <f ca="1">IF(OFFSET(マスタ非採用削除!D$4,統合マスタ!$A66,0)="","",OFFSET(マスタ非採用削除!D$4,統合マスタ!$A66,0))</f>
        <v/>
      </c>
      <c r="R66" s="27">
        <f ca="1">IF(OFFSET(マスタ非採用削除!E$4,統合マスタ!$A66,0)="","",OFFSET(マスタ非採用削除!E$4,統合マスタ!$A66,0))</f>
        <v>1</v>
      </c>
      <c r="S66" s="55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5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5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/>
    </row>
    <row r="67" spans="1:27">
      <c r="A67" s="42">
        <f>元データ!P64</f>
        <v>0</v>
      </c>
      <c r="B67" s="27">
        <f t="shared" si="0"/>
        <v>63</v>
      </c>
      <c r="C67" s="27" t="str">
        <f>DBCS(元データ!A64)</f>
        <v>アトモキセチンカプセル１０ｍｇ　「ＶＴＲＳ」</v>
      </c>
      <c r="D67" s="55" t="str">
        <f>元データ!B64</f>
        <v>メディセオ</v>
      </c>
      <c r="E67" s="27" t="str">
        <f>元データ!C64</f>
        <v>PTP</v>
      </c>
      <c r="F67" s="27" t="str">
        <f>元データ!D64</f>
        <v>140P</v>
      </c>
      <c r="G67" s="27" t="str">
        <f>元データ!E64</f>
        <v>ヴィアトリス製薬</v>
      </c>
      <c r="H67" s="27">
        <f>元データ!F64</f>
        <v>50.3</v>
      </c>
      <c r="I67" s="27">
        <f>元データ!G64</f>
        <v>7042</v>
      </c>
      <c r="J67" s="27">
        <f>元データ!H64</f>
        <v>140</v>
      </c>
      <c r="K67" s="27" t="str">
        <f>元データ!I64</f>
        <v>cap</v>
      </c>
      <c r="L67" s="27">
        <f>元データ!J64</f>
        <v>6273</v>
      </c>
      <c r="M67" s="27">
        <f>元データ!K64</f>
        <v>44.807142857142857</v>
      </c>
      <c r="N67" s="55" t="str">
        <f ca="1">IF(OFFSET(マスタ非採用削除!A$4,統合マスタ!$A67,0)="","",OFFSET(マスタ非採用削除!A$4,統合マスタ!$A67,0))</f>
        <v>コード(区分値)</v>
      </c>
      <c r="O67" s="55" t="str">
        <f ca="1">IF(OFFSET(マスタ非採用削除!B$4,統合マスタ!$A67,0)="","",OFFSET(マスタ非採用削除!B$4,統合マスタ!$A67,0))</f>
        <v>コード</v>
      </c>
      <c r="P67" s="27" t="str">
        <f ca="1">IF(OFFSET(マスタ非採用削除!C$4,統合マスタ!$A67,0)="","",OFFSET(マスタ非採用削除!C$4,統合マスタ!$A67,0))</f>
        <v>名称</v>
      </c>
      <c r="Q67" s="55" t="str">
        <f ca="1">IF(OFFSET(マスタ非採用削除!D$4,統合マスタ!$A67,0)="","",OFFSET(マスタ非採用削除!D$4,統合マスタ!$A67,0))</f>
        <v>ホストコード</v>
      </c>
      <c r="R67" s="27" t="str">
        <f ca="1">IF(OFFSET(マスタ非採用削除!E$4,統合マスタ!$A67,0)="","",OFFSET(マスタ非採用削除!E$4,統合マスタ!$A67,0))</f>
        <v>採用区分（区分値）(区分値)</v>
      </c>
      <c r="S67" s="55" t="str">
        <f ca="1">IF(OFFSET(マスタ非採用削除!F$4,統合マスタ!$A67,0)="","",OFFSET(マスタ非採用削除!F$4,統合マスタ!$A67,0))</f>
        <v>採用区分（区分値）</v>
      </c>
      <c r="T67" s="27" t="str">
        <f ca="1">IF(OFFSET(マスタ非採用削除!G$4,統合マスタ!$A67,0)="","",OFFSET(マスタ非採用削除!G$4,統合マスタ!$A67,0))</f>
        <v>薬価</v>
      </c>
      <c r="U67" s="55" t="str">
        <f ca="1">IF(OFFSET(マスタ非採用削除!H$4,統合マスタ!$A67,0)="","",OFFSET(マスタ非採用削除!H$4,統合マスタ!$A67,0))</f>
        <v>カナ名称</v>
      </c>
      <c r="V67" s="27" t="str">
        <f ca="1">IF(OFFSET(マスタ非採用削除!I$4,統合マスタ!$A67,0)="","",OFFSET(マスタ非採用削除!I$4,統合マスタ!$A67,0))</f>
        <v>剤形(区分値)</v>
      </c>
      <c r="W67" s="27" t="str">
        <f ca="1">IF(OFFSET(マスタ非採用削除!J$4,統合マスタ!$A67,0)="","",OFFSET(マスタ非採用削除!J$4,統合マスタ!$A67,0))</f>
        <v>剤形</v>
      </c>
      <c r="X67" s="27" t="str">
        <f ca="1">IF(OFFSET(マスタ非採用削除!K$4,統合マスタ!$A67,0)="","",OFFSET(マスタ非採用削除!K$4,統合マスタ!$A67,0))</f>
        <v>毒劇薬（区分値）(区分値)</v>
      </c>
      <c r="Y67" s="55" t="str">
        <f ca="1">IF(OFFSET(マスタ非採用削除!L$4,統合マスタ!$A67,0)="","",OFFSET(マスタ非採用削除!L$4,統合マスタ!$A67,0))</f>
        <v>毒劇薬（区分値）</v>
      </c>
      <c r="Z67" s="27" t="str">
        <f ca="1">IF(OFFSET(マスタ非採用削除!M$4,統合マスタ!$A67,0)="","",OFFSET(マスタ非採用削除!M$4,統合マスタ!$A67,0))</f>
        <v>棚</v>
      </c>
      <c r="AA67" s="27"/>
    </row>
    <row r="68" spans="1:27">
      <c r="A68" s="42">
        <f>元データ!P65</f>
        <v>28</v>
      </c>
      <c r="B68" s="27">
        <f t="shared" si="0"/>
        <v>64</v>
      </c>
      <c r="C68" s="27" t="str">
        <f>DBCS(元データ!A65)</f>
        <v>アトモキセチンカプセル１０ｍｇ　「サワイ」</v>
      </c>
      <c r="D68" s="55" t="str">
        <f>元データ!B65</f>
        <v>アルフレッサ</v>
      </c>
      <c r="E68" s="27" t="str">
        <f>元データ!C65</f>
        <v>PTP</v>
      </c>
      <c r="F68" s="27" t="str">
        <f>元データ!D65</f>
        <v>140P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5" t="str">
        <f ca="1">IF(OFFSET(マスタ非採用削除!A$4,統合マスタ!$A68,0)="","",OFFSET(マスタ非採用削除!A$4,統合マスタ!$A68,0))</f>
        <v>ｱﾄﾓ001</v>
      </c>
      <c r="O68" s="55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5" t="str">
        <f ca="1">IF(OFFSET(マスタ非採用削除!D$4,統合マスタ!$A68,0)="","",OFFSET(マスタ非採用削除!D$4,統合マスタ!$A68,0))</f>
        <v>ｱﾄ10</v>
      </c>
      <c r="R68" s="27">
        <f ca="1">IF(OFFSET(マスタ非採用削除!E$4,統合マスタ!$A68,0)="","",OFFSET(マスタ非採用削除!E$4,統合マスタ!$A68,0))</f>
        <v>1</v>
      </c>
      <c r="S68" s="55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5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5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/>
    </row>
    <row r="69" spans="1:27">
      <c r="A69" s="42">
        <f>元データ!P66</f>
        <v>29</v>
      </c>
      <c r="B69" s="27">
        <f t="shared" si="0"/>
        <v>65</v>
      </c>
      <c r="C69" s="27" t="str">
        <f>DBCS(元データ!A66)</f>
        <v>アトモキセチンカプセル４０ｍｇ　「ＶＴＲＳ」</v>
      </c>
      <c r="D69" s="55" t="str">
        <f>元データ!B66</f>
        <v>メディセオ</v>
      </c>
      <c r="E69" s="27" t="str">
        <f>元データ!C66</f>
        <v>PTP</v>
      </c>
      <c r="F69" s="27" t="str">
        <f>元データ!D66</f>
        <v>140P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5" t="str">
        <f ca="1">IF(OFFSET(マスタ非採用削除!A$4,統合マスタ!$A69,0)="","",OFFSET(マスタ非採用削除!A$4,統合マスタ!$A69,0))</f>
        <v>ｱﾄﾓ005</v>
      </c>
      <c r="O69" s="55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5" t="str">
        <f ca="1">IF(OFFSET(マスタ非採用削除!D$4,統合マスタ!$A69,0)="","",OFFSET(マスタ非採用削除!D$4,統合マスタ!$A69,0))</f>
        <v/>
      </c>
      <c r="R69" s="27">
        <f ca="1">IF(OFFSET(マスタ非採用削除!E$4,統合マスタ!$A69,0)="","",OFFSET(マスタ非採用削除!E$4,統合マスタ!$A69,0))</f>
        <v>1</v>
      </c>
      <c r="S69" s="55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5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5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/>
    </row>
    <row r="70" spans="1:27">
      <c r="A70" s="42">
        <f>元データ!P67</f>
        <v>0</v>
      </c>
      <c r="B70" s="27">
        <f t="shared" si="0"/>
        <v>66</v>
      </c>
      <c r="C70" s="27" t="str">
        <f>DBCS(元データ!A67)</f>
        <v>アトモキセチンカプセル４０ｍｇ　「サワイ」</v>
      </c>
      <c r="D70" s="55" t="str">
        <f>元データ!B67</f>
        <v>アルフレッサ</v>
      </c>
      <c r="E70" s="27" t="str">
        <f>元データ!C67</f>
        <v>PTP</v>
      </c>
      <c r="F70" s="27" t="str">
        <f>元データ!D67</f>
        <v>140P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5" t="str">
        <f ca="1">IF(OFFSET(マスタ非採用削除!A$4,統合マスタ!$A70,0)="","",OFFSET(マスタ非採用削除!A$4,統合マスタ!$A70,0))</f>
        <v>コード(区分値)</v>
      </c>
      <c r="O70" s="55" t="str">
        <f ca="1">IF(OFFSET(マスタ非採用削除!B$4,統合マスタ!$A70,0)="","",OFFSET(マスタ非採用削除!B$4,統合マスタ!$A70,0))</f>
        <v>コード</v>
      </c>
      <c r="P70" s="27" t="str">
        <f ca="1">IF(OFFSET(マスタ非採用削除!C$4,統合マスタ!$A70,0)="","",OFFSET(マスタ非採用削除!C$4,統合マスタ!$A70,0))</f>
        <v>名称</v>
      </c>
      <c r="Q70" s="55" t="str">
        <f ca="1">IF(OFFSET(マスタ非採用削除!D$4,統合マスタ!$A70,0)="","",OFFSET(マスタ非採用削除!D$4,統合マスタ!$A70,0))</f>
        <v>ホストコード</v>
      </c>
      <c r="R70" s="27" t="str">
        <f ca="1">IF(OFFSET(マスタ非採用削除!E$4,統合マスタ!$A70,0)="","",OFFSET(マスタ非採用削除!E$4,統合マスタ!$A70,0))</f>
        <v>採用区分（区分値）(区分値)</v>
      </c>
      <c r="S70" s="55" t="str">
        <f ca="1">IF(OFFSET(マスタ非採用削除!F$4,統合マスタ!$A70,0)="","",OFFSET(マスタ非採用削除!F$4,統合マスタ!$A70,0))</f>
        <v>採用区分（区分値）</v>
      </c>
      <c r="T70" s="27" t="str">
        <f ca="1">IF(OFFSET(マスタ非採用削除!G$4,統合マスタ!$A70,0)="","",OFFSET(マスタ非採用削除!G$4,統合マスタ!$A70,0))</f>
        <v>薬価</v>
      </c>
      <c r="U70" s="55" t="str">
        <f ca="1">IF(OFFSET(マスタ非採用削除!H$4,統合マスタ!$A70,0)="","",OFFSET(マスタ非採用削除!H$4,統合マスタ!$A70,0))</f>
        <v>カナ名称</v>
      </c>
      <c r="V70" s="27" t="str">
        <f ca="1">IF(OFFSET(マスタ非採用削除!I$4,統合マスタ!$A70,0)="","",OFFSET(マスタ非採用削除!I$4,統合マスタ!$A70,0))</f>
        <v>剤形(区分値)</v>
      </c>
      <c r="W70" s="27" t="str">
        <f ca="1">IF(OFFSET(マスタ非採用削除!J$4,統合マスタ!$A70,0)="","",OFFSET(マスタ非採用削除!J$4,統合マスタ!$A70,0))</f>
        <v>剤形</v>
      </c>
      <c r="X70" s="27" t="str">
        <f ca="1">IF(OFFSET(マスタ非採用削除!K$4,統合マスタ!$A70,0)="","",OFFSET(マスタ非採用削除!K$4,統合マスタ!$A70,0))</f>
        <v>毒劇薬（区分値）(区分値)</v>
      </c>
      <c r="Y70" s="55" t="str">
        <f ca="1">IF(OFFSET(マスタ非採用削除!L$4,統合マスタ!$A70,0)="","",OFFSET(マスタ非採用削除!L$4,統合マスタ!$A70,0))</f>
        <v>毒劇薬（区分値）</v>
      </c>
      <c r="Z70" s="27" t="str">
        <f ca="1">IF(OFFSET(マスタ非採用削除!M$4,統合マスタ!$A70,0)="","",OFFSET(マスタ非採用削除!M$4,統合マスタ!$A70,0))</f>
        <v>棚</v>
      </c>
      <c r="AA70" s="27"/>
    </row>
    <row r="71" spans="1:27">
      <c r="A71" s="42">
        <f>元データ!P68</f>
        <v>30</v>
      </c>
      <c r="B71" s="27">
        <f t="shared" ref="B71:B134" si="1">B70+1</f>
        <v>67</v>
      </c>
      <c r="C71" s="27" t="str">
        <f>DBCS(元データ!A68)</f>
        <v>アトルバスタチンＯＤ錠１０ｍｇ「トーワ」</v>
      </c>
      <c r="D71" s="55" t="str">
        <f>元データ!B68</f>
        <v>東和薬品</v>
      </c>
      <c r="E71" s="27" t="str">
        <f>元データ!C68</f>
        <v>ＰＴＰ</v>
      </c>
      <c r="F71" s="27" t="str">
        <f>元データ!D68</f>
        <v>100T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5" t="str">
        <f ca="1">IF(OFFSET(マスタ非採用削除!A$4,統合マスタ!$A71,0)="","",OFFSET(マスタ非採用削除!A$4,統合マスタ!$A71,0))</f>
        <v>ｱﾄﾙ002</v>
      </c>
      <c r="O71" s="55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5" t="str">
        <f ca="1">IF(OFFSET(マスタ非採用削除!D$4,統合マスタ!$A71,0)="","",OFFSET(マスタ非採用削除!D$4,統合マスタ!$A71,0))</f>
        <v/>
      </c>
      <c r="R71" s="27">
        <f ca="1">IF(OFFSET(マスタ非採用削除!E$4,統合マスタ!$A71,0)="","",OFFSET(マスタ非採用削除!E$4,統合マスタ!$A71,0))</f>
        <v>1</v>
      </c>
      <c r="S71" s="55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5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5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5</v>
      </c>
      <c r="AA71" s="27"/>
    </row>
    <row r="72" spans="1:27">
      <c r="A72" s="42">
        <f>元データ!P69</f>
        <v>30</v>
      </c>
      <c r="B72" s="27">
        <f t="shared" si="1"/>
        <v>68</v>
      </c>
      <c r="C72" s="27" t="str">
        <f>DBCS(元データ!A69)</f>
        <v>アトルバスタチンＯＤ錠１０ｍｇ「トーワ」</v>
      </c>
      <c r="D72" s="55" t="str">
        <f>元データ!B69</f>
        <v>東和薬品</v>
      </c>
      <c r="E72" s="27" t="str">
        <f>元データ!C69</f>
        <v>バラ</v>
      </c>
      <c r="F72" s="27" t="str">
        <f>元データ!D69</f>
        <v>300T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5" t="str">
        <f ca="1">IF(OFFSET(マスタ非採用削除!A$4,統合マスタ!$A72,0)="","",OFFSET(マスタ非採用削除!A$4,統合マスタ!$A72,0))</f>
        <v>ｱﾄﾙ002</v>
      </c>
      <c r="O72" s="55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5" t="str">
        <f ca="1">IF(OFFSET(マスタ非採用削除!D$4,統合マスタ!$A72,0)="","",OFFSET(マスタ非採用削除!D$4,統合マスタ!$A72,0))</f>
        <v/>
      </c>
      <c r="R72" s="27">
        <f ca="1">IF(OFFSET(マスタ非採用削除!E$4,統合マスタ!$A72,0)="","",OFFSET(マスタ非採用削除!E$4,統合マスタ!$A72,0))</f>
        <v>1</v>
      </c>
      <c r="S72" s="55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5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5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5</v>
      </c>
      <c r="AA72" s="27"/>
    </row>
    <row r="73" spans="1:27">
      <c r="A73" s="42">
        <f>元データ!P70</f>
        <v>31</v>
      </c>
      <c r="B73" s="27">
        <f t="shared" si="1"/>
        <v>69</v>
      </c>
      <c r="C73" s="27" t="str">
        <f>DBCS(元データ!A70)</f>
        <v>アトロピン硫酸塩注０．５ｍｇ「ニプロ」</v>
      </c>
      <c r="D73" s="55" t="str">
        <f>元データ!B70</f>
        <v/>
      </c>
      <c r="E73" s="27" t="str">
        <f>元データ!C70</f>
        <v/>
      </c>
      <c r="F73" s="27" t="str">
        <f>元データ!D70</f>
        <v>1ｍｌｘ10A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5" t="str">
        <f ca="1">IF(OFFSET(マスタ非採用削除!A$4,統合マスタ!$A73,0)="","",OFFSET(マスタ非採用削除!A$4,統合マスタ!$A73,0))</f>
        <v>ｱﾄﾛ001</v>
      </c>
      <c r="O73" s="55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5" t="str">
        <f ca="1">IF(OFFSET(マスタ非採用削除!D$4,統合マスタ!$A73,0)="","",OFFSET(マスタ非採用削除!D$4,統合マスタ!$A73,0))</f>
        <v>ｱﾄﾛ</v>
      </c>
      <c r="R73" s="27">
        <f ca="1">IF(OFFSET(マスタ非採用削除!E$4,統合マスタ!$A73,0)="","",OFFSET(マスタ非採用削除!E$4,統合マスタ!$A73,0))</f>
        <v>1</v>
      </c>
      <c r="S73" s="55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5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5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/>
    </row>
    <row r="74" spans="1:27">
      <c r="A74" s="42">
        <f>元データ!P71</f>
        <v>32</v>
      </c>
      <c r="B74" s="27">
        <f t="shared" si="1"/>
        <v>70</v>
      </c>
      <c r="C74" s="27" t="str">
        <f>DBCS(元データ!A71)</f>
        <v>アナストロゾール錠１ｍｇ「サワイ」</v>
      </c>
      <c r="D74" s="55" t="str">
        <f>元データ!B71</f>
        <v>メディセオ</v>
      </c>
      <c r="E74" s="27" t="str">
        <f>元データ!C71</f>
        <v>PTP</v>
      </c>
      <c r="F74" s="27" t="str">
        <f>元データ!D71</f>
        <v>30Ｔ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5" t="str">
        <f ca="1">IF(OFFSET(マスタ非採用削除!A$4,統合マスタ!$A74,0)="","",OFFSET(マスタ非採用削除!A$4,統合マスタ!$A74,0))</f>
        <v>ｱﾅｽ002</v>
      </c>
      <c r="O74" s="55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5" t="str">
        <f ca="1">IF(OFFSET(マスタ非採用削除!D$4,統合マスタ!$A74,0)="","",OFFSET(マスタ非採用削除!D$4,統合マスタ!$A74,0))</f>
        <v/>
      </c>
      <c r="R74" s="27">
        <f ca="1">IF(OFFSET(マスタ非採用削除!E$4,統合マスタ!$A74,0)="","",OFFSET(マスタ非採用削除!E$4,統合マスタ!$A74,0))</f>
        <v>2</v>
      </c>
      <c r="S74" s="55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5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5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/>
    </row>
    <row r="75" spans="1:27">
      <c r="A75" s="42">
        <f>元データ!P72</f>
        <v>0</v>
      </c>
      <c r="B75" s="27">
        <f t="shared" si="1"/>
        <v>71</v>
      </c>
      <c r="C75" s="27" t="str">
        <f>DBCS(元データ!A72)</f>
        <v>アナフラニール錠１０ｍｇ</v>
      </c>
      <c r="D75" s="55" t="str">
        <f>元データ!B72</f>
        <v/>
      </c>
      <c r="E75" s="27" t="str">
        <f>元データ!C72</f>
        <v>PTP</v>
      </c>
      <c r="F75" s="27" t="str">
        <f>元データ!D72</f>
        <v>300錠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5" t="str">
        <f ca="1">IF(OFFSET(マスタ非採用削除!A$4,統合マスタ!$A75,0)="","",OFFSET(マスタ非採用削除!A$4,統合マスタ!$A75,0))</f>
        <v>コード(区分値)</v>
      </c>
      <c r="O75" s="55" t="str">
        <f ca="1">IF(OFFSET(マスタ非採用削除!B$4,統合マスタ!$A75,0)="","",OFFSET(マスタ非採用削除!B$4,統合マスタ!$A75,0))</f>
        <v>コード</v>
      </c>
      <c r="P75" s="27" t="str">
        <f ca="1">IF(OFFSET(マスタ非採用削除!C$4,統合マスタ!$A75,0)="","",OFFSET(マスタ非採用削除!C$4,統合マスタ!$A75,0))</f>
        <v>名称</v>
      </c>
      <c r="Q75" s="55" t="str">
        <f ca="1">IF(OFFSET(マスタ非採用削除!D$4,統合マスタ!$A75,0)="","",OFFSET(マスタ非採用削除!D$4,統合マスタ!$A75,0))</f>
        <v>ホストコード</v>
      </c>
      <c r="R75" s="27" t="str">
        <f ca="1">IF(OFFSET(マスタ非採用削除!E$4,統合マスタ!$A75,0)="","",OFFSET(マスタ非採用削除!E$4,統合マスタ!$A75,0))</f>
        <v>採用区分（区分値）(区分値)</v>
      </c>
      <c r="S75" s="55" t="str">
        <f ca="1">IF(OFFSET(マスタ非採用削除!F$4,統合マスタ!$A75,0)="","",OFFSET(マスタ非採用削除!F$4,統合マスタ!$A75,0))</f>
        <v>採用区分（区分値）</v>
      </c>
      <c r="T75" s="27" t="str">
        <f ca="1">IF(OFFSET(マスタ非採用削除!G$4,統合マスタ!$A75,0)="","",OFFSET(マスタ非採用削除!G$4,統合マスタ!$A75,0))</f>
        <v>薬価</v>
      </c>
      <c r="U75" s="55" t="str">
        <f ca="1">IF(OFFSET(マスタ非採用削除!H$4,統合マスタ!$A75,0)="","",OFFSET(マスタ非採用削除!H$4,統合マスタ!$A75,0))</f>
        <v>カナ名称</v>
      </c>
      <c r="V75" s="27" t="str">
        <f ca="1">IF(OFFSET(マスタ非採用削除!I$4,統合マスタ!$A75,0)="","",OFFSET(マスタ非採用削除!I$4,統合マスタ!$A75,0))</f>
        <v>剤形(区分値)</v>
      </c>
      <c r="W75" s="27" t="str">
        <f ca="1">IF(OFFSET(マスタ非採用削除!J$4,統合マスタ!$A75,0)="","",OFFSET(マスタ非採用削除!J$4,統合マスタ!$A75,0))</f>
        <v>剤形</v>
      </c>
      <c r="X75" s="27" t="str">
        <f ca="1">IF(OFFSET(マスタ非採用削除!K$4,統合マスタ!$A75,0)="","",OFFSET(マスタ非採用削除!K$4,統合マスタ!$A75,0))</f>
        <v>毒劇薬（区分値）(区分値)</v>
      </c>
      <c r="Y75" s="55" t="str">
        <f ca="1">IF(OFFSET(マスタ非採用削除!L$4,統合マスタ!$A75,0)="","",OFFSET(マスタ非採用削除!L$4,統合マスタ!$A75,0))</f>
        <v>毒劇薬（区分値）</v>
      </c>
      <c r="Z75" s="27" t="str">
        <f ca="1">IF(OFFSET(マスタ非採用削除!M$4,統合マスタ!$A75,0)="","",OFFSET(マスタ非採用削除!M$4,統合マスタ!$A75,0))</f>
        <v>棚</v>
      </c>
      <c r="AA75" s="27"/>
    </row>
    <row r="76" spans="1:27">
      <c r="A76" s="42">
        <f>元データ!P73</f>
        <v>34</v>
      </c>
      <c r="B76" s="27">
        <f t="shared" si="1"/>
        <v>72</v>
      </c>
      <c r="C76" s="27" t="str">
        <f>DBCS(元データ!A73)</f>
        <v>アネキセート注射液０．５ＭＧ</v>
      </c>
      <c r="D76" s="55" t="str">
        <f>元データ!B73</f>
        <v>KSK</v>
      </c>
      <c r="E76" s="27" t="str">
        <f>元データ!C73</f>
        <v/>
      </c>
      <c r="F76" s="27" t="str">
        <f>元データ!D73</f>
        <v>5MLX5A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5" t="str">
        <f ca="1">IF(OFFSET(マスタ非採用削除!A$4,統合マスタ!$A76,0)="","",OFFSET(マスタ非採用削除!A$4,統合マスタ!$A76,0))</f>
        <v>ｱﾈｷ001</v>
      </c>
      <c r="O76" s="55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5" t="str">
        <f ca="1">IF(OFFSET(マスタ非採用削除!D$4,統合マスタ!$A76,0)="","",OFFSET(マスタ非採用削除!D$4,統合マスタ!$A76,0))</f>
        <v>ｱﾈｷｾ</v>
      </c>
      <c r="R76" s="27">
        <f ca="1">IF(OFFSET(マスタ非採用削除!E$4,統合マスタ!$A76,0)="","",OFFSET(マスタ非採用削除!E$4,統合マスタ!$A76,0))</f>
        <v>1</v>
      </c>
      <c r="S76" s="55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5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5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/>
    </row>
    <row r="77" spans="1:27">
      <c r="A77" s="42" t="str">
        <f>元データ!P74</f>
        <v>非採用</v>
      </c>
      <c r="B77" s="27">
        <f t="shared" si="1"/>
        <v>73</v>
      </c>
      <c r="C77" s="27" t="str">
        <f>DBCS(元データ!A74)</f>
        <v>アノーロエリプタ３０吸入用</v>
      </c>
      <c r="D77" s="55" t="str">
        <f>元データ!B74</f>
        <v/>
      </c>
      <c r="E77" s="27" t="str">
        <f>元データ!C74</f>
        <v/>
      </c>
      <c r="F77" s="27" t="str">
        <f>元データ!D74</f>
        <v>1個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5" t="e">
        <f ca="1">IF(OFFSET(マスタ非採用削除!A$4,統合マスタ!$A77,0)="","",OFFSET(マスタ非採用削除!A$4,統合マスタ!$A77,0))</f>
        <v>#VALUE!</v>
      </c>
      <c r="O77" s="55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5" t="e">
        <f ca="1">IF(OFFSET(マスタ非採用削除!D$4,統合マスタ!$A77,0)="","",OFFSET(マスタ非採用削除!D$4,統合マスタ!$A77,0))</f>
        <v>#VALUE!</v>
      </c>
      <c r="R77" s="27" t="e">
        <f ca="1">IF(OFFSET(マスタ非採用削除!E$4,統合マスタ!$A77,0)="","",OFFSET(マスタ非採用削除!E$4,統合マスタ!$A77,0))</f>
        <v>#VALUE!</v>
      </c>
      <c r="S77" s="55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5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5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">
        <v>4065</v>
      </c>
    </row>
    <row r="78" spans="1:27">
      <c r="A78" s="42">
        <f>元データ!P75</f>
        <v>35</v>
      </c>
      <c r="B78" s="27">
        <f t="shared" si="1"/>
        <v>74</v>
      </c>
      <c r="C78" s="27" t="str">
        <f>DBCS(元データ!A75)</f>
        <v>アマンタジン塩酸塩錠５０ｍｇ「杏林」</v>
      </c>
      <c r="D78" s="55" t="str">
        <f>元データ!B75</f>
        <v>メディセオ</v>
      </c>
      <c r="E78" s="27" t="str">
        <f>元データ!C75</f>
        <v>PTP</v>
      </c>
      <c r="F78" s="27" t="str">
        <f>元データ!D75</f>
        <v>100T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5" t="str">
        <f ca="1">IF(OFFSET(マスタ非採用削除!A$4,統合マスタ!$A78,0)="","",OFFSET(マスタ非採用削除!A$4,統合マスタ!$A78,0))</f>
        <v>ｱﾏﾝ001</v>
      </c>
      <c r="O78" s="55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5" t="str">
        <f ca="1">IF(OFFSET(マスタ非採用削除!D$4,統合マスタ!$A78,0)="","",OFFSET(マスタ非採用削除!D$4,統合マスタ!$A78,0))</f>
        <v>ｱﾏﾝﾀ</v>
      </c>
      <c r="R78" s="27">
        <f ca="1">IF(OFFSET(マスタ非採用削除!E$4,統合マスタ!$A78,0)="","",OFFSET(マスタ非採用削除!E$4,統合マスタ!$A78,0))</f>
        <v>1</v>
      </c>
      <c r="S78" s="55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5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5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5</v>
      </c>
      <c r="AA78" s="27"/>
    </row>
    <row r="79" spans="1:27">
      <c r="A79" s="42">
        <f>元データ!P76</f>
        <v>37</v>
      </c>
      <c r="B79" s="27">
        <f t="shared" si="1"/>
        <v>75</v>
      </c>
      <c r="C79" s="27" t="str">
        <f>DBCS(元データ!A76)</f>
        <v>アミティーザカプセル２４μｇ</v>
      </c>
      <c r="D79" s="55" t="str">
        <f>元データ!B76</f>
        <v>アルフレッサ</v>
      </c>
      <c r="E79" s="27" t="str">
        <f>元データ!C76</f>
        <v>PTP</v>
      </c>
      <c r="F79" s="27" t="str">
        <f>元データ!D76</f>
        <v>500P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5" t="str">
        <f ca="1">IF(OFFSET(マスタ非採用削除!A$4,統合マスタ!$A79,0)="","",OFFSET(マスタ非採用削除!A$4,統合マスタ!$A79,0))</f>
        <v>ｱﾐﾃ001</v>
      </c>
      <c r="O79" s="55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5" t="str">
        <f ca="1">IF(OFFSET(マスタ非採用削除!D$4,統合マスタ!$A79,0)="","",OFFSET(マスタ非採用削除!D$4,統合マスタ!$A79,0))</f>
        <v>ｱﾐﾃ</v>
      </c>
      <c r="R79" s="27">
        <f ca="1">IF(OFFSET(マスタ非採用削除!E$4,統合マスタ!$A79,0)="","",OFFSET(マスタ非採用削除!E$4,統合マスタ!$A79,0))</f>
        <v>1</v>
      </c>
      <c r="S79" s="55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5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5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/>
    </row>
    <row r="80" spans="1:27">
      <c r="A80" s="42">
        <f>元データ!P77</f>
        <v>38</v>
      </c>
      <c r="B80" s="27">
        <f t="shared" si="1"/>
        <v>76</v>
      </c>
      <c r="C80" s="27" t="str">
        <f>DBCS(元データ!A77)</f>
        <v>アミノレバンＥＮ配合散　　　　　コーヒー味</v>
      </c>
      <c r="D80" s="55" t="str">
        <f>元データ!B77</f>
        <v/>
      </c>
      <c r="E80" s="27" t="str">
        <f>元データ!C77</f>
        <v>粉</v>
      </c>
      <c r="F80" s="27" t="str">
        <f>元データ!D77</f>
        <v>50ｇX21包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5" t="str">
        <f ca="1">IF(OFFSET(マスタ非採用削除!A$4,統合マスタ!$A80,0)="","",OFFSET(マスタ非採用削除!A$4,統合マスタ!$A80,0))</f>
        <v>ｱﾐﾉ001</v>
      </c>
      <c r="O80" s="55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5" t="str">
        <f ca="1">IF(OFFSET(マスタ非採用削除!D$4,統合マスタ!$A80,0)="","",OFFSET(マスタ非採用削除!D$4,統合マスタ!$A80,0))</f>
        <v>ｱﾐﾉﾚ1*</v>
      </c>
      <c r="R80" s="27">
        <f ca="1">IF(OFFSET(マスタ非採用削除!E$4,統合マスタ!$A80,0)="","",OFFSET(マスタ非採用削除!E$4,統合マスタ!$A80,0))</f>
        <v>1</v>
      </c>
      <c r="S80" s="55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5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5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/>
    </row>
    <row r="81" spans="1:27">
      <c r="A81" s="42">
        <f>元データ!P78</f>
        <v>39</v>
      </c>
      <c r="B81" s="27">
        <f t="shared" si="1"/>
        <v>77</v>
      </c>
      <c r="C81" s="27" t="str">
        <f>DBCS(元データ!A78)</f>
        <v>アミノレバン点滴静注</v>
      </c>
      <c r="D81" s="55" t="str">
        <f>元データ!B78</f>
        <v/>
      </c>
      <c r="E81" s="27" t="str">
        <f>元データ!C78</f>
        <v/>
      </c>
      <c r="F81" s="27" t="str">
        <f>元データ!D78</f>
        <v>500ｍｌｘ20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5" t="str">
        <f ca="1">IF(OFFSET(マスタ非採用削除!A$4,統合マスタ!$A81,0)="","",OFFSET(マスタ非採用削除!A$4,統合マスタ!$A81,0))</f>
        <v>ｱﾐﾉ002</v>
      </c>
      <c r="O81" s="55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5" t="str">
        <f ca="1">IF(OFFSET(マスタ非採用削除!D$4,統合マスタ!$A81,0)="","",OFFSET(マスタ非採用削除!D$4,統合マスタ!$A81,0))</f>
        <v/>
      </c>
      <c r="R81" s="27">
        <f ca="1">IF(OFFSET(マスタ非採用削除!E$4,統合マスタ!$A81,0)="","",OFFSET(マスタ非採用削除!E$4,統合マスタ!$A81,0))</f>
        <v>2</v>
      </c>
      <c r="S81" s="55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5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5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/>
    </row>
    <row r="82" spans="1:27">
      <c r="A82" s="42">
        <f>元データ!P79</f>
        <v>40</v>
      </c>
      <c r="B82" s="27">
        <f t="shared" si="1"/>
        <v>78</v>
      </c>
      <c r="C82" s="27" t="str">
        <f>DBCS(元データ!A79)</f>
        <v>アムロジピンＯＤ錠２．５ｍｇ「明治」</v>
      </c>
      <c r="D82" s="55" t="str">
        <f>元データ!B79</f>
        <v>メディセオ</v>
      </c>
      <c r="E82" s="27" t="str">
        <f>元データ!C79</f>
        <v>PTP</v>
      </c>
      <c r="F82" s="27" t="str">
        <f>元データ!D79</f>
        <v>500T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5" t="str">
        <f ca="1">IF(OFFSET(マスタ非採用削除!A$4,統合マスタ!$A82,0)="","",OFFSET(マスタ非採用削除!A$4,統合マスタ!$A82,0))</f>
        <v>ｱﾑﾛ002</v>
      </c>
      <c r="O82" s="55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5" t="str">
        <f ca="1">IF(OFFSET(マスタ非採用削除!D$4,統合マスタ!$A82,0)="","",OFFSET(マスタ非採用削除!D$4,統合マスタ!$A82,0))</f>
        <v/>
      </c>
      <c r="R82" s="27">
        <f ca="1">IF(OFFSET(マスタ非採用削除!E$4,統合マスタ!$A82,0)="","",OFFSET(マスタ非採用削除!E$4,統合マスタ!$A82,0))</f>
        <v>1</v>
      </c>
      <c r="S82" s="55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5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5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5</v>
      </c>
      <c r="AA82" s="27"/>
    </row>
    <row r="83" spans="1:27">
      <c r="A83" s="42">
        <f>元データ!P80</f>
        <v>40</v>
      </c>
      <c r="B83" s="27">
        <f t="shared" si="1"/>
        <v>79</v>
      </c>
      <c r="C83" s="27" t="str">
        <f>DBCS(元データ!A80)</f>
        <v>アムロジピンＯＤ錠２．５ｍｇ「明治」</v>
      </c>
      <c r="D83" s="55" t="str">
        <f>元データ!B80</f>
        <v>メディセオ</v>
      </c>
      <c r="E83" s="27" t="str">
        <f>元データ!C80</f>
        <v>バラ</v>
      </c>
      <c r="F83" s="27" t="str">
        <f>元データ!D80</f>
        <v>500T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5" t="str">
        <f ca="1">IF(OFFSET(マスタ非採用削除!A$4,統合マスタ!$A83,0)="","",OFFSET(マスタ非採用削除!A$4,統合マスタ!$A83,0))</f>
        <v>ｱﾑﾛ002</v>
      </c>
      <c r="O83" s="55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5" t="str">
        <f ca="1">IF(OFFSET(マスタ非採用削除!D$4,統合マスタ!$A83,0)="","",OFFSET(マスタ非採用削除!D$4,統合マスタ!$A83,0))</f>
        <v/>
      </c>
      <c r="R83" s="27">
        <f ca="1">IF(OFFSET(マスタ非採用削除!E$4,統合マスタ!$A83,0)="","",OFFSET(マスタ非採用削除!E$4,統合マスタ!$A83,0))</f>
        <v>1</v>
      </c>
      <c r="S83" s="55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5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5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5</v>
      </c>
      <c r="AA83" s="27"/>
    </row>
    <row r="84" spans="1:27">
      <c r="A84" s="42">
        <f>元データ!P81</f>
        <v>41</v>
      </c>
      <c r="B84" s="27">
        <f t="shared" si="1"/>
        <v>80</v>
      </c>
      <c r="C84" s="27" t="str">
        <f>DBCS(元データ!A81)</f>
        <v>アリドネパッチ２７．５ｍｇ</v>
      </c>
      <c r="D84" s="55" t="str">
        <f>元データ!B81</f>
        <v>スズケン</v>
      </c>
      <c r="E84" s="27" t="str">
        <f>元データ!C81</f>
        <v/>
      </c>
      <c r="F84" s="27" t="str">
        <f>元データ!D81</f>
        <v>28枚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5" t="str">
        <f ca="1">IF(OFFSET(マスタ非採用削除!A$4,統合マスタ!$A84,0)="","",OFFSET(マスタ非採用削除!A$4,統合マスタ!$A84,0))</f>
        <v>ｱﾘﾄ001</v>
      </c>
      <c r="O84" s="55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5" t="str">
        <f ca="1">IF(OFFSET(マスタ非採用削除!D$4,統合マスタ!$A84,0)="","",OFFSET(マスタ非採用削除!D$4,統合マスタ!$A84,0))</f>
        <v/>
      </c>
      <c r="R84" s="27">
        <f ca="1">IF(OFFSET(マスタ非採用削除!E$4,統合マスタ!$A84,0)="","",OFFSET(マスタ非採用削除!E$4,統合マスタ!$A84,0))</f>
        <v>1</v>
      </c>
      <c r="S84" s="55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5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5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/>
    </row>
    <row r="85" spans="1:27">
      <c r="A85" s="42">
        <f>元データ!P82</f>
        <v>42</v>
      </c>
      <c r="B85" s="27">
        <f t="shared" si="1"/>
        <v>81</v>
      </c>
      <c r="C85" s="27" t="str">
        <f>DBCS(元データ!A82)</f>
        <v>アリドネパッチ５５ｍｇ</v>
      </c>
      <c r="D85" s="55" t="str">
        <f>元データ!B82</f>
        <v>スズケン</v>
      </c>
      <c r="E85" s="27" t="str">
        <f>元データ!C82</f>
        <v/>
      </c>
      <c r="F85" s="27" t="str">
        <f>元データ!D82</f>
        <v>28枚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5" t="str">
        <f ca="1">IF(OFFSET(マスタ非採用削除!A$4,統合マスタ!$A85,0)="","",OFFSET(マスタ非採用削除!A$4,統合マスタ!$A85,0))</f>
        <v>ｱﾘﾄ002</v>
      </c>
      <c r="O85" s="55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5" t="str">
        <f ca="1">IF(OFFSET(マスタ非採用削除!D$4,統合マスタ!$A85,0)="","",OFFSET(マスタ非採用削除!D$4,統合マスタ!$A85,0))</f>
        <v/>
      </c>
      <c r="R85" s="27">
        <f ca="1">IF(OFFSET(マスタ非採用削除!E$4,統合マスタ!$A85,0)="","",OFFSET(マスタ非採用削除!E$4,統合マスタ!$A85,0))</f>
        <v>1</v>
      </c>
      <c r="S85" s="55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5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5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/>
    </row>
    <row r="86" spans="1:27">
      <c r="A86" s="42">
        <f>元データ!P83</f>
        <v>45</v>
      </c>
      <c r="B86" s="27">
        <f t="shared" si="1"/>
        <v>82</v>
      </c>
      <c r="C86" s="27" t="str">
        <f>DBCS(元データ!A83)</f>
        <v>アリピプラゾールＯＤ錠１２ｍｇ「ニプロ」</v>
      </c>
      <c r="D86" s="55" t="str">
        <f>元データ!B83</f>
        <v>アルフレッサ</v>
      </c>
      <c r="E86" s="27" t="str">
        <f>元データ!C83</f>
        <v>ＰＴＰ</v>
      </c>
      <c r="F86" s="27" t="str">
        <f>元データ!D83</f>
        <v>100Ｔ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5" t="str">
        <f ca="1">IF(OFFSET(マスタ非採用削除!A$4,統合マスタ!$A86,0)="","",OFFSET(マスタ非採用削除!A$4,統合マスタ!$A86,0))</f>
        <v>ｱﾘﾋ008</v>
      </c>
      <c r="O86" s="55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5" t="str">
        <f ca="1">IF(OFFSET(マスタ非採用削除!D$4,統合マスタ!$A86,0)="","",OFFSET(マスタ非採用削除!D$4,統合マスタ!$A86,0))</f>
        <v/>
      </c>
      <c r="R86" s="27">
        <f ca="1">IF(OFFSET(マスタ非採用削除!E$4,統合マスタ!$A86,0)="","",OFFSET(マスタ非採用削除!E$4,統合マスタ!$A86,0))</f>
        <v>1</v>
      </c>
      <c r="S86" s="55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5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5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6</v>
      </c>
      <c r="AA86" s="27"/>
    </row>
    <row r="87" spans="1:27">
      <c r="A87" s="42">
        <f>元データ!P84</f>
        <v>45</v>
      </c>
      <c r="B87" s="27">
        <f t="shared" si="1"/>
        <v>83</v>
      </c>
      <c r="C87" s="27" t="str">
        <f>DBCS(元データ!A84)</f>
        <v>アリピプラゾールＯＤ錠１２ｍｇ「ニプロ」</v>
      </c>
      <c r="D87" s="55" t="str">
        <f>元データ!B84</f>
        <v>アルフレッサ</v>
      </c>
      <c r="E87" s="27" t="str">
        <f>元データ!C84</f>
        <v>バラ</v>
      </c>
      <c r="F87" s="27" t="str">
        <f>元データ!D84</f>
        <v>500Ｔ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5" t="str">
        <f ca="1">IF(OFFSET(マスタ非採用削除!A$4,統合マスタ!$A87,0)="","",OFFSET(マスタ非採用削除!A$4,統合マスタ!$A87,0))</f>
        <v>ｱﾘﾋ008</v>
      </c>
      <c r="O87" s="55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5" t="str">
        <f ca="1">IF(OFFSET(マスタ非採用削除!D$4,統合マスタ!$A87,0)="","",OFFSET(マスタ非採用削除!D$4,統合マスタ!$A87,0))</f>
        <v/>
      </c>
      <c r="R87" s="27">
        <f ca="1">IF(OFFSET(マスタ非採用削除!E$4,統合マスタ!$A87,0)="","",OFFSET(マスタ非採用削除!E$4,統合マスタ!$A87,0))</f>
        <v>1</v>
      </c>
      <c r="S87" s="55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5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5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6</v>
      </c>
      <c r="AA87" s="27"/>
    </row>
    <row r="88" spans="1:27">
      <c r="A88" s="42">
        <f>元データ!P85</f>
        <v>44</v>
      </c>
      <c r="B88" s="27">
        <f t="shared" si="1"/>
        <v>84</v>
      </c>
      <c r="C88" s="27" t="str">
        <f>DBCS(元データ!A85)</f>
        <v>アリピプラゾールＯＤ錠３ｍｇ「ニプロ」</v>
      </c>
      <c r="D88" s="55" t="str">
        <f>元データ!B85</f>
        <v>アルフレッサ</v>
      </c>
      <c r="E88" s="27" t="str">
        <f>元データ!C85</f>
        <v>ＰＴＰ</v>
      </c>
      <c r="F88" s="27" t="str">
        <f>元データ!D85</f>
        <v>100Ｔ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5" t="str">
        <f ca="1">IF(OFFSET(マスタ非採用削除!A$4,統合マスタ!$A88,0)="","",OFFSET(マスタ非採用削除!A$4,統合マスタ!$A88,0))</f>
        <v>ｱﾘﾋ007</v>
      </c>
      <c r="O88" s="55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5" t="str">
        <f ca="1">IF(OFFSET(マスタ非採用削除!D$4,統合マスタ!$A88,0)="","",OFFSET(マスタ非採用削除!D$4,統合マスタ!$A88,0))</f>
        <v/>
      </c>
      <c r="R88" s="27">
        <f ca="1">IF(OFFSET(マスタ非採用削除!E$4,統合マスタ!$A88,0)="","",OFFSET(マスタ非採用削除!E$4,統合マスタ!$A88,0))</f>
        <v>1</v>
      </c>
      <c r="S88" s="55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5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5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6</v>
      </c>
      <c r="AA88" s="27"/>
    </row>
    <row r="89" spans="1:27">
      <c r="A89" s="42">
        <f>元データ!P86</f>
        <v>44</v>
      </c>
      <c r="B89" s="27">
        <f t="shared" si="1"/>
        <v>85</v>
      </c>
      <c r="C89" s="27" t="str">
        <f>DBCS(元データ!A86)</f>
        <v>アリピプラゾールＯＤ錠３ｍｇ「ニプロ」</v>
      </c>
      <c r="D89" s="55" t="str">
        <f>元データ!B86</f>
        <v>アルフレッサ</v>
      </c>
      <c r="E89" s="27" t="str">
        <f>元データ!C86</f>
        <v>バラ</v>
      </c>
      <c r="F89" s="27" t="str">
        <f>元データ!D86</f>
        <v>100Ｔ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5" t="str">
        <f ca="1">IF(OFFSET(マスタ非採用削除!A$4,統合マスタ!$A89,0)="","",OFFSET(マスタ非採用削除!A$4,統合マスタ!$A89,0))</f>
        <v>ｱﾘﾋ007</v>
      </c>
      <c r="O89" s="55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5" t="str">
        <f ca="1">IF(OFFSET(マスタ非採用削除!D$4,統合マスタ!$A89,0)="","",OFFSET(マスタ非採用削除!D$4,統合マスタ!$A89,0))</f>
        <v/>
      </c>
      <c r="R89" s="27">
        <f ca="1">IF(OFFSET(マスタ非採用削除!E$4,統合マスタ!$A89,0)="","",OFFSET(マスタ非採用削除!E$4,統合マスタ!$A89,0))</f>
        <v>1</v>
      </c>
      <c r="S89" s="55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5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5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6</v>
      </c>
      <c r="AA89" s="27"/>
    </row>
    <row r="90" spans="1:27">
      <c r="A90" s="42">
        <f>元データ!P87</f>
        <v>46</v>
      </c>
      <c r="B90" s="27">
        <f t="shared" si="1"/>
        <v>86</v>
      </c>
      <c r="C90" s="27" t="str">
        <f>DBCS(元データ!A87)</f>
        <v>アリピプラゾールＯＤ錠６ｍｇ「ニプロ」</v>
      </c>
      <c r="D90" s="55" t="str">
        <f>元データ!B87</f>
        <v>アルフレッサ</v>
      </c>
      <c r="E90" s="27" t="str">
        <f>元データ!C87</f>
        <v>ＰＴＰ</v>
      </c>
      <c r="F90" s="27" t="str">
        <f>元データ!D87</f>
        <v>100Ｔ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5" t="str">
        <f ca="1">IF(OFFSET(マスタ非採用削除!A$4,統合マスタ!$A90,0)="","",OFFSET(マスタ非採用削除!A$4,統合マスタ!$A90,0))</f>
        <v>ｱﾘﾋ009</v>
      </c>
      <c r="O90" s="55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5" t="str">
        <f ca="1">IF(OFFSET(マスタ非採用削除!D$4,統合マスタ!$A90,0)="","",OFFSET(マスタ非採用削除!D$4,統合マスタ!$A90,0))</f>
        <v/>
      </c>
      <c r="R90" s="27">
        <f ca="1">IF(OFFSET(マスタ非採用削除!E$4,統合マスタ!$A90,0)="","",OFFSET(マスタ非採用削除!E$4,統合マスタ!$A90,0))</f>
        <v>1</v>
      </c>
      <c r="S90" s="55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5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5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6</v>
      </c>
      <c r="AA90" s="27"/>
    </row>
    <row r="91" spans="1:27">
      <c r="A91" s="42">
        <f>元データ!P88</f>
        <v>46</v>
      </c>
      <c r="B91" s="27">
        <f t="shared" si="1"/>
        <v>87</v>
      </c>
      <c r="C91" s="27" t="str">
        <f>DBCS(元データ!A88)</f>
        <v>アリピプラゾールＯＤ錠６ｍｇ「ニプロ」</v>
      </c>
      <c r="D91" s="55" t="str">
        <f>元データ!B88</f>
        <v>アルフレッサ</v>
      </c>
      <c r="E91" s="27" t="str">
        <f>元データ!C88</f>
        <v>バラ</v>
      </c>
      <c r="F91" s="27" t="str">
        <f>元データ!D88</f>
        <v>100Ｔ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5" t="str">
        <f ca="1">IF(OFFSET(マスタ非採用削除!A$4,統合マスタ!$A91,0)="","",OFFSET(マスタ非採用削除!A$4,統合マスタ!$A91,0))</f>
        <v>ｱﾘﾋ009</v>
      </c>
      <c r="O91" s="55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5" t="str">
        <f ca="1">IF(OFFSET(マスタ非採用削除!D$4,統合マスタ!$A91,0)="","",OFFSET(マスタ非採用削除!D$4,統合マスタ!$A91,0))</f>
        <v/>
      </c>
      <c r="R91" s="27">
        <f ca="1">IF(OFFSET(マスタ非採用削除!E$4,統合マスタ!$A91,0)="","",OFFSET(マスタ非採用削除!E$4,統合マスタ!$A91,0))</f>
        <v>1</v>
      </c>
      <c r="S91" s="55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5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5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6</v>
      </c>
      <c r="AA91" s="27"/>
    </row>
    <row r="92" spans="1:27">
      <c r="A92" s="42">
        <f>元データ!P89</f>
        <v>47</v>
      </c>
      <c r="B92" s="27">
        <f t="shared" si="1"/>
        <v>88</v>
      </c>
      <c r="C92" s="27" t="str">
        <f>DBCS(元データ!A89)</f>
        <v>アリピプラゾール散１％「ニプロ」</v>
      </c>
      <c r="D92" s="55" t="str">
        <f>元データ!B89</f>
        <v>メディセオ</v>
      </c>
      <c r="E92" s="27" t="str">
        <f>元データ!C89</f>
        <v>粉</v>
      </c>
      <c r="F92" s="27" t="str">
        <f>元データ!D89</f>
        <v>100ｇ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5" t="str">
        <f ca="1">IF(OFFSET(マスタ非採用削除!A$4,統合マスタ!$A92,0)="","",OFFSET(マスタ非採用削除!A$4,統合マスタ!$A92,0))</f>
        <v>ｱﾘﾋ010</v>
      </c>
      <c r="O92" s="55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5" t="str">
        <f ca="1">IF(OFFSET(マスタ非採用削除!D$4,統合マスタ!$A92,0)="","",OFFSET(マスタ非採用削除!D$4,統合マスタ!$A92,0))</f>
        <v/>
      </c>
      <c r="R92" s="27">
        <f ca="1">IF(OFFSET(マスタ非採用削除!E$4,統合マスタ!$A92,0)="","",OFFSET(マスタ非採用削除!E$4,統合マスタ!$A92,0))</f>
        <v>1</v>
      </c>
      <c r="S92" s="55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5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5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/>
    </row>
    <row r="93" spans="1:27">
      <c r="A93" s="42">
        <f>元データ!P90</f>
        <v>48</v>
      </c>
      <c r="B93" s="27">
        <f t="shared" si="1"/>
        <v>89</v>
      </c>
      <c r="C93" s="27" t="str">
        <f>DBCS(元データ!A90)</f>
        <v>アリピプラゾール錠１ｍｇ「サワイ」</v>
      </c>
      <c r="D93" s="55" t="str">
        <f>元データ!B90</f>
        <v>メディセオ</v>
      </c>
      <c r="E93" s="27" t="str">
        <f>元データ!C90</f>
        <v>PTP</v>
      </c>
      <c r="F93" s="27" t="str">
        <f>元データ!D90</f>
        <v>100T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5" t="str">
        <f ca="1">IF(OFFSET(マスタ非採用削除!A$4,統合マスタ!$A93,0)="","",OFFSET(マスタ非採用削除!A$4,統合マスタ!$A93,0))</f>
        <v>ｱﾘﾋ011</v>
      </c>
      <c r="O93" s="55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5" t="str">
        <f ca="1">IF(OFFSET(マスタ非採用削除!D$4,統合マスタ!$A93,0)="","",OFFSET(マスタ非採用削除!D$4,統合マスタ!$A93,0))</f>
        <v/>
      </c>
      <c r="R93" s="27">
        <f ca="1">IF(OFFSET(マスタ非採用削除!E$4,統合マスタ!$A93,0)="","",OFFSET(マスタ非採用削除!E$4,統合マスタ!$A93,0))</f>
        <v>1</v>
      </c>
      <c r="S93" s="55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5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5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6</v>
      </c>
      <c r="AA93" s="27"/>
    </row>
    <row r="94" spans="1:27">
      <c r="A94" s="42">
        <f>元データ!P91</f>
        <v>49</v>
      </c>
      <c r="B94" s="27">
        <f t="shared" si="1"/>
        <v>90</v>
      </c>
      <c r="C94" s="27" t="str">
        <f>DBCS(元データ!A91)</f>
        <v>アルダクトンＡ錠２５ｍｇ</v>
      </c>
      <c r="D94" s="55" t="str">
        <f>元データ!B91</f>
        <v>アルフレッサ</v>
      </c>
      <c r="E94" s="27" t="str">
        <f>元データ!C91</f>
        <v>バラ</v>
      </c>
      <c r="F94" s="27" t="str">
        <f>元データ!D91</f>
        <v>100Ｔ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5" t="str">
        <f ca="1">IF(OFFSET(マスタ非採用削除!A$4,統合マスタ!$A94,0)="","",OFFSET(マスタ非採用削除!A$4,統合マスタ!$A94,0))</f>
        <v>ｱﾙﾀ001</v>
      </c>
      <c r="O94" s="55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5" t="str">
        <f ca="1">IF(OFFSET(マスタ非採用削除!D$4,統合マスタ!$A94,0)="","",OFFSET(マスタ非採用削除!D$4,統合マスタ!$A94,0))</f>
        <v>ｱﾙﾀﾞ</v>
      </c>
      <c r="R94" s="27">
        <f ca="1">IF(OFFSET(マスタ非採用削除!E$4,統合マスタ!$A94,0)="","",OFFSET(マスタ非採用削除!E$4,統合マスタ!$A94,0))</f>
        <v>1</v>
      </c>
      <c r="S94" s="55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5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5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5</v>
      </c>
      <c r="AA94" s="27"/>
    </row>
    <row r="95" spans="1:27">
      <c r="A95" s="42">
        <f>元データ!P92</f>
        <v>51</v>
      </c>
      <c r="B95" s="27">
        <f t="shared" si="1"/>
        <v>91</v>
      </c>
      <c r="C95" s="27" t="str">
        <f>DBCS(元データ!A92)</f>
        <v>アルファカルシドールカプセル０．５μｇ「フソー」</v>
      </c>
      <c r="D95" s="55" t="str">
        <f>元データ!B92</f>
        <v>アルフレッサ</v>
      </c>
      <c r="E95" s="27" t="str">
        <f>元データ!C92</f>
        <v>PTP</v>
      </c>
      <c r="F95" s="27" t="str">
        <f>元データ!D92</f>
        <v>500P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5" t="str">
        <f ca="1">IF(OFFSET(マスタ非採用削除!A$4,統合マスタ!$A95,0)="","",OFFSET(マスタ非採用削除!A$4,統合マスタ!$A95,0))</f>
        <v>ｱﾙﾌ003</v>
      </c>
      <c r="O95" s="55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5" t="str">
        <f ca="1">IF(OFFSET(マスタ非採用削除!D$4,統合マスタ!$A95,0)="","",OFFSET(マスタ非採用削除!D$4,統合マスタ!$A95,0))</f>
        <v/>
      </c>
      <c r="R95" s="27">
        <f ca="1">IF(OFFSET(マスタ非採用削除!E$4,統合マスタ!$A95,0)="","",OFFSET(マスタ非採用削除!E$4,統合マスタ!$A95,0))</f>
        <v>1</v>
      </c>
      <c r="S95" s="55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5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5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/>
    </row>
    <row r="96" spans="1:27">
      <c r="A96" s="42">
        <f>元データ!P93</f>
        <v>50</v>
      </c>
      <c r="B96" s="27">
        <f t="shared" si="1"/>
        <v>92</v>
      </c>
      <c r="C96" s="27" t="str">
        <f>DBCS(元データ!A93)</f>
        <v>アルブミナー２５％静注１２．５ｇ／５０ｍｌ</v>
      </c>
      <c r="D96" s="55" t="str">
        <f>元データ!B93</f>
        <v>アルフレッサ</v>
      </c>
      <c r="E96" s="27" t="str">
        <f>元データ!C93</f>
        <v/>
      </c>
      <c r="F96" s="27" t="str">
        <f>元データ!D93</f>
        <v>50ｍｌｘ1V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5" t="str">
        <f ca="1">IF(OFFSET(マスタ非採用削除!A$4,統合マスタ!$A96,0)="","",OFFSET(マスタ非採用削除!A$4,統合マスタ!$A96,0))</f>
        <v>ｱﾙﾌ002</v>
      </c>
      <c r="O96" s="55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5" t="str">
        <f ca="1">IF(OFFSET(マスタ非採用削除!D$4,統合マスタ!$A96,0)="","",OFFSET(マスタ非採用削除!D$4,統合マスタ!$A96,0))</f>
        <v>ｱﾙﾌﾞ</v>
      </c>
      <c r="R96" s="27">
        <f ca="1">IF(OFFSET(マスタ非採用削除!E$4,統合マスタ!$A96,0)="","",OFFSET(マスタ非採用削除!E$4,統合マスタ!$A96,0))</f>
        <v>1</v>
      </c>
      <c r="S96" s="55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5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5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/>
    </row>
    <row r="97" spans="1:27">
      <c r="A97" s="42" t="str">
        <f>元データ!P94</f>
        <v>非採用</v>
      </c>
      <c r="B97" s="27">
        <f t="shared" si="1"/>
        <v>93</v>
      </c>
      <c r="C97" s="27" t="str">
        <f>DBCS(元データ!A94)</f>
        <v>アルメタ軟膏</v>
      </c>
      <c r="D97" s="55" t="str">
        <f>元データ!B94</f>
        <v/>
      </c>
      <c r="E97" s="27" t="str">
        <f>元データ!C94</f>
        <v/>
      </c>
      <c r="F97" s="27" t="str">
        <f>元データ!D94</f>
        <v>5ｇｘ10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5" t="e">
        <f ca="1">IF(OFFSET(マスタ非採用削除!A$4,統合マスタ!$A97,0)="","",OFFSET(マスタ非採用削除!A$4,統合マスタ!$A97,0))</f>
        <v>#VALUE!</v>
      </c>
      <c r="O97" s="55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5" t="e">
        <f ca="1">IF(OFFSET(マスタ非採用削除!D$4,統合マスタ!$A97,0)="","",OFFSET(マスタ非採用削除!D$4,統合マスタ!$A97,0))</f>
        <v>#VALUE!</v>
      </c>
      <c r="R97" s="27" t="e">
        <f ca="1">IF(OFFSET(マスタ非採用削除!E$4,統合マスタ!$A97,0)="","",OFFSET(マスタ非採用削除!E$4,統合マスタ!$A97,0))</f>
        <v>#VALUE!</v>
      </c>
      <c r="S97" s="55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5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5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">
        <v>4076</v>
      </c>
    </row>
    <row r="98" spans="1:27">
      <c r="A98" s="42" t="str">
        <f>元データ!P95</f>
        <v>非採用</v>
      </c>
      <c r="B98" s="27">
        <f t="shared" si="1"/>
        <v>94</v>
      </c>
      <c r="C98" s="27" t="str">
        <f>DBCS(元データ!A95)</f>
        <v>アレギサール点眼液０．１％　　　　販売中止</v>
      </c>
      <c r="D98" s="55" t="str">
        <f>元データ!B95</f>
        <v/>
      </c>
      <c r="E98" s="27" t="str">
        <f>元データ!C95</f>
        <v/>
      </c>
      <c r="F98" s="27" t="str">
        <f>元データ!D95</f>
        <v>5ｍｌｘ10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5" t="e">
        <f ca="1">IF(OFFSET(マスタ非採用削除!A$4,統合マスタ!$A98,0)="","",OFFSET(マスタ非採用削除!A$4,統合マスタ!$A98,0))</f>
        <v>#VALUE!</v>
      </c>
      <c r="O98" s="55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5" t="e">
        <f ca="1">IF(OFFSET(マスタ非採用削除!D$4,統合マスタ!$A98,0)="","",OFFSET(マスタ非採用削除!D$4,統合マスタ!$A98,0))</f>
        <v>#VALUE!</v>
      </c>
      <c r="R98" s="27" t="e">
        <f ca="1">IF(OFFSET(マスタ非採用削除!E$4,統合マスタ!$A98,0)="","",OFFSET(マスタ非採用削除!E$4,統合マスタ!$A98,0))</f>
        <v>#VALUE!</v>
      </c>
      <c r="S98" s="55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5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5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">
        <v>4065</v>
      </c>
    </row>
    <row r="99" spans="1:27">
      <c r="A99" s="42">
        <f>元データ!P96</f>
        <v>52</v>
      </c>
      <c r="B99" s="27">
        <f t="shared" si="1"/>
        <v>95</v>
      </c>
      <c r="C99" s="27" t="str">
        <f>DBCS(元データ!A96)</f>
        <v>アレビアチン散１０％</v>
      </c>
      <c r="D99" s="55" t="str">
        <f>元データ!B96</f>
        <v/>
      </c>
      <c r="E99" s="27" t="str">
        <f>元データ!C96</f>
        <v>粉</v>
      </c>
      <c r="F99" s="27" t="str">
        <f>元データ!D96</f>
        <v>500ｇ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5" t="str">
        <f ca="1">IF(OFFSET(マスタ非採用削除!A$4,統合マスタ!$A99,0)="","",OFFSET(マスタ非採用削除!A$4,統合マスタ!$A99,0))</f>
        <v>ｱﾚﾋ001</v>
      </c>
      <c r="O99" s="55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5" t="str">
        <f ca="1">IF(OFFSET(マスタ非採用削除!D$4,統合マスタ!$A99,0)="","",OFFSET(マスタ非採用削除!D$4,統合マスタ!$A99,0))</f>
        <v>ｱﾚﾋﾞｱﾁ</v>
      </c>
      <c r="R99" s="27">
        <f ca="1">IF(OFFSET(マスタ非採用削除!E$4,統合マスタ!$A99,0)="","",OFFSET(マスタ非採用削除!E$4,統合マスタ!$A99,0))</f>
        <v>1</v>
      </c>
      <c r="S99" s="55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5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5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/>
    </row>
    <row r="100" spans="1:27">
      <c r="A100" s="42" t="str">
        <f>元データ!P97</f>
        <v/>
      </c>
      <c r="B100" s="27">
        <f t="shared" si="1"/>
        <v>96</v>
      </c>
      <c r="C100" s="27" t="str">
        <f>DBCS(元データ!A97)</f>
        <v>アレビアチン錠１００ｍｇ</v>
      </c>
      <c r="D100" s="55" t="str">
        <f>元データ!B97</f>
        <v/>
      </c>
      <c r="E100" s="27" t="str">
        <f>元データ!C97</f>
        <v>バラ</v>
      </c>
      <c r="F100" s="27" t="str">
        <f>元データ!D97</f>
        <v>100T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5" t="e">
        <f ca="1">IF(OFFSET(マスタ非採用削除!A$4,統合マスタ!$A100,0)="","",OFFSET(マスタ非採用削除!A$4,統合マスタ!$A100,0))</f>
        <v>#VALUE!</v>
      </c>
      <c r="O100" s="55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5" t="e">
        <f ca="1">IF(OFFSET(マスタ非採用削除!D$4,統合マスタ!$A100,0)="","",OFFSET(マスタ非採用削除!D$4,統合マスタ!$A100,0))</f>
        <v>#VALUE!</v>
      </c>
      <c r="R100" s="27" t="e">
        <f ca="1">IF(OFFSET(マスタ非採用削除!E$4,統合マスタ!$A100,0)="","",OFFSET(マスタ非採用削除!E$4,統合マスタ!$A100,0))</f>
        <v>#VALUE!</v>
      </c>
      <c r="S100" s="55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5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5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/>
    </row>
    <row r="101" spans="1:27">
      <c r="A101" s="42">
        <f>元データ!P98</f>
        <v>53</v>
      </c>
      <c r="B101" s="27">
        <f t="shared" si="1"/>
        <v>97</v>
      </c>
      <c r="C101" s="27" t="str">
        <f>DBCS(元データ!A98)</f>
        <v>アレビアチン注２５０ｍｇ</v>
      </c>
      <c r="D101" s="55" t="str">
        <f>元データ!B98</f>
        <v/>
      </c>
      <c r="E101" s="27" t="str">
        <f>元データ!C98</f>
        <v/>
      </c>
      <c r="F101" s="27" t="str">
        <f>元データ!D98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5" t="str">
        <f ca="1">IF(OFFSET(マスタ非採用削除!A$4,統合マスタ!$A101,0)="","",OFFSET(マスタ非採用削除!A$4,統合マスタ!$A101,0))</f>
        <v>ｱﾚﾋ002</v>
      </c>
      <c r="O101" s="55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5" t="str">
        <f ca="1">IF(OFFSET(マスタ非採用削除!D$4,統合マスタ!$A101,0)="","",OFFSET(マスタ非採用削除!D$4,統合マスタ!$A101,0))</f>
        <v>ｱﾚﾋﾞｱ</v>
      </c>
      <c r="R101" s="27">
        <f ca="1">IF(OFFSET(マスタ非採用削除!E$4,統合マスタ!$A101,0)="","",OFFSET(マスタ非採用削除!E$4,統合マスタ!$A101,0))</f>
        <v>1</v>
      </c>
      <c r="S101" s="55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5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5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/>
    </row>
    <row r="102" spans="1:27">
      <c r="A102" s="42">
        <f>元データ!P99</f>
        <v>54</v>
      </c>
      <c r="B102" s="27">
        <f t="shared" si="1"/>
        <v>98</v>
      </c>
      <c r="C102" s="27" t="str">
        <f>DBCS(元データ!A99)</f>
        <v>アロプリノール錠１００ｍｇ「サワイ」</v>
      </c>
      <c r="D102" s="55" t="str">
        <f>元データ!B99</f>
        <v/>
      </c>
      <c r="E102" s="27" t="str">
        <f>元データ!C99</f>
        <v>PTP</v>
      </c>
      <c r="F102" s="27" t="str">
        <f>元データ!D99</f>
        <v>100T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5" t="str">
        <f ca="1">IF(OFFSET(マスタ非採用削除!A$4,統合マスタ!$A102,0)="","",OFFSET(マスタ非採用削除!A$4,統合マスタ!$A102,0))</f>
        <v>ｱﾛﾌ001</v>
      </c>
      <c r="O102" s="55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5" t="str">
        <f ca="1">IF(OFFSET(マスタ非採用削除!D$4,統合マスタ!$A102,0)="","",OFFSET(マスタ非採用削除!D$4,統合マスタ!$A102,0))</f>
        <v>ｱﾛﾌﾟ</v>
      </c>
      <c r="R102" s="27">
        <f ca="1">IF(OFFSET(マスタ非採用削除!E$4,統合マスタ!$A102,0)="","",OFFSET(マスタ非採用削除!E$4,統合マスタ!$A102,0))</f>
        <v>1</v>
      </c>
      <c r="S102" s="55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5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5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5</v>
      </c>
      <c r="AA102" s="27"/>
    </row>
    <row r="103" spans="1:27">
      <c r="A103" s="42">
        <f>元データ!P100</f>
        <v>54</v>
      </c>
      <c r="B103" s="27">
        <f t="shared" si="1"/>
        <v>99</v>
      </c>
      <c r="C103" s="27" t="str">
        <f>DBCS(元データ!A100)</f>
        <v>アロプリノール錠１００ｍｇ「サワイ」</v>
      </c>
      <c r="D103" s="55" t="str">
        <f>元データ!B100</f>
        <v>アルフレッサ</v>
      </c>
      <c r="E103" s="27" t="str">
        <f>元データ!C100</f>
        <v>バラ</v>
      </c>
      <c r="F103" s="27" t="str">
        <f>元データ!D100</f>
        <v>1000T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5" t="str">
        <f ca="1">IF(OFFSET(マスタ非採用削除!A$4,統合マスタ!$A103,0)="","",OFFSET(マスタ非採用削除!A$4,統合マスタ!$A103,0))</f>
        <v>ｱﾛﾌ001</v>
      </c>
      <c r="O103" s="55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5" t="str">
        <f ca="1">IF(OFFSET(マスタ非採用削除!D$4,統合マスタ!$A103,0)="","",OFFSET(マスタ非採用削除!D$4,統合マスタ!$A103,0))</f>
        <v>ｱﾛﾌﾟ</v>
      </c>
      <c r="R103" s="27">
        <f ca="1">IF(OFFSET(マスタ非採用削除!E$4,統合マスタ!$A103,0)="","",OFFSET(マスタ非採用削除!E$4,統合マスタ!$A103,0))</f>
        <v>1</v>
      </c>
      <c r="S103" s="55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5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5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5</v>
      </c>
      <c r="AA103" s="27"/>
    </row>
    <row r="104" spans="1:27">
      <c r="A104" s="42">
        <f>元データ!P101</f>
        <v>0</v>
      </c>
      <c r="B104" s="27">
        <f t="shared" si="1"/>
        <v>100</v>
      </c>
      <c r="C104" s="27" t="str">
        <f>DBCS(元データ!A101)</f>
        <v>アンテベート軟膏０．０５％</v>
      </c>
      <c r="D104" s="55" t="str">
        <f>元データ!B101</f>
        <v/>
      </c>
      <c r="E104" s="27" t="str">
        <f>元データ!C101</f>
        <v/>
      </c>
      <c r="F104" s="27" t="str">
        <f>元データ!D101</f>
        <v>10ｇｘ10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5" t="str">
        <f ca="1">IF(OFFSET(マスタ非採用削除!A$4,統合マスタ!$A104,0)="","",OFFSET(マスタ非採用削除!A$4,統合マスタ!$A104,0))</f>
        <v>コード(区分値)</v>
      </c>
      <c r="O104" s="55" t="str">
        <f ca="1">IF(OFFSET(マスタ非採用削除!B$4,統合マスタ!$A104,0)="","",OFFSET(マスタ非採用削除!B$4,統合マスタ!$A104,0))</f>
        <v>コード</v>
      </c>
      <c r="P104" s="27" t="str">
        <f ca="1">IF(OFFSET(マスタ非採用削除!C$4,統合マスタ!$A104,0)="","",OFFSET(マスタ非採用削除!C$4,統合マスタ!$A104,0))</f>
        <v>名称</v>
      </c>
      <c r="Q104" s="55" t="str">
        <f ca="1">IF(OFFSET(マスタ非採用削除!D$4,統合マスタ!$A104,0)="","",OFFSET(マスタ非採用削除!D$4,統合マスタ!$A104,0))</f>
        <v>ホストコード</v>
      </c>
      <c r="R104" s="27" t="str">
        <f ca="1">IF(OFFSET(マスタ非採用削除!E$4,統合マスタ!$A104,0)="","",OFFSET(マスタ非採用削除!E$4,統合マスタ!$A104,0))</f>
        <v>採用区分（区分値）(区分値)</v>
      </c>
      <c r="S104" s="55" t="str">
        <f ca="1">IF(OFFSET(マスタ非採用削除!F$4,統合マスタ!$A104,0)="","",OFFSET(マスタ非採用削除!F$4,統合マスタ!$A104,0))</f>
        <v>採用区分（区分値）</v>
      </c>
      <c r="T104" s="27" t="str">
        <f ca="1">IF(OFFSET(マスタ非採用削除!G$4,統合マスタ!$A104,0)="","",OFFSET(マスタ非採用削除!G$4,統合マスタ!$A104,0))</f>
        <v>薬価</v>
      </c>
      <c r="U104" s="55" t="str">
        <f ca="1">IF(OFFSET(マスタ非採用削除!H$4,統合マスタ!$A104,0)="","",OFFSET(マスタ非採用削除!H$4,統合マスタ!$A104,0))</f>
        <v>カナ名称</v>
      </c>
      <c r="V104" s="27" t="str">
        <f ca="1">IF(OFFSET(マスタ非採用削除!I$4,統合マスタ!$A104,0)="","",OFFSET(マスタ非採用削除!I$4,統合マスタ!$A104,0))</f>
        <v>剤形(区分値)</v>
      </c>
      <c r="W104" s="27" t="str">
        <f ca="1">IF(OFFSET(マスタ非採用削除!J$4,統合マスタ!$A104,0)="","",OFFSET(マスタ非採用削除!J$4,統合マスタ!$A104,0))</f>
        <v>剤形</v>
      </c>
      <c r="X104" s="27" t="str">
        <f ca="1">IF(OFFSET(マスタ非採用削除!K$4,統合マスタ!$A104,0)="","",OFFSET(マスタ非採用削除!K$4,統合マスタ!$A104,0))</f>
        <v>毒劇薬（区分値）(区分値)</v>
      </c>
      <c r="Y104" s="55" t="str">
        <f ca="1">IF(OFFSET(マスタ非採用削除!L$4,統合マスタ!$A104,0)="","",OFFSET(マスタ非採用削除!L$4,統合マスタ!$A104,0))</f>
        <v>毒劇薬（区分値）</v>
      </c>
      <c r="Z104" s="27" t="str">
        <f ca="1">IF(OFFSET(マスタ非採用削除!M$4,統合マスタ!$A104,0)="","",OFFSET(マスタ非採用削除!M$4,統合マスタ!$A104,0))</f>
        <v>棚</v>
      </c>
      <c r="AA104" s="27"/>
    </row>
    <row r="105" spans="1:27">
      <c r="A105" s="42">
        <f>元データ!P102</f>
        <v>55</v>
      </c>
      <c r="B105" s="27">
        <f t="shared" si="1"/>
        <v>101</v>
      </c>
      <c r="C105" s="27" t="str">
        <f>DBCS(元データ!A102)</f>
        <v>イコサペント酸エチルカプセル　３００ｍｇ「日医工」</v>
      </c>
      <c r="D105" s="55" t="str">
        <f>元データ!B102</f>
        <v>メディセオ</v>
      </c>
      <c r="E105" s="27" t="str">
        <f>元データ!C102</f>
        <v>PTP</v>
      </c>
      <c r="F105" s="27" t="str">
        <f>元データ!D102</f>
        <v>1000P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5" t="str">
        <f ca="1">IF(OFFSET(マスタ非採用削除!A$4,統合マスタ!$A105,0)="","",OFFSET(マスタ非採用削除!A$4,統合マスタ!$A105,0))</f>
        <v>ｲｺｻ001</v>
      </c>
      <c r="O105" s="55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5" t="str">
        <f ca="1">IF(OFFSET(マスタ非採用削除!D$4,統合マスタ!$A105,0)="","",OFFSET(マスタ非採用削除!D$4,統合マスタ!$A105,0))</f>
        <v>ｲｺｻ</v>
      </c>
      <c r="R105" s="27">
        <f ca="1">IF(OFFSET(マスタ非採用削除!E$4,統合マスタ!$A105,0)="","",OFFSET(マスタ非採用削除!E$4,統合マスタ!$A105,0))</f>
        <v>1</v>
      </c>
      <c r="S105" s="55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5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5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/>
    </row>
    <row r="106" spans="1:27">
      <c r="A106" s="42">
        <f>元データ!P103</f>
        <v>0</v>
      </c>
      <c r="B106" s="27">
        <f t="shared" si="1"/>
        <v>102</v>
      </c>
      <c r="C106" s="27" t="str">
        <f>DBCS(元データ!A103)</f>
        <v>イソプロパノール消毒液７０％　「ヨシダ」</v>
      </c>
      <c r="D106" s="55" t="str">
        <f>元データ!B103</f>
        <v>アルフレッサ</v>
      </c>
      <c r="E106" s="27" t="str">
        <f>元データ!C103</f>
        <v/>
      </c>
      <c r="F106" s="27" t="str">
        <f>元データ!D103</f>
        <v>500ｍｌ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5" t="str">
        <f ca="1">IF(OFFSET(マスタ非採用削除!A$4,統合マスタ!$A106,0)="","",OFFSET(マスタ非採用削除!A$4,統合マスタ!$A106,0))</f>
        <v>コード(区分値)</v>
      </c>
      <c r="O106" s="55" t="str">
        <f ca="1">IF(OFFSET(マスタ非採用削除!B$4,統合マスタ!$A106,0)="","",OFFSET(マスタ非採用削除!B$4,統合マスタ!$A106,0))</f>
        <v>コード</v>
      </c>
      <c r="P106" s="27" t="str">
        <f ca="1">IF(OFFSET(マスタ非採用削除!C$4,統合マスタ!$A106,0)="","",OFFSET(マスタ非採用削除!C$4,統合マスタ!$A106,0))</f>
        <v>名称</v>
      </c>
      <c r="Q106" s="55" t="str">
        <f ca="1">IF(OFFSET(マスタ非採用削除!D$4,統合マスタ!$A106,0)="","",OFFSET(マスタ非採用削除!D$4,統合マスタ!$A106,0))</f>
        <v>ホストコード</v>
      </c>
      <c r="R106" s="27" t="str">
        <f ca="1">IF(OFFSET(マスタ非採用削除!E$4,統合マスタ!$A106,0)="","",OFFSET(マスタ非採用削除!E$4,統合マスタ!$A106,0))</f>
        <v>採用区分（区分値）(区分値)</v>
      </c>
      <c r="S106" s="55" t="str">
        <f ca="1">IF(OFFSET(マスタ非採用削除!F$4,統合マスタ!$A106,0)="","",OFFSET(マスタ非採用削除!F$4,統合マスタ!$A106,0))</f>
        <v>採用区分（区分値）</v>
      </c>
      <c r="T106" s="27" t="str">
        <f ca="1">IF(OFFSET(マスタ非採用削除!G$4,統合マスタ!$A106,0)="","",OFFSET(マスタ非採用削除!G$4,統合マスタ!$A106,0))</f>
        <v>薬価</v>
      </c>
      <c r="U106" s="55" t="str">
        <f ca="1">IF(OFFSET(マスタ非採用削除!H$4,統合マスタ!$A106,0)="","",OFFSET(マスタ非採用削除!H$4,統合マスタ!$A106,0))</f>
        <v>カナ名称</v>
      </c>
      <c r="V106" s="27" t="str">
        <f ca="1">IF(OFFSET(マスタ非採用削除!I$4,統合マスタ!$A106,0)="","",OFFSET(マスタ非採用削除!I$4,統合マスタ!$A106,0))</f>
        <v>剤形(区分値)</v>
      </c>
      <c r="W106" s="27" t="str">
        <f ca="1">IF(OFFSET(マスタ非採用削除!J$4,統合マスタ!$A106,0)="","",OFFSET(マスタ非採用削除!J$4,統合マスタ!$A106,0))</f>
        <v>剤形</v>
      </c>
      <c r="X106" s="27" t="str">
        <f ca="1">IF(OFFSET(マスタ非採用削除!K$4,統合マスタ!$A106,0)="","",OFFSET(マスタ非採用削除!K$4,統合マスタ!$A106,0))</f>
        <v>毒劇薬（区分値）(区分値)</v>
      </c>
      <c r="Y106" s="55" t="str">
        <f ca="1">IF(OFFSET(マスタ非採用削除!L$4,統合マスタ!$A106,0)="","",OFFSET(マスタ非採用削除!L$4,統合マスタ!$A106,0))</f>
        <v>毒劇薬（区分値）</v>
      </c>
      <c r="Z106" s="27" t="str">
        <f ca="1">IF(OFFSET(マスタ非採用削除!M$4,統合マスタ!$A106,0)="","",OFFSET(マスタ非採用削除!M$4,統合マスタ!$A106,0))</f>
        <v>棚</v>
      </c>
      <c r="AA106" s="27"/>
    </row>
    <row r="107" spans="1:27">
      <c r="A107" s="42">
        <f>元データ!P104</f>
        <v>57</v>
      </c>
      <c r="B107" s="27">
        <f t="shared" si="1"/>
        <v>103</v>
      </c>
      <c r="C107" s="27" t="str">
        <f>DBCS(元データ!A104)</f>
        <v>イノソリッド配合経腸用半固形剤</v>
      </c>
      <c r="D107" s="55" t="str">
        <f>元データ!B104</f>
        <v>スズケン</v>
      </c>
      <c r="E107" s="27" t="str">
        <f>元データ!C104</f>
        <v/>
      </c>
      <c r="F107" s="27" t="str">
        <f>元データ!D104</f>
        <v>300ｇｘ18バッグ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5" t="str">
        <f ca="1">IF(OFFSET(マスタ非採用削除!A$4,統合マスタ!$A107,0)="","",OFFSET(マスタ非採用削除!A$4,統合マスタ!$A107,0))</f>
        <v>ｲﾉｿ001</v>
      </c>
      <c r="O107" s="55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5" t="str">
        <f ca="1">IF(OFFSET(マスタ非採用削除!D$4,統合マスタ!$A107,0)="","",OFFSET(マスタ非採用削除!D$4,統合マスタ!$A107,0))</f>
        <v/>
      </c>
      <c r="R107" s="27">
        <f ca="1">IF(OFFSET(マスタ非採用削除!E$4,統合マスタ!$A107,0)="","",OFFSET(マスタ非採用削除!E$4,統合マスタ!$A107,0))</f>
        <v>2</v>
      </c>
      <c r="S107" s="55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5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5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/>
    </row>
    <row r="108" spans="1:27">
      <c r="A108" s="42" t="str">
        <f>元データ!P105</f>
        <v>非採用</v>
      </c>
      <c r="B108" s="27">
        <f t="shared" si="1"/>
        <v>104</v>
      </c>
      <c r="C108" s="27" t="str">
        <f>DBCS(元データ!A105)</f>
        <v>イノラス配合経腸用液（コーヒー）</v>
      </c>
      <c r="D108" s="55" t="str">
        <f>元データ!B105</f>
        <v/>
      </c>
      <c r="E108" s="27" t="str">
        <f>元データ!C105</f>
        <v/>
      </c>
      <c r="F108" s="27" t="str">
        <f>元データ!D105</f>
        <v>187.5ｍｌｘ28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5" t="e">
        <f ca="1">IF(OFFSET(マスタ非採用削除!A$4,統合マスタ!$A108,0)="","",OFFSET(マスタ非採用削除!A$4,統合マスタ!$A108,0))</f>
        <v>#VALUE!</v>
      </c>
      <c r="O108" s="55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5" t="e">
        <f ca="1">IF(OFFSET(マスタ非採用削除!D$4,統合マスタ!$A108,0)="","",OFFSET(マスタ非採用削除!D$4,統合マスタ!$A108,0))</f>
        <v>#VALUE!</v>
      </c>
      <c r="R108" s="27" t="e">
        <f ca="1">IF(OFFSET(マスタ非採用削除!E$4,統合マスタ!$A108,0)="","",OFFSET(マスタ非採用削除!E$4,統合マスタ!$A108,0))</f>
        <v>#VALUE!</v>
      </c>
      <c r="S108" s="55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5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5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">
        <v>4065</v>
      </c>
    </row>
    <row r="109" spans="1:27">
      <c r="A109" s="42">
        <f>元データ!P106</f>
        <v>58</v>
      </c>
      <c r="B109" s="27">
        <f t="shared" si="1"/>
        <v>105</v>
      </c>
      <c r="C109" s="27" t="str">
        <f>DBCS(元データ!A106)</f>
        <v>イバンドロン酸静注１ｍｇシリンジ「トーワ」</v>
      </c>
      <c r="D109" s="55" t="str">
        <f>元データ!B106</f>
        <v>東和薬品</v>
      </c>
      <c r="E109" s="27" t="str">
        <f>元データ!C106</f>
        <v/>
      </c>
      <c r="F109" s="27" t="str">
        <f>元データ!D106</f>
        <v>10シリンジ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5" t="str">
        <f ca="1">IF(OFFSET(マスタ非採用削除!A$4,統合マスタ!$A109,0)="","",OFFSET(マスタ非採用削除!A$4,統合マスタ!$A109,0))</f>
        <v>ｲﾊﾝ001</v>
      </c>
      <c r="O109" s="55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5" t="str">
        <f ca="1">IF(OFFSET(マスタ非採用削除!D$4,統合マスタ!$A109,0)="","",OFFSET(マスタ非採用削除!D$4,統合マスタ!$A109,0))</f>
        <v>ｲﾊﾞﾝ</v>
      </c>
      <c r="R109" s="27">
        <f ca="1">IF(OFFSET(マスタ非採用削除!E$4,統合マスタ!$A109,0)="","",OFFSET(マスタ非採用削除!E$4,統合マスタ!$A109,0))</f>
        <v>1</v>
      </c>
      <c r="S109" s="55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5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5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/>
    </row>
    <row r="110" spans="1:27">
      <c r="A110" s="42">
        <f>元データ!P107</f>
        <v>58</v>
      </c>
      <c r="B110" s="27">
        <f t="shared" si="1"/>
        <v>106</v>
      </c>
      <c r="C110" s="27" t="str">
        <f>DBCS(元データ!A107)</f>
        <v>イバンドロン酸静注１ｍｇシリンジ「トーワ」</v>
      </c>
      <c r="D110" s="55" t="str">
        <f>元データ!B107</f>
        <v/>
      </c>
      <c r="E110" s="27" t="str">
        <f>元データ!C107</f>
        <v/>
      </c>
      <c r="F110" s="27" t="str">
        <f>元データ!D107</f>
        <v>1シリンジ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5" t="str">
        <f ca="1">IF(OFFSET(マスタ非採用削除!A$4,統合マスタ!$A110,0)="","",OFFSET(マスタ非採用削除!A$4,統合マスタ!$A110,0))</f>
        <v>ｲﾊﾝ001</v>
      </c>
      <c r="O110" s="55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5" t="str">
        <f ca="1">IF(OFFSET(マスタ非採用削除!D$4,統合マスタ!$A110,0)="","",OFFSET(マスタ非採用削除!D$4,統合マスタ!$A110,0))</f>
        <v>ｲﾊﾞﾝ</v>
      </c>
      <c r="R110" s="27">
        <f ca="1">IF(OFFSET(マスタ非採用削除!E$4,統合マスタ!$A110,0)="","",OFFSET(マスタ非採用削除!E$4,統合マスタ!$A110,0))</f>
        <v>1</v>
      </c>
      <c r="S110" s="55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5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5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/>
    </row>
    <row r="111" spans="1:27">
      <c r="A111" s="42">
        <f>元データ!P108</f>
        <v>60</v>
      </c>
      <c r="B111" s="27">
        <f t="shared" si="1"/>
        <v>107</v>
      </c>
      <c r="C111" s="27" t="str">
        <f>DBCS(元データ!A108)</f>
        <v>イフェクサーＳＲカプセル３７．５ｍｇ</v>
      </c>
      <c r="D111" s="55" t="str">
        <f>元データ!B108</f>
        <v>アルフレッサ</v>
      </c>
      <c r="E111" s="27" t="str">
        <f>元データ!C108</f>
        <v>PTP</v>
      </c>
      <c r="F111" s="27" t="str">
        <f>元データ!D108</f>
        <v>100Ｔ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5" t="str">
        <f ca="1">IF(OFFSET(マスタ非採用削除!A$4,統合マスタ!$A111,0)="","",OFFSET(マスタ非採用削除!A$4,統合マスタ!$A111,0))</f>
        <v>ｲﾌｴ001</v>
      </c>
      <c r="O111" s="55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5" t="str">
        <f ca="1">IF(OFFSET(マスタ非採用削除!D$4,統合マスタ!$A111,0)="","",OFFSET(マスタ非採用削除!D$4,統合マスタ!$A111,0))</f>
        <v>ｲﾌｪｸ</v>
      </c>
      <c r="R111" s="27">
        <f ca="1">IF(OFFSET(マスタ非採用削除!E$4,統合マスタ!$A111,0)="","",OFFSET(マスタ非採用削除!E$4,統合マスタ!$A111,0))</f>
        <v>1</v>
      </c>
      <c r="S111" s="55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5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5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/>
    </row>
    <row r="112" spans="1:27">
      <c r="A112" s="42">
        <f>元データ!P109</f>
        <v>61</v>
      </c>
      <c r="B112" s="27">
        <f t="shared" si="1"/>
        <v>108</v>
      </c>
      <c r="C112" s="27" t="str">
        <f>DBCS(元データ!A109)</f>
        <v>イフェクサーＳＲカプセル７５ｍｇ</v>
      </c>
      <c r="D112" s="55" t="str">
        <f>元データ!B109</f>
        <v>アルフレッサ</v>
      </c>
      <c r="E112" s="27" t="str">
        <f>元データ!C109</f>
        <v>PTP</v>
      </c>
      <c r="F112" s="27" t="str">
        <f>元データ!D109</f>
        <v>100T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5" t="str">
        <f ca="1">IF(OFFSET(マスタ非採用削除!A$4,統合マスタ!$A112,0)="","",OFFSET(マスタ非採用削除!A$4,統合マスタ!$A112,0))</f>
        <v>ｲﾌｴ002</v>
      </c>
      <c r="O112" s="55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5" t="str">
        <f ca="1">IF(OFFSET(マスタ非採用削除!D$4,統合マスタ!$A112,0)="","",OFFSET(マスタ非採用削除!D$4,統合マスタ!$A112,0))</f>
        <v>ｲﾌｪｸ1</v>
      </c>
      <c r="R112" s="27">
        <f ca="1">IF(OFFSET(マスタ非採用削除!E$4,統合マスタ!$A112,0)="","",OFFSET(マスタ非採用削除!E$4,統合マスタ!$A112,0))</f>
        <v>1</v>
      </c>
      <c r="S112" s="55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5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5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/>
    </row>
    <row r="113" spans="1:27">
      <c r="A113" s="42">
        <f>元データ!P110</f>
        <v>62</v>
      </c>
      <c r="B113" s="27">
        <f t="shared" si="1"/>
        <v>109</v>
      </c>
      <c r="C113" s="27" t="str">
        <f>DBCS(元データ!A110)</f>
        <v>イベニティ皮下注１０５ｍｇシリンジ</v>
      </c>
      <c r="D113" s="55" t="str">
        <f>元データ!B110</f>
        <v>アルフレッサ</v>
      </c>
      <c r="E113" s="27" t="str">
        <f>元データ!C110</f>
        <v/>
      </c>
      <c r="F113" s="27" t="str">
        <f>元データ!D110</f>
        <v>2筒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5" t="str">
        <f ca="1">IF(OFFSET(マスタ非採用削除!A$4,統合マスタ!$A113,0)="","",OFFSET(マスタ非採用削除!A$4,統合マスタ!$A113,0))</f>
        <v>ｲﾍﾆ001</v>
      </c>
      <c r="O113" s="55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5" t="str">
        <f ca="1">IF(OFFSET(マスタ非採用削除!D$4,統合マスタ!$A113,0)="","",OFFSET(マスタ非採用削除!D$4,統合マスタ!$A113,0))</f>
        <v>ｲﾍﾞﾆ</v>
      </c>
      <c r="R113" s="27">
        <f ca="1">IF(OFFSET(マスタ非採用削除!E$4,統合マスタ!$A113,0)="","",OFFSET(マスタ非採用削除!E$4,統合マスタ!$A113,0))</f>
        <v>1</v>
      </c>
      <c r="S113" s="55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5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5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/>
    </row>
    <row r="114" spans="1:27">
      <c r="A114" s="42">
        <f>元データ!P111</f>
        <v>63</v>
      </c>
      <c r="B114" s="27">
        <f t="shared" si="1"/>
        <v>110</v>
      </c>
      <c r="C114" s="27" t="str">
        <f>DBCS(元データ!A111)</f>
        <v>イリボー錠５μｇ</v>
      </c>
      <c r="D114" s="55" t="str">
        <f>元データ!B111</f>
        <v/>
      </c>
      <c r="E114" s="27" t="str">
        <f>元データ!C111</f>
        <v>PTP</v>
      </c>
      <c r="F114" s="27" t="str">
        <f>元データ!D111</f>
        <v>100T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5" t="str">
        <f ca="1">IF(OFFSET(マスタ非採用削除!A$4,統合マスタ!$A114,0)="","",OFFSET(マスタ非採用削除!A$4,統合マスタ!$A114,0))</f>
        <v>ｲﾘﾎ001</v>
      </c>
      <c r="O114" s="55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5" t="str">
        <f ca="1">IF(OFFSET(マスタ非採用削除!D$4,統合マスタ!$A114,0)="","",OFFSET(マスタ非採用削除!D$4,統合マスタ!$A114,0))</f>
        <v>ｲﾘﾎﾞ</v>
      </c>
      <c r="R114" s="27">
        <f ca="1">IF(OFFSET(マスタ非採用削除!E$4,統合マスタ!$A114,0)="","",OFFSET(マスタ非採用削除!E$4,統合マスタ!$A114,0))</f>
        <v>2</v>
      </c>
      <c r="S114" s="55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5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5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/>
    </row>
    <row r="115" spans="1:27">
      <c r="A115" s="42">
        <f>元データ!P112</f>
        <v>64</v>
      </c>
      <c r="B115" s="27">
        <f t="shared" si="1"/>
        <v>111</v>
      </c>
      <c r="C115" s="27" t="str">
        <f>DBCS(元データ!A112)</f>
        <v>イルベサルタン錠５０ｍｇ「サワイ」</v>
      </c>
      <c r="D115" s="55" t="str">
        <f>元データ!B112</f>
        <v>スズケン</v>
      </c>
      <c r="E115" s="27" t="str">
        <f>元データ!C112</f>
        <v>PTP</v>
      </c>
      <c r="F115" s="27" t="str">
        <f>元データ!D112</f>
        <v>100T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5" t="str">
        <f ca="1">IF(OFFSET(マスタ非採用削除!A$4,統合マスタ!$A115,0)="","",OFFSET(マスタ非採用削除!A$4,統合マスタ!$A115,0))</f>
        <v>ｲﾙﾍ002</v>
      </c>
      <c r="O115" s="55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5" t="str">
        <f ca="1">IF(OFFSET(マスタ非採用削除!D$4,統合マスタ!$A115,0)="","",OFFSET(マスタ非採用削除!D$4,統合マスタ!$A115,0))</f>
        <v>ｲﾙﾍﾞ2</v>
      </c>
      <c r="R115" s="27">
        <f ca="1">IF(OFFSET(マスタ非採用削除!E$4,統合マスタ!$A115,0)="","",OFFSET(マスタ非採用削除!E$4,統合マスタ!$A115,0))</f>
        <v>1</v>
      </c>
      <c r="S115" s="55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5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5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5</v>
      </c>
      <c r="AA115" s="27"/>
    </row>
    <row r="116" spans="1:27">
      <c r="A116" s="42">
        <f>元データ!P113</f>
        <v>64</v>
      </c>
      <c r="B116" s="27">
        <f t="shared" si="1"/>
        <v>112</v>
      </c>
      <c r="C116" s="27" t="str">
        <f>DBCS(元データ!A113)</f>
        <v>イルベサルタン錠５０ｍｇ「サワイ」</v>
      </c>
      <c r="D116" s="55" t="str">
        <f>元データ!B113</f>
        <v>スズケン</v>
      </c>
      <c r="E116" s="27" t="str">
        <f>元データ!C113</f>
        <v>バラ</v>
      </c>
      <c r="F116" s="27" t="str">
        <f>元データ!D113</f>
        <v>200T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5" t="str">
        <f ca="1">IF(OFFSET(マスタ非採用削除!A$4,統合マスタ!$A116,0)="","",OFFSET(マスタ非採用削除!A$4,統合マスタ!$A116,0))</f>
        <v>ｲﾙﾍ002</v>
      </c>
      <c r="O116" s="55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5" t="str">
        <f ca="1">IF(OFFSET(マスタ非採用削除!D$4,統合マスタ!$A116,0)="","",OFFSET(マスタ非採用削除!D$4,統合マスタ!$A116,0))</f>
        <v>ｲﾙﾍﾞ2</v>
      </c>
      <c r="R116" s="27">
        <f ca="1">IF(OFFSET(マスタ非採用削除!E$4,統合マスタ!$A116,0)="","",OFFSET(マスタ非採用削除!E$4,統合マスタ!$A116,0))</f>
        <v>1</v>
      </c>
      <c r="S116" s="55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5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5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5</v>
      </c>
      <c r="AA116" s="27"/>
    </row>
    <row r="117" spans="1:27">
      <c r="A117" s="42">
        <f>元データ!P114</f>
        <v>65</v>
      </c>
      <c r="B117" s="27">
        <f t="shared" si="1"/>
        <v>113</v>
      </c>
      <c r="C117" s="27" t="str">
        <f>DBCS(元データ!A114)</f>
        <v>インヴェガ錠３ｍｇ</v>
      </c>
      <c r="D117" s="55" t="str">
        <f>元データ!B114</f>
        <v>メディセオ</v>
      </c>
      <c r="E117" s="27" t="str">
        <f>元データ!C114</f>
        <v>PTP</v>
      </c>
      <c r="F117" s="27" t="str">
        <f>元データ!D114</f>
        <v>100Ｔ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5" t="str">
        <f ca="1">IF(OFFSET(マスタ非採用削除!A$4,統合マスタ!$A117,0)="","",OFFSET(マスタ非採用削除!A$4,統合マスタ!$A117,0))</f>
        <v>ｲﾝｳ001</v>
      </c>
      <c r="O117" s="55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5" t="str">
        <f ca="1">IF(OFFSET(マスタ非採用削除!D$4,統合マスタ!$A117,0)="","",OFFSET(マスタ非採用削除!D$4,統合マスタ!$A117,0))</f>
        <v>ｲﾝｳﾞｪ3</v>
      </c>
      <c r="R117" s="27">
        <f ca="1">IF(OFFSET(マスタ非採用削除!E$4,統合マスタ!$A117,0)="","",OFFSET(マスタ非採用削除!E$4,統合マスタ!$A117,0))</f>
        <v>1</v>
      </c>
      <c r="S117" s="55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5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5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6</v>
      </c>
      <c r="AA117" s="27"/>
    </row>
    <row r="118" spans="1:27">
      <c r="A118" s="42">
        <f>元データ!P115</f>
        <v>66</v>
      </c>
      <c r="B118" s="27">
        <f t="shared" si="1"/>
        <v>114</v>
      </c>
      <c r="C118" s="27" t="str">
        <f>DBCS(元データ!A115)</f>
        <v>インヴェガ錠６ｍｇ</v>
      </c>
      <c r="D118" s="55" t="str">
        <f>元データ!B115</f>
        <v>メディセオ</v>
      </c>
      <c r="E118" s="27" t="str">
        <f>元データ!C115</f>
        <v>PTP</v>
      </c>
      <c r="F118" s="27" t="str">
        <f>元データ!D115</f>
        <v>100T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5" t="str">
        <f ca="1">IF(OFFSET(マスタ非採用削除!A$4,統合マスタ!$A118,0)="","",OFFSET(マスタ非採用削除!A$4,統合マスタ!$A118,0))</f>
        <v>ｲﾝｳ002</v>
      </c>
      <c r="O118" s="55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5" t="str">
        <f ca="1">IF(OFFSET(マスタ非採用削除!D$4,統合マスタ!$A118,0)="","",OFFSET(マスタ非採用削除!D$4,統合マスタ!$A118,0))</f>
        <v>ｲﾝｳﾞｪ6</v>
      </c>
      <c r="R118" s="27">
        <f ca="1">IF(OFFSET(マスタ非採用削除!E$4,統合マスタ!$A118,0)="","",OFFSET(マスタ非採用削除!E$4,統合マスタ!$A118,0))</f>
        <v>1</v>
      </c>
      <c r="S118" s="55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5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5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6</v>
      </c>
      <c r="AA118" s="27"/>
    </row>
    <row r="119" spans="1:27">
      <c r="A119" s="42">
        <f>元データ!P116</f>
        <v>67</v>
      </c>
      <c r="B119" s="27">
        <f t="shared" si="1"/>
        <v>115</v>
      </c>
      <c r="C119" s="27" t="str">
        <f>DBCS(元データ!A116)</f>
        <v>インチュニブ錠１ｍｇ</v>
      </c>
      <c r="D119" s="55" t="str">
        <f>元データ!B116</f>
        <v>メディセオ</v>
      </c>
      <c r="E119" s="27" t="str">
        <f>元データ!C116</f>
        <v>PTP</v>
      </c>
      <c r="F119" s="27" t="str">
        <f>元データ!D116</f>
        <v>100T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5" t="str">
        <f ca="1">IF(OFFSET(マスタ非採用削除!A$4,統合マスタ!$A119,0)="","",OFFSET(マスタ非採用削除!A$4,統合マスタ!$A119,0))</f>
        <v>ｲﾝﾁ001</v>
      </c>
      <c r="O119" s="55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5" t="str">
        <f ca="1">IF(OFFSET(マスタ非採用削除!D$4,統合マスタ!$A119,0)="","",OFFSET(マスタ非採用削除!D$4,統合マスタ!$A119,0))</f>
        <v>ｲﾝﾁｭ</v>
      </c>
      <c r="R119" s="27">
        <f ca="1">IF(OFFSET(マスタ非採用削除!E$4,統合マスタ!$A119,0)="","",OFFSET(マスタ非採用削除!E$4,統合マスタ!$A119,0))</f>
        <v>2</v>
      </c>
      <c r="S119" s="55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5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5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/>
    </row>
    <row r="120" spans="1:27">
      <c r="A120" s="42">
        <f>元データ!P117</f>
        <v>70</v>
      </c>
      <c r="B120" s="27">
        <f t="shared" si="1"/>
        <v>116</v>
      </c>
      <c r="C120" s="27" t="str">
        <f>DBCS(元データ!A117)</f>
        <v>インテバンクリーム１％　　　　　　　　　</v>
      </c>
      <c r="D120" s="55" t="str">
        <f>元データ!B117</f>
        <v>メディセオ</v>
      </c>
      <c r="E120" s="27" t="str">
        <f>元データ!C117</f>
        <v/>
      </c>
      <c r="F120" s="27" t="str">
        <f>元データ!D117</f>
        <v>25ｇｌｘ10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5" t="str">
        <f ca="1">IF(OFFSET(マスタ非採用削除!A$4,統合マスタ!$A120,0)="","",OFFSET(マスタ非採用削除!A$4,統合マスタ!$A120,0))</f>
        <v>ｲﾝﾃ004</v>
      </c>
      <c r="O120" s="55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5" t="str">
        <f ca="1">IF(OFFSET(マスタ非採用削除!D$4,統合マスタ!$A120,0)="","",OFFSET(マスタ非採用削除!D$4,統合マスタ!$A120,0))</f>
        <v/>
      </c>
      <c r="R120" s="27">
        <f ca="1">IF(OFFSET(マスタ非採用削除!E$4,統合マスタ!$A120,0)="","",OFFSET(マスタ非採用削除!E$4,統合マスタ!$A120,0))</f>
        <v>1</v>
      </c>
      <c r="S120" s="55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5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5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/>
    </row>
    <row r="121" spans="1:27">
      <c r="A121" s="42">
        <f>元データ!P118</f>
        <v>68</v>
      </c>
      <c r="B121" s="27">
        <f t="shared" si="1"/>
        <v>117</v>
      </c>
      <c r="C121" s="27" t="str">
        <f>DBCS(元データ!A118)</f>
        <v>インテバン外用液１％　　　　　　　　　</v>
      </c>
      <c r="D121" s="55" t="str">
        <f>元データ!B118</f>
        <v>メディセオ</v>
      </c>
      <c r="E121" s="27" t="str">
        <f>元データ!C118</f>
        <v/>
      </c>
      <c r="F121" s="27" t="str">
        <f>元データ!D118</f>
        <v>50ｍｌｘ10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5" t="str">
        <f ca="1">IF(OFFSET(マスタ非採用削除!A$4,統合マスタ!$A121,0)="","",OFFSET(マスタ非採用削除!A$4,統合マスタ!$A121,0))</f>
        <v>ｲﾝﾃ002</v>
      </c>
      <c r="O121" s="55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5" t="str">
        <f ca="1">IF(OFFSET(マスタ非採用削除!D$4,統合マスタ!$A121,0)="","",OFFSET(マスタ非採用削除!D$4,統合マスタ!$A121,0))</f>
        <v>ｲﾝﾃﾊﾞﾝ</v>
      </c>
      <c r="R121" s="27">
        <f ca="1">IF(OFFSET(マスタ非採用削除!E$4,統合マスタ!$A121,0)="","",OFFSET(マスタ非採用削除!E$4,統合マスタ!$A121,0))</f>
        <v>1</v>
      </c>
      <c r="S121" s="55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5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5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/>
    </row>
    <row r="122" spans="1:27">
      <c r="A122" s="42">
        <f>元データ!P119</f>
        <v>69</v>
      </c>
      <c r="B122" s="27">
        <f t="shared" si="1"/>
        <v>118</v>
      </c>
      <c r="C122" s="27" t="str">
        <f>DBCS(元データ!A119)</f>
        <v>インデラル錠１０ｍｇ</v>
      </c>
      <c r="D122" s="55" t="str">
        <f>元データ!B119</f>
        <v>アルフレッサ</v>
      </c>
      <c r="E122" s="27" t="str">
        <f>元データ!C119</f>
        <v>PTP</v>
      </c>
      <c r="F122" s="27" t="str">
        <f>元データ!D119</f>
        <v>500T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5" t="str">
        <f ca="1">IF(OFFSET(マスタ非採用削除!A$4,統合マスタ!$A122,0)="","",OFFSET(マスタ非採用削除!A$4,統合マスタ!$A122,0))</f>
        <v>ｲﾝﾃ003</v>
      </c>
      <c r="O122" s="55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5" t="str">
        <f ca="1">IF(OFFSET(マスタ非採用削除!D$4,統合マスタ!$A122,0)="","",OFFSET(マスタ非採用削除!D$4,統合マスタ!$A122,0))</f>
        <v/>
      </c>
      <c r="R122" s="27">
        <f ca="1">IF(OFFSET(マスタ非採用削除!E$4,統合マスタ!$A122,0)="","",OFFSET(マスタ非採用削除!E$4,統合マスタ!$A122,0))</f>
        <v>1</v>
      </c>
      <c r="S122" s="55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5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5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/>
    </row>
    <row r="123" spans="1:27">
      <c r="A123" s="42">
        <f>元データ!P120</f>
        <v>71</v>
      </c>
      <c r="B123" s="27">
        <f t="shared" si="1"/>
        <v>119</v>
      </c>
      <c r="C123" s="27" t="str">
        <f>DBCS(元データ!A120)</f>
        <v>イントラリポス輸液２０％　　　　　　ソフトバッグ　１００ｍｌ</v>
      </c>
      <c r="D123" s="55" t="str">
        <f>元データ!B120</f>
        <v/>
      </c>
      <c r="E123" s="27" t="str">
        <f>元データ!C120</f>
        <v/>
      </c>
      <c r="F123" s="27" t="str">
        <f>元データ!D120</f>
        <v>100ｍｌｘ10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5" t="str">
        <f ca="1">IF(OFFSET(マスタ非採用削除!A$4,統合マスタ!$A123,0)="","",OFFSET(マスタ非採用削除!A$4,統合マスタ!$A123,0))</f>
        <v>ｲﾝﾄ001</v>
      </c>
      <c r="O123" s="55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5" t="str">
        <f ca="1">IF(OFFSET(マスタ非採用削除!D$4,統合マスタ!$A123,0)="","",OFFSET(マスタ非採用削除!D$4,統合マスタ!$A123,0))</f>
        <v>ｲﾝﾄ</v>
      </c>
      <c r="R123" s="27">
        <f ca="1">IF(OFFSET(マスタ非採用削除!E$4,統合マスタ!$A123,0)="","",OFFSET(マスタ非採用削除!E$4,統合マスタ!$A123,0))</f>
        <v>2</v>
      </c>
      <c r="S123" s="55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5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5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/>
    </row>
    <row r="124" spans="1:27">
      <c r="A124" s="42">
        <f>元データ!P121</f>
        <v>0</v>
      </c>
      <c r="B124" s="27">
        <f t="shared" si="1"/>
        <v>120</v>
      </c>
      <c r="C124" s="27" t="str">
        <f>DBCS(元データ!A121)</f>
        <v>ウインタミン細粒１０％　採用中止</v>
      </c>
      <c r="D124" s="55" t="str">
        <f>元データ!B121</f>
        <v/>
      </c>
      <c r="E124" s="27" t="str">
        <f>元データ!C121</f>
        <v>粉</v>
      </c>
      <c r="F124" s="27" t="str">
        <f>元データ!D121</f>
        <v>500ｇ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5" t="str">
        <f ca="1">IF(OFFSET(マスタ非採用削除!A$4,統合マスタ!$A124,0)="","",OFFSET(マスタ非採用削除!A$4,統合マスタ!$A124,0))</f>
        <v>コード(区分値)</v>
      </c>
      <c r="O124" s="55" t="str">
        <f ca="1">IF(OFFSET(マスタ非採用削除!B$4,統合マスタ!$A124,0)="","",OFFSET(マスタ非採用削除!B$4,統合マスタ!$A124,0))</f>
        <v>コード</v>
      </c>
      <c r="P124" s="27" t="str">
        <f ca="1">IF(OFFSET(マスタ非採用削除!C$4,統合マスタ!$A124,0)="","",OFFSET(マスタ非採用削除!C$4,統合マスタ!$A124,0))</f>
        <v>名称</v>
      </c>
      <c r="Q124" s="55" t="str">
        <f ca="1">IF(OFFSET(マスタ非採用削除!D$4,統合マスタ!$A124,0)="","",OFFSET(マスタ非採用削除!D$4,統合マスタ!$A124,0))</f>
        <v>ホストコード</v>
      </c>
      <c r="R124" s="27" t="str">
        <f ca="1">IF(OFFSET(マスタ非採用削除!E$4,統合マスタ!$A124,0)="","",OFFSET(マスタ非採用削除!E$4,統合マスタ!$A124,0))</f>
        <v>採用区分（区分値）(区分値)</v>
      </c>
      <c r="S124" s="55" t="str">
        <f ca="1">IF(OFFSET(マスタ非採用削除!F$4,統合マスタ!$A124,0)="","",OFFSET(マスタ非採用削除!F$4,統合マスタ!$A124,0))</f>
        <v>採用区分（区分値）</v>
      </c>
      <c r="T124" s="27" t="str">
        <f ca="1">IF(OFFSET(マスタ非採用削除!G$4,統合マスタ!$A124,0)="","",OFFSET(マスタ非採用削除!G$4,統合マスタ!$A124,0))</f>
        <v>薬価</v>
      </c>
      <c r="U124" s="55" t="str">
        <f ca="1">IF(OFFSET(マスタ非採用削除!H$4,統合マスタ!$A124,0)="","",OFFSET(マスタ非採用削除!H$4,統合マスタ!$A124,0))</f>
        <v>カナ名称</v>
      </c>
      <c r="V124" s="27" t="str">
        <f ca="1">IF(OFFSET(マスタ非採用削除!I$4,統合マスタ!$A124,0)="","",OFFSET(マスタ非採用削除!I$4,統合マスタ!$A124,0))</f>
        <v>剤形(区分値)</v>
      </c>
      <c r="W124" s="27" t="str">
        <f ca="1">IF(OFFSET(マスタ非採用削除!J$4,統合マスタ!$A124,0)="","",OFFSET(マスタ非採用削除!J$4,統合マスタ!$A124,0))</f>
        <v>剤形</v>
      </c>
      <c r="X124" s="27" t="str">
        <f ca="1">IF(OFFSET(マスタ非採用削除!K$4,統合マスタ!$A124,0)="","",OFFSET(マスタ非採用削除!K$4,統合マスタ!$A124,0))</f>
        <v>毒劇薬（区分値）(区分値)</v>
      </c>
      <c r="Y124" s="55" t="str">
        <f ca="1">IF(OFFSET(マスタ非採用削除!L$4,統合マスタ!$A124,0)="","",OFFSET(マスタ非採用削除!L$4,統合マスタ!$A124,0))</f>
        <v>毒劇薬（区分値）</v>
      </c>
      <c r="Z124" s="27" t="str">
        <f ca="1">IF(OFFSET(マスタ非採用削除!M$4,統合マスタ!$A124,0)="","",OFFSET(マスタ非採用削除!M$4,統合マスタ!$A124,0))</f>
        <v>棚</v>
      </c>
      <c r="AA124" s="27"/>
    </row>
    <row r="125" spans="1:27">
      <c r="A125" s="42">
        <f>元データ!P122</f>
        <v>72</v>
      </c>
      <c r="B125" s="27">
        <f t="shared" si="1"/>
        <v>121</v>
      </c>
      <c r="C125" s="27" t="str">
        <f>DBCS(元データ!A122)</f>
        <v>ウルソデオキシコール酸錠１００ｍｇ「サワイ」</v>
      </c>
      <c r="D125" s="55" t="str">
        <f>元データ!B122</f>
        <v>東邦</v>
      </c>
      <c r="E125" s="27" t="str">
        <f>元データ!C122</f>
        <v>バラ</v>
      </c>
      <c r="F125" s="27" t="str">
        <f>元データ!D122</f>
        <v>1000Ｔ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5" t="str">
        <f ca="1">IF(OFFSET(マスタ非採用削除!A$4,統合マスタ!$A125,0)="","",OFFSET(マスタ非採用削除!A$4,統合マスタ!$A125,0))</f>
        <v>ｳﾙｿ001</v>
      </c>
      <c r="O125" s="55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5" t="str">
        <f ca="1">IF(OFFSET(マスタ非採用削除!D$4,統合マスタ!$A125,0)="","",OFFSET(マスタ非採用削除!D$4,統合マスタ!$A125,0))</f>
        <v>ｳﾙｿ</v>
      </c>
      <c r="R125" s="27">
        <f ca="1">IF(OFFSET(マスタ非採用削除!E$4,統合マスタ!$A125,0)="","",OFFSET(マスタ非採用削除!E$4,統合マスタ!$A125,0))</f>
        <v>1</v>
      </c>
      <c r="S125" s="55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5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5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5</v>
      </c>
      <c r="AA125" s="27"/>
    </row>
    <row r="126" spans="1:27">
      <c r="A126" s="42">
        <f>元データ!P123</f>
        <v>73</v>
      </c>
      <c r="B126" s="27">
        <f t="shared" si="1"/>
        <v>122</v>
      </c>
      <c r="C126" s="27" t="str">
        <f>DBCS(元データ!A123)</f>
        <v>エイゾプト懸濁性点眼液１％</v>
      </c>
      <c r="D126" s="55" t="str">
        <f>元データ!B123</f>
        <v>アルフレッサ</v>
      </c>
      <c r="E126" s="27" t="str">
        <f>元データ!C123</f>
        <v/>
      </c>
      <c r="F126" s="27" t="str">
        <f>元データ!D123</f>
        <v>5ｍｌｘ10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5" t="str">
        <f ca="1">IF(OFFSET(マスタ非採用削除!A$4,統合マスタ!$A126,0)="","",OFFSET(マスタ非採用削除!A$4,統合マスタ!$A126,0))</f>
        <v>ｴｲｿ001</v>
      </c>
      <c r="O126" s="55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5" t="str">
        <f ca="1">IF(OFFSET(マスタ非採用削除!D$4,統合マスタ!$A126,0)="","",OFFSET(マスタ非採用削除!D$4,統合マスタ!$A126,0))</f>
        <v>ｴｲｿﾞ</v>
      </c>
      <c r="R126" s="27">
        <f ca="1">IF(OFFSET(マスタ非採用削除!E$4,統合マスタ!$A126,0)="","",OFFSET(マスタ非採用削除!E$4,統合マスタ!$A126,0))</f>
        <v>2</v>
      </c>
      <c r="S126" s="55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5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5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/>
    </row>
    <row r="127" spans="1:27">
      <c r="A127" s="42">
        <f>元データ!P124</f>
        <v>74</v>
      </c>
      <c r="B127" s="27">
        <f t="shared" si="1"/>
        <v>123</v>
      </c>
      <c r="C127" s="27" t="str">
        <f>DBCS(元データ!A124)</f>
        <v>エスシタロプラムＯＤ錠１０ｍｇ「トーワ」</v>
      </c>
      <c r="D127" s="55" t="str">
        <f>元データ!B124</f>
        <v>東和薬品</v>
      </c>
      <c r="E127" s="27" t="str">
        <f>元データ!C124</f>
        <v>PTP</v>
      </c>
      <c r="F127" s="27" t="str">
        <f>元データ!D124</f>
        <v>100T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5" t="str">
        <f ca="1">IF(OFFSET(マスタ非採用削除!A$4,統合マスタ!$A127,0)="","",OFFSET(マスタ非採用削除!A$4,統合マスタ!$A127,0))</f>
        <v>ｴｽｼ001</v>
      </c>
      <c r="O127" s="55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5" t="str">
        <f ca="1">IF(OFFSET(マスタ非採用削除!D$4,統合マスタ!$A127,0)="","",OFFSET(マスタ非採用削除!D$4,統合マスタ!$A127,0))</f>
        <v>ｴｽｼ</v>
      </c>
      <c r="R127" s="27">
        <f ca="1">IF(OFFSET(マスタ非採用削除!E$4,統合マスタ!$A127,0)="","",OFFSET(マスタ非採用削除!E$4,統合マスタ!$A127,0))</f>
        <v>1</v>
      </c>
      <c r="S127" s="55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5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5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6</v>
      </c>
      <c r="AA127" s="27"/>
    </row>
    <row r="128" spans="1:27">
      <c r="A128" s="42">
        <f>元データ!P125</f>
        <v>74</v>
      </c>
      <c r="B128" s="27">
        <f t="shared" si="1"/>
        <v>124</v>
      </c>
      <c r="C128" s="27" t="str">
        <f>DBCS(元データ!A125)</f>
        <v>エスシタロプラムＯＤ錠１０ｍｇ「トーワ」</v>
      </c>
      <c r="D128" s="55" t="str">
        <f>元データ!B125</f>
        <v>東和薬品</v>
      </c>
      <c r="E128" s="27" t="str">
        <f>元データ!C125</f>
        <v>バラ</v>
      </c>
      <c r="F128" s="27" t="str">
        <f>元データ!D125</f>
        <v>300T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5" t="str">
        <f ca="1">IF(OFFSET(マスタ非採用削除!A$4,統合マスタ!$A128,0)="","",OFFSET(マスタ非採用削除!A$4,統合マスタ!$A128,0))</f>
        <v>ｴｽｼ001</v>
      </c>
      <c r="O128" s="55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5" t="str">
        <f ca="1">IF(OFFSET(マスタ非採用削除!D$4,統合マスタ!$A128,0)="","",OFFSET(マスタ非採用削除!D$4,統合マスタ!$A128,0))</f>
        <v>ｴｽｼ</v>
      </c>
      <c r="R128" s="27">
        <f ca="1">IF(OFFSET(マスタ非採用削除!E$4,統合マスタ!$A128,0)="","",OFFSET(マスタ非採用削除!E$4,統合マスタ!$A128,0))</f>
        <v>1</v>
      </c>
      <c r="S128" s="55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5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5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6</v>
      </c>
      <c r="AA128" s="27"/>
    </row>
    <row r="129" spans="1:27">
      <c r="A129" s="42">
        <f>元データ!P126</f>
        <v>75</v>
      </c>
      <c r="B129" s="27">
        <f t="shared" si="1"/>
        <v>125</v>
      </c>
      <c r="C129" s="27" t="str">
        <f>DBCS(元データ!A126)</f>
        <v>エスゾピクロン錠１ｍｇ「トーワ」</v>
      </c>
      <c r="D129" s="55" t="str">
        <f>元データ!B126</f>
        <v>東和薬品</v>
      </c>
      <c r="E129" s="27" t="str">
        <f>元データ!C126</f>
        <v>ＰＴＰ</v>
      </c>
      <c r="F129" s="27" t="str">
        <f>元データ!D126</f>
        <v>100T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5" t="str">
        <f ca="1">IF(OFFSET(マスタ非採用削除!A$4,統合マスタ!$A129,0)="","",OFFSET(マスタ非採用削除!A$4,統合マスタ!$A129,0))</f>
        <v>ｴｽｿ001</v>
      </c>
      <c r="O129" s="55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5" t="str">
        <f ca="1">IF(OFFSET(マスタ非採用削除!D$4,統合マスタ!$A129,0)="","",OFFSET(マスタ非採用削除!D$4,統合マスタ!$A129,0))</f>
        <v>ｴｽｿﾞ</v>
      </c>
      <c r="R129" s="27">
        <f ca="1">IF(OFFSET(マスタ非採用削除!E$4,統合マスタ!$A129,0)="","",OFFSET(マスタ非採用削除!E$4,統合マスタ!$A129,0))</f>
        <v>1</v>
      </c>
      <c r="S129" s="55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5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5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5</v>
      </c>
      <c r="AA129" s="27"/>
    </row>
    <row r="130" spans="1:27">
      <c r="A130" s="42">
        <f>元データ!P127</f>
        <v>75</v>
      </c>
      <c r="B130" s="27">
        <f t="shared" si="1"/>
        <v>126</v>
      </c>
      <c r="C130" s="27" t="str">
        <f>DBCS(元データ!A127)</f>
        <v>エスゾピクロン錠１ｍｇ「トーワ」</v>
      </c>
      <c r="D130" s="55" t="str">
        <f>元データ!B127</f>
        <v>東和薬品</v>
      </c>
      <c r="E130" s="27" t="str">
        <f>元データ!C127</f>
        <v>バラ</v>
      </c>
      <c r="F130" s="27" t="str">
        <f>元データ!D127</f>
        <v>100T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5" t="str">
        <f ca="1">IF(OFFSET(マスタ非採用削除!A$4,統合マスタ!$A130,0)="","",OFFSET(マスタ非採用削除!A$4,統合マスタ!$A130,0))</f>
        <v>ｴｽｿ001</v>
      </c>
      <c r="O130" s="55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5" t="str">
        <f ca="1">IF(OFFSET(マスタ非採用削除!D$4,統合マスタ!$A130,0)="","",OFFSET(マスタ非採用削除!D$4,統合マスタ!$A130,0))</f>
        <v>ｴｽｿﾞ</v>
      </c>
      <c r="R130" s="27">
        <f ca="1">IF(OFFSET(マスタ非採用削除!E$4,統合マスタ!$A130,0)="","",OFFSET(マスタ非採用削除!E$4,統合マスタ!$A130,0))</f>
        <v>1</v>
      </c>
      <c r="S130" s="55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5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5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5</v>
      </c>
      <c r="AA130" s="27"/>
    </row>
    <row r="131" spans="1:27">
      <c r="A131" s="42">
        <f>元データ!P128</f>
        <v>77</v>
      </c>
      <c r="B131" s="27">
        <f t="shared" si="1"/>
        <v>127</v>
      </c>
      <c r="C131" s="27" t="str">
        <f>DBCS(元データ!A128)</f>
        <v>エゼチミブＯＤ錠１０ｍｇ「トーワ」</v>
      </c>
      <c r="D131" s="55" t="str">
        <f>元データ!B128</f>
        <v>東和薬品</v>
      </c>
      <c r="E131" s="27" t="str">
        <f>元データ!C128</f>
        <v>PTP</v>
      </c>
      <c r="F131" s="27" t="str">
        <f>元データ!D128</f>
        <v>100T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5" t="str">
        <f ca="1">IF(OFFSET(マスタ非採用削除!A$4,統合マスタ!$A131,0)="","",OFFSET(マスタ非採用削除!A$4,統合マスタ!$A131,0))</f>
        <v>ｴｾﾁ001</v>
      </c>
      <c r="O131" s="55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5" t="str">
        <f ca="1">IF(OFFSET(マスタ非採用削除!D$4,統合マスタ!$A131,0)="","",OFFSET(マスタ非採用削除!D$4,統合マスタ!$A131,0))</f>
        <v/>
      </c>
      <c r="R131" s="27">
        <f ca="1">IF(OFFSET(マスタ非採用削除!E$4,統合マスタ!$A131,0)="","",OFFSET(マスタ非採用削除!E$4,統合マスタ!$A131,0))</f>
        <v>2</v>
      </c>
      <c r="S131" s="55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5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5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/>
    </row>
    <row r="132" spans="1:27">
      <c r="A132" s="42">
        <f>元データ!P129</f>
        <v>78</v>
      </c>
      <c r="B132" s="27">
        <f t="shared" si="1"/>
        <v>128</v>
      </c>
      <c r="C132" s="27" t="str">
        <f>DBCS(元データ!A129)</f>
        <v>エソメプラゾールカプセル２０ｍｇ「ニプロ」</v>
      </c>
      <c r="D132" s="55" t="str">
        <f>元データ!B129</f>
        <v/>
      </c>
      <c r="E132" s="27" t="str">
        <f>元データ!C129</f>
        <v>PTP</v>
      </c>
      <c r="F132" s="27" t="str">
        <f>元データ!D129</f>
        <v>500T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5" t="str">
        <f ca="1">IF(OFFSET(マスタ非採用削除!A$4,統合マスタ!$A132,0)="","",OFFSET(マスタ非採用削除!A$4,統合マスタ!$A132,0))</f>
        <v>ｴｿﾒ001</v>
      </c>
      <c r="O132" s="55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5" t="str">
        <f ca="1">IF(OFFSET(マスタ非採用削除!D$4,統合マスタ!$A132,0)="","",OFFSET(マスタ非採用削除!D$4,統合マスタ!$A132,0))</f>
        <v/>
      </c>
      <c r="R132" s="27">
        <f ca="1">IF(OFFSET(マスタ非採用削除!E$4,統合マスタ!$A132,0)="","",OFFSET(マスタ非採用削除!E$4,統合マスタ!$A132,0))</f>
        <v>1</v>
      </c>
      <c r="S132" s="55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5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5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/>
    </row>
    <row r="133" spans="1:27">
      <c r="A133" s="42">
        <f>元データ!P130</f>
        <v>78</v>
      </c>
      <c r="B133" s="27">
        <f t="shared" si="1"/>
        <v>129</v>
      </c>
      <c r="C133" s="27" t="str">
        <f>DBCS(元データ!A130)</f>
        <v>エソメプラゾールカプセル２０ｍｇ「ニプロ」</v>
      </c>
      <c r="D133" s="55" t="str">
        <f>元データ!B130</f>
        <v>スズケン</v>
      </c>
      <c r="E133" s="27" t="str">
        <f>元データ!C130</f>
        <v>バラ</v>
      </c>
      <c r="F133" s="27" t="str">
        <f>元データ!D130</f>
        <v>500T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5" t="str">
        <f ca="1">IF(OFFSET(マスタ非採用削除!A$4,統合マスタ!$A133,0)="","",OFFSET(マスタ非採用削除!A$4,統合マスタ!$A133,0))</f>
        <v>ｴｿﾒ001</v>
      </c>
      <c r="O133" s="55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5" t="str">
        <f ca="1">IF(OFFSET(マスタ非採用削除!D$4,統合マスタ!$A133,0)="","",OFFSET(マスタ非採用削除!D$4,統合マスタ!$A133,0))</f>
        <v/>
      </c>
      <c r="R133" s="27">
        <f ca="1">IF(OFFSET(マスタ非採用削除!E$4,統合マスタ!$A133,0)="","",OFFSET(マスタ非採用削除!E$4,統合マスタ!$A133,0))</f>
        <v>1</v>
      </c>
      <c r="S133" s="55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5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5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/>
    </row>
    <row r="134" spans="1:27">
      <c r="A134" s="42">
        <f>元データ!P131</f>
        <v>79</v>
      </c>
      <c r="B134" s="27">
        <f t="shared" si="1"/>
        <v>130</v>
      </c>
      <c r="C134" s="27" t="str">
        <f>DBCS(元データ!A131)</f>
        <v>エチゾラム錠０．５ｍｇ「アメル」</v>
      </c>
      <c r="D134" s="55" t="str">
        <f>元データ!B131</f>
        <v>メディセオ</v>
      </c>
      <c r="E134" s="27" t="str">
        <f>元データ!C131</f>
        <v>PTP</v>
      </c>
      <c r="F134" s="27" t="str">
        <f>元データ!D131</f>
        <v>1000T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5" t="str">
        <f ca="1">IF(OFFSET(マスタ非採用削除!A$4,統合マスタ!$A134,0)="","",OFFSET(マスタ非採用削除!A$4,統合マスタ!$A134,0))</f>
        <v>ｴﾁｿ001</v>
      </c>
      <c r="O134" s="55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5" t="str">
        <f ca="1">IF(OFFSET(マスタ非採用削除!D$4,統合マスタ!$A134,0)="","",OFFSET(マスタ非採用削除!D$4,統合マスタ!$A134,0))</f>
        <v>ｴﾁｿﾞ5</v>
      </c>
      <c r="R134" s="27">
        <f ca="1">IF(OFFSET(マスタ非採用削除!E$4,統合マスタ!$A134,0)="","",OFFSET(マスタ非採用削除!E$4,統合マスタ!$A134,0))</f>
        <v>1</v>
      </c>
      <c r="S134" s="55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5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5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5</v>
      </c>
      <c r="AA134" s="27"/>
    </row>
    <row r="135" spans="1:27">
      <c r="A135" s="42">
        <f>元データ!P132</f>
        <v>79</v>
      </c>
      <c r="B135" s="27">
        <f t="shared" ref="B135:B198" si="2">B134+1</f>
        <v>131</v>
      </c>
      <c r="C135" s="27" t="str">
        <f>DBCS(元データ!A132)</f>
        <v>エチゾラム錠０．５ｍｇ「アメル」</v>
      </c>
      <c r="D135" s="55" t="str">
        <f>元データ!B132</f>
        <v>メディセオ</v>
      </c>
      <c r="E135" s="27" t="str">
        <f>元データ!C132</f>
        <v>バラ</v>
      </c>
      <c r="F135" s="27" t="str">
        <f>元データ!D132</f>
        <v>1000T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5" t="str">
        <f ca="1">IF(OFFSET(マスタ非採用削除!A$4,統合マスタ!$A135,0)="","",OFFSET(マスタ非採用削除!A$4,統合マスタ!$A135,0))</f>
        <v>ｴﾁｿ001</v>
      </c>
      <c r="O135" s="55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5" t="str">
        <f ca="1">IF(OFFSET(マスタ非採用削除!D$4,統合マスタ!$A135,0)="","",OFFSET(マスタ非採用削除!D$4,統合マスタ!$A135,0))</f>
        <v>ｴﾁｿﾞ5</v>
      </c>
      <c r="R135" s="27">
        <f ca="1">IF(OFFSET(マスタ非採用削除!E$4,統合マスタ!$A135,0)="","",OFFSET(マスタ非採用削除!E$4,統合マスタ!$A135,0))</f>
        <v>1</v>
      </c>
      <c r="S135" s="55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5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5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5</v>
      </c>
      <c r="AA135" s="27"/>
    </row>
    <row r="136" spans="1:27">
      <c r="A136" s="42">
        <f>元データ!P133</f>
        <v>80</v>
      </c>
      <c r="B136" s="27">
        <f t="shared" si="2"/>
        <v>132</v>
      </c>
      <c r="C136" s="27" t="str">
        <f>DBCS(元データ!A133)</f>
        <v>エチゾラム錠１ｍｇ「アメル」</v>
      </c>
      <c r="D136" s="55" t="str">
        <f>元データ!B133</f>
        <v>メディセオ</v>
      </c>
      <c r="E136" s="27" t="str">
        <f>元データ!C133</f>
        <v>PTP</v>
      </c>
      <c r="F136" s="27" t="str">
        <f>元データ!D133</f>
        <v>1000T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5" t="str">
        <f ca="1">IF(OFFSET(マスタ非採用削除!A$4,統合マスタ!$A136,0)="","",OFFSET(マスタ非採用削除!A$4,統合マスタ!$A136,0))</f>
        <v>ｴﾁｿ002</v>
      </c>
      <c r="O136" s="55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5" t="str">
        <f ca="1">IF(OFFSET(マスタ非採用削除!D$4,統合マスタ!$A136,0)="","",OFFSET(マスタ非採用削除!D$4,統合マスタ!$A136,0))</f>
        <v>ｴﾁｿﾞ4</v>
      </c>
      <c r="R136" s="27">
        <f ca="1">IF(OFFSET(マスタ非採用削除!E$4,統合マスタ!$A136,0)="","",OFFSET(マスタ非採用削除!E$4,統合マスタ!$A136,0))</f>
        <v>1</v>
      </c>
      <c r="S136" s="55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5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5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5</v>
      </c>
      <c r="AA136" s="27"/>
    </row>
    <row r="137" spans="1:27">
      <c r="A137" s="42">
        <f>元データ!P134</f>
        <v>80</v>
      </c>
      <c r="B137" s="27">
        <f t="shared" si="2"/>
        <v>133</v>
      </c>
      <c r="C137" s="27" t="str">
        <f>DBCS(元データ!A134)</f>
        <v>エチゾラム錠１ｍｇ「アメル」</v>
      </c>
      <c r="D137" s="55" t="str">
        <f>元データ!B134</f>
        <v/>
      </c>
      <c r="E137" s="27" t="str">
        <f>元データ!C134</f>
        <v>バラ</v>
      </c>
      <c r="F137" s="27" t="str">
        <f>元データ!D134</f>
        <v>1000T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5" t="str">
        <f ca="1">IF(OFFSET(マスタ非採用削除!A$4,統合マスタ!$A137,0)="","",OFFSET(マスタ非採用削除!A$4,統合マスタ!$A137,0))</f>
        <v>ｴﾁｿ002</v>
      </c>
      <c r="O137" s="55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5" t="str">
        <f ca="1">IF(OFFSET(マスタ非採用削除!D$4,統合マスタ!$A137,0)="","",OFFSET(マスタ非採用削除!D$4,統合マスタ!$A137,0))</f>
        <v>ｴﾁｿﾞ4</v>
      </c>
      <c r="R137" s="27">
        <f ca="1">IF(OFFSET(マスタ非採用削除!E$4,統合マスタ!$A137,0)="","",OFFSET(マスタ非採用削除!E$4,統合マスタ!$A137,0))</f>
        <v>1</v>
      </c>
      <c r="S137" s="55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5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5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5</v>
      </c>
      <c r="AA137" s="27"/>
    </row>
    <row r="138" spans="1:27">
      <c r="A138" s="42">
        <f>元データ!P135</f>
        <v>81</v>
      </c>
      <c r="B138" s="27">
        <f t="shared" si="2"/>
        <v>134</v>
      </c>
      <c r="C138" s="27" t="str">
        <f>DBCS(元データ!A135)</f>
        <v>エナラプリルマレイン酸塩錠５ｍｇ「サワイ」　</v>
      </c>
      <c r="D138" s="55" t="str">
        <f>元データ!B135</f>
        <v>メディセオ</v>
      </c>
      <c r="E138" s="27" t="str">
        <f>元データ!C135</f>
        <v>バラ</v>
      </c>
      <c r="F138" s="27" t="str">
        <f>元データ!D135</f>
        <v>1000T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5" t="str">
        <f ca="1">IF(OFFSET(マスタ非採用削除!A$4,統合マスタ!$A138,0)="","",OFFSET(マスタ非採用削除!A$4,統合マスタ!$A138,0))</f>
        <v>ｴﾅﾗ002</v>
      </c>
      <c r="O138" s="55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5" t="str">
        <f ca="1">IF(OFFSET(マスタ非採用削除!D$4,統合マスタ!$A138,0)="","",OFFSET(マスタ非採用削除!D$4,統合マスタ!$A138,0))</f>
        <v/>
      </c>
      <c r="R138" s="27">
        <f ca="1">IF(OFFSET(マスタ非採用削除!E$4,統合マスタ!$A138,0)="","",OFFSET(マスタ非採用削除!E$4,統合マスタ!$A138,0))</f>
        <v>1</v>
      </c>
      <c r="S138" s="55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5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5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5</v>
      </c>
      <c r="AA138" s="27"/>
    </row>
    <row r="139" spans="1:27">
      <c r="A139" s="42">
        <f>元データ!P136</f>
        <v>82</v>
      </c>
      <c r="B139" s="27">
        <f t="shared" si="2"/>
        <v>135</v>
      </c>
      <c r="C139" s="27" t="str">
        <f>DBCS(元データ!A136)</f>
        <v>エバスチンＯＤ錠５ｍｇ「サワイ」</v>
      </c>
      <c r="D139" s="55" t="str">
        <f>元データ!B136</f>
        <v>メディセオ</v>
      </c>
      <c r="E139" s="27" t="str">
        <f>元データ!C136</f>
        <v>PTP</v>
      </c>
      <c r="F139" s="27" t="str">
        <f>元データ!D136</f>
        <v>100T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5" t="str">
        <f ca="1">IF(OFFSET(マスタ非採用削除!A$4,統合マスタ!$A139,0)="","",OFFSET(マスタ非採用削除!A$4,統合マスタ!$A139,0))</f>
        <v>ｴﾊｽ003</v>
      </c>
      <c r="O139" s="55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5" t="str">
        <f ca="1">IF(OFFSET(マスタ非採用削除!D$4,統合マスタ!$A139,0)="","",OFFSET(マスタ非採用削除!D$4,統合マスタ!$A139,0))</f>
        <v/>
      </c>
      <c r="R139" s="27">
        <f ca="1">IF(OFFSET(マスタ非採用削除!E$4,統合マスタ!$A139,0)="","",OFFSET(マスタ非採用削除!E$4,統合マスタ!$A139,0))</f>
        <v>1</v>
      </c>
      <c r="S139" s="55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5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5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/>
    </row>
    <row r="140" spans="1:27">
      <c r="A140" s="42">
        <f>元データ!P137</f>
        <v>83</v>
      </c>
      <c r="B140" s="27">
        <f t="shared" si="2"/>
        <v>136</v>
      </c>
      <c r="C140" s="27" t="str">
        <f>DBCS(元データ!A137)</f>
        <v>エビスタ錠６０ｍｇ</v>
      </c>
      <c r="D140" s="55" t="str">
        <f>元データ!B137</f>
        <v>東邦</v>
      </c>
      <c r="E140" s="27" t="str">
        <f>元データ!C137</f>
        <v>PTP</v>
      </c>
      <c r="F140" s="27" t="str">
        <f>元データ!D137</f>
        <v>100Ｔ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5" t="str">
        <f ca="1">IF(OFFSET(マスタ非採用削除!A$4,統合マスタ!$A140,0)="","",OFFSET(マスタ非採用削除!A$4,統合マスタ!$A140,0))</f>
        <v>ｴﾋｽ001</v>
      </c>
      <c r="O140" s="55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5" t="str">
        <f ca="1">IF(OFFSET(マスタ非採用削除!D$4,統合マスタ!$A140,0)="","",OFFSET(マスタ非採用削除!D$4,統合マスタ!$A140,0))</f>
        <v>ｴﾋﾞｽ</v>
      </c>
      <c r="R140" s="27">
        <f ca="1">IF(OFFSET(マスタ非採用削除!E$4,統合マスタ!$A140,0)="","",OFFSET(マスタ非採用削除!E$4,統合マスタ!$A140,0))</f>
        <v>1</v>
      </c>
      <c r="S140" s="55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5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5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/>
    </row>
    <row r="141" spans="1:27">
      <c r="A141" s="42">
        <f>元データ!P138</f>
        <v>84</v>
      </c>
      <c r="B141" s="27">
        <f t="shared" si="2"/>
        <v>137</v>
      </c>
      <c r="C141" s="27" t="str">
        <f>DBCS(元データ!A138)</f>
        <v>エピナスチン塩酸塩錠２０ｍｇ「トーワ」</v>
      </c>
      <c r="D141" s="55" t="str">
        <f>元データ!B138</f>
        <v>東和薬品</v>
      </c>
      <c r="E141" s="27" t="str">
        <f>元データ!C138</f>
        <v>PTP</v>
      </c>
      <c r="F141" s="27" t="str">
        <f>元データ!D138</f>
        <v>1000Ｔ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5" t="str">
        <f ca="1">IF(OFFSET(マスタ非採用削除!A$4,統合マスタ!$A141,0)="","",OFFSET(マスタ非採用削除!A$4,統合マスタ!$A141,0))</f>
        <v>ｴﾋﾅ002</v>
      </c>
      <c r="O141" s="55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5" t="str">
        <f ca="1">IF(OFFSET(マスタ非採用削除!D$4,統合マスタ!$A141,0)="","",OFFSET(マスタ非採用削除!D$4,統合マスタ!$A141,0))</f>
        <v>ｴﾋﾟﾅｽ</v>
      </c>
      <c r="R141" s="27">
        <f ca="1">IF(OFFSET(マスタ非採用削除!E$4,統合マスタ!$A141,0)="","",OFFSET(マスタ非採用削除!E$4,統合マスタ!$A141,0))</f>
        <v>1</v>
      </c>
      <c r="S141" s="55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5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5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5</v>
      </c>
      <c r="AA141" s="27"/>
    </row>
    <row r="142" spans="1:27">
      <c r="A142" s="42" t="str">
        <f>元データ!P139</f>
        <v/>
      </c>
      <c r="B142" s="27">
        <f t="shared" si="2"/>
        <v>138</v>
      </c>
      <c r="C142" s="27" t="str">
        <f>DBCS(元データ!A139)</f>
        <v>エピペン注射液０．３ｍｇ</v>
      </c>
      <c r="D142" s="55" t="str">
        <f>元データ!B139</f>
        <v/>
      </c>
      <c r="E142" s="27" t="str">
        <f>元データ!C139</f>
        <v/>
      </c>
      <c r="F142" s="27" t="str">
        <f>元データ!D139</f>
        <v>1kit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5" t="e">
        <f ca="1">IF(OFFSET(マスタ非採用削除!A$4,統合マスタ!$A142,0)="","",OFFSET(マスタ非採用削除!A$4,統合マスタ!$A142,0))</f>
        <v>#VALUE!</v>
      </c>
      <c r="O142" s="55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5" t="e">
        <f ca="1">IF(OFFSET(マスタ非採用削除!D$4,統合マスタ!$A142,0)="","",OFFSET(マスタ非採用削除!D$4,統合マスタ!$A142,0))</f>
        <v>#VALUE!</v>
      </c>
      <c r="R142" s="27" t="e">
        <f ca="1">IF(OFFSET(マスタ非採用削除!E$4,統合マスタ!$A142,0)="","",OFFSET(マスタ非採用削除!E$4,統合マスタ!$A142,0))</f>
        <v>#VALUE!</v>
      </c>
      <c r="S142" s="55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5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5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/>
    </row>
    <row r="143" spans="1:27">
      <c r="A143" s="42">
        <f>元データ!P140</f>
        <v>85</v>
      </c>
      <c r="B143" s="27">
        <f t="shared" si="2"/>
        <v>139</v>
      </c>
      <c r="C143" s="27" t="str">
        <f>DBCS(元データ!A140)</f>
        <v>エビリファイ持続性水懸筋注用３００ｍｇ　シリンジ</v>
      </c>
      <c r="D143" s="55" t="str">
        <f>元データ!B140</f>
        <v/>
      </c>
      <c r="E143" s="27" t="str">
        <f>元データ!C140</f>
        <v/>
      </c>
      <c r="F143" s="27" t="str">
        <f>元データ!D140</f>
        <v>1キット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5" t="str">
        <f ca="1">IF(OFFSET(マスタ非採用削除!A$4,統合マスタ!$A143,0)="","",OFFSET(マスタ非採用削除!A$4,統合マスタ!$A143,0))</f>
        <v>ｴﾋﾘ006</v>
      </c>
      <c r="O143" s="55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5" t="str">
        <f ca="1">IF(OFFSET(マスタ非採用削除!D$4,統合マスタ!$A143,0)="","",OFFSET(マスタ非採用削除!D$4,統合マスタ!$A143,0))</f>
        <v>ｴﾋﾞﾘ11</v>
      </c>
      <c r="R143" s="27">
        <f ca="1">IF(OFFSET(マスタ非採用削除!E$4,統合マスタ!$A143,0)="","",OFFSET(マスタ非採用削除!E$4,統合マスタ!$A143,0))</f>
        <v>1</v>
      </c>
      <c r="S143" s="55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5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5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/>
    </row>
    <row r="144" spans="1:27">
      <c r="A144" s="42">
        <f>元データ!P141</f>
        <v>86</v>
      </c>
      <c r="B144" s="27">
        <f t="shared" si="2"/>
        <v>140</v>
      </c>
      <c r="C144" s="27" t="str">
        <f>DBCS(元データ!A141)</f>
        <v>エビリファイ持続性水懸筋注用４００ｍｇ　シリンジ</v>
      </c>
      <c r="D144" s="55" t="str">
        <f>元データ!B141</f>
        <v>メディセオ</v>
      </c>
      <c r="E144" s="27" t="str">
        <f>元データ!C141</f>
        <v/>
      </c>
      <c r="F144" s="27" t="str">
        <f>元データ!D141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5" t="str">
        <f ca="1">IF(OFFSET(マスタ非採用削除!A$4,統合マスタ!$A144,0)="","",OFFSET(マスタ非採用削除!A$4,統合マスタ!$A144,0))</f>
        <v>ｴﾋﾘ007</v>
      </c>
      <c r="O144" s="55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5" t="str">
        <f ca="1">IF(OFFSET(マスタ非採用削除!D$4,統合マスタ!$A144,0)="","",OFFSET(マスタ非採用削除!D$4,統合マスタ!$A144,0))</f>
        <v>ｴﾋﾞﾘ10</v>
      </c>
      <c r="R144" s="27">
        <f ca="1">IF(OFFSET(マスタ非採用削除!E$4,統合マスタ!$A144,0)="","",OFFSET(マスタ非採用削除!E$4,統合マスタ!$A144,0))</f>
        <v>1</v>
      </c>
      <c r="S144" s="55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5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5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/>
    </row>
    <row r="145" spans="1:27">
      <c r="A145" s="42">
        <f>元データ!P142</f>
        <v>87</v>
      </c>
      <c r="B145" s="27">
        <f t="shared" si="2"/>
        <v>141</v>
      </c>
      <c r="C145" s="27" t="str">
        <f>DBCS(元データ!A142)</f>
        <v>エビリファイ内用液０．１％（３ｍｌ）</v>
      </c>
      <c r="D145" s="55" t="str">
        <f>元データ!B142</f>
        <v>アルフレッサ</v>
      </c>
      <c r="E145" s="27" t="str">
        <f>元データ!C142</f>
        <v/>
      </c>
      <c r="F145" s="27" t="str">
        <f>元データ!D142</f>
        <v>3ｍｌｘ28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5" t="str">
        <f ca="1">IF(OFFSET(マスタ非採用削除!A$4,統合マスタ!$A145,0)="","",OFFSET(マスタ非採用削除!A$4,統合マスタ!$A145,0))</f>
        <v>ｴﾋﾘ009</v>
      </c>
      <c r="O145" s="55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5" t="str">
        <f ca="1">IF(OFFSET(マスタ非採用削除!D$4,統合マスタ!$A145,0)="","",OFFSET(マスタ非採用削除!D$4,統合マスタ!$A145,0))</f>
        <v/>
      </c>
      <c r="R145" s="27">
        <f ca="1">IF(OFFSET(マスタ非採用削除!E$4,統合マスタ!$A145,0)="","",OFFSET(マスタ非採用削除!E$4,統合マスタ!$A145,0))</f>
        <v>1</v>
      </c>
      <c r="S145" s="55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5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5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/>
    </row>
    <row r="146" spans="1:27">
      <c r="A146" s="42">
        <f>元データ!P143</f>
        <v>87</v>
      </c>
      <c r="B146" s="27">
        <f t="shared" si="2"/>
        <v>142</v>
      </c>
      <c r="C146" s="27" t="str">
        <f>DBCS(元データ!A143)</f>
        <v>エビリファイ内用液０．１％（６ｍｌ）</v>
      </c>
      <c r="D146" s="55" t="str">
        <f>元データ!B143</f>
        <v>アルフレッサ</v>
      </c>
      <c r="E146" s="27" t="str">
        <f>元データ!C143</f>
        <v/>
      </c>
      <c r="F146" s="27" t="str">
        <f>元データ!D143</f>
        <v>6ｍｌｘ28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5" t="str">
        <f ca="1">IF(OFFSET(マスタ非採用削除!A$4,統合マスタ!$A146,0)="","",OFFSET(マスタ非採用削除!A$4,統合マスタ!$A146,0))</f>
        <v>ｴﾋﾘ009</v>
      </c>
      <c r="O146" s="55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5" t="str">
        <f ca="1">IF(OFFSET(マスタ非採用削除!D$4,統合マスタ!$A146,0)="","",OFFSET(マスタ非採用削除!D$4,統合マスタ!$A146,0))</f>
        <v/>
      </c>
      <c r="R146" s="27">
        <f ca="1">IF(OFFSET(マスタ非採用削除!E$4,統合マスタ!$A146,0)="","",OFFSET(マスタ非採用削除!E$4,統合マスタ!$A146,0))</f>
        <v>1</v>
      </c>
      <c r="S146" s="55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5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5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/>
    </row>
    <row r="147" spans="1:27">
      <c r="A147" s="42">
        <f>元データ!P144</f>
        <v>89</v>
      </c>
      <c r="B147" s="27">
        <f t="shared" si="2"/>
        <v>143</v>
      </c>
      <c r="C147" s="27" t="str">
        <f>DBCS(元データ!A144)</f>
        <v>エフィエント錠２．５ｍｇ</v>
      </c>
      <c r="D147" s="55" t="str">
        <f>元データ!B144</f>
        <v>メディセオ</v>
      </c>
      <c r="E147" s="27" t="str">
        <f>元データ!C144</f>
        <v>PTP</v>
      </c>
      <c r="F147" s="27" t="str">
        <f>元データ!D144</f>
        <v>100Ｔ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5" t="str">
        <f ca="1">IF(OFFSET(マスタ非採用削除!A$4,統合マスタ!$A147,0)="","",OFFSET(マスタ非採用削除!A$4,統合マスタ!$A147,0))</f>
        <v>ｴﾌｲ001</v>
      </c>
      <c r="O147" s="55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5" t="str">
        <f ca="1">IF(OFFSET(マスタ非採用削除!D$4,統合マスタ!$A147,0)="","",OFFSET(マスタ非採用削除!D$4,統合マスタ!$A147,0))</f>
        <v>ｴﾌｨ</v>
      </c>
      <c r="R147" s="27">
        <f ca="1">IF(OFFSET(マスタ非採用削除!E$4,統合マスタ!$A147,0)="","",OFFSET(マスタ非採用削除!E$4,統合マスタ!$A147,0))</f>
        <v>2</v>
      </c>
      <c r="S147" s="55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5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5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/>
    </row>
    <row r="148" spans="1:27">
      <c r="A148" s="42">
        <f>元データ!P145</f>
        <v>90</v>
      </c>
      <c r="B148" s="27">
        <f t="shared" si="2"/>
        <v>144</v>
      </c>
      <c r="C148" s="27" t="str">
        <f>DBCS(元データ!A145)</f>
        <v>エフィナコナゾール爪外用液１０％「サワイ」　３．５６ｇ</v>
      </c>
      <c r="D148" s="55" t="str">
        <f>元データ!B145</f>
        <v>アルフレッサ</v>
      </c>
      <c r="E148" s="27" t="str">
        <f>元データ!C145</f>
        <v/>
      </c>
      <c r="F148" s="27" t="str">
        <f>元データ!D145</f>
        <v>4.1ｍｌｘ5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5" t="str">
        <f ca="1">IF(OFFSET(マスタ非採用削除!A$4,統合マスタ!$A148,0)="","",OFFSET(マスタ非採用削除!A$4,統合マスタ!$A148,0))</f>
        <v>ｴﾌｲ002</v>
      </c>
      <c r="O148" s="55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5" t="str">
        <f ca="1">IF(OFFSET(マスタ非採用削除!D$4,統合マスタ!$A148,0)="","",OFFSET(マスタ非採用削除!D$4,統合マスタ!$A148,0))</f>
        <v/>
      </c>
      <c r="R148" s="27">
        <f ca="1">IF(OFFSET(マスタ非採用削除!E$4,統合マスタ!$A148,0)="","",OFFSET(マスタ非採用削除!E$4,統合マスタ!$A148,0))</f>
        <v>2</v>
      </c>
      <c r="S148" s="55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5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5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/>
    </row>
    <row r="149" spans="1:27">
      <c r="A149" s="42">
        <f>元データ!P146</f>
        <v>91</v>
      </c>
      <c r="B149" s="27">
        <f t="shared" si="2"/>
        <v>145</v>
      </c>
      <c r="C149" s="27" t="str">
        <f>DBCS(元データ!A146)</f>
        <v>エブランチルカプセル１５ｍｇ「三和」</v>
      </c>
      <c r="D149" s="55" t="str">
        <f>元データ!B146</f>
        <v>アルフレッサ</v>
      </c>
      <c r="E149" s="27" t="str">
        <f>元データ!C146</f>
        <v>バラ</v>
      </c>
      <c r="F149" s="27" t="str">
        <f>元データ!D146</f>
        <v>500Cap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5" t="str">
        <f ca="1">IF(OFFSET(マスタ非採用削除!A$4,統合マスタ!$A149,0)="","",OFFSET(マスタ非採用削除!A$4,統合マスタ!$A149,0))</f>
        <v>ｴﾌﾗ001</v>
      </c>
      <c r="O149" s="55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5" t="str">
        <f ca="1">IF(OFFSET(マスタ非採用削除!D$4,統合マスタ!$A149,0)="","",OFFSET(マスタ非採用削除!D$4,統合マスタ!$A149,0))</f>
        <v>ｴﾌﾞﾗ</v>
      </c>
      <c r="R149" s="27">
        <f ca="1">IF(OFFSET(マスタ非採用削除!E$4,統合マスタ!$A149,0)="","",OFFSET(マスタ非採用削除!E$4,統合マスタ!$A149,0))</f>
        <v>1</v>
      </c>
      <c r="S149" s="55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5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5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/>
    </row>
    <row r="150" spans="1:27">
      <c r="A150" s="42">
        <f>元データ!P147</f>
        <v>13</v>
      </c>
      <c r="B150" s="27">
        <f t="shared" si="2"/>
        <v>146</v>
      </c>
      <c r="C150" s="27" t="str">
        <f>DBCS(元データ!A147)</f>
        <v>エペリゾン塩酸塩錠５０ｍｇ「日医工」</v>
      </c>
      <c r="D150" s="55" t="str">
        <f>元データ!B147</f>
        <v/>
      </c>
      <c r="E150" s="27" t="str">
        <f>元データ!C147</f>
        <v>PTP</v>
      </c>
      <c r="F150" s="27" t="str">
        <f>元データ!D147</f>
        <v>100T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5" t="str">
        <f ca="1">IF(OFFSET(マスタ非採用削除!A$4,統合マスタ!$A150,0)="","",OFFSET(マスタ非採用削除!A$4,統合マスタ!$A150,0))</f>
        <v>ｱｽﾊ002</v>
      </c>
      <c r="O150" s="55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5" t="str">
        <f ca="1">IF(OFFSET(マスタ非採用削除!D$4,統合マスタ!$A150,0)="","",OFFSET(マスタ非採用削除!D$4,統合マスタ!$A150,0))</f>
        <v>ｱｽﾊﾟﾗ</v>
      </c>
      <c r="R150" s="27">
        <f ca="1">IF(OFFSET(マスタ非採用削除!E$4,統合マスタ!$A150,0)="","",OFFSET(マスタ非採用削除!E$4,統合マスタ!$A150,0))</f>
        <v>1</v>
      </c>
      <c r="S150" s="55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5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5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/>
    </row>
    <row r="151" spans="1:27">
      <c r="A151" s="42">
        <f>元データ!P148</f>
        <v>92</v>
      </c>
      <c r="B151" s="27">
        <f t="shared" si="2"/>
        <v>147</v>
      </c>
      <c r="C151" s="27" t="str">
        <f>DBCS(元データ!A148)</f>
        <v>エホチール注１０ｍｇ</v>
      </c>
      <c r="D151" s="55" t="str">
        <f>元データ!B148</f>
        <v/>
      </c>
      <c r="E151" s="27" t="str">
        <f>元データ!C148</f>
        <v/>
      </c>
      <c r="F151" s="27" t="str">
        <f>元データ!D148</f>
        <v>1ｍｌｘ10A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5" t="str">
        <f ca="1">IF(OFFSET(マスタ非採用削除!A$4,統合マスタ!$A151,0)="","",OFFSET(マスタ非採用削除!A$4,統合マスタ!$A151,0))</f>
        <v>ｴﾎﾁ001</v>
      </c>
      <c r="O151" s="55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5" t="str">
        <f ca="1">IF(OFFSET(マスタ非採用削除!D$4,統合マスタ!$A151,0)="","",OFFSET(マスタ非採用削除!D$4,統合マスタ!$A151,0))</f>
        <v>ｴﾎﾁ1</v>
      </c>
      <c r="R151" s="27">
        <f ca="1">IF(OFFSET(マスタ非採用削除!E$4,統合マスタ!$A151,0)="","",OFFSET(マスタ非採用削除!E$4,統合マスタ!$A151,0))</f>
        <v>1</v>
      </c>
      <c r="S151" s="55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5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5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/>
    </row>
    <row r="152" spans="1:27">
      <c r="A152" s="42">
        <f>元データ!P149</f>
        <v>93</v>
      </c>
      <c r="B152" s="27">
        <f t="shared" si="2"/>
        <v>148</v>
      </c>
      <c r="C152" s="27" t="str">
        <f>DBCS(元データ!A149)</f>
        <v>エリキュース錠２．５ｍｇ</v>
      </c>
      <c r="D152" s="55" t="str">
        <f>元データ!B149</f>
        <v>アルフレッサ</v>
      </c>
      <c r="E152" s="27" t="str">
        <f>元データ!C149</f>
        <v>PTP</v>
      </c>
      <c r="F152" s="27" t="str">
        <f>元データ!D149</f>
        <v>100T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5" t="str">
        <f ca="1">IF(OFFSET(マスタ非採用削除!A$4,統合マスタ!$A152,0)="","",OFFSET(マスタ非採用削除!A$4,統合マスタ!$A152,0))</f>
        <v>ｴﾘｷ001</v>
      </c>
      <c r="O152" s="55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5" t="str">
        <f ca="1">IF(OFFSET(マスタ非採用削除!D$4,統合マスタ!$A152,0)="","",OFFSET(マスタ非採用削除!D$4,統合マスタ!$A152,0))</f>
        <v>ｴﾘｽ</v>
      </c>
      <c r="R152" s="27">
        <f ca="1">IF(OFFSET(マスタ非採用削除!E$4,統合マスタ!$A152,0)="","",OFFSET(マスタ非採用削除!E$4,統合マスタ!$A152,0))</f>
        <v>2</v>
      </c>
      <c r="S152" s="55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5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5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/>
    </row>
    <row r="153" spans="1:27">
      <c r="A153" s="42">
        <f>元データ!P150</f>
        <v>94</v>
      </c>
      <c r="B153" s="27">
        <f t="shared" si="2"/>
        <v>149</v>
      </c>
      <c r="C153" s="27" t="str">
        <f>DBCS(元データ!A150)</f>
        <v>エリスロシン錠２００ｍｇ</v>
      </c>
      <c r="D153" s="55" t="str">
        <f>元データ!B150</f>
        <v>メディセオ</v>
      </c>
      <c r="E153" s="27" t="str">
        <f>元データ!C150</f>
        <v>PTP</v>
      </c>
      <c r="F153" s="27" t="str">
        <f>元データ!D150</f>
        <v>100T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5" t="str">
        <f ca="1">IF(OFFSET(マスタ非採用削除!A$4,統合マスタ!$A153,0)="","",OFFSET(マスタ非採用削除!A$4,統合マスタ!$A153,0))</f>
        <v>ｴﾘｽ003</v>
      </c>
      <c r="O153" s="55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5" t="str">
        <f ca="1">IF(OFFSET(マスタ非採用削除!D$4,統合マスタ!$A153,0)="","",OFFSET(マスタ非採用削除!D$4,統合マスタ!$A153,0))</f>
        <v/>
      </c>
      <c r="R153" s="27">
        <f ca="1">IF(OFFSET(マスタ非採用削除!E$4,統合マスタ!$A153,0)="","",OFFSET(マスタ非採用削除!E$4,統合マスタ!$A153,0))</f>
        <v>2</v>
      </c>
      <c r="S153" s="55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5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5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/>
    </row>
    <row r="154" spans="1:27">
      <c r="A154" s="42" t="str">
        <f>元データ!P151</f>
        <v>非採用</v>
      </c>
      <c r="B154" s="27">
        <f t="shared" si="2"/>
        <v>150</v>
      </c>
      <c r="C154" s="27" t="str">
        <f>DBCS(元データ!A151)</f>
        <v>エンテカビルＯＤ錠０．５ｍｇ「サワイ」</v>
      </c>
      <c r="D154" s="55" t="str">
        <f>元データ!B151</f>
        <v/>
      </c>
      <c r="E154" s="27" t="str">
        <f>元データ!C151</f>
        <v>PTP</v>
      </c>
      <c r="F154" s="27" t="str">
        <f>元データ!D151</f>
        <v>70T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5" t="e">
        <f ca="1">IF(OFFSET(マスタ非採用削除!A$4,統合マスタ!$A154,0)="","",OFFSET(マスタ非採用削除!A$4,統合マスタ!$A154,0))</f>
        <v>#VALUE!</v>
      </c>
      <c r="O154" s="55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5" t="e">
        <f ca="1">IF(OFFSET(マスタ非採用削除!D$4,統合マスタ!$A154,0)="","",OFFSET(マスタ非採用削除!D$4,統合マスタ!$A154,0))</f>
        <v>#VALUE!</v>
      </c>
      <c r="R154" s="27" t="e">
        <f ca="1">IF(OFFSET(マスタ非採用削除!E$4,統合マスタ!$A154,0)="","",OFFSET(マスタ非採用削除!E$4,統合マスタ!$A154,0))</f>
        <v>#VALUE!</v>
      </c>
      <c r="S154" s="55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5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5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">
        <v>4065</v>
      </c>
    </row>
    <row r="155" spans="1:27">
      <c r="A155" s="42">
        <f>元データ!P152</f>
        <v>99</v>
      </c>
      <c r="B155" s="27">
        <f t="shared" si="2"/>
        <v>151</v>
      </c>
      <c r="C155" s="27" t="str">
        <f>DBCS(元データ!A152)</f>
        <v>エンレスト錠１００ｍｇ</v>
      </c>
      <c r="D155" s="55" t="str">
        <f>元データ!B152</f>
        <v>メディセオ</v>
      </c>
      <c r="E155" s="27" t="str">
        <f>元データ!C152</f>
        <v>ＰＴＰ</v>
      </c>
      <c r="F155" s="27" t="str">
        <f>元データ!D152</f>
        <v>100Ｔ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5" t="str">
        <f ca="1">IF(OFFSET(マスタ非採用削除!A$4,統合マスタ!$A155,0)="","",OFFSET(マスタ非採用削除!A$4,統合マスタ!$A155,0))</f>
        <v>ｴﾝﾚ001</v>
      </c>
      <c r="O155" s="55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5" t="str">
        <f ca="1">IF(OFFSET(マスタ非採用削除!D$4,統合マスタ!$A155,0)="","",OFFSET(マスタ非採用削除!D$4,統合マスタ!$A155,0))</f>
        <v>ｴﾝﾚ</v>
      </c>
      <c r="R155" s="27">
        <f ca="1">IF(OFFSET(マスタ非採用削除!E$4,統合マスタ!$A155,0)="","",OFFSET(マスタ非採用削除!E$4,統合マスタ!$A155,0))</f>
        <v>2</v>
      </c>
      <c r="S155" s="55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5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5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/>
    </row>
    <row r="156" spans="1:27">
      <c r="A156" s="42">
        <f>元データ!P153</f>
        <v>100</v>
      </c>
      <c r="B156" s="27">
        <f t="shared" si="2"/>
        <v>152</v>
      </c>
      <c r="C156" s="27" t="str">
        <f>DBCS(元データ!A153)</f>
        <v>オイラックスクリーム１０％</v>
      </c>
      <c r="D156" s="55" t="str">
        <f>元データ!B153</f>
        <v>メディセオ</v>
      </c>
      <c r="E156" s="27" t="str">
        <f>元データ!C153</f>
        <v/>
      </c>
      <c r="F156" s="27" t="str">
        <f>元データ!D153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5" t="str">
        <f ca="1">IF(OFFSET(マスタ非採用削除!A$4,統合マスタ!$A156,0)="","",OFFSET(マスタ非採用削除!A$4,統合マスタ!$A156,0))</f>
        <v>ｵｲﾗ001</v>
      </c>
      <c r="O156" s="55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5" t="str">
        <f ca="1">IF(OFFSET(マスタ非採用削除!D$4,統合マスタ!$A156,0)="","",OFFSET(マスタ非採用削除!D$4,統合マスタ!$A156,0))</f>
        <v>ｵｲﾗｯｸ</v>
      </c>
      <c r="R156" s="27">
        <f ca="1">IF(OFFSET(マスタ非採用削除!E$4,統合マスタ!$A156,0)="","",OFFSET(マスタ非採用削除!E$4,統合マスタ!$A156,0))</f>
        <v>1</v>
      </c>
      <c r="S156" s="55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5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5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/>
    </row>
    <row r="157" spans="1:27">
      <c r="A157" s="42">
        <f>元データ!P154</f>
        <v>102</v>
      </c>
      <c r="B157" s="27">
        <f t="shared" si="2"/>
        <v>153</v>
      </c>
      <c r="C157" s="27" t="str">
        <f>DBCS(元データ!A154)</f>
        <v>オーグメンチン配合錠２５０ＲＳ（３７５ｍｇ）</v>
      </c>
      <c r="D157" s="55" t="str">
        <f>元データ!B154</f>
        <v/>
      </c>
      <c r="E157" s="27" t="str">
        <f>元データ!C154</f>
        <v>ＰＴＰ</v>
      </c>
      <c r="F157" s="27" t="str">
        <f>元データ!D154</f>
        <v>30Ｔ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5" t="str">
        <f ca="1">IF(OFFSET(マスタ非採用削除!A$4,統合マスタ!$A157,0)="","",OFFSET(マスタ非採用削除!A$4,統合マスタ!$A157,0))</f>
        <v>ｵｸﾒ001</v>
      </c>
      <c r="O157" s="55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5" t="str">
        <f ca="1">IF(OFFSET(マスタ非採用削除!D$4,統合マスタ!$A157,0)="","",OFFSET(マスタ非採用削除!D$4,統合マスタ!$A157,0))</f>
        <v>ｵｰｸﾞ</v>
      </c>
      <c r="R157" s="27">
        <f ca="1">IF(OFFSET(マスタ非採用削除!E$4,統合マスタ!$A157,0)="","",OFFSET(マスタ非採用削除!E$4,統合マスタ!$A157,0))</f>
        <v>2</v>
      </c>
      <c r="S157" s="55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5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5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/>
    </row>
    <row r="158" spans="1:27">
      <c r="A158" s="42">
        <f>元データ!P155</f>
        <v>101</v>
      </c>
      <c r="B158" s="27">
        <f t="shared" si="2"/>
        <v>154</v>
      </c>
      <c r="C158" s="27" t="str">
        <f>DBCS(元データ!A155)</f>
        <v>オキサロール軟膏２５μｇ／ｇ０．００２５％</v>
      </c>
      <c r="D158" s="55" t="str">
        <f>元データ!B155</f>
        <v>アルフレッサ</v>
      </c>
      <c r="E158" s="27" t="str">
        <f>元データ!C155</f>
        <v/>
      </c>
      <c r="F158" s="27" t="str">
        <f>元データ!D155</f>
        <v>10GX10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5" t="str">
        <f ca="1">IF(OFFSET(マスタ非採用削除!A$4,統合マスタ!$A158,0)="","",OFFSET(マスタ非採用削除!A$4,統合マスタ!$A158,0))</f>
        <v>ｵｷｻ001</v>
      </c>
      <c r="O158" s="55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5" t="str">
        <f ca="1">IF(OFFSET(マスタ非採用削除!D$4,統合マスタ!$A158,0)="","",OFFSET(マスタ非採用削除!D$4,統合マスタ!$A158,0))</f>
        <v>ｵｷｻﾛｰﾙ</v>
      </c>
      <c r="R158" s="27">
        <f ca="1">IF(OFFSET(マスタ非採用削除!E$4,統合マスタ!$A158,0)="","",OFFSET(マスタ非採用削除!E$4,統合マスタ!$A158,0))</f>
        <v>1</v>
      </c>
      <c r="S158" s="55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5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5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/>
    </row>
    <row r="159" spans="1:27">
      <c r="A159" s="42">
        <f>元データ!P156</f>
        <v>103</v>
      </c>
      <c r="B159" s="27">
        <f t="shared" si="2"/>
        <v>155</v>
      </c>
      <c r="C159" s="27" t="str">
        <f>DBCS(元データ!A156)</f>
        <v>オセルタミビルカプセル７５ｍｇ「サワイ」</v>
      </c>
      <c r="D159" s="55" t="str">
        <f>元データ!B156</f>
        <v/>
      </c>
      <c r="E159" s="27" t="str">
        <f>元データ!C156</f>
        <v>PTP</v>
      </c>
      <c r="F159" s="27" t="str">
        <f>元データ!D156</f>
        <v>10P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5" t="str">
        <f ca="1">IF(OFFSET(マスタ非採用削除!A$4,統合マスタ!$A159,0)="","",OFFSET(マスタ非採用削除!A$4,統合マスタ!$A159,0))</f>
        <v>ｵｾﾙ001</v>
      </c>
      <c r="O159" s="55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5" t="str">
        <f ca="1">IF(OFFSET(マスタ非採用削除!D$4,統合マスタ!$A159,0)="","",OFFSET(マスタ非採用削除!D$4,統合マスタ!$A159,0))</f>
        <v>ｵｾﾙ</v>
      </c>
      <c r="R159" s="27">
        <f ca="1">IF(OFFSET(マスタ非採用削除!E$4,統合マスタ!$A159,0)="","",OFFSET(マスタ非採用削除!E$4,統合マスタ!$A159,0))</f>
        <v>1</v>
      </c>
      <c r="S159" s="55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5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5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/>
    </row>
    <row r="160" spans="1:27">
      <c r="A160" s="42">
        <f>元データ!P157</f>
        <v>105</v>
      </c>
      <c r="B160" s="27">
        <f t="shared" si="2"/>
        <v>156</v>
      </c>
      <c r="C160" s="27" t="str">
        <f>DBCS(元データ!A157)</f>
        <v>オフロキサシン点眼液０．３％「ＪＧ」</v>
      </c>
      <c r="D160" s="55" t="str">
        <f>元データ!B157</f>
        <v>東邦</v>
      </c>
      <c r="E160" s="27" t="str">
        <f>元データ!C157</f>
        <v/>
      </c>
      <c r="F160" s="27" t="str">
        <f>元データ!D157</f>
        <v>5ｍｌｘ10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5" t="str">
        <f ca="1">IF(OFFSET(マスタ非採用削除!A$4,統合マスタ!$A160,0)="","",OFFSET(マスタ非採用削除!A$4,統合マスタ!$A160,0))</f>
        <v>ｵﾌﾛ001</v>
      </c>
      <c r="O160" s="55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5" t="str">
        <f ca="1">IF(OFFSET(マスタ非採用削除!D$4,統合マスタ!$A160,0)="","",OFFSET(マスタ非採用削除!D$4,統合マスタ!$A160,0))</f>
        <v>ｵﾌﾛ</v>
      </c>
      <c r="R160" s="27">
        <f ca="1">IF(OFFSET(マスタ非採用削除!E$4,統合マスタ!$A160,0)="","",OFFSET(マスタ非採用削除!E$4,統合マスタ!$A160,0))</f>
        <v>1</v>
      </c>
      <c r="S160" s="55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5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5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/>
    </row>
    <row r="161" spans="1:27">
      <c r="A161" s="42">
        <f>元データ!P158</f>
        <v>107</v>
      </c>
      <c r="B161" s="27">
        <f t="shared" si="2"/>
        <v>157</v>
      </c>
      <c r="C161" s="27" t="str">
        <f>DBCS(元データ!A158)</f>
        <v>オランザピンＯＤ錠１０ｍｇ「ニプロ」</v>
      </c>
      <c r="D161" s="55" t="str">
        <f>元データ!B158</f>
        <v>メディセオ</v>
      </c>
      <c r="E161" s="27" t="str">
        <f>元データ!C158</f>
        <v>PTP</v>
      </c>
      <c r="F161" s="27" t="str">
        <f>元データ!D158</f>
        <v>100Ｔ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5" t="str">
        <f ca="1">IF(OFFSET(マスタ非採用削除!A$4,統合マスタ!$A161,0)="","",OFFSET(マスタ非採用削除!A$4,統合マスタ!$A161,0))</f>
        <v>ｵﾗﾝ011</v>
      </c>
      <c r="O161" s="55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5" t="str">
        <f ca="1">IF(OFFSET(マスタ非採用削除!D$4,統合マスタ!$A161,0)="","",OFFSET(マスタ非採用削除!D$4,統合マスタ!$A161,0))</f>
        <v/>
      </c>
      <c r="R161" s="27">
        <f ca="1">IF(OFFSET(マスタ非採用削除!E$4,統合マスタ!$A161,0)="","",OFFSET(マスタ非採用削除!E$4,統合マスタ!$A161,0))</f>
        <v>1</v>
      </c>
      <c r="S161" s="55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5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5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6</v>
      </c>
      <c r="AA161" s="27"/>
    </row>
    <row r="162" spans="1:27">
      <c r="A162" s="42">
        <f>元データ!P159</f>
        <v>107</v>
      </c>
      <c r="B162" s="27">
        <f t="shared" si="2"/>
        <v>158</v>
      </c>
      <c r="C162" s="27" t="str">
        <f>DBCS(元データ!A159)</f>
        <v>オランザピンＯＤ錠１０ｍｇ「ニプロ」</v>
      </c>
      <c r="D162" s="55" t="str">
        <f>元データ!B159</f>
        <v>メディセオ</v>
      </c>
      <c r="E162" s="27" t="str">
        <f>元データ!C159</f>
        <v>バラ</v>
      </c>
      <c r="F162" s="27" t="str">
        <f>元データ!D159</f>
        <v>100Ｔ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5" t="str">
        <f ca="1">IF(OFFSET(マスタ非採用削除!A$4,統合マスタ!$A162,0)="","",OFFSET(マスタ非採用削除!A$4,統合マスタ!$A162,0))</f>
        <v>ｵﾗﾝ011</v>
      </c>
      <c r="O162" s="55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5" t="str">
        <f ca="1">IF(OFFSET(マスタ非採用削除!D$4,統合マスタ!$A162,0)="","",OFFSET(マスタ非採用削除!D$4,統合マスタ!$A162,0))</f>
        <v/>
      </c>
      <c r="R162" s="27">
        <f ca="1">IF(OFFSET(マスタ非採用削除!E$4,統合マスタ!$A162,0)="","",OFFSET(マスタ非採用削除!E$4,統合マスタ!$A162,0))</f>
        <v>1</v>
      </c>
      <c r="S162" s="55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5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5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6</v>
      </c>
      <c r="AA162" s="27"/>
    </row>
    <row r="163" spans="1:27">
      <c r="A163" s="42">
        <f>元データ!P160</f>
        <v>106</v>
      </c>
      <c r="B163" s="27">
        <f t="shared" si="2"/>
        <v>159</v>
      </c>
      <c r="C163" s="27" t="str">
        <f>DBCS(元データ!A160)</f>
        <v>オランザピンＯＤ錠５ｍｇ「ニプロ」</v>
      </c>
      <c r="D163" s="55" t="str">
        <f>元データ!B160</f>
        <v>メディセオ</v>
      </c>
      <c r="E163" s="27" t="str">
        <f>元データ!C160</f>
        <v>PTP</v>
      </c>
      <c r="F163" s="27" t="str">
        <f>元データ!D160</f>
        <v>100Ｔ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5" t="str">
        <f ca="1">IF(OFFSET(マスタ非採用削除!A$4,統合マスタ!$A163,0)="","",OFFSET(マスタ非採用削除!A$4,統合マスタ!$A163,0))</f>
        <v>ｵﾗﾝ010</v>
      </c>
      <c r="O163" s="55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5" t="str">
        <f ca="1">IF(OFFSET(マスタ非採用削除!D$4,統合マスタ!$A163,0)="","",OFFSET(マスタ非採用削除!D$4,統合マスタ!$A163,0))</f>
        <v/>
      </c>
      <c r="R163" s="27">
        <f ca="1">IF(OFFSET(マスタ非採用削除!E$4,統合マスタ!$A163,0)="","",OFFSET(マスタ非採用削除!E$4,統合マスタ!$A163,0))</f>
        <v>1</v>
      </c>
      <c r="S163" s="55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5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5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6</v>
      </c>
      <c r="AA163" s="27"/>
    </row>
    <row r="164" spans="1:27">
      <c r="A164" s="42">
        <f>元データ!P161</f>
        <v>106</v>
      </c>
      <c r="B164" s="27">
        <f t="shared" si="2"/>
        <v>160</v>
      </c>
      <c r="C164" s="27" t="str">
        <f>DBCS(元データ!A161)</f>
        <v>オランザピンＯＤ錠５ｍｇ「ニプロ」</v>
      </c>
      <c r="D164" s="55" t="str">
        <f>元データ!B161</f>
        <v>メディセオ</v>
      </c>
      <c r="E164" s="27" t="str">
        <f>元データ!C161</f>
        <v>バラ</v>
      </c>
      <c r="F164" s="27" t="str">
        <f>元データ!D161</f>
        <v>100Ｔ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5" t="str">
        <f ca="1">IF(OFFSET(マスタ非採用削除!A$4,統合マスタ!$A164,0)="","",OFFSET(マスタ非採用削除!A$4,統合マスタ!$A164,0))</f>
        <v>ｵﾗﾝ010</v>
      </c>
      <c r="O164" s="55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5" t="str">
        <f ca="1">IF(OFFSET(マスタ非採用削除!D$4,統合マスタ!$A164,0)="","",OFFSET(マスタ非採用削除!D$4,統合マスタ!$A164,0))</f>
        <v/>
      </c>
      <c r="R164" s="27">
        <f ca="1">IF(OFFSET(マスタ非採用削除!E$4,統合マスタ!$A164,0)="","",OFFSET(マスタ非採用削除!E$4,統合マスタ!$A164,0))</f>
        <v>1</v>
      </c>
      <c r="S164" s="55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5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5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6</v>
      </c>
      <c r="AA164" s="27"/>
    </row>
    <row r="165" spans="1:27">
      <c r="A165" s="42">
        <f>元データ!P162</f>
        <v>108</v>
      </c>
      <c r="B165" s="27">
        <f t="shared" si="2"/>
        <v>161</v>
      </c>
      <c r="C165" s="27" t="str">
        <f>DBCS(元データ!A162)</f>
        <v>オランザピン細粒１％「ニプロ」</v>
      </c>
      <c r="D165" s="55" t="str">
        <f>元データ!B162</f>
        <v>メディセオ</v>
      </c>
      <c r="E165" s="27" t="str">
        <f>元データ!C162</f>
        <v>粉</v>
      </c>
      <c r="F165" s="27" t="str">
        <f>元データ!D162</f>
        <v>100ｇ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5" t="str">
        <f ca="1">IF(OFFSET(マスタ非採用削除!A$4,統合マスタ!$A165,0)="","",OFFSET(マスタ非採用削除!A$4,統合マスタ!$A165,0))</f>
        <v>ｵﾗﾝ012</v>
      </c>
      <c r="O165" s="55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5" t="str">
        <f ca="1">IF(OFFSET(マスタ非採用削除!D$4,統合マスタ!$A165,0)="","",OFFSET(マスタ非採用削除!D$4,統合マスタ!$A165,0))</f>
        <v/>
      </c>
      <c r="R165" s="27">
        <f ca="1">IF(OFFSET(マスタ非採用削除!E$4,統合マスタ!$A165,0)="","",OFFSET(マスタ非採用削除!E$4,統合マスタ!$A165,0))</f>
        <v>1</v>
      </c>
      <c r="S165" s="55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5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5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/>
    </row>
    <row r="166" spans="1:27">
      <c r="A166" s="42">
        <f>元データ!P163</f>
        <v>109</v>
      </c>
      <c r="B166" s="27">
        <f t="shared" si="2"/>
        <v>162</v>
      </c>
      <c r="C166" s="27" t="str">
        <f>DBCS(元データ!A163)</f>
        <v>オランザピン錠２．５ｍｇ「ニプロ」　　</v>
      </c>
      <c r="D166" s="55" t="str">
        <f>元データ!B163</f>
        <v>メディセオ</v>
      </c>
      <c r="E166" s="27" t="str">
        <f>元データ!C163</f>
        <v>PTP</v>
      </c>
      <c r="F166" s="27" t="str">
        <f>元データ!D163</f>
        <v>100T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5" t="str">
        <f ca="1">IF(OFFSET(マスタ非採用削除!A$4,統合マスタ!$A166,0)="","",OFFSET(マスタ非採用削除!A$4,統合マスタ!$A166,0))</f>
        <v>ｵﾗﾝ013</v>
      </c>
      <c r="O166" s="55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5" t="str">
        <f ca="1">IF(OFFSET(マスタ非採用削除!D$4,統合マスタ!$A166,0)="","",OFFSET(マスタ非採用削除!D$4,統合マスタ!$A166,0))</f>
        <v/>
      </c>
      <c r="R166" s="27">
        <f ca="1">IF(OFFSET(マスタ非採用削除!E$4,統合マスタ!$A166,0)="","",OFFSET(マスタ非採用削除!E$4,統合マスタ!$A166,0))</f>
        <v>1</v>
      </c>
      <c r="S166" s="55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5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5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/>
    </row>
    <row r="167" spans="1:27">
      <c r="A167" s="42">
        <f>元データ!P164</f>
        <v>109</v>
      </c>
      <c r="B167" s="27">
        <f t="shared" si="2"/>
        <v>163</v>
      </c>
      <c r="C167" s="27" t="str">
        <f>DBCS(元データ!A164)</f>
        <v>オランザピン錠２．５ｍｇ「ニプロ」　　</v>
      </c>
      <c r="D167" s="55" t="str">
        <f>元データ!B164</f>
        <v>メディセオ</v>
      </c>
      <c r="E167" s="27" t="str">
        <f>元データ!C164</f>
        <v>バラ</v>
      </c>
      <c r="F167" s="27" t="str">
        <f>元データ!D164</f>
        <v>100T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5" t="str">
        <f ca="1">IF(OFFSET(マスタ非採用削除!A$4,統合マスタ!$A167,0)="","",OFFSET(マスタ非採用削除!A$4,統合マスタ!$A167,0))</f>
        <v>ｵﾗﾝ013</v>
      </c>
      <c r="O167" s="55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5" t="str">
        <f ca="1">IF(OFFSET(マスタ非採用削除!D$4,統合マスタ!$A167,0)="","",OFFSET(マスタ非採用削除!D$4,統合マスタ!$A167,0))</f>
        <v/>
      </c>
      <c r="R167" s="27">
        <f ca="1">IF(OFFSET(マスタ非採用削除!E$4,統合マスタ!$A167,0)="","",OFFSET(マスタ非採用削除!E$4,統合マスタ!$A167,0))</f>
        <v>1</v>
      </c>
      <c r="S167" s="55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5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5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/>
    </row>
    <row r="168" spans="1:27">
      <c r="A168" s="42" t="str">
        <f>元データ!P165</f>
        <v/>
      </c>
      <c r="B168" s="27">
        <f t="shared" si="2"/>
        <v>164</v>
      </c>
      <c r="C168" s="27" t="str">
        <f>DBCS(元データ!A165)</f>
        <v>オリブ油</v>
      </c>
      <c r="D168" s="55" t="str">
        <f>元データ!B165</f>
        <v/>
      </c>
      <c r="E168" s="27" t="str">
        <f>元データ!C165</f>
        <v/>
      </c>
      <c r="F168" s="27" t="str">
        <f>元データ!D165</f>
        <v>500ｍｌ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5" t="e">
        <f ca="1">IF(OFFSET(マスタ非採用削除!A$4,統合マスタ!$A168,0)="","",OFFSET(マスタ非採用削除!A$4,統合マスタ!$A168,0))</f>
        <v>#VALUE!</v>
      </c>
      <c r="O168" s="55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5" t="e">
        <f ca="1">IF(OFFSET(マスタ非採用削除!D$4,統合マスタ!$A168,0)="","",OFFSET(マスタ非採用削除!D$4,統合マスタ!$A168,0))</f>
        <v>#VALUE!</v>
      </c>
      <c r="R168" s="27" t="e">
        <f ca="1">IF(OFFSET(マスタ非採用削除!E$4,統合マスタ!$A168,0)="","",OFFSET(マスタ非採用削除!E$4,統合マスタ!$A168,0))</f>
        <v>#VALUE!</v>
      </c>
      <c r="S168" s="55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5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5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/>
    </row>
    <row r="169" spans="1:27">
      <c r="A169" s="42">
        <f>元データ!P166</f>
        <v>110</v>
      </c>
      <c r="B169" s="27">
        <f t="shared" si="2"/>
        <v>165</v>
      </c>
      <c r="C169" s="27" t="str">
        <f>DBCS(元データ!A166)</f>
        <v>オルメテックＯＤ錠１０ｍｇ</v>
      </c>
      <c r="D169" s="55" t="str">
        <f>元データ!B166</f>
        <v>アルフレッサ</v>
      </c>
      <c r="E169" s="27" t="str">
        <f>元データ!C166</f>
        <v>ＰＴＰ</v>
      </c>
      <c r="F169" s="27" t="str">
        <f>元データ!D166</f>
        <v>100T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5" t="str">
        <f ca="1">IF(OFFSET(マスタ非採用削除!A$4,統合マスタ!$A169,0)="","",OFFSET(マスタ非採用削除!A$4,統合マスタ!$A169,0))</f>
        <v>ｵﾙﾒ001</v>
      </c>
      <c r="O169" s="55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5" t="str">
        <f ca="1">IF(OFFSET(マスタ非採用削除!D$4,統合マスタ!$A169,0)="","",OFFSET(マスタ非採用削除!D$4,統合マスタ!$A169,0))</f>
        <v>ｵﾙﾒ</v>
      </c>
      <c r="R169" s="27">
        <f ca="1">IF(OFFSET(マスタ非採用削除!E$4,統合マスタ!$A169,0)="","",OFFSET(マスタ非採用削除!E$4,統合マスタ!$A169,0))</f>
        <v>2</v>
      </c>
      <c r="S169" s="55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5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5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/>
    </row>
    <row r="170" spans="1:27">
      <c r="A170" s="42">
        <f>元データ!P167</f>
        <v>111</v>
      </c>
      <c r="B170" s="27">
        <f t="shared" si="2"/>
        <v>166</v>
      </c>
      <c r="C170" s="27" t="str">
        <f>DBCS(元データ!A167)</f>
        <v>オロパタジン塩酸塩ＯＤ錠５ｍｇ「トーワ」</v>
      </c>
      <c r="D170" s="55" t="str">
        <f>元データ!B167</f>
        <v>東和薬品</v>
      </c>
      <c r="E170" s="27" t="str">
        <f>元データ!C167</f>
        <v>PTP</v>
      </c>
      <c r="F170" s="27" t="str">
        <f>元データ!D167</f>
        <v>100Ｔ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5" t="str">
        <f ca="1">IF(OFFSET(マスタ非採用削除!A$4,統合マスタ!$A170,0)="","",OFFSET(マスタ非採用削除!A$4,統合マスタ!$A170,0))</f>
        <v>ｵﾛﾊ003</v>
      </c>
      <c r="O170" s="55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5" t="str">
        <f ca="1">IF(OFFSET(マスタ非採用削除!D$4,統合マスタ!$A170,0)="","",OFFSET(マスタ非採用削除!D$4,統合マスタ!$A170,0))</f>
        <v/>
      </c>
      <c r="R170" s="27">
        <f ca="1">IF(OFFSET(マスタ非採用削除!E$4,統合マスタ!$A170,0)="","",OFFSET(マスタ非採用削除!E$4,統合マスタ!$A170,0))</f>
        <v>1</v>
      </c>
      <c r="S170" s="55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5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5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5</v>
      </c>
      <c r="AA170" s="27"/>
    </row>
    <row r="171" spans="1:27">
      <c r="A171" s="42">
        <f>元データ!P168</f>
        <v>111</v>
      </c>
      <c r="B171" s="27">
        <f t="shared" si="2"/>
        <v>167</v>
      </c>
      <c r="C171" s="27" t="str">
        <f>DBCS(元データ!A168)</f>
        <v>オロパタジン塩酸塩ＯＤ錠５ｍｇ「トーワ」</v>
      </c>
      <c r="D171" s="55" t="str">
        <f>元データ!B168</f>
        <v>東和薬品</v>
      </c>
      <c r="E171" s="27" t="str">
        <f>元データ!C168</f>
        <v>バラ</v>
      </c>
      <c r="F171" s="27" t="str">
        <f>元データ!D168</f>
        <v>100Ｔ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5" t="str">
        <f ca="1">IF(OFFSET(マスタ非採用削除!A$4,統合マスタ!$A171,0)="","",OFFSET(マスタ非採用削除!A$4,統合マスタ!$A171,0))</f>
        <v>ｵﾛﾊ003</v>
      </c>
      <c r="O171" s="55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5" t="str">
        <f ca="1">IF(OFFSET(マスタ非採用削除!D$4,統合マスタ!$A171,0)="","",OFFSET(マスタ非採用削除!D$4,統合マスタ!$A171,0))</f>
        <v/>
      </c>
      <c r="R171" s="27">
        <f ca="1">IF(OFFSET(マスタ非採用削除!E$4,統合マスタ!$A171,0)="","",OFFSET(マスタ非採用削除!E$4,統合マスタ!$A171,0))</f>
        <v>1</v>
      </c>
      <c r="S171" s="55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5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5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5</v>
      </c>
      <c r="AA171" s="27"/>
    </row>
    <row r="172" spans="1:27">
      <c r="A172" s="42">
        <f>元データ!P169</f>
        <v>114</v>
      </c>
      <c r="B172" s="27">
        <f t="shared" si="2"/>
        <v>168</v>
      </c>
      <c r="C172" s="27" t="str">
        <f>DBCS(元データ!A169)</f>
        <v>カモスタットメシル酸塩錠１００ｍｇ「サワイ」</v>
      </c>
      <c r="D172" s="55" t="str">
        <f>元データ!B169</f>
        <v>東邦</v>
      </c>
      <c r="E172" s="27" t="str">
        <f>元データ!C169</f>
        <v>PTP</v>
      </c>
      <c r="F172" s="27" t="str">
        <f>元データ!D169</f>
        <v>100T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5" t="str">
        <f ca="1">IF(OFFSET(マスタ非採用削除!A$4,統合マスタ!$A172,0)="","",OFFSET(マスタ非採用削除!A$4,統合マスタ!$A172,0))</f>
        <v>ｶﾓｽ001</v>
      </c>
      <c r="O172" s="55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5" t="str">
        <f ca="1">IF(OFFSET(マスタ非採用削除!D$4,統合マスタ!$A172,0)="","",OFFSET(マスタ非採用削除!D$4,統合マスタ!$A172,0))</f>
        <v>ｶﾓｽﾀ</v>
      </c>
      <c r="R172" s="27">
        <f ca="1">IF(OFFSET(マスタ非採用削除!E$4,統合マスタ!$A172,0)="","",OFFSET(マスタ非採用削除!E$4,統合マスタ!$A172,0))</f>
        <v>1</v>
      </c>
      <c r="S172" s="55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5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5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/>
    </row>
    <row r="173" spans="1:27">
      <c r="A173" s="42">
        <f>元データ!P170</f>
        <v>116</v>
      </c>
      <c r="B173" s="27">
        <f t="shared" si="2"/>
        <v>169</v>
      </c>
      <c r="C173" s="27" t="str">
        <f>DBCS(元データ!A170)</f>
        <v>ガランタミンＯＤ錠１２ｍｇ「日医工」</v>
      </c>
      <c r="D173" s="55" t="str">
        <f>元データ!B170</f>
        <v>アルフレッサ</v>
      </c>
      <c r="E173" s="27" t="str">
        <f>元データ!C170</f>
        <v>PTP</v>
      </c>
      <c r="F173" s="27" t="str">
        <f>元データ!D170</f>
        <v>56Ｔ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5" t="str">
        <f ca="1">IF(OFFSET(マスタ非採用削除!A$4,統合マスタ!$A173,0)="","",OFFSET(マスタ非採用削除!A$4,統合マスタ!$A173,0))</f>
        <v>ｶﾗﾝ004</v>
      </c>
      <c r="O173" s="55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5" t="str">
        <f ca="1">IF(OFFSET(マスタ非採用削除!D$4,統合マスタ!$A173,0)="","",OFFSET(マスタ非採用削除!D$4,統合マスタ!$A173,0))</f>
        <v>ｶﾞﾗﾝ2</v>
      </c>
      <c r="R173" s="27">
        <f ca="1">IF(OFFSET(マスタ非採用削除!E$4,統合マスタ!$A173,0)="","",OFFSET(マスタ非採用削除!E$4,統合マスタ!$A173,0))</f>
        <v>1</v>
      </c>
      <c r="S173" s="55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5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5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6</v>
      </c>
      <c r="AA173" s="27"/>
    </row>
    <row r="174" spans="1:27">
      <c r="A174" s="42">
        <f>元データ!P171</f>
        <v>115</v>
      </c>
      <c r="B174" s="27">
        <f t="shared" si="2"/>
        <v>170</v>
      </c>
      <c r="C174" s="27" t="str">
        <f>DBCS(元データ!A171)</f>
        <v>ガランタミンＯＤ錠４ｍｇ「日医工」</v>
      </c>
      <c r="D174" s="55" t="str">
        <f>元データ!B171</f>
        <v>アルフレッサ</v>
      </c>
      <c r="E174" s="27" t="str">
        <f>元データ!C171</f>
        <v>PTP</v>
      </c>
      <c r="F174" s="27" t="str">
        <f>元データ!D171</f>
        <v>140Ｔ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5" t="str">
        <f ca="1">IF(OFFSET(マスタ非採用削除!A$4,統合マスタ!$A174,0)="","",OFFSET(マスタ非採用削除!A$4,統合マスタ!$A174,0))</f>
        <v>ｶﾗﾝ001</v>
      </c>
      <c r="O174" s="55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5" t="str">
        <f ca="1">IF(OFFSET(マスタ非採用削除!D$4,統合マスタ!$A174,0)="","",OFFSET(マスタ非採用削除!D$4,統合マスタ!$A174,0))</f>
        <v>ｶﾞﾗﾝ1</v>
      </c>
      <c r="R174" s="27">
        <f ca="1">IF(OFFSET(マスタ非採用削除!E$4,統合マスタ!$A174,0)="","",OFFSET(マスタ非採用削除!E$4,統合マスタ!$A174,0))</f>
        <v>1</v>
      </c>
      <c r="S174" s="55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5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5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6</v>
      </c>
      <c r="AA174" s="27"/>
    </row>
    <row r="175" spans="1:27">
      <c r="A175" s="42">
        <f>元データ!P172</f>
        <v>117</v>
      </c>
      <c r="B175" s="27">
        <f t="shared" si="2"/>
        <v>171</v>
      </c>
      <c r="C175" s="27" t="str">
        <f>DBCS(元データ!A172)</f>
        <v>カリメートドライシロップ９２．５９％</v>
      </c>
      <c r="D175" s="55" t="str">
        <f>元データ!B172</f>
        <v/>
      </c>
      <c r="E175" s="27" t="str">
        <f>元データ!C172</f>
        <v/>
      </c>
      <c r="F175" s="27" t="str">
        <f>元データ!D172</f>
        <v>5.4ｇｘ126包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5" t="str">
        <f ca="1">IF(OFFSET(マスタ非採用削除!A$4,統合マスタ!$A175,0)="","",OFFSET(マスタ非採用削除!A$4,統合マスタ!$A175,0))</f>
        <v>ｶﾘﾒ001</v>
      </c>
      <c r="O175" s="55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5" t="str">
        <f ca="1">IF(OFFSET(マスタ非採用削除!D$4,統合マスタ!$A175,0)="","",OFFSET(マスタ非採用削除!D$4,統合マスタ!$A175,0))</f>
        <v/>
      </c>
      <c r="R175" s="27">
        <f ca="1">IF(OFFSET(マスタ非採用削除!E$4,統合マスタ!$A175,0)="","",OFFSET(マスタ非採用削除!E$4,統合マスタ!$A175,0))</f>
        <v>2</v>
      </c>
      <c r="S175" s="55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5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5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/>
    </row>
    <row r="176" spans="1:27">
      <c r="A176" s="42">
        <f>元データ!P173</f>
        <v>120</v>
      </c>
      <c r="B176" s="27">
        <f t="shared" si="2"/>
        <v>172</v>
      </c>
      <c r="C176" s="27" t="str">
        <f>DBCS(元データ!A173)</f>
        <v>カルバマゼピン細粒５０％「アメル」　　　</v>
      </c>
      <c r="D176" s="55" t="str">
        <f>元データ!B173</f>
        <v/>
      </c>
      <c r="E176" s="27" t="str">
        <f>元データ!C173</f>
        <v>粉</v>
      </c>
      <c r="F176" s="27" t="str">
        <f>元データ!D173</f>
        <v>500ｇ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5" t="str">
        <f ca="1">IF(OFFSET(マスタ非採用削除!A$4,統合マスタ!$A176,0)="","",OFFSET(マスタ非採用削除!A$4,統合マスタ!$A176,0))</f>
        <v>ｶﾙﾊ003</v>
      </c>
      <c r="O176" s="55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5" t="str">
        <f ca="1">IF(OFFSET(マスタ非採用削除!D$4,統合マスタ!$A176,0)="","",OFFSET(マスタ非採用削除!D$4,統合マスタ!$A176,0))</f>
        <v>ｶﾙﾊﾞ**</v>
      </c>
      <c r="R176" s="27">
        <f ca="1">IF(OFFSET(マスタ非採用削除!E$4,統合マスタ!$A176,0)="","",OFFSET(マスタ非採用削除!E$4,統合マスタ!$A176,0))</f>
        <v>1</v>
      </c>
      <c r="S176" s="55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5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5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/>
    </row>
    <row r="177" spans="1:27">
      <c r="A177" s="42">
        <f>元データ!P174</f>
        <v>118</v>
      </c>
      <c r="B177" s="27">
        <f t="shared" si="2"/>
        <v>173</v>
      </c>
      <c r="C177" s="27" t="str">
        <f>DBCS(元データ!A174)</f>
        <v>カルバマゼピン錠１００ｍｇ「アメル」</v>
      </c>
      <c r="D177" s="55" t="str">
        <f>元データ!B174</f>
        <v>メディセオ</v>
      </c>
      <c r="E177" s="27" t="str">
        <f>元データ!C174</f>
        <v>バラ</v>
      </c>
      <c r="F177" s="27" t="str">
        <f>元データ!D174</f>
        <v>500Ｔ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5" t="str">
        <f ca="1">IF(OFFSET(マスタ非採用削除!A$4,統合マスタ!$A177,0)="","",OFFSET(マスタ非採用削除!A$4,統合マスタ!$A177,0))</f>
        <v>ｶﾙﾊ001</v>
      </c>
      <c r="O177" s="55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5" t="str">
        <f ca="1">IF(OFFSET(マスタ非採用削除!D$4,統合マスタ!$A177,0)="","",OFFSET(マスタ非採用削除!D$4,統合マスタ!$A177,0))</f>
        <v>ｶﾙﾊ100</v>
      </c>
      <c r="R177" s="27">
        <f ca="1">IF(OFFSET(マスタ非採用削除!E$4,統合マスタ!$A177,0)="","",OFFSET(マスタ非採用削除!E$4,統合マスタ!$A177,0))</f>
        <v>1</v>
      </c>
      <c r="S177" s="55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5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5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5</v>
      </c>
      <c r="AA177" s="27"/>
    </row>
    <row r="178" spans="1:27">
      <c r="A178" s="42">
        <f>元データ!P175</f>
        <v>119</v>
      </c>
      <c r="B178" s="27">
        <f t="shared" si="2"/>
        <v>174</v>
      </c>
      <c r="C178" s="27" t="str">
        <f>DBCS(元データ!A175)</f>
        <v>カルバマゼピン錠２００ｍｇ「アメル」</v>
      </c>
      <c r="D178" s="55" t="str">
        <f>元データ!B175</f>
        <v/>
      </c>
      <c r="E178" s="27" t="str">
        <f>元データ!C175</f>
        <v>PTP</v>
      </c>
      <c r="F178" s="27" t="str">
        <f>元データ!D175</f>
        <v>100Ｔ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5" t="str">
        <f ca="1">IF(OFFSET(マスタ非採用削除!A$4,統合マスタ!$A178,0)="","",OFFSET(マスタ非採用削除!A$4,統合マスタ!$A178,0))</f>
        <v>ｶﾙﾊ002</v>
      </c>
      <c r="O178" s="55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5" t="str">
        <f ca="1">IF(OFFSET(マスタ非採用削除!D$4,統合マスタ!$A178,0)="","",OFFSET(マスタ非採用削除!D$4,統合マスタ!$A178,0))</f>
        <v>ｶﾙﾊ200</v>
      </c>
      <c r="R178" s="27">
        <f ca="1">IF(OFFSET(マスタ非採用削除!E$4,統合マスタ!$A178,0)="","",OFFSET(マスタ非採用削除!E$4,統合マスタ!$A178,0))</f>
        <v>1</v>
      </c>
      <c r="S178" s="55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5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5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5</v>
      </c>
      <c r="AA178" s="27"/>
    </row>
    <row r="179" spans="1:27">
      <c r="A179" s="42">
        <f>元データ!P176</f>
        <v>119</v>
      </c>
      <c r="B179" s="27">
        <f t="shared" si="2"/>
        <v>175</v>
      </c>
      <c r="C179" s="27" t="str">
        <f>DBCS(元データ!A176)</f>
        <v>カルバマゼピン錠２００ｍｇ「アメル」</v>
      </c>
      <c r="D179" s="55" t="str">
        <f>元データ!B176</f>
        <v>メディセオ</v>
      </c>
      <c r="E179" s="27" t="str">
        <f>元データ!C176</f>
        <v>バラ</v>
      </c>
      <c r="F179" s="27" t="str">
        <f>元データ!D176</f>
        <v>500Ｔ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5" t="str">
        <f ca="1">IF(OFFSET(マスタ非採用削除!A$4,統合マスタ!$A179,0)="","",OFFSET(マスタ非採用削除!A$4,統合マスタ!$A179,0))</f>
        <v>ｶﾙﾊ002</v>
      </c>
      <c r="O179" s="55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5" t="str">
        <f ca="1">IF(OFFSET(マスタ非採用削除!D$4,統合マスタ!$A179,0)="","",OFFSET(マスタ非採用削除!D$4,統合マスタ!$A179,0))</f>
        <v>ｶﾙﾊ200</v>
      </c>
      <c r="R179" s="27">
        <f ca="1">IF(OFFSET(マスタ非採用削除!E$4,統合マスタ!$A179,0)="","",OFFSET(マスタ非採用削除!E$4,統合マスタ!$A179,0))</f>
        <v>1</v>
      </c>
      <c r="S179" s="55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5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5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5</v>
      </c>
      <c r="AA179" s="27"/>
    </row>
    <row r="180" spans="1:27">
      <c r="A180" s="42">
        <f>元データ!P177</f>
        <v>121</v>
      </c>
      <c r="B180" s="27">
        <f t="shared" si="2"/>
        <v>176</v>
      </c>
      <c r="C180" s="27" t="str">
        <f>DBCS(元データ!A177)</f>
        <v>カルベジロール錠１０ｍｇ「ＤＳＥＰ」</v>
      </c>
      <c r="D180" s="55" t="str">
        <f>元データ!B177</f>
        <v>メディセオ</v>
      </c>
      <c r="E180" s="27" t="str">
        <f>元データ!C177</f>
        <v>PTP</v>
      </c>
      <c r="F180" s="27" t="str">
        <f>元データ!D177</f>
        <v>100Ｔ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5" t="str">
        <f ca="1">IF(OFFSET(マスタ非採用削除!A$4,統合マスタ!$A180,0)="","",OFFSET(マスタ非採用削除!A$4,統合マスタ!$A180,0))</f>
        <v>ｶﾙﾍ002</v>
      </c>
      <c r="O180" s="55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5" t="str">
        <f ca="1">IF(OFFSET(マスタ非採用削除!D$4,統合マスタ!$A180,0)="","",OFFSET(マスタ非採用削除!D$4,統合マスタ!$A180,0))</f>
        <v/>
      </c>
      <c r="R180" s="27">
        <f ca="1">IF(OFFSET(マスタ非採用削除!E$4,統合マスタ!$A180,0)="","",OFFSET(マスタ非採用削除!E$4,統合マスタ!$A180,0))</f>
        <v>1</v>
      </c>
      <c r="S180" s="55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5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5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5</v>
      </c>
      <c r="AA180" s="27"/>
    </row>
    <row r="181" spans="1:27">
      <c r="A181" s="42">
        <f>元データ!P178</f>
        <v>122</v>
      </c>
      <c r="B181" s="27">
        <f t="shared" si="2"/>
        <v>177</v>
      </c>
      <c r="C181" s="27" t="str">
        <f>DBCS(元データ!A178)</f>
        <v>カルボシステイン錠２５０ｍｇ「トーワ」</v>
      </c>
      <c r="D181" s="55" t="str">
        <f>元データ!B178</f>
        <v>東和薬品</v>
      </c>
      <c r="E181" s="27" t="str">
        <f>元データ!C178</f>
        <v>PTP</v>
      </c>
      <c r="F181" s="27" t="str">
        <f>元データ!D178</f>
        <v>1000T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5" t="str">
        <f ca="1">IF(OFFSET(マスタ非採用削除!A$4,統合マスタ!$A181,0)="","",OFFSET(マスタ非採用削除!A$4,統合マスタ!$A181,0))</f>
        <v>ｶﾙﾎ001</v>
      </c>
      <c r="O181" s="55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5" t="str">
        <f ca="1">IF(OFFSET(マスタ非採用削除!D$4,統合マスタ!$A181,0)="","",OFFSET(マスタ非採用削除!D$4,統合マスタ!$A181,0))</f>
        <v>ｶﾙﾎﾞ25</v>
      </c>
      <c r="R181" s="27">
        <f ca="1">IF(OFFSET(マスタ非採用削除!E$4,統合マスタ!$A181,0)="","",OFFSET(マスタ非採用削除!E$4,統合マスタ!$A181,0))</f>
        <v>1</v>
      </c>
      <c r="S181" s="55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5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5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5</v>
      </c>
      <c r="AA181" s="27"/>
    </row>
    <row r="182" spans="1:27">
      <c r="A182" s="42">
        <f>元データ!P179</f>
        <v>125</v>
      </c>
      <c r="B182" s="27">
        <f t="shared" si="2"/>
        <v>178</v>
      </c>
      <c r="C182" s="27" t="str">
        <f>DBCS(元データ!A179)</f>
        <v>カロナール坐剤２００</v>
      </c>
      <c r="D182" s="55" t="str">
        <f>元データ!B179</f>
        <v>スズケン</v>
      </c>
      <c r="E182" s="27" t="str">
        <f>元データ!C179</f>
        <v/>
      </c>
      <c r="F182" s="27" t="str">
        <f>元データ!D179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5" t="str">
        <f ca="1">IF(OFFSET(マスタ非採用削除!A$4,統合マスタ!$A182,0)="","",OFFSET(マスタ非採用削除!A$4,統合マスタ!$A182,0))</f>
        <v>ｶﾛﾅ003</v>
      </c>
      <c r="O182" s="55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5" t="str">
        <f ca="1">IF(OFFSET(マスタ非採用削除!D$4,統合マスタ!$A182,0)="","",OFFSET(マスタ非採用削除!D$4,統合マスタ!$A182,0))</f>
        <v>ｶﾛﾅ-ﾙｻ</v>
      </c>
      <c r="R182" s="27">
        <f ca="1">IF(OFFSET(マスタ非採用削除!E$4,統合マスタ!$A182,0)="","",OFFSET(マスタ非採用削除!E$4,統合マスタ!$A182,0))</f>
        <v>1</v>
      </c>
      <c r="S182" s="55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5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5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/>
    </row>
    <row r="183" spans="1:27">
      <c r="A183" s="42">
        <f>元データ!P180</f>
        <v>124</v>
      </c>
      <c r="B183" s="27">
        <f t="shared" si="2"/>
        <v>179</v>
      </c>
      <c r="C183" s="27" t="str">
        <f>DBCS(元データ!A180)</f>
        <v>カロナール錠２００</v>
      </c>
      <c r="D183" s="55" t="str">
        <f>元データ!B180</f>
        <v>スズケン</v>
      </c>
      <c r="E183" s="27" t="str">
        <f>元データ!C180</f>
        <v>PTP</v>
      </c>
      <c r="F183" s="27" t="str">
        <f>元データ!D180</f>
        <v>1000T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5" t="str">
        <f ca="1">IF(OFFSET(マスタ非採用削除!A$4,統合マスタ!$A183,0)="","",OFFSET(マスタ非採用削除!A$4,統合マスタ!$A183,0))</f>
        <v>ｶﾛﾅ002</v>
      </c>
      <c r="O183" s="55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5" t="str">
        <f ca="1">IF(OFFSET(マスタ非採用削除!D$4,統合マスタ!$A183,0)="","",OFFSET(マスタ非採用削除!D$4,統合マスタ!$A183,0))</f>
        <v>ｶﾛﾅｼﾞｮ</v>
      </c>
      <c r="R183" s="27">
        <f ca="1">IF(OFFSET(マスタ非採用削除!E$4,統合マスタ!$A183,0)="","",OFFSET(マスタ非採用削除!E$4,統合マスタ!$A183,0))</f>
        <v>1</v>
      </c>
      <c r="S183" s="55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5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5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5</v>
      </c>
      <c r="AA183" s="27"/>
    </row>
    <row r="184" spans="1:27">
      <c r="A184" s="42">
        <f>元データ!P181</f>
        <v>124</v>
      </c>
      <c r="B184" s="27">
        <f t="shared" si="2"/>
        <v>180</v>
      </c>
      <c r="C184" s="27" t="str">
        <f>DBCS(元データ!A181)</f>
        <v>カロナール錠２００</v>
      </c>
      <c r="D184" s="55" t="str">
        <f>元データ!B181</f>
        <v>スズケン</v>
      </c>
      <c r="E184" s="27" t="str">
        <f>元データ!C181</f>
        <v>バラ</v>
      </c>
      <c r="F184" s="27" t="str">
        <f>元データ!D181</f>
        <v>500T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5" t="str">
        <f ca="1">IF(OFFSET(マスタ非採用削除!A$4,統合マスタ!$A184,0)="","",OFFSET(マスタ非採用削除!A$4,統合マスタ!$A184,0))</f>
        <v>ｶﾛﾅ002</v>
      </c>
      <c r="O184" s="55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5" t="str">
        <f ca="1">IF(OFFSET(マスタ非採用削除!D$4,統合マスタ!$A184,0)="","",OFFSET(マスタ非採用削除!D$4,統合マスタ!$A184,0))</f>
        <v>ｶﾛﾅｼﾞｮ</v>
      </c>
      <c r="R184" s="27">
        <f ca="1">IF(OFFSET(マスタ非採用削除!E$4,統合マスタ!$A184,0)="","",OFFSET(マスタ非採用削除!E$4,統合マスタ!$A184,0))</f>
        <v>1</v>
      </c>
      <c r="S184" s="55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5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5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5</v>
      </c>
      <c r="AA184" s="27"/>
    </row>
    <row r="185" spans="1:27">
      <c r="A185" s="42">
        <f>元データ!P182</f>
        <v>126</v>
      </c>
      <c r="B185" s="27">
        <f t="shared" si="2"/>
        <v>181</v>
      </c>
      <c r="C185" s="27" t="str">
        <f>DBCS(元データ!A182)</f>
        <v>キシロカイン注シリンジ０．５％　　</v>
      </c>
      <c r="D185" s="55" t="str">
        <f>元データ!B182</f>
        <v>アルフレッサ</v>
      </c>
      <c r="E185" s="27" t="str">
        <f>元データ!C182</f>
        <v/>
      </c>
      <c r="F185" s="27" t="str">
        <f>元データ!D182</f>
        <v>10ｍｌｘ10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5" t="str">
        <f ca="1">IF(OFFSET(マスタ非採用削除!A$4,統合マスタ!$A185,0)="","",OFFSET(マスタ非採用削除!A$4,統合マスタ!$A185,0))</f>
        <v>ｷｼﾛ002</v>
      </c>
      <c r="O185" s="55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5" t="str">
        <f ca="1">IF(OFFSET(マスタ非採用削除!D$4,統合マスタ!$A185,0)="","",OFFSET(マスタ非採用削除!D$4,統合マスタ!$A185,0))</f>
        <v>ｷｼﾛ2</v>
      </c>
      <c r="R185" s="27">
        <f ca="1">IF(OFFSET(マスタ非採用削除!E$4,統合マスタ!$A185,0)="","",OFFSET(マスタ非採用削除!E$4,統合マスタ!$A185,0))</f>
        <v>1</v>
      </c>
      <c r="S185" s="55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5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5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/>
    </row>
    <row r="186" spans="1:27">
      <c r="A186" s="42">
        <f>元データ!P183</f>
        <v>0</v>
      </c>
      <c r="B186" s="27">
        <f t="shared" si="2"/>
        <v>182</v>
      </c>
      <c r="C186" s="27" t="str">
        <f>DBCS(元データ!A183)</f>
        <v>キシロカイン注ポリアンプ０．５％</v>
      </c>
      <c r="D186" s="55" t="str">
        <f>元データ!B183</f>
        <v/>
      </c>
      <c r="E186" s="27" t="str">
        <f>元データ!C183</f>
        <v/>
      </c>
      <c r="F186" s="27" t="str">
        <f>元データ!D183</f>
        <v>5ｍｌｘ10Ａ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5" t="str">
        <f ca="1">IF(OFFSET(マスタ非採用削除!A$4,統合マスタ!$A186,0)="","",OFFSET(マスタ非採用削除!A$4,統合マスタ!$A186,0))</f>
        <v>コード(区分値)</v>
      </c>
      <c r="O186" s="55" t="str">
        <f ca="1">IF(OFFSET(マスタ非採用削除!B$4,統合マスタ!$A186,0)="","",OFFSET(マスタ非採用削除!B$4,統合マスタ!$A186,0))</f>
        <v>コード</v>
      </c>
      <c r="P186" s="27" t="str">
        <f ca="1">IF(OFFSET(マスタ非採用削除!C$4,統合マスタ!$A186,0)="","",OFFSET(マスタ非採用削除!C$4,統合マスタ!$A186,0))</f>
        <v>名称</v>
      </c>
      <c r="Q186" s="55" t="str">
        <f ca="1">IF(OFFSET(マスタ非採用削除!D$4,統合マスタ!$A186,0)="","",OFFSET(マスタ非採用削除!D$4,統合マスタ!$A186,0))</f>
        <v>ホストコード</v>
      </c>
      <c r="R186" s="27" t="str">
        <f ca="1">IF(OFFSET(マスタ非採用削除!E$4,統合マスタ!$A186,0)="","",OFFSET(マスタ非採用削除!E$4,統合マスタ!$A186,0))</f>
        <v>採用区分（区分値）(区分値)</v>
      </c>
      <c r="S186" s="55" t="str">
        <f ca="1">IF(OFFSET(マスタ非採用削除!F$4,統合マスタ!$A186,0)="","",OFFSET(マスタ非採用削除!F$4,統合マスタ!$A186,0))</f>
        <v>採用区分（区分値）</v>
      </c>
      <c r="T186" s="27" t="str">
        <f ca="1">IF(OFFSET(マスタ非採用削除!G$4,統合マスタ!$A186,0)="","",OFFSET(マスタ非採用削除!G$4,統合マスタ!$A186,0))</f>
        <v>薬価</v>
      </c>
      <c r="U186" s="55" t="str">
        <f ca="1">IF(OFFSET(マスタ非採用削除!H$4,統合マスタ!$A186,0)="","",OFFSET(マスタ非採用削除!H$4,統合マスタ!$A186,0))</f>
        <v>カナ名称</v>
      </c>
      <c r="V186" s="27" t="str">
        <f ca="1">IF(OFFSET(マスタ非採用削除!I$4,統合マスタ!$A186,0)="","",OFFSET(マスタ非採用削除!I$4,統合マスタ!$A186,0))</f>
        <v>剤形(区分値)</v>
      </c>
      <c r="W186" s="27" t="str">
        <f ca="1">IF(OFFSET(マスタ非採用削除!J$4,統合マスタ!$A186,0)="","",OFFSET(マスタ非採用削除!J$4,統合マスタ!$A186,0))</f>
        <v>剤形</v>
      </c>
      <c r="X186" s="27" t="str">
        <f ca="1">IF(OFFSET(マスタ非採用削除!K$4,統合マスタ!$A186,0)="","",OFFSET(マスタ非採用削除!K$4,統合マスタ!$A186,0))</f>
        <v>毒劇薬（区分値）(区分値)</v>
      </c>
      <c r="Y186" s="55" t="str">
        <f ca="1">IF(OFFSET(マスタ非採用削除!L$4,統合マスタ!$A186,0)="","",OFFSET(マスタ非採用削除!L$4,統合マスタ!$A186,0))</f>
        <v>毒劇薬（区分値）</v>
      </c>
      <c r="Z186" s="27" t="str">
        <f ca="1">IF(OFFSET(マスタ非採用削除!M$4,統合マスタ!$A186,0)="","",OFFSET(マスタ非採用削除!M$4,統合マスタ!$A186,0))</f>
        <v>棚</v>
      </c>
      <c r="AA186" s="27"/>
    </row>
    <row r="187" spans="1:27">
      <c r="A187" s="42">
        <f>元データ!P184</f>
        <v>128</v>
      </c>
      <c r="B187" s="27">
        <f t="shared" si="2"/>
        <v>183</v>
      </c>
      <c r="C187" s="27" t="str">
        <f>DBCS(元データ!A184)</f>
        <v>キュバール１００エアゾール１５ｍｇ　　</v>
      </c>
      <c r="D187" s="55" t="str">
        <f>元データ!B184</f>
        <v>アルフレッサ</v>
      </c>
      <c r="E187" s="27" t="str">
        <f>元データ!C184</f>
        <v/>
      </c>
      <c r="F187" s="27" t="str">
        <f>元データ!D184</f>
        <v>8.7ｇｘ1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5" t="str">
        <f ca="1">IF(OFFSET(マスタ非採用削除!A$4,統合マスタ!$A187,0)="","",OFFSET(マスタ非採用削除!A$4,統合マスタ!$A187,0))</f>
        <v>ｷﾕﾊ001</v>
      </c>
      <c r="O187" s="55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5" t="str">
        <f ca="1">IF(OFFSET(マスタ非採用削除!D$4,統合マスタ!$A187,0)="","",OFFSET(マスタ非採用削除!D$4,統合マスタ!$A187,0))</f>
        <v>ｷｭﾊﾞ10</v>
      </c>
      <c r="R187" s="27">
        <f ca="1">IF(OFFSET(マスタ非採用削除!E$4,統合マスタ!$A187,0)="","",OFFSET(マスタ非採用削除!E$4,統合マスタ!$A187,0))</f>
        <v>1</v>
      </c>
      <c r="S187" s="55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5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5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/>
    </row>
    <row r="188" spans="1:27">
      <c r="A188" s="42">
        <f>元データ!P185</f>
        <v>129</v>
      </c>
      <c r="B188" s="27">
        <f t="shared" si="2"/>
        <v>184</v>
      </c>
      <c r="C188" s="27" t="str">
        <f>DBCS(元データ!A185)</f>
        <v>クアゼパム錠１５ｍｇ「アメル」</v>
      </c>
      <c r="D188" s="55" t="str">
        <f>元データ!B185</f>
        <v>メディセオ</v>
      </c>
      <c r="E188" s="27" t="str">
        <f>元データ!C185</f>
        <v>PTP</v>
      </c>
      <c r="F188" s="27" t="str">
        <f>元データ!D185</f>
        <v>100Ｔ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5" t="str">
        <f ca="1">IF(OFFSET(マスタ非採用削除!A$4,統合マスタ!$A188,0)="","",OFFSET(マスタ非採用削除!A$4,統合マスタ!$A188,0))</f>
        <v>ｸｱｾ001</v>
      </c>
      <c r="O188" s="55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5" t="str">
        <f ca="1">IF(OFFSET(マスタ非採用削除!D$4,統合マスタ!$A188,0)="","",OFFSET(マスタ非採用削除!D$4,統合マスタ!$A188,0))</f>
        <v>ｸｱｾﾞ</v>
      </c>
      <c r="R188" s="27">
        <f ca="1">IF(OFFSET(マスタ非採用削除!E$4,統合マスタ!$A188,0)="","",OFFSET(マスタ非採用削除!E$4,統合マスタ!$A188,0))</f>
        <v>1</v>
      </c>
      <c r="S188" s="55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5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5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/>
    </row>
    <row r="189" spans="1:27">
      <c r="A189" s="42">
        <f>元データ!P186</f>
        <v>129</v>
      </c>
      <c r="B189" s="27">
        <f t="shared" si="2"/>
        <v>185</v>
      </c>
      <c r="C189" s="27" t="str">
        <f>DBCS(元データ!A186)</f>
        <v>クアゼパム錠１５ｍｇ「アメル」</v>
      </c>
      <c r="D189" s="55" t="str">
        <f>元データ!B186</f>
        <v/>
      </c>
      <c r="E189" s="27" t="str">
        <f>元データ!C186</f>
        <v>バラ</v>
      </c>
      <c r="F189" s="27" t="str">
        <f>元データ!D186</f>
        <v>500Ｔ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5" t="str">
        <f ca="1">IF(OFFSET(マスタ非採用削除!A$4,統合マスタ!$A189,0)="","",OFFSET(マスタ非採用削除!A$4,統合マスタ!$A189,0))</f>
        <v>ｸｱｾ001</v>
      </c>
      <c r="O189" s="55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5" t="str">
        <f ca="1">IF(OFFSET(マスタ非採用削除!D$4,統合マスタ!$A189,0)="","",OFFSET(マスタ非採用削除!D$4,統合マスタ!$A189,0))</f>
        <v>ｸｱｾﾞ</v>
      </c>
      <c r="R189" s="27">
        <f ca="1">IF(OFFSET(マスタ非採用削除!E$4,統合マスタ!$A189,0)="","",OFFSET(マスタ非採用削除!E$4,統合マスタ!$A189,0))</f>
        <v>1</v>
      </c>
      <c r="S189" s="55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5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5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/>
    </row>
    <row r="190" spans="1:27">
      <c r="A190" s="42">
        <f>元データ!P187</f>
        <v>135</v>
      </c>
      <c r="B190" s="27">
        <f t="shared" si="2"/>
        <v>186</v>
      </c>
      <c r="C190" s="27" t="str">
        <f>DBCS(元データ!A187)</f>
        <v>クービビック錠２５ｍｇ</v>
      </c>
      <c r="D190" s="55" t="str">
        <f>元データ!B187</f>
        <v>スズケン</v>
      </c>
      <c r="E190" s="27" t="str">
        <f>元データ!C187</f>
        <v>PTP</v>
      </c>
      <c r="F190" s="27" t="str">
        <f>元データ!D187</f>
        <v>100T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5" t="str">
        <f ca="1">IF(OFFSET(マスタ非採用削除!A$4,統合マスタ!$A190,0)="","",OFFSET(マスタ非採用削除!A$4,統合マスタ!$A190,0))</f>
        <v>ｸﾋﾋ002</v>
      </c>
      <c r="O190" s="55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5" t="str">
        <f ca="1">IF(OFFSET(マスタ非採用削除!D$4,統合マスタ!$A190,0)="","",OFFSET(マスタ非採用削除!D$4,統合マスタ!$A190,0))</f>
        <v/>
      </c>
      <c r="R190" s="27">
        <f ca="1">IF(OFFSET(マスタ非採用削除!E$4,統合マスタ!$A190,0)="","",OFFSET(マスタ非採用削除!E$4,統合マスタ!$A190,0))</f>
        <v>1</v>
      </c>
      <c r="S190" s="55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5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5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/>
    </row>
    <row r="191" spans="1:27">
      <c r="A191" s="42">
        <f>元データ!P188</f>
        <v>0</v>
      </c>
      <c r="B191" s="27">
        <f t="shared" si="2"/>
        <v>187</v>
      </c>
      <c r="C191" s="27" t="str">
        <f>DBCS(元データ!A188)</f>
        <v>クービビック錠５０ｍｇ</v>
      </c>
      <c r="D191" s="55" t="str">
        <f>元データ!B188</f>
        <v/>
      </c>
      <c r="E191" s="27" t="str">
        <f>元データ!C188</f>
        <v>PTP</v>
      </c>
      <c r="F191" s="27" t="str">
        <f>元データ!D188</f>
        <v>100T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5" t="str">
        <f ca="1">IF(OFFSET(マスタ非採用削除!A$4,統合マスタ!$A191,0)="","",OFFSET(マスタ非採用削除!A$4,統合マスタ!$A191,0))</f>
        <v>コード(区分値)</v>
      </c>
      <c r="O191" s="55" t="str">
        <f ca="1">IF(OFFSET(マスタ非採用削除!B$4,統合マスタ!$A191,0)="","",OFFSET(マスタ非採用削除!B$4,統合マスタ!$A191,0))</f>
        <v>コード</v>
      </c>
      <c r="P191" s="27" t="str">
        <f ca="1">IF(OFFSET(マスタ非採用削除!C$4,統合マスタ!$A191,0)="","",OFFSET(マスタ非採用削除!C$4,統合マスタ!$A191,0))</f>
        <v>名称</v>
      </c>
      <c r="Q191" s="55" t="str">
        <f ca="1">IF(OFFSET(マスタ非採用削除!D$4,統合マスタ!$A191,0)="","",OFFSET(マスタ非採用削除!D$4,統合マスタ!$A191,0))</f>
        <v>ホストコード</v>
      </c>
      <c r="R191" s="27" t="str">
        <f ca="1">IF(OFFSET(マスタ非採用削除!E$4,統合マスタ!$A191,0)="","",OFFSET(マスタ非採用削除!E$4,統合マスタ!$A191,0))</f>
        <v>採用区分（区分値）(区分値)</v>
      </c>
      <c r="S191" s="55" t="str">
        <f ca="1">IF(OFFSET(マスタ非採用削除!F$4,統合マスタ!$A191,0)="","",OFFSET(マスタ非採用削除!F$4,統合マスタ!$A191,0))</f>
        <v>採用区分（区分値）</v>
      </c>
      <c r="T191" s="27" t="str">
        <f ca="1">IF(OFFSET(マスタ非採用削除!G$4,統合マスタ!$A191,0)="","",OFFSET(マスタ非採用削除!G$4,統合マスタ!$A191,0))</f>
        <v>薬価</v>
      </c>
      <c r="U191" s="55" t="str">
        <f ca="1">IF(OFFSET(マスタ非採用削除!H$4,統合マスタ!$A191,0)="","",OFFSET(マスタ非採用削除!H$4,統合マスタ!$A191,0))</f>
        <v>カナ名称</v>
      </c>
      <c r="V191" s="27" t="str">
        <f ca="1">IF(OFFSET(マスタ非採用削除!I$4,統合マスタ!$A191,0)="","",OFFSET(マスタ非採用削除!I$4,統合マスタ!$A191,0))</f>
        <v>剤形(区分値)</v>
      </c>
      <c r="W191" s="27" t="str">
        <f ca="1">IF(OFFSET(マスタ非採用削除!J$4,統合マスタ!$A191,0)="","",OFFSET(マスタ非採用削除!J$4,統合マスタ!$A191,0))</f>
        <v>剤形</v>
      </c>
      <c r="X191" s="27" t="str">
        <f ca="1">IF(OFFSET(マスタ非採用削除!K$4,統合マスタ!$A191,0)="","",OFFSET(マスタ非採用削除!K$4,統合マスタ!$A191,0))</f>
        <v>毒劇薬（区分値）(区分値)</v>
      </c>
      <c r="Y191" s="55" t="str">
        <f ca="1">IF(OFFSET(マスタ非採用削除!L$4,統合マスタ!$A191,0)="","",OFFSET(マスタ非採用削除!L$4,統合マスタ!$A191,0))</f>
        <v>毒劇薬（区分値）</v>
      </c>
      <c r="Z191" s="27" t="str">
        <f ca="1">IF(OFFSET(マスタ非採用削除!M$4,統合マスタ!$A191,0)="","",OFFSET(マスタ非採用削除!M$4,統合マスタ!$A191,0))</f>
        <v>棚</v>
      </c>
      <c r="AA191" s="27"/>
    </row>
    <row r="192" spans="1:27">
      <c r="A192" s="42">
        <f>元データ!P189</f>
        <v>136</v>
      </c>
      <c r="B192" s="27">
        <f t="shared" si="2"/>
        <v>188</v>
      </c>
      <c r="C192" s="27" t="str">
        <f>DBCS(元データ!A189)</f>
        <v>グーフィス錠５ｍｇ</v>
      </c>
      <c r="D192" s="55" t="str">
        <f>元データ!B189</f>
        <v>スズケン</v>
      </c>
      <c r="E192" s="27" t="str">
        <f>元データ!C189</f>
        <v>ＰＴＰ</v>
      </c>
      <c r="F192" s="27" t="str">
        <f>元データ!D189</f>
        <v>500T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5" t="str">
        <f ca="1">IF(OFFSET(マスタ非採用削除!A$4,統合マスタ!$A192,0)="","",OFFSET(マスタ非採用削除!A$4,統合マスタ!$A192,0))</f>
        <v>ｸﾌｲ001</v>
      </c>
      <c r="O192" s="55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5" t="str">
        <f ca="1">IF(OFFSET(マスタ非採用削除!D$4,統合マスタ!$A192,0)="","",OFFSET(マスタ非採用削除!D$4,統合マスタ!$A192,0))</f>
        <v>ｸﾞｰﾌｨ</v>
      </c>
      <c r="R192" s="27">
        <f ca="1">IF(OFFSET(マスタ非採用削除!E$4,統合マスタ!$A192,0)="","",OFFSET(マスタ非採用削除!E$4,統合マスタ!$A192,0))</f>
        <v>1</v>
      </c>
      <c r="S192" s="55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5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5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5</v>
      </c>
      <c r="AA192" s="27"/>
    </row>
    <row r="193" spans="1:27">
      <c r="A193" s="42">
        <f>元データ!P190</f>
        <v>134</v>
      </c>
      <c r="B193" s="27">
        <f t="shared" si="2"/>
        <v>189</v>
      </c>
      <c r="C193" s="27" t="str">
        <f>DBCS(元データ!A190)</f>
        <v>クエチアピン細粒５０％「アメル」</v>
      </c>
      <c r="D193" s="55" t="str">
        <f>元データ!B190</f>
        <v>アルフレッサ</v>
      </c>
      <c r="E193" s="27" t="str">
        <f>元データ!C190</f>
        <v>粉</v>
      </c>
      <c r="F193" s="27" t="str">
        <f>元データ!D190</f>
        <v>100ｇ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5" t="str">
        <f ca="1">IF(OFFSET(マスタ非採用削除!A$4,統合マスタ!$A193,0)="","",OFFSET(マスタ非採用削除!A$4,統合マスタ!$A193,0))</f>
        <v>ｸｴﾁ005</v>
      </c>
      <c r="O193" s="55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5" t="str">
        <f ca="1">IF(OFFSET(マスタ非採用削除!D$4,統合マスタ!$A193,0)="","",OFFSET(マスタ非採用削除!D$4,統合マスタ!$A193,0))</f>
        <v>ｸｴﾁ4</v>
      </c>
      <c r="R193" s="27">
        <f ca="1">IF(OFFSET(マスタ非採用削除!E$4,統合マスタ!$A193,0)="","",OFFSET(マスタ非採用削除!E$4,統合マスタ!$A193,0))</f>
        <v>1</v>
      </c>
      <c r="S193" s="55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5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5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/>
    </row>
    <row r="194" spans="1:27">
      <c r="A194" s="42">
        <f>元データ!P191</f>
        <v>132</v>
      </c>
      <c r="B194" s="27">
        <f t="shared" si="2"/>
        <v>190</v>
      </c>
      <c r="C194" s="27" t="str">
        <f>DBCS(元データ!A191)</f>
        <v>クエチアピン錠１００ｍｇ「アメル」</v>
      </c>
      <c r="D194" s="55" t="str">
        <f>元データ!B191</f>
        <v>アルフレッサ</v>
      </c>
      <c r="E194" s="27" t="str">
        <f>元データ!C191</f>
        <v>ＰＴＰ</v>
      </c>
      <c r="F194" s="27" t="str">
        <f>元データ!D191</f>
        <v>100T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5" t="str">
        <f ca="1">IF(OFFSET(マスタ非採用削除!A$4,統合マスタ!$A194,0)="","",OFFSET(マスタ非採用削除!A$4,統合マスタ!$A194,0))</f>
        <v>ｸｴﾁ003</v>
      </c>
      <c r="O194" s="55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5" t="str">
        <f ca="1">IF(OFFSET(マスタ非採用削除!D$4,統合マスタ!$A194,0)="","",OFFSET(マスタ非採用削除!D$4,統合マスタ!$A194,0))</f>
        <v>ｸｴﾁ3</v>
      </c>
      <c r="R194" s="27">
        <f ca="1">IF(OFFSET(マスタ非採用削除!E$4,統合マスタ!$A194,0)="","",OFFSET(マスタ非採用削除!E$4,統合マスタ!$A194,0))</f>
        <v>1</v>
      </c>
      <c r="S194" s="55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5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5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6</v>
      </c>
      <c r="AA194" s="27"/>
    </row>
    <row r="195" spans="1:27">
      <c r="A195" s="42">
        <f>元データ!P192</f>
        <v>132</v>
      </c>
      <c r="B195" s="27">
        <f t="shared" si="2"/>
        <v>191</v>
      </c>
      <c r="C195" s="27" t="str">
        <f>DBCS(元データ!A192)</f>
        <v>クエチアピン錠１００ｍｇ「アメル」</v>
      </c>
      <c r="D195" s="55" t="str">
        <f>元データ!B192</f>
        <v>アルフレッサ</v>
      </c>
      <c r="E195" s="27" t="str">
        <f>元データ!C192</f>
        <v>バラ</v>
      </c>
      <c r="F195" s="27" t="str">
        <f>元データ!D192</f>
        <v>1000T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5" t="str">
        <f ca="1">IF(OFFSET(マスタ非採用削除!A$4,統合マスタ!$A195,0)="","",OFFSET(マスタ非採用削除!A$4,統合マスタ!$A195,0))</f>
        <v>ｸｴﾁ003</v>
      </c>
      <c r="O195" s="55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5" t="str">
        <f ca="1">IF(OFFSET(マスタ非採用削除!D$4,統合マスタ!$A195,0)="","",OFFSET(マスタ非採用削除!D$4,統合マスタ!$A195,0))</f>
        <v>ｸｴﾁ3</v>
      </c>
      <c r="R195" s="27">
        <f ca="1">IF(OFFSET(マスタ非採用削除!E$4,統合マスタ!$A195,0)="","",OFFSET(マスタ非採用削除!E$4,統合マスタ!$A195,0))</f>
        <v>1</v>
      </c>
      <c r="S195" s="55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5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5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6</v>
      </c>
      <c r="AA195" s="27"/>
    </row>
    <row r="196" spans="1:27">
      <c r="A196" s="42">
        <f>元データ!P193</f>
        <v>130</v>
      </c>
      <c r="B196" s="27">
        <f t="shared" si="2"/>
        <v>192</v>
      </c>
      <c r="C196" s="27" t="str">
        <f>DBCS(元データ!A193)</f>
        <v>クエチアピン錠１２．５ｍｇ「アメル」</v>
      </c>
      <c r="D196" s="55" t="str">
        <f>元データ!B193</f>
        <v>アルフレッサ</v>
      </c>
      <c r="E196" s="27" t="str">
        <f>元データ!C193</f>
        <v>PTP</v>
      </c>
      <c r="F196" s="27" t="str">
        <f>元データ!D193</f>
        <v>100T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5" t="str">
        <f ca="1">IF(OFFSET(マスタ非採用削除!A$4,統合マスタ!$A196,0)="","",OFFSET(マスタ非採用削除!A$4,統合マスタ!$A196,0))</f>
        <v>ｸｴﾁ001</v>
      </c>
      <c r="O196" s="55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5" t="str">
        <f ca="1">IF(OFFSET(マスタ非採用削除!D$4,統合マスタ!$A196,0)="","",OFFSET(マスタ非採用削除!D$4,統合マスタ!$A196,0))</f>
        <v>ｸｴﾁ1</v>
      </c>
      <c r="R196" s="27">
        <f ca="1">IF(OFFSET(マスタ非採用削除!E$4,統合マスタ!$A196,0)="","",OFFSET(マスタ非採用削除!E$4,統合マスタ!$A196,0))</f>
        <v>1</v>
      </c>
      <c r="S196" s="55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5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5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6</v>
      </c>
      <c r="AA196" s="27"/>
    </row>
    <row r="197" spans="1:27">
      <c r="A197" s="42">
        <f>元データ!P194</f>
        <v>130</v>
      </c>
      <c r="B197" s="27">
        <f t="shared" si="2"/>
        <v>193</v>
      </c>
      <c r="C197" s="27" t="str">
        <f>DBCS(元データ!A194)</f>
        <v>クエチアピン錠１２．５ｍｇ「アメル」</v>
      </c>
      <c r="D197" s="55" t="str">
        <f>元データ!B194</f>
        <v>アルフレッサ</v>
      </c>
      <c r="E197" s="27" t="str">
        <f>元データ!C194</f>
        <v>バラ</v>
      </c>
      <c r="F197" s="27" t="str">
        <f>元データ!D194</f>
        <v>200T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5" t="str">
        <f ca="1">IF(OFFSET(マスタ非採用削除!A$4,統合マスタ!$A197,0)="","",OFFSET(マスタ非採用削除!A$4,統合マスタ!$A197,0))</f>
        <v>ｸｴﾁ001</v>
      </c>
      <c r="O197" s="55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5" t="str">
        <f ca="1">IF(OFFSET(マスタ非採用削除!D$4,統合マスタ!$A197,0)="","",OFFSET(マスタ非採用削除!D$4,統合マスタ!$A197,0))</f>
        <v>ｸｴﾁ1</v>
      </c>
      <c r="R197" s="27">
        <f ca="1">IF(OFFSET(マスタ非採用削除!E$4,統合マスタ!$A197,0)="","",OFFSET(マスタ非採用削除!E$4,統合マスタ!$A197,0))</f>
        <v>1</v>
      </c>
      <c r="S197" s="55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5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5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6</v>
      </c>
      <c r="AA197" s="27"/>
    </row>
    <row r="198" spans="1:27">
      <c r="A198" s="42">
        <f>元データ!P195</f>
        <v>133</v>
      </c>
      <c r="B198" s="27">
        <f t="shared" si="2"/>
        <v>194</v>
      </c>
      <c r="C198" s="27" t="str">
        <f>DBCS(元データ!A195)</f>
        <v>クエチアピン錠２００ｍｇ「アメル」</v>
      </c>
      <c r="D198" s="55" t="str">
        <f>元データ!B195</f>
        <v>アルフレッサ</v>
      </c>
      <c r="E198" s="27" t="str">
        <f>元データ!C195</f>
        <v>ＰＴＰ</v>
      </c>
      <c r="F198" s="27" t="str">
        <f>元データ!D195</f>
        <v>100Ｔ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5" t="str">
        <f ca="1">IF(OFFSET(マスタ非採用削除!A$4,統合マスタ!$A198,0)="","",OFFSET(マスタ非採用削除!A$4,統合マスタ!$A198,0))</f>
        <v>ｸｴﾁ004</v>
      </c>
      <c r="O198" s="55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5" t="str">
        <f ca="1">IF(OFFSET(マスタ非採用削除!D$4,統合マスタ!$A198,0)="","",OFFSET(マスタ非採用削除!D$4,統合マスタ!$A198,0))</f>
        <v>ｸｴﾁ5</v>
      </c>
      <c r="R198" s="27">
        <f ca="1">IF(OFFSET(マスタ非採用削除!E$4,統合マスタ!$A198,0)="","",OFFSET(マスタ非採用削除!E$4,統合マスタ!$A198,0))</f>
        <v>1</v>
      </c>
      <c r="S198" s="55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5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5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6</v>
      </c>
      <c r="AA198" s="27"/>
    </row>
    <row r="199" spans="1:27">
      <c r="A199" s="42">
        <f>元データ!P196</f>
        <v>133</v>
      </c>
      <c r="B199" s="27">
        <f t="shared" ref="B199:B262" si="3">B198+1</f>
        <v>195</v>
      </c>
      <c r="C199" s="27" t="str">
        <f>DBCS(元データ!A196)</f>
        <v>クエチアピン錠２００ｍｇ「アメル」</v>
      </c>
      <c r="D199" s="55" t="str">
        <f>元データ!B196</f>
        <v>アルフレッサ</v>
      </c>
      <c r="E199" s="27" t="str">
        <f>元データ!C196</f>
        <v>バラ</v>
      </c>
      <c r="F199" s="27" t="str">
        <f>元データ!D196</f>
        <v>500Ｔ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5" t="str">
        <f ca="1">IF(OFFSET(マスタ非採用削除!A$4,統合マスタ!$A199,0)="","",OFFSET(マスタ非採用削除!A$4,統合マスタ!$A199,0))</f>
        <v>ｸｴﾁ004</v>
      </c>
      <c r="O199" s="55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5" t="str">
        <f ca="1">IF(OFFSET(マスタ非採用削除!D$4,統合マスタ!$A199,0)="","",OFFSET(マスタ非採用削除!D$4,統合マスタ!$A199,0))</f>
        <v>ｸｴﾁ5</v>
      </c>
      <c r="R199" s="27">
        <f ca="1">IF(OFFSET(マスタ非採用削除!E$4,統合マスタ!$A199,0)="","",OFFSET(マスタ非採用削除!E$4,統合マスタ!$A199,0))</f>
        <v>1</v>
      </c>
      <c r="S199" s="55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5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5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6</v>
      </c>
      <c r="AA199" s="27"/>
    </row>
    <row r="200" spans="1:27">
      <c r="A200" s="42">
        <f>元データ!P197</f>
        <v>131</v>
      </c>
      <c r="B200" s="27">
        <f t="shared" si="3"/>
        <v>196</v>
      </c>
      <c r="C200" s="27" t="str">
        <f>DBCS(元データ!A197)</f>
        <v>クエチアピン錠２５ｍｇ「アメル」</v>
      </c>
      <c r="D200" s="55" t="str">
        <f>元データ!B197</f>
        <v>アルフレッサ</v>
      </c>
      <c r="E200" s="27" t="str">
        <f>元データ!C197</f>
        <v>ＰＴＰ</v>
      </c>
      <c r="F200" s="27" t="str">
        <f>元データ!D197</f>
        <v>100Ｔ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5" t="str">
        <f ca="1">IF(OFFSET(マスタ非採用削除!A$4,統合マスタ!$A200,0)="","",OFFSET(マスタ非採用削除!A$4,統合マスタ!$A200,0))</f>
        <v>ｸｴﾁ002</v>
      </c>
      <c r="O200" s="55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5" t="str">
        <f ca="1">IF(OFFSET(マスタ非採用削除!D$4,統合マスタ!$A200,0)="","",OFFSET(マスタ非採用削除!D$4,統合マスタ!$A200,0))</f>
        <v>ｸｴﾁ2</v>
      </c>
      <c r="R200" s="27">
        <f ca="1">IF(OFFSET(マスタ非採用削除!E$4,統合マスタ!$A200,0)="","",OFFSET(マスタ非採用削除!E$4,統合マスタ!$A200,0))</f>
        <v>1</v>
      </c>
      <c r="S200" s="55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5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5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6</v>
      </c>
      <c r="AA200" s="27"/>
    </row>
    <row r="201" spans="1:27">
      <c r="A201" s="42">
        <f>元データ!P198</f>
        <v>131</v>
      </c>
      <c r="B201" s="27">
        <f t="shared" si="3"/>
        <v>197</v>
      </c>
      <c r="C201" s="27" t="str">
        <f>DBCS(元データ!A198)</f>
        <v>クエチアピン錠２５ｍｇ「アメル」</v>
      </c>
      <c r="D201" s="55" t="str">
        <f>元データ!B198</f>
        <v>アルフレッサ</v>
      </c>
      <c r="E201" s="27" t="str">
        <f>元データ!C198</f>
        <v>バラ</v>
      </c>
      <c r="F201" s="27" t="str">
        <f>元データ!D198</f>
        <v>1000T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5" t="str">
        <f ca="1">IF(OFFSET(マスタ非採用削除!A$4,統合マスタ!$A201,0)="","",OFFSET(マスタ非採用削除!A$4,統合マスタ!$A201,0))</f>
        <v>ｸｴﾁ002</v>
      </c>
      <c r="O201" s="55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5" t="str">
        <f ca="1">IF(OFFSET(マスタ非採用削除!D$4,統合マスタ!$A201,0)="","",OFFSET(マスタ非採用削除!D$4,統合マスタ!$A201,0))</f>
        <v>ｸｴﾁ2</v>
      </c>
      <c r="R201" s="27">
        <f ca="1">IF(OFFSET(マスタ非採用削除!E$4,統合マスタ!$A201,0)="","",OFFSET(マスタ非採用削除!E$4,統合マスタ!$A201,0))</f>
        <v>1</v>
      </c>
      <c r="S201" s="55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5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5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6</v>
      </c>
      <c r="AA201" s="27"/>
    </row>
    <row r="202" spans="1:27">
      <c r="A202" s="42">
        <f>元データ!P199</f>
        <v>137</v>
      </c>
      <c r="B202" s="27">
        <f t="shared" si="3"/>
        <v>198</v>
      </c>
      <c r="C202" s="27" t="str">
        <f>DBCS(元データ!A199)</f>
        <v>グラアルファ配合点眼液</v>
      </c>
      <c r="D202" s="55" t="str">
        <f>元データ!B199</f>
        <v>スズケン</v>
      </c>
      <c r="E202" s="27" t="str">
        <f>元データ!C199</f>
        <v/>
      </c>
      <c r="F202" s="27" t="str">
        <f>元データ!D199</f>
        <v>5ｍｌｘ5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5" t="str">
        <f ca="1">IF(OFFSET(マスタ非採用削除!A$4,統合マスタ!$A202,0)="","",OFFSET(マスタ非採用削除!A$4,統合マスタ!$A202,0))</f>
        <v>ｸﾗｱ001</v>
      </c>
      <c r="O202" s="55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5" t="str">
        <f ca="1">IF(OFFSET(マスタ非採用削除!D$4,統合マスタ!$A202,0)="","",OFFSET(マスタ非採用削除!D$4,統合マスタ!$A202,0))</f>
        <v/>
      </c>
      <c r="R202" s="27">
        <f ca="1">IF(OFFSET(マスタ非採用削除!E$4,統合マスタ!$A202,0)="","",OFFSET(マスタ非採用削除!E$4,統合マスタ!$A202,0))</f>
        <v>2</v>
      </c>
      <c r="S202" s="55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5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5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/>
    </row>
    <row r="203" spans="1:27">
      <c r="A203" s="42">
        <f>元データ!P200</f>
        <v>138</v>
      </c>
      <c r="B203" s="27">
        <f t="shared" si="3"/>
        <v>199</v>
      </c>
      <c r="C203" s="27" t="str">
        <f>DBCS(元データ!A200)</f>
        <v>グラクティブ錠５０ｍｇ</v>
      </c>
      <c r="D203" s="55" t="str">
        <f>元データ!B200</f>
        <v>アルフレッサ</v>
      </c>
      <c r="E203" s="27" t="str">
        <f>元データ!C200</f>
        <v>バラ</v>
      </c>
      <c r="F203" s="27" t="str">
        <f>元データ!D200</f>
        <v>100Ｔ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5" t="str">
        <f ca="1">IF(OFFSET(マスタ非採用削除!A$4,統合マスタ!$A203,0)="","",OFFSET(マスタ非採用削除!A$4,統合マスタ!$A203,0))</f>
        <v>ｸﾗｸ001</v>
      </c>
      <c r="O203" s="55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5" t="str">
        <f ca="1">IF(OFFSET(マスタ非採用削除!D$4,統合マスタ!$A203,0)="","",OFFSET(マスタ非採用削除!D$4,統合マスタ!$A203,0))</f>
        <v>ｸﾞﾗｸ</v>
      </c>
      <c r="R203" s="27">
        <f ca="1">IF(OFFSET(マスタ非採用削除!E$4,統合マスタ!$A203,0)="","",OFFSET(マスタ非採用削除!E$4,統合マスタ!$A203,0))</f>
        <v>1</v>
      </c>
      <c r="S203" s="55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5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5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5</v>
      </c>
      <c r="AA203" s="27"/>
    </row>
    <row r="204" spans="1:27">
      <c r="A204" s="42" t="str">
        <f>元データ!P201</f>
        <v>非採用</v>
      </c>
      <c r="B204" s="27">
        <f t="shared" si="3"/>
        <v>200</v>
      </c>
      <c r="C204" s="27" t="str">
        <f>DBCS(元データ!A201)</f>
        <v>グラナテック点眼液０．４％</v>
      </c>
      <c r="D204" s="55" t="str">
        <f>元データ!B201</f>
        <v/>
      </c>
      <c r="E204" s="27" t="str">
        <f>元データ!C201</f>
        <v/>
      </c>
      <c r="F204" s="27" t="str">
        <f>元データ!D201</f>
        <v>5ｍｌｘ5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5" t="e">
        <f ca="1">IF(OFFSET(マスタ非採用削除!A$4,統合マスタ!$A204,0)="","",OFFSET(マスタ非採用削除!A$4,統合マスタ!$A204,0))</f>
        <v>#VALUE!</v>
      </c>
      <c r="O204" s="55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5" t="e">
        <f ca="1">IF(OFFSET(マスタ非採用削除!D$4,統合マスタ!$A204,0)="","",OFFSET(マスタ非採用削除!D$4,統合マスタ!$A204,0))</f>
        <v>#VALUE!</v>
      </c>
      <c r="R204" s="27" t="e">
        <f ca="1">IF(OFFSET(マスタ非採用削除!E$4,統合マスタ!$A204,0)="","",OFFSET(マスタ非採用削除!E$4,統合マスタ!$A204,0))</f>
        <v>#VALUE!</v>
      </c>
      <c r="S204" s="55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5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5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">
        <v>4065</v>
      </c>
    </row>
    <row r="205" spans="1:27">
      <c r="A205" s="42">
        <f>元データ!P202</f>
        <v>147</v>
      </c>
      <c r="B205" s="27">
        <f t="shared" si="3"/>
        <v>201</v>
      </c>
      <c r="C205" s="27" t="str">
        <f>DBCS(元データ!A202)</f>
        <v>グラマリール細粒１０％</v>
      </c>
      <c r="D205" s="55" t="str">
        <f>元データ!B202</f>
        <v>メディセオ</v>
      </c>
      <c r="E205" s="27" t="str">
        <f>元データ!C202</f>
        <v>粉</v>
      </c>
      <c r="F205" s="27" t="str">
        <f>元データ!D202</f>
        <v>100ｇ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5" t="str">
        <f ca="1">IF(OFFSET(マスタ非採用削除!A$4,統合マスタ!$A205,0)="","",OFFSET(マスタ非採用削除!A$4,統合マスタ!$A205,0))</f>
        <v>ｸﾗﾏ003</v>
      </c>
      <c r="O205" s="55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5" t="str">
        <f ca="1">IF(OFFSET(マスタ非採用削除!D$4,統合マスタ!$A205,0)="","",OFFSET(マスタ非採用削除!D$4,統合マスタ!$A205,0))</f>
        <v>ｸﾞﾗﾏﾘ</v>
      </c>
      <c r="R205" s="27">
        <f ca="1">IF(OFFSET(マスタ非採用削除!E$4,統合マスタ!$A205,0)="","",OFFSET(マスタ非採用削除!E$4,統合マスタ!$A205,0))</f>
        <v>1</v>
      </c>
      <c r="S205" s="55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5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5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/>
    </row>
    <row r="206" spans="1:27">
      <c r="A206" s="42">
        <f>元データ!P203</f>
        <v>145</v>
      </c>
      <c r="B206" s="27">
        <f t="shared" si="3"/>
        <v>202</v>
      </c>
      <c r="C206" s="27" t="str">
        <f>DBCS(元データ!A203)</f>
        <v>グラマリール錠２５ｍｇ</v>
      </c>
      <c r="D206" s="55" t="str">
        <f>元データ!B203</f>
        <v>アルフレッサ</v>
      </c>
      <c r="E206" s="27" t="str">
        <f>元データ!C203</f>
        <v>バラ</v>
      </c>
      <c r="F206" s="27" t="str">
        <f>元データ!D203</f>
        <v>1000Ｔ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5" t="str">
        <f ca="1">IF(OFFSET(マスタ非採用削除!A$4,統合マスタ!$A206,0)="","",OFFSET(マスタ非採用削除!A$4,統合マスタ!$A206,0))</f>
        <v>ｸﾗﾏ001</v>
      </c>
      <c r="O206" s="55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5" t="str">
        <f ca="1">IF(OFFSET(マスタ非採用削除!D$4,統合マスタ!$A206,0)="","",OFFSET(マスタ非採用削除!D$4,統合マスタ!$A206,0))</f>
        <v>ｸﾞﾗﾏ</v>
      </c>
      <c r="R206" s="27">
        <f ca="1">IF(OFFSET(マスタ非採用削除!E$4,統合マスタ!$A206,0)="","",OFFSET(マスタ非採用削除!E$4,統合マスタ!$A206,0))</f>
        <v>1</v>
      </c>
      <c r="S206" s="55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5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5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5</v>
      </c>
      <c r="AA206" s="27"/>
    </row>
    <row r="207" spans="1:27">
      <c r="A207" s="42">
        <f>元データ!P204</f>
        <v>146</v>
      </c>
      <c r="B207" s="27">
        <f t="shared" si="3"/>
        <v>203</v>
      </c>
      <c r="C207" s="27" t="str">
        <f>DBCS(元データ!A204)</f>
        <v>グラマリール錠５０ｍｇ</v>
      </c>
      <c r="D207" s="55" t="str">
        <f>元データ!B204</f>
        <v>アルフレッサ</v>
      </c>
      <c r="E207" s="27" t="str">
        <f>元データ!C204</f>
        <v>PTP</v>
      </c>
      <c r="F207" s="27" t="str">
        <f>元データ!D204</f>
        <v>100Ｔ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5" t="str">
        <f ca="1">IF(OFFSET(マスタ非採用削除!A$4,統合マスタ!$A207,0)="","",OFFSET(マスタ非採用削除!A$4,統合マスタ!$A207,0))</f>
        <v>ｸﾗﾏ002</v>
      </c>
      <c r="O207" s="55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5" t="str">
        <f ca="1">IF(OFFSET(マスタ非採用削除!D$4,統合マスタ!$A207,0)="","",OFFSET(マスタ非採用削除!D$4,統合マスタ!$A207,0))</f>
        <v>ｸﾞﾗﾏ1</v>
      </c>
      <c r="R207" s="27">
        <f ca="1">IF(OFFSET(マスタ非採用削除!E$4,統合マスタ!$A207,0)="","",OFFSET(マスタ非採用削除!E$4,統合マスタ!$A207,0))</f>
        <v>1</v>
      </c>
      <c r="S207" s="55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5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5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/>
    </row>
    <row r="208" spans="1:27">
      <c r="A208" s="42">
        <f>元データ!P205</f>
        <v>149</v>
      </c>
      <c r="B208" s="27">
        <f t="shared" si="3"/>
        <v>204</v>
      </c>
      <c r="C208" s="27" t="str">
        <f>DBCS(元データ!A205)</f>
        <v>クラリシッド錠２００ｍｇ</v>
      </c>
      <c r="D208" s="55" t="str">
        <f>元データ!B205</f>
        <v>メディセオ</v>
      </c>
      <c r="E208" s="27" t="str">
        <f>元データ!C205</f>
        <v>PTP</v>
      </c>
      <c r="F208" s="27" t="str">
        <f>元データ!D205</f>
        <v>100T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5" t="str">
        <f ca="1">IF(OFFSET(マスタ非採用削除!A$4,統合マスタ!$A208,0)="","",OFFSET(マスタ非採用削除!A$4,統合マスタ!$A208,0))</f>
        <v>ｸﾗﾘ002</v>
      </c>
      <c r="O208" s="55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5" t="str">
        <f ca="1">IF(OFFSET(マスタ非採用削除!D$4,統合マスタ!$A208,0)="","",OFFSET(マスタ非採用削除!D$4,統合マスタ!$A208,0))</f>
        <v>ｸﾗﾘｼ1</v>
      </c>
      <c r="R208" s="27">
        <f ca="1">IF(OFFSET(マスタ非採用削除!E$4,統合マスタ!$A208,0)="","",OFFSET(マスタ非採用削除!E$4,統合マスタ!$A208,0))</f>
        <v>1</v>
      </c>
      <c r="S208" s="55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5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5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5</v>
      </c>
      <c r="AA208" s="27"/>
    </row>
    <row r="209" spans="1:27">
      <c r="A209" s="42">
        <f>元データ!P206</f>
        <v>148</v>
      </c>
      <c r="B209" s="27">
        <f t="shared" si="3"/>
        <v>205</v>
      </c>
      <c r="C209" s="27" t="str">
        <f>DBCS(元データ!A206)</f>
        <v>クラリチン錠１０ｍｇ</v>
      </c>
      <c r="D209" s="55" t="str">
        <f>元データ!B206</f>
        <v>アルフレッサ</v>
      </c>
      <c r="E209" s="27" t="str">
        <f>元データ!C206</f>
        <v>PTP</v>
      </c>
      <c r="F209" s="27" t="str">
        <f>元データ!D206</f>
        <v>100Ｔ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5" t="str">
        <f ca="1">IF(OFFSET(マスタ非採用削除!A$4,統合マスタ!$A209,0)="","",OFFSET(マスタ非採用削除!A$4,統合マスタ!$A209,0))</f>
        <v>ｸﾗﾘ001</v>
      </c>
      <c r="O209" s="55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5" t="str">
        <f ca="1">IF(OFFSET(マスタ非採用削除!D$4,統合マスタ!$A209,0)="","",OFFSET(マスタ非採用削除!D$4,統合マスタ!$A209,0))</f>
        <v>ｸﾗﾘ</v>
      </c>
      <c r="R209" s="27">
        <f ca="1">IF(OFFSET(マスタ非採用削除!E$4,統合マスタ!$A209,0)="","",OFFSET(マスタ非採用削除!E$4,統合マスタ!$A209,0))</f>
        <v>1</v>
      </c>
      <c r="S209" s="55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5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5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5</v>
      </c>
      <c r="AA209" s="27"/>
    </row>
    <row r="210" spans="1:27">
      <c r="A210" s="42">
        <f>元データ!P207</f>
        <v>150</v>
      </c>
      <c r="B210" s="27">
        <f t="shared" si="3"/>
        <v>206</v>
      </c>
      <c r="C210" s="27" t="str">
        <f>DBCS(元データ!A207)</f>
        <v>グランダキシン錠５０</v>
      </c>
      <c r="D210" s="55" t="str">
        <f>元データ!B207</f>
        <v>アルフレッサ</v>
      </c>
      <c r="E210" s="27" t="str">
        <f>元データ!C207</f>
        <v>PTP</v>
      </c>
      <c r="F210" s="27" t="str">
        <f>元データ!D207</f>
        <v>100T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5" t="str">
        <f ca="1">IF(OFFSET(マスタ非採用削除!A$4,統合マスタ!$A210,0)="","",OFFSET(マスタ非採用削除!A$4,統合マスタ!$A210,0))</f>
        <v>ｸﾗﾝ001</v>
      </c>
      <c r="O210" s="55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5" t="str">
        <f ca="1">IF(OFFSET(マスタ非採用削除!D$4,統合マスタ!$A210,0)="","",OFFSET(マスタ非採用削除!D$4,統合マスタ!$A210,0))</f>
        <v>ｸﾞﾗﾝ50</v>
      </c>
      <c r="R210" s="27">
        <f ca="1">IF(OFFSET(マスタ非採用削除!E$4,統合マスタ!$A210,0)="","",OFFSET(マスタ非採用削除!E$4,統合マスタ!$A210,0))</f>
        <v>1</v>
      </c>
      <c r="S210" s="55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5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5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/>
    </row>
    <row r="211" spans="1:27">
      <c r="A211" s="42">
        <f>元データ!P208</f>
        <v>151</v>
      </c>
      <c r="B211" s="27">
        <f t="shared" si="3"/>
        <v>207</v>
      </c>
      <c r="C211" s="27" t="str">
        <f>DBCS(元データ!A208)</f>
        <v>グリセオール注</v>
      </c>
      <c r="D211" s="55" t="str">
        <f>元データ!B208</f>
        <v/>
      </c>
      <c r="E211" s="27" t="str">
        <f>元データ!C208</f>
        <v/>
      </c>
      <c r="F211" s="27" t="str">
        <f>元データ!D208</f>
        <v>200ｍｌｘ10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5" t="str">
        <f ca="1">IF(OFFSET(マスタ非採用削除!A$4,統合マスタ!$A211,0)="","",OFFSET(マスタ非採用削除!A$4,統合マスタ!$A211,0))</f>
        <v>ｸﾘｾ001</v>
      </c>
      <c r="O211" s="55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5" t="str">
        <f ca="1">IF(OFFSET(マスタ非採用削除!D$4,統合マスタ!$A211,0)="","",OFFSET(マスタ非採用削除!D$4,統合マスタ!$A211,0))</f>
        <v>ｸﾞﾘｾ1</v>
      </c>
      <c r="R211" s="27">
        <f ca="1">IF(OFFSET(マスタ非採用削除!E$4,統合マスタ!$A211,0)="","",OFFSET(マスタ非採用削除!E$4,統合マスタ!$A211,0))</f>
        <v>1</v>
      </c>
      <c r="S211" s="55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5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5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/>
    </row>
    <row r="212" spans="1:27">
      <c r="A212" s="42">
        <f>元データ!P209</f>
        <v>152</v>
      </c>
      <c r="B212" s="27">
        <f t="shared" si="3"/>
        <v>208</v>
      </c>
      <c r="C212" s="27" t="str">
        <f>DBCS(元データ!A209)</f>
        <v>グリセリン浣腸液５０％「ムネ」　６０ｍｌ</v>
      </c>
      <c r="D212" s="55" t="str">
        <f>元データ!B209</f>
        <v>メディセオ</v>
      </c>
      <c r="E212" s="27" t="str">
        <f>元データ!C209</f>
        <v/>
      </c>
      <c r="F212" s="27" t="str">
        <f>元データ!D209</f>
        <v>60ｍｌｘ10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5" t="str">
        <f ca="1">IF(OFFSET(マスタ非採用削除!A$4,統合マスタ!$A212,0)="","",OFFSET(マスタ非採用削除!A$4,統合マスタ!$A212,0))</f>
        <v>ｸﾘｾ002</v>
      </c>
      <c r="O212" s="55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5" t="str">
        <f ca="1">IF(OFFSET(マスタ非採用削除!D$4,統合マスタ!$A212,0)="","",OFFSET(マスタ非採用削除!D$4,統合マスタ!$A212,0))</f>
        <v>ｸﾞﾘｾ2</v>
      </c>
      <c r="R212" s="27">
        <f ca="1">IF(OFFSET(マスタ非採用削除!E$4,統合マスタ!$A212,0)="","",OFFSET(マスタ非採用削除!E$4,統合マスタ!$A212,0))</f>
        <v>1</v>
      </c>
      <c r="S212" s="55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5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5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/>
    </row>
    <row r="213" spans="1:27">
      <c r="A213" s="42">
        <f>元データ!P210</f>
        <v>153</v>
      </c>
      <c r="B213" s="27">
        <f t="shared" si="3"/>
        <v>209</v>
      </c>
      <c r="C213" s="27" t="str">
        <f>DBCS(元データ!A210)</f>
        <v>グリチロン配合錠</v>
      </c>
      <c r="D213" s="55" t="str">
        <f>元データ!B210</f>
        <v>メディセオ</v>
      </c>
      <c r="E213" s="27" t="str">
        <f>元データ!C210</f>
        <v>バラ</v>
      </c>
      <c r="F213" s="27" t="str">
        <f>元データ!D210</f>
        <v>1000T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5" t="str">
        <f ca="1">IF(OFFSET(マスタ非採用削除!A$4,統合マスタ!$A213,0)="","",OFFSET(マスタ非採用削除!A$4,統合マスタ!$A213,0))</f>
        <v>ｸﾘﾁ001</v>
      </c>
      <c r="O213" s="55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5" t="str">
        <f ca="1">IF(OFFSET(マスタ非採用削除!D$4,統合マスタ!$A213,0)="","",OFFSET(マスタ非採用削除!D$4,統合マスタ!$A213,0))</f>
        <v>ｸﾞﾘﾁﾛﾝ</v>
      </c>
      <c r="R213" s="27">
        <f ca="1">IF(OFFSET(マスタ非採用削除!E$4,統合マスタ!$A213,0)="","",OFFSET(マスタ非採用削除!E$4,統合マスタ!$A213,0))</f>
        <v>1</v>
      </c>
      <c r="S213" s="55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5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5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5</v>
      </c>
      <c r="AA213" s="27"/>
    </row>
    <row r="214" spans="1:27">
      <c r="A214" s="42">
        <f>元データ!P211</f>
        <v>154</v>
      </c>
      <c r="B214" s="27">
        <f t="shared" si="3"/>
        <v>210</v>
      </c>
      <c r="C214" s="27" t="str">
        <f>DBCS(元データ!A211)</f>
        <v>グリメピリドＯＤ錠１ｍｇ「トーワ」</v>
      </c>
      <c r="D214" s="55" t="str">
        <f>元データ!B211</f>
        <v>東和薬品</v>
      </c>
      <c r="E214" s="27" t="str">
        <f>元データ!C211</f>
        <v>バラ</v>
      </c>
      <c r="F214" s="27" t="str">
        <f>元データ!D211</f>
        <v>300Ｔ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5" t="str">
        <f ca="1">IF(OFFSET(マスタ非採用削除!A$4,統合マスタ!$A214,0)="","",OFFSET(マスタ非採用削除!A$4,統合マスタ!$A214,0))</f>
        <v>ｸﾘﾒ002</v>
      </c>
      <c r="O214" s="55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5" t="str">
        <f ca="1">IF(OFFSET(マスタ非採用削除!D$4,統合マスタ!$A214,0)="","",OFFSET(マスタ非採用削除!D$4,統合マスタ!$A214,0))</f>
        <v/>
      </c>
      <c r="R214" s="27">
        <f ca="1">IF(OFFSET(マスタ非採用削除!E$4,統合マスタ!$A214,0)="","",OFFSET(マスタ非採用削除!E$4,統合マスタ!$A214,0))</f>
        <v>1</v>
      </c>
      <c r="S214" s="55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5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5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6</v>
      </c>
      <c r="AA214" s="27"/>
    </row>
    <row r="215" spans="1:27">
      <c r="A215" s="42" t="str">
        <f>元データ!P212</f>
        <v>非採用</v>
      </c>
      <c r="B215" s="27">
        <f t="shared" si="3"/>
        <v>211</v>
      </c>
      <c r="C215" s="27" t="str">
        <f>DBCS(元データ!A212)</f>
        <v>クレナフィン爪外用液１０％３．５６ｇ</v>
      </c>
      <c r="D215" s="55" t="str">
        <f>元データ!B212</f>
        <v>アルフレッサ</v>
      </c>
      <c r="E215" s="27" t="str">
        <f>元データ!C212</f>
        <v/>
      </c>
      <c r="F215" s="27" t="str">
        <f>元データ!D212</f>
        <v>4ｍｌｘ5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5" t="e">
        <f ca="1">IF(OFFSET(マスタ非採用削除!A$4,統合マスタ!$A215,0)="","",OFFSET(マスタ非採用削除!A$4,統合マスタ!$A215,0))</f>
        <v>#VALUE!</v>
      </c>
      <c r="O215" s="55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5" t="e">
        <f ca="1">IF(OFFSET(マスタ非採用削除!D$4,統合マスタ!$A215,0)="","",OFFSET(マスタ非採用削除!D$4,統合マスタ!$A215,0))</f>
        <v>#VALUE!</v>
      </c>
      <c r="R215" s="27" t="e">
        <f ca="1">IF(OFFSET(マスタ非採用削除!E$4,統合マスタ!$A215,0)="","",OFFSET(マスタ非採用削除!E$4,統合マスタ!$A215,0))</f>
        <v>#VALUE!</v>
      </c>
      <c r="S215" s="55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5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5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">
        <v>4065</v>
      </c>
    </row>
    <row r="216" spans="1:27">
      <c r="A216" s="42">
        <f>元データ!P213</f>
        <v>156</v>
      </c>
      <c r="B216" s="27">
        <f t="shared" si="3"/>
        <v>212</v>
      </c>
      <c r="C216" s="27" t="str">
        <f>DBCS(元データ!A213)</f>
        <v>クレメジン細粒分包２ｇ</v>
      </c>
      <c r="D216" s="55" t="str">
        <f>元データ!B213</f>
        <v>アルフレッサ</v>
      </c>
      <c r="E216" s="27" t="str">
        <f>元データ!C213</f>
        <v/>
      </c>
      <c r="F216" s="27" t="str">
        <f>元データ!D213</f>
        <v>2ｇｘ84包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5" t="str">
        <f ca="1">IF(OFFSET(マスタ非採用削除!A$4,統合マスタ!$A216,0)="","",OFFSET(マスタ非採用削除!A$4,統合マスタ!$A216,0))</f>
        <v>ｸﾚﾒ001</v>
      </c>
      <c r="O216" s="55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5" t="str">
        <f ca="1">IF(OFFSET(マスタ非採用削除!D$4,統合マスタ!$A216,0)="","",OFFSET(マスタ非採用削除!D$4,統合マスタ!$A216,0))</f>
        <v>ｸﾚﾒ</v>
      </c>
      <c r="R216" s="27">
        <f ca="1">IF(OFFSET(マスタ非採用削除!E$4,統合マスタ!$A216,0)="","",OFFSET(マスタ非採用削除!E$4,統合マスタ!$A216,0))</f>
        <v>1</v>
      </c>
      <c r="S216" s="55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5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5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/>
    </row>
    <row r="217" spans="1:27">
      <c r="A217" s="42">
        <f>元データ!P214</f>
        <v>157</v>
      </c>
      <c r="B217" s="27">
        <f t="shared" si="3"/>
        <v>213</v>
      </c>
      <c r="C217" s="27" t="str">
        <f>DBCS(元データ!A214)</f>
        <v>クロピドグレル錠２５ｍｇ「ＪＧ」</v>
      </c>
      <c r="D217" s="55" t="str">
        <f>元データ!B214</f>
        <v>メディセオ</v>
      </c>
      <c r="E217" s="27" t="str">
        <f>元データ!C214</f>
        <v>PTP</v>
      </c>
      <c r="F217" s="27" t="str">
        <f>元データ!D214</f>
        <v>100Ｔ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5" t="str">
        <f ca="1">IF(OFFSET(マスタ非採用削除!A$4,統合マスタ!$A217,0)="","",OFFSET(マスタ非採用削除!A$4,統合マスタ!$A217,0))</f>
        <v>ｸﾛﾋ003</v>
      </c>
      <c r="O217" s="55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5" t="str">
        <f ca="1">IF(OFFSET(マスタ非採用削除!D$4,統合マスタ!$A217,0)="","",OFFSET(マスタ非採用削除!D$4,統合マスタ!$A217,0))</f>
        <v/>
      </c>
      <c r="R217" s="27">
        <f ca="1">IF(OFFSET(マスタ非採用削除!E$4,統合マスタ!$A217,0)="","",OFFSET(マスタ非採用削除!E$4,統合マスタ!$A217,0))</f>
        <v>2</v>
      </c>
      <c r="S217" s="55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5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5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/>
    </row>
    <row r="218" spans="1:27">
      <c r="A218" s="42">
        <f>元データ!P215</f>
        <v>158</v>
      </c>
      <c r="B218" s="27">
        <f t="shared" si="3"/>
        <v>214</v>
      </c>
      <c r="C218" s="27" t="str">
        <f>DBCS(元データ!A215)</f>
        <v>クロピドグレル錠７５ｍｇ「ＪＧ」</v>
      </c>
      <c r="D218" s="55" t="str">
        <f>元データ!B215</f>
        <v>メディセオ</v>
      </c>
      <c r="E218" s="27" t="str">
        <f>元データ!C215</f>
        <v>PTP</v>
      </c>
      <c r="F218" s="27" t="str">
        <f>元データ!D215</f>
        <v>100Ｔ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5" t="str">
        <f ca="1">IF(OFFSET(マスタ非採用削除!A$4,統合マスタ!$A218,0)="","",OFFSET(マスタ非採用削除!A$4,統合マスタ!$A218,0))</f>
        <v>ｸﾛﾋ004</v>
      </c>
      <c r="O218" s="55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5" t="str">
        <f ca="1">IF(OFFSET(マスタ非採用削除!D$4,統合マスタ!$A218,0)="","",OFFSET(マスタ非採用削除!D$4,統合マスタ!$A218,0))</f>
        <v/>
      </c>
      <c r="R218" s="27">
        <f ca="1">IF(OFFSET(マスタ非採用削除!E$4,統合マスタ!$A218,0)="","",OFFSET(マスタ非採用削除!E$4,統合マスタ!$A218,0))</f>
        <v>1</v>
      </c>
      <c r="S218" s="55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5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5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5</v>
      </c>
      <c r="AA218" s="27"/>
    </row>
    <row r="219" spans="1:27">
      <c r="A219" s="42">
        <f>元データ!P216</f>
        <v>158</v>
      </c>
      <c r="B219" s="27">
        <f t="shared" si="3"/>
        <v>215</v>
      </c>
      <c r="C219" s="27" t="str">
        <f>DBCS(元データ!A216)</f>
        <v>クロピドグレル錠７５ｍｇ「ＪＧ」</v>
      </c>
      <c r="D219" s="55" t="str">
        <f>元データ!B216</f>
        <v>メディセオ</v>
      </c>
      <c r="E219" s="27" t="str">
        <f>元データ!C216</f>
        <v>バラ</v>
      </c>
      <c r="F219" s="27" t="str">
        <f>元データ!D216</f>
        <v>500Ｔ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5" t="str">
        <f ca="1">IF(OFFSET(マスタ非採用削除!A$4,統合マスタ!$A219,0)="","",OFFSET(マスタ非採用削除!A$4,統合マスタ!$A219,0))</f>
        <v>ｸﾛﾋ004</v>
      </c>
      <c r="O219" s="55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5" t="str">
        <f ca="1">IF(OFFSET(マスタ非採用削除!D$4,統合マスタ!$A219,0)="","",OFFSET(マスタ非採用削除!D$4,統合マスタ!$A219,0))</f>
        <v/>
      </c>
      <c r="R219" s="27">
        <f ca="1">IF(OFFSET(マスタ非採用削除!E$4,統合マスタ!$A219,0)="","",OFFSET(マスタ非採用削除!E$4,統合マスタ!$A219,0))</f>
        <v>1</v>
      </c>
      <c r="S219" s="55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5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5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5</v>
      </c>
      <c r="AA219" s="27"/>
    </row>
    <row r="220" spans="1:27">
      <c r="A220" s="42">
        <f>元データ!P217</f>
        <v>159</v>
      </c>
      <c r="B220" s="27">
        <f t="shared" si="3"/>
        <v>216</v>
      </c>
      <c r="C220" s="27" t="str">
        <f>DBCS(元データ!A217)</f>
        <v>クロフェクトン錠２５ｍｇ</v>
      </c>
      <c r="D220" s="55" t="str">
        <f>元データ!B217</f>
        <v>アルフレッサ</v>
      </c>
      <c r="E220" s="27" t="str">
        <f>元データ!C217</f>
        <v>PTP</v>
      </c>
      <c r="F220" s="27" t="str">
        <f>元データ!D217</f>
        <v>100T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5" t="str">
        <f ca="1">IF(OFFSET(マスタ非採用削除!A$4,統合マスタ!$A220,0)="","",OFFSET(マスタ非採用削除!A$4,統合マスタ!$A220,0))</f>
        <v>ｸﾛﾌ001</v>
      </c>
      <c r="O220" s="55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5" t="str">
        <f ca="1">IF(OFFSET(マスタ非採用削除!D$4,統合マスタ!$A220,0)="","",OFFSET(マスタ非採用削除!D$4,統合マスタ!$A220,0))</f>
        <v>ｸﾛﾌｪｸ2</v>
      </c>
      <c r="R220" s="27">
        <f ca="1">IF(OFFSET(マスタ非採用削除!E$4,統合マスタ!$A220,0)="","",OFFSET(マスタ非採用削除!E$4,統合マスタ!$A220,0))</f>
        <v>2</v>
      </c>
      <c r="S220" s="55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5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5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/>
    </row>
    <row r="221" spans="1:27">
      <c r="A221" s="42">
        <f>元データ!P218</f>
        <v>160</v>
      </c>
      <c r="B221" s="27">
        <f t="shared" si="3"/>
        <v>217</v>
      </c>
      <c r="C221" s="27" t="str">
        <f>DBCS(元データ!A218)</f>
        <v>クロベタゾールプロピオン酸エステル軟膏０．０５％「イワキ」</v>
      </c>
      <c r="D221" s="55" t="str">
        <f>元データ!B218</f>
        <v>アルフレッサ</v>
      </c>
      <c r="E221" s="27" t="str">
        <f>元データ!C218</f>
        <v/>
      </c>
      <c r="F221" s="27" t="str">
        <f>元データ!D218</f>
        <v>5ｇｘ10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5" t="str">
        <f ca="1">IF(OFFSET(マスタ非採用削除!A$4,統合マスタ!$A221,0)="","",OFFSET(マスタ非採用削除!A$4,統合マスタ!$A221,0))</f>
        <v>ｸﾛﾍ001</v>
      </c>
      <c r="O221" s="55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5" t="str">
        <f ca="1">IF(OFFSET(マスタ非採用削除!D$4,統合マスタ!$A221,0)="","",OFFSET(マスタ非採用削除!D$4,統合マスタ!$A221,0))</f>
        <v/>
      </c>
      <c r="R221" s="27">
        <f ca="1">IF(OFFSET(マスタ非採用削除!E$4,統合マスタ!$A221,0)="","",OFFSET(マスタ非採用削除!E$4,統合マスタ!$A221,0))</f>
        <v>1</v>
      </c>
      <c r="S221" s="55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5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5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/>
    </row>
    <row r="222" spans="1:27">
      <c r="A222" s="42">
        <f>元データ!P219</f>
        <v>161</v>
      </c>
      <c r="B222" s="27">
        <f t="shared" si="3"/>
        <v>218</v>
      </c>
      <c r="C222" s="27" t="str">
        <f>DBCS(元データ!A219)</f>
        <v>クロマイ腟錠１００ｍｇ</v>
      </c>
      <c r="D222" s="55" t="str">
        <f>元データ!B219</f>
        <v/>
      </c>
      <c r="E222" s="27" t="str">
        <f>元データ!C219</f>
        <v>ＰＴＰ</v>
      </c>
      <c r="F222" s="27" t="str">
        <f>元データ!D219</f>
        <v>100Ｔ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5" t="str">
        <f ca="1">IF(OFFSET(マスタ非採用削除!A$4,統合マスタ!$A222,0)="","",OFFSET(マスタ非採用削除!A$4,統合マスタ!$A222,0))</f>
        <v>ｸﾛﾏ001</v>
      </c>
      <c r="O222" s="55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5" t="str">
        <f ca="1">IF(OFFSET(マスタ非採用削除!D$4,統合マスタ!$A222,0)="","",OFFSET(マスタ非採用削除!D$4,統合マスタ!$A222,0))</f>
        <v>ｸﾛﾏｲ</v>
      </c>
      <c r="R222" s="27">
        <f ca="1">IF(OFFSET(マスタ非採用削除!E$4,統合マスタ!$A222,0)="","",OFFSET(マスタ非採用削除!E$4,統合マスタ!$A222,0))</f>
        <v>1</v>
      </c>
      <c r="S222" s="55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5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5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/>
    </row>
    <row r="223" spans="1:27">
      <c r="A223" s="42">
        <f>元データ!P220</f>
        <v>162</v>
      </c>
      <c r="B223" s="27">
        <f t="shared" si="3"/>
        <v>219</v>
      </c>
      <c r="C223" s="27" t="str">
        <f>DBCS(元データ!A220)</f>
        <v>クロモグリク酸Ｎａ点眼液２％「ニットー」　</v>
      </c>
      <c r="D223" s="55" t="str">
        <f>元データ!B220</f>
        <v/>
      </c>
      <c r="E223" s="27" t="str">
        <f>元データ!C220</f>
        <v/>
      </c>
      <c r="F223" s="27" t="str">
        <f>元データ!D220</f>
        <v>5MLX5V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5" t="str">
        <f ca="1">IF(OFFSET(マスタ非採用削除!A$4,統合マスタ!$A223,0)="","",OFFSET(マスタ非採用削除!A$4,統合マスタ!$A223,0))</f>
        <v>ｸﾛﾓ004</v>
      </c>
      <c r="O223" s="55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5" t="str">
        <f ca="1">IF(OFFSET(マスタ非採用削除!D$4,統合マスタ!$A223,0)="","",OFFSET(マスタ非採用削除!D$4,統合マスタ!$A223,0))</f>
        <v/>
      </c>
      <c r="R223" s="27">
        <f ca="1">IF(OFFSET(マスタ非採用削除!E$4,統合マスタ!$A223,0)="","",OFFSET(マスタ非採用削除!E$4,統合マスタ!$A223,0))</f>
        <v>1</v>
      </c>
      <c r="S223" s="55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5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5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/>
    </row>
    <row r="224" spans="1:27">
      <c r="A224" s="42">
        <f>元データ!P221</f>
        <v>162</v>
      </c>
      <c r="B224" s="27">
        <f t="shared" si="3"/>
        <v>220</v>
      </c>
      <c r="C224" s="27" t="str">
        <f>DBCS(元データ!A221)</f>
        <v>クロモグリク酸Ｎａ点眼液２％「ニットー」　</v>
      </c>
      <c r="D224" s="55" t="str">
        <f>元データ!B221</f>
        <v>アルフレッサ</v>
      </c>
      <c r="E224" s="27" t="str">
        <f>元データ!C221</f>
        <v/>
      </c>
      <c r="F224" s="27" t="str">
        <f>元データ!D221</f>
        <v>5MLX10V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5" t="str">
        <f ca="1">IF(OFFSET(マスタ非採用削除!A$4,統合マスタ!$A224,0)="","",OFFSET(マスタ非採用削除!A$4,統合マスタ!$A224,0))</f>
        <v>ｸﾛﾓ004</v>
      </c>
      <c r="O224" s="55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5" t="str">
        <f ca="1">IF(OFFSET(マスタ非採用削除!D$4,統合マスタ!$A224,0)="","",OFFSET(マスタ非採用削除!D$4,統合マスタ!$A224,0))</f>
        <v/>
      </c>
      <c r="R224" s="27">
        <f ca="1">IF(OFFSET(マスタ非採用削除!E$4,統合マスタ!$A224,0)="","",OFFSET(マスタ非採用削除!E$4,統合マスタ!$A224,0))</f>
        <v>1</v>
      </c>
      <c r="S224" s="55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5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5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/>
    </row>
    <row r="225" spans="1:27">
      <c r="A225" s="42">
        <f>元データ!P222</f>
        <v>163</v>
      </c>
      <c r="B225" s="27">
        <f t="shared" si="3"/>
        <v>221</v>
      </c>
      <c r="C225" s="27" t="str">
        <f>DBCS(元データ!A222)</f>
        <v>ケイツーＮ静注１０ｍｇ</v>
      </c>
      <c r="D225" s="55" t="str">
        <f>元データ!B222</f>
        <v>KSK</v>
      </c>
      <c r="E225" s="27" t="str">
        <f>元データ!C222</f>
        <v/>
      </c>
      <c r="F225" s="27" t="str">
        <f>元データ!D222</f>
        <v>2ｍｌｘ１０管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5" t="str">
        <f ca="1">IF(OFFSET(マスタ非採用削除!A$4,統合マスタ!$A225,0)="","",OFFSET(マスタ非採用削除!A$4,統合マスタ!$A225,0))</f>
        <v>ｹｲﾂ001</v>
      </c>
      <c r="O225" s="55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5" t="str">
        <f ca="1">IF(OFFSET(マスタ非採用削除!D$4,統合マスタ!$A225,0)="","",OFFSET(マスタ非採用削除!D$4,統合マスタ!$A225,0))</f>
        <v>ｹｲﾂｰ</v>
      </c>
      <c r="R225" s="27">
        <f ca="1">IF(OFFSET(マスタ非採用削除!E$4,統合マスタ!$A225,0)="","",OFFSET(マスタ非採用削除!E$4,統合マスタ!$A225,0))</f>
        <v>1</v>
      </c>
      <c r="S225" s="55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5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5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/>
    </row>
    <row r="226" spans="1:27">
      <c r="A226" s="42">
        <f>元データ!P223</f>
        <v>167</v>
      </c>
      <c r="B226" s="27">
        <f t="shared" si="3"/>
        <v>222</v>
      </c>
      <c r="C226" s="27" t="str">
        <f>DBCS(元データ!A223)</f>
        <v>ゲーベンクリーム１％　　　　　　　　　　</v>
      </c>
      <c r="D226" s="55" t="str">
        <f>元データ!B223</f>
        <v>メディセオ</v>
      </c>
      <c r="E226" s="27" t="str">
        <f>元データ!C223</f>
        <v/>
      </c>
      <c r="F226" s="27" t="str">
        <f>元データ!D223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5" t="str">
        <f ca="1">IF(OFFSET(マスタ非採用削除!A$4,統合マスタ!$A226,0)="","",OFFSET(マスタ非採用削除!A$4,統合マスタ!$A226,0))</f>
        <v>ｹﾍﾝ001</v>
      </c>
      <c r="O226" s="55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5" t="str">
        <f ca="1">IF(OFFSET(マスタ非採用削除!D$4,統合マスタ!$A226,0)="","",OFFSET(マスタ非採用削除!D$4,統合マスタ!$A226,0))</f>
        <v>ｹﾞｰﾍﾞﾝ</v>
      </c>
      <c r="R226" s="27">
        <f ca="1">IF(OFFSET(マスタ非採用削除!E$4,統合マスタ!$A226,0)="","",OFFSET(マスタ非採用削除!E$4,統合マスタ!$A226,0))</f>
        <v>1</v>
      </c>
      <c r="S226" s="55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5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5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/>
    </row>
    <row r="227" spans="1:27">
      <c r="A227" s="42">
        <f>元データ!P224</f>
        <v>164</v>
      </c>
      <c r="B227" s="27">
        <f t="shared" si="3"/>
        <v>223</v>
      </c>
      <c r="C227" s="27" t="str">
        <f>DBCS(元データ!A224)</f>
        <v>ケトチフェン点鼻液０．０５％「サワイ」</v>
      </c>
      <c r="D227" s="55" t="str">
        <f>元データ!B224</f>
        <v/>
      </c>
      <c r="E227" s="27" t="str">
        <f>元データ!C224</f>
        <v/>
      </c>
      <c r="F227" s="27" t="str">
        <f>元データ!D224</f>
        <v>6.048/8ｍｌｘ10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5" t="str">
        <f ca="1">IF(OFFSET(マスタ非採用削除!A$4,統合マスタ!$A227,0)="","",OFFSET(マスタ非採用削除!A$4,統合マスタ!$A227,0))</f>
        <v>ｹﾄﾁ001</v>
      </c>
      <c r="O227" s="55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5" t="str">
        <f ca="1">IF(OFFSET(マスタ非採用削除!D$4,統合マスタ!$A227,0)="","",OFFSET(マスタ非採用削除!D$4,統合マスタ!$A227,0))</f>
        <v>ｹﾄﾁ</v>
      </c>
      <c r="R227" s="27">
        <f ca="1">IF(OFFSET(マスタ非採用削除!E$4,統合マスタ!$A227,0)="","",OFFSET(マスタ非採用削除!E$4,統合マスタ!$A227,0))</f>
        <v>1</v>
      </c>
      <c r="S227" s="55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5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5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/>
    </row>
    <row r="228" spans="1:27">
      <c r="A228" s="42">
        <f>元データ!P225</f>
        <v>165</v>
      </c>
      <c r="B228" s="27">
        <f t="shared" si="3"/>
        <v>224</v>
      </c>
      <c r="C228" s="27" t="str">
        <f>DBCS(元データ!A225)</f>
        <v>ケトプロフェンパップ３０ｍｇ　「三和」　　１０ｘ１４ｃｍ</v>
      </c>
      <c r="D228" s="55" t="str">
        <f>元データ!B225</f>
        <v>スズケン</v>
      </c>
      <c r="E228" s="27" t="str">
        <f>元データ!C225</f>
        <v/>
      </c>
      <c r="F228" s="27" t="str">
        <f>元データ!D225</f>
        <v>7枚ｘ100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5" t="str">
        <f ca="1">IF(OFFSET(マスタ非採用削除!A$4,統合マスタ!$A228,0)="","",OFFSET(マスタ非採用削除!A$4,統合マスタ!$A228,0))</f>
        <v>ｹﾄﾌ001</v>
      </c>
      <c r="O228" s="55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5" t="str">
        <f ca="1">IF(OFFSET(マスタ非採用削除!D$4,統合マスタ!$A228,0)="","",OFFSET(マスタ非採用削除!D$4,統合マスタ!$A228,0))</f>
        <v>ｹﾄﾌﾟ</v>
      </c>
      <c r="R228" s="27">
        <f ca="1">IF(OFFSET(マスタ非採用削除!E$4,統合マスタ!$A228,0)="","",OFFSET(マスタ非採用削除!E$4,統合マスタ!$A228,0))</f>
        <v>1</v>
      </c>
      <c r="S228" s="55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5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5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/>
    </row>
    <row r="229" spans="1:27">
      <c r="A229" s="42">
        <f>元データ!P226</f>
        <v>166</v>
      </c>
      <c r="B229" s="27">
        <f t="shared" si="3"/>
        <v>225</v>
      </c>
      <c r="C229" s="27" t="str">
        <f>DBCS(元データ!A226)</f>
        <v>ケフラールカプセル２５０ｍｇ</v>
      </c>
      <c r="D229" s="55" t="str">
        <f>元データ!B226</f>
        <v>メディセオ</v>
      </c>
      <c r="E229" s="27" t="str">
        <f>元データ!C226</f>
        <v>PTP</v>
      </c>
      <c r="F229" s="27" t="str">
        <f>元データ!D226</f>
        <v>100CAP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5" t="str">
        <f ca="1">IF(OFFSET(マスタ非採用削除!A$4,統合マスタ!$A229,0)="","",OFFSET(マスタ非採用削除!A$4,統合マスタ!$A229,0))</f>
        <v>ｹﾌﾗ001</v>
      </c>
      <c r="O229" s="55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5" t="str">
        <f ca="1">IF(OFFSET(マスタ非採用削除!D$4,統合マスタ!$A229,0)="","",OFFSET(マスタ非採用削除!D$4,統合マスタ!$A229,0))</f>
        <v>ｹﾌﾗ</v>
      </c>
      <c r="R229" s="27">
        <f ca="1">IF(OFFSET(マスタ非採用削除!E$4,統合マスタ!$A229,0)="","",OFFSET(マスタ非採用削除!E$4,統合マスタ!$A229,0))</f>
        <v>1</v>
      </c>
      <c r="S229" s="55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5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5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/>
    </row>
    <row r="230" spans="1:27">
      <c r="A230" s="42">
        <f>元データ!P227</f>
        <v>0</v>
      </c>
      <c r="B230" s="27">
        <f t="shared" si="3"/>
        <v>226</v>
      </c>
      <c r="C230" s="27" t="str">
        <f>DBCS(元データ!A227)</f>
        <v>ケフレックスカプセル２５０ｍｇ</v>
      </c>
      <c r="D230" s="55" t="str">
        <f>元データ!B227</f>
        <v>メディセオ</v>
      </c>
      <c r="E230" s="27" t="str">
        <f>元データ!C227</f>
        <v>PTP</v>
      </c>
      <c r="F230" s="27" t="str">
        <f>元データ!D227</f>
        <v>100T</v>
      </c>
      <c r="G230" s="27" t="str">
        <f>元データ!E227</f>
        <v>共和薬品</v>
      </c>
      <c r="H230" s="27">
        <f>元データ!F227</f>
        <v>31.5</v>
      </c>
      <c r="I230" s="27">
        <f>元データ!G227</f>
        <v>3150</v>
      </c>
      <c r="J230" s="27">
        <f>元データ!H227</f>
        <v>100</v>
      </c>
      <c r="K230" s="27" t="str">
        <f>元データ!I227</f>
        <v>cap</v>
      </c>
      <c r="L230" s="27">
        <f>元データ!J227</f>
        <v>2863</v>
      </c>
      <c r="M230" s="27">
        <f>元データ!K227</f>
        <v>28.63</v>
      </c>
      <c r="N230" s="55" t="str">
        <f ca="1">IF(OFFSET(マスタ非採用削除!A$4,統合マスタ!$A230,0)="","",OFFSET(マスタ非採用削除!A$4,統合マスタ!$A230,0))</f>
        <v>コード(区分値)</v>
      </c>
      <c r="O230" s="55" t="str">
        <f ca="1">IF(OFFSET(マスタ非採用削除!B$4,統合マスタ!$A230,0)="","",OFFSET(マスタ非採用削除!B$4,統合マスタ!$A230,0))</f>
        <v>コード</v>
      </c>
      <c r="P230" s="27" t="str">
        <f ca="1">IF(OFFSET(マスタ非採用削除!C$4,統合マスタ!$A230,0)="","",OFFSET(マスタ非採用削除!C$4,統合マスタ!$A230,0))</f>
        <v>名称</v>
      </c>
      <c r="Q230" s="55" t="str">
        <f ca="1">IF(OFFSET(マスタ非採用削除!D$4,統合マスタ!$A230,0)="","",OFFSET(マスタ非採用削除!D$4,統合マスタ!$A230,0))</f>
        <v>ホストコード</v>
      </c>
      <c r="R230" s="27" t="str">
        <f ca="1">IF(OFFSET(マスタ非採用削除!E$4,統合マスタ!$A230,0)="","",OFFSET(マスタ非採用削除!E$4,統合マスタ!$A230,0))</f>
        <v>採用区分（区分値）(区分値)</v>
      </c>
      <c r="S230" s="55" t="str">
        <f ca="1">IF(OFFSET(マスタ非採用削除!F$4,統合マスタ!$A230,0)="","",OFFSET(マスタ非採用削除!F$4,統合マスタ!$A230,0))</f>
        <v>採用区分（区分値）</v>
      </c>
      <c r="T230" s="27" t="str">
        <f ca="1">IF(OFFSET(マスタ非採用削除!G$4,統合マスタ!$A230,0)="","",OFFSET(マスタ非採用削除!G$4,統合マスタ!$A230,0))</f>
        <v>薬価</v>
      </c>
      <c r="U230" s="55" t="str">
        <f ca="1">IF(OFFSET(マスタ非採用削除!H$4,統合マスタ!$A230,0)="","",OFFSET(マスタ非採用削除!H$4,統合マスタ!$A230,0))</f>
        <v>カナ名称</v>
      </c>
      <c r="V230" s="27" t="str">
        <f ca="1">IF(OFFSET(マスタ非採用削除!I$4,統合マスタ!$A230,0)="","",OFFSET(マスタ非採用削除!I$4,統合マスタ!$A230,0))</f>
        <v>剤形(区分値)</v>
      </c>
      <c r="W230" s="27" t="str">
        <f ca="1">IF(OFFSET(マスタ非採用削除!J$4,統合マスタ!$A230,0)="","",OFFSET(マスタ非採用削除!J$4,統合マスタ!$A230,0))</f>
        <v>剤形</v>
      </c>
      <c r="X230" s="27" t="str">
        <f ca="1">IF(OFFSET(マスタ非採用削除!K$4,統合マスタ!$A230,0)="","",OFFSET(マスタ非採用削除!K$4,統合マスタ!$A230,0))</f>
        <v>毒劇薬（区分値）(区分値)</v>
      </c>
      <c r="Y230" s="55" t="str">
        <f ca="1">IF(OFFSET(マスタ非採用削除!L$4,統合マスタ!$A230,0)="","",OFFSET(マスタ非採用削除!L$4,統合マスタ!$A230,0))</f>
        <v>毒劇薬（区分値）</v>
      </c>
      <c r="Z230" s="27" t="str">
        <f ca="1">IF(OFFSET(マスタ非採用削除!M$4,統合マスタ!$A230,0)="","",OFFSET(マスタ非採用削除!M$4,統合マスタ!$A230,0))</f>
        <v>棚</v>
      </c>
      <c r="AA230" s="27"/>
    </row>
    <row r="231" spans="1:27">
      <c r="A231" s="42">
        <f>元データ!P228</f>
        <v>168</v>
      </c>
      <c r="B231" s="27">
        <f t="shared" si="3"/>
        <v>227</v>
      </c>
      <c r="C231" s="27" t="str">
        <f>DBCS(元データ!A228)</f>
        <v>ケルロング錠１０ｍｇ</v>
      </c>
      <c r="D231" s="55" t="str">
        <f>元データ!B228</f>
        <v>アルフレッサ</v>
      </c>
      <c r="E231" s="27" t="str">
        <f>元データ!C228</f>
        <v>PTP</v>
      </c>
      <c r="F231" s="27" t="str">
        <f>元データ!D228</f>
        <v>100Ｔ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5" t="str">
        <f ca="1">IF(OFFSET(マスタ非採用削除!A$4,統合マスタ!$A231,0)="","",OFFSET(マスタ非採用削除!A$4,統合マスタ!$A231,0))</f>
        <v>ｹﾙﾛ001</v>
      </c>
      <c r="O231" s="55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5" t="str">
        <f ca="1">IF(OFFSET(マスタ非採用削除!D$4,統合マスタ!$A231,0)="","",OFFSET(マスタ非採用削除!D$4,統合マスタ!$A231,0))</f>
        <v>ｹﾙﾛﾝｸﾞ</v>
      </c>
      <c r="R231" s="27">
        <f ca="1">IF(OFFSET(マスタ非採用削除!E$4,統合マスタ!$A231,0)="","",OFFSET(マスタ非採用削除!E$4,統合マスタ!$A231,0))</f>
        <v>1</v>
      </c>
      <c r="S231" s="55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5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5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/>
    </row>
    <row r="232" spans="1:27">
      <c r="A232" s="42">
        <f>元データ!P229</f>
        <v>169</v>
      </c>
      <c r="B232" s="27">
        <f t="shared" si="3"/>
        <v>228</v>
      </c>
      <c r="C232" s="27" t="str">
        <f>DBCS(元データ!A229)</f>
        <v>ゲンタマイシン硫酸塩軟膏０．１％「イワキ」</v>
      </c>
      <c r="D232" s="55" t="str">
        <f>元データ!B229</f>
        <v>KSK</v>
      </c>
      <c r="E232" s="27" t="str">
        <f>元データ!C229</f>
        <v/>
      </c>
      <c r="F232" s="27" t="str">
        <f>元データ!D229</f>
        <v>10ｇX10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5" t="str">
        <f ca="1">IF(OFFSET(マスタ非採用削除!A$4,統合マスタ!$A232,0)="","",OFFSET(マスタ非採用削除!A$4,統合マスタ!$A232,0))</f>
        <v>ｹﾝﾀ001</v>
      </c>
      <c r="O232" s="55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5" t="str">
        <f ca="1">IF(OFFSET(マスタ非採用削除!D$4,統合マスタ!$A232,0)="","",OFFSET(マスタ非採用削除!D$4,統合マスタ!$A232,0))</f>
        <v>ｹﾞﾝﾀ</v>
      </c>
      <c r="R232" s="27">
        <f ca="1">IF(OFFSET(マスタ非採用削除!E$4,統合マスタ!$A232,0)="","",OFFSET(マスタ非採用削除!E$4,統合マスタ!$A232,0))</f>
        <v>1</v>
      </c>
      <c r="S232" s="55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5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5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/>
    </row>
    <row r="233" spans="1:27">
      <c r="A233" s="42">
        <f>元データ!P230</f>
        <v>0</v>
      </c>
      <c r="B233" s="27">
        <f t="shared" si="3"/>
        <v>229</v>
      </c>
      <c r="C233" s="27" t="str">
        <f>DBCS(元データ!A230)</f>
        <v>コートリル錠１０ｍｇ</v>
      </c>
      <c r="D233" s="55" t="str">
        <f>元データ!B230</f>
        <v/>
      </c>
      <c r="E233" s="27" t="str">
        <f>元データ!C230</f>
        <v>PTP</v>
      </c>
      <c r="F233" s="27" t="str">
        <f>元データ!D230</f>
        <v>100T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5" t="str">
        <f ca="1">IF(OFFSET(マスタ非採用削除!A$4,統合マスタ!$A233,0)="","",OFFSET(マスタ非採用削除!A$4,統合マスタ!$A233,0))</f>
        <v>コード(区分値)</v>
      </c>
      <c r="O233" s="55" t="str">
        <f ca="1">IF(OFFSET(マスタ非採用削除!B$4,統合マスタ!$A233,0)="","",OFFSET(マスタ非採用削除!B$4,統合マスタ!$A233,0))</f>
        <v>コード</v>
      </c>
      <c r="P233" s="27" t="str">
        <f ca="1">IF(OFFSET(マスタ非採用削除!C$4,統合マスタ!$A233,0)="","",OFFSET(マスタ非採用削除!C$4,統合マスタ!$A233,0))</f>
        <v>名称</v>
      </c>
      <c r="Q233" s="55" t="str">
        <f ca="1">IF(OFFSET(マスタ非採用削除!D$4,統合マスタ!$A233,0)="","",OFFSET(マスタ非採用削除!D$4,統合マスタ!$A233,0))</f>
        <v>ホストコード</v>
      </c>
      <c r="R233" s="27" t="str">
        <f ca="1">IF(OFFSET(マスタ非採用削除!E$4,統合マスタ!$A233,0)="","",OFFSET(マスタ非採用削除!E$4,統合マスタ!$A233,0))</f>
        <v>採用区分（区分値）(区分値)</v>
      </c>
      <c r="S233" s="55" t="str">
        <f ca="1">IF(OFFSET(マスタ非採用削除!F$4,統合マスタ!$A233,0)="","",OFFSET(マスタ非採用削除!F$4,統合マスタ!$A233,0))</f>
        <v>採用区分（区分値）</v>
      </c>
      <c r="T233" s="27" t="str">
        <f ca="1">IF(OFFSET(マスタ非採用削除!G$4,統合マスタ!$A233,0)="","",OFFSET(マスタ非採用削除!G$4,統合マスタ!$A233,0))</f>
        <v>薬価</v>
      </c>
      <c r="U233" s="55" t="str">
        <f ca="1">IF(OFFSET(マスタ非採用削除!H$4,統合マスタ!$A233,0)="","",OFFSET(マスタ非採用削除!H$4,統合マスタ!$A233,0))</f>
        <v>カナ名称</v>
      </c>
      <c r="V233" s="27" t="str">
        <f ca="1">IF(OFFSET(マスタ非採用削除!I$4,統合マスタ!$A233,0)="","",OFFSET(マスタ非採用削除!I$4,統合マスタ!$A233,0))</f>
        <v>剤形(区分値)</v>
      </c>
      <c r="W233" s="27" t="str">
        <f ca="1">IF(OFFSET(マスタ非採用削除!J$4,統合マスタ!$A233,0)="","",OFFSET(マスタ非採用削除!J$4,統合マスタ!$A233,0))</f>
        <v>剤形</v>
      </c>
      <c r="X233" s="27" t="str">
        <f ca="1">IF(OFFSET(マスタ非採用削除!K$4,統合マスタ!$A233,0)="","",OFFSET(マスタ非採用削除!K$4,統合マスタ!$A233,0))</f>
        <v>毒劇薬（区分値）(区分値)</v>
      </c>
      <c r="Y233" s="55" t="str">
        <f ca="1">IF(OFFSET(マスタ非採用削除!L$4,統合マスタ!$A233,0)="","",OFFSET(マスタ非採用削除!L$4,統合マスタ!$A233,0))</f>
        <v>毒劇薬（区分値）</v>
      </c>
      <c r="Z233" s="27" t="str">
        <f ca="1">IF(OFFSET(マスタ非採用削除!M$4,統合マスタ!$A233,0)="","",OFFSET(マスタ非採用削除!M$4,統合マスタ!$A233,0))</f>
        <v>棚</v>
      </c>
      <c r="AA233" s="27"/>
    </row>
    <row r="234" spans="1:27">
      <c r="A234" s="42">
        <f>元データ!P231</f>
        <v>173</v>
      </c>
      <c r="B234" s="27">
        <f t="shared" si="3"/>
        <v>230</v>
      </c>
      <c r="C234" s="27" t="str">
        <f>DBCS(元データ!A231)</f>
        <v>コールタイジン点鼻液</v>
      </c>
      <c r="D234" s="55" t="str">
        <f>元データ!B231</f>
        <v>メディセオ</v>
      </c>
      <c r="E234" s="27" t="str">
        <f>元データ!C231</f>
        <v/>
      </c>
      <c r="F234" s="27" t="str">
        <f>元データ!D231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5" t="str">
        <f ca="1">IF(OFFSET(マスタ非採用削除!A$4,統合マスタ!$A234,0)="","",OFFSET(マスタ非採用削除!A$4,統合マスタ!$A234,0))</f>
        <v>ｺﾙﾀ001</v>
      </c>
      <c r="O234" s="55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5" t="str">
        <f ca="1">IF(OFFSET(マスタ非採用削除!D$4,統合マスタ!$A234,0)="","",OFFSET(マスタ非採用削除!D$4,統合マスタ!$A234,0))</f>
        <v>ｺｰﾙﾀｲｼ</v>
      </c>
      <c r="R234" s="27">
        <f ca="1">IF(OFFSET(マスタ非採用削除!E$4,統合マスタ!$A234,0)="","",OFFSET(マスタ非採用削除!E$4,統合マスタ!$A234,0))</f>
        <v>1</v>
      </c>
      <c r="S234" s="55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5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5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/>
    </row>
    <row r="235" spans="1:27">
      <c r="A235" s="42">
        <f>元データ!P232</f>
        <v>172</v>
      </c>
      <c r="B235" s="27">
        <f t="shared" si="3"/>
        <v>231</v>
      </c>
      <c r="C235" s="27" t="str">
        <f>DBCS(元データ!A232)</f>
        <v>コソプト配合点眼液</v>
      </c>
      <c r="D235" s="55" t="str">
        <f>元データ!B232</f>
        <v>アルフレッサ</v>
      </c>
      <c r="E235" s="27" t="str">
        <f>元データ!C232</f>
        <v/>
      </c>
      <c r="F235" s="27" t="str">
        <f>元データ!D232</f>
        <v>5ｍｌｘ10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5" t="str">
        <f ca="1">IF(OFFSET(マスタ非採用削除!A$4,統合マスタ!$A235,0)="","",OFFSET(マスタ非採用削除!A$4,統合マスタ!$A235,0))</f>
        <v>ｺｿﾌ001</v>
      </c>
      <c r="O235" s="55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5" t="str">
        <f ca="1">IF(OFFSET(マスタ非採用削除!D$4,統合マスタ!$A235,0)="","",OFFSET(マスタ非採用削除!D$4,統合マスタ!$A235,0))</f>
        <v>ｺｿﾌﾟ</v>
      </c>
      <c r="R235" s="27">
        <f ca="1">IF(OFFSET(マスタ非採用削除!E$4,統合マスタ!$A235,0)="","",OFFSET(マスタ非採用削除!E$4,統合マスタ!$A235,0))</f>
        <v>2</v>
      </c>
      <c r="S235" s="55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5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5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/>
    </row>
    <row r="236" spans="1:27">
      <c r="A236" s="42">
        <f>元データ!P233</f>
        <v>0</v>
      </c>
      <c r="B236" s="27">
        <f t="shared" si="3"/>
        <v>232</v>
      </c>
      <c r="C236" s="27" t="str">
        <f>DBCS(元データ!A233)</f>
        <v>コデインリン酸塩散１％「ホエイ」</v>
      </c>
      <c r="D236" s="55" t="str">
        <f>元データ!B233</f>
        <v>メディセオ</v>
      </c>
      <c r="E236" s="27" t="str">
        <f>元データ!C233</f>
        <v>粉</v>
      </c>
      <c r="F236" s="27" t="str">
        <f>元データ!D233</f>
        <v>500ｇ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5" t="str">
        <f ca="1">IF(OFFSET(マスタ非採用削除!A$4,統合マスタ!$A236,0)="","",OFFSET(マスタ非採用削除!A$4,統合マスタ!$A236,0))</f>
        <v>コード(区分値)</v>
      </c>
      <c r="O236" s="55" t="str">
        <f ca="1">IF(OFFSET(マスタ非採用削除!B$4,統合マスタ!$A236,0)="","",OFFSET(マスタ非採用削除!B$4,統合マスタ!$A236,0))</f>
        <v>コード</v>
      </c>
      <c r="P236" s="27" t="str">
        <f ca="1">IF(OFFSET(マスタ非採用削除!C$4,統合マスタ!$A236,0)="","",OFFSET(マスタ非採用削除!C$4,統合マスタ!$A236,0))</f>
        <v>名称</v>
      </c>
      <c r="Q236" s="55" t="str">
        <f ca="1">IF(OFFSET(マスタ非採用削除!D$4,統合マスタ!$A236,0)="","",OFFSET(マスタ非採用削除!D$4,統合マスタ!$A236,0))</f>
        <v>ホストコード</v>
      </c>
      <c r="R236" s="27" t="str">
        <f ca="1">IF(OFFSET(マスタ非採用削除!E$4,統合マスタ!$A236,0)="","",OFFSET(マスタ非採用削除!E$4,統合マスタ!$A236,0))</f>
        <v>採用区分（区分値）(区分値)</v>
      </c>
      <c r="S236" s="55" t="str">
        <f ca="1">IF(OFFSET(マスタ非採用削除!F$4,統合マスタ!$A236,0)="","",OFFSET(マスタ非採用削除!F$4,統合マスタ!$A236,0))</f>
        <v>採用区分（区分値）</v>
      </c>
      <c r="T236" s="27" t="str">
        <f ca="1">IF(OFFSET(マスタ非採用削除!G$4,統合マスタ!$A236,0)="","",OFFSET(マスタ非採用削除!G$4,統合マスタ!$A236,0))</f>
        <v>薬価</v>
      </c>
      <c r="U236" s="55" t="str">
        <f ca="1">IF(OFFSET(マスタ非採用削除!H$4,統合マスタ!$A236,0)="","",OFFSET(マスタ非採用削除!H$4,統合マスタ!$A236,0))</f>
        <v>カナ名称</v>
      </c>
      <c r="V236" s="27" t="str">
        <f ca="1">IF(OFFSET(マスタ非採用削除!I$4,統合マスタ!$A236,0)="","",OFFSET(マスタ非採用削除!I$4,統合マスタ!$A236,0))</f>
        <v>剤形(区分値)</v>
      </c>
      <c r="W236" s="27" t="str">
        <f ca="1">IF(OFFSET(マスタ非採用削除!J$4,統合マスタ!$A236,0)="","",OFFSET(マスタ非採用削除!J$4,統合マスタ!$A236,0))</f>
        <v>剤形</v>
      </c>
      <c r="X236" s="27" t="str">
        <f ca="1">IF(OFFSET(マスタ非採用削除!K$4,統合マスタ!$A236,0)="","",OFFSET(マスタ非採用削除!K$4,統合マスタ!$A236,0))</f>
        <v>毒劇薬（区分値）(区分値)</v>
      </c>
      <c r="Y236" s="55" t="str">
        <f ca="1">IF(OFFSET(マスタ非採用削除!L$4,統合マスタ!$A236,0)="","",OFFSET(マスタ非採用削除!L$4,統合マスタ!$A236,0))</f>
        <v>毒劇薬（区分値）</v>
      </c>
      <c r="Z236" s="27" t="str">
        <f ca="1">IF(OFFSET(マスタ非採用削除!M$4,統合マスタ!$A236,0)="","",OFFSET(マスタ非採用削除!M$4,統合マスタ!$A236,0))</f>
        <v>棚</v>
      </c>
      <c r="AA236" s="27"/>
    </row>
    <row r="237" spans="1:27">
      <c r="A237" s="42">
        <f>元データ!P234</f>
        <v>0</v>
      </c>
      <c r="B237" s="27">
        <f t="shared" si="3"/>
        <v>233</v>
      </c>
      <c r="C237" s="27" t="str">
        <f>DBCS(元データ!A234)</f>
        <v>コミナティ筋注シリンジ</v>
      </c>
      <c r="D237" s="55" t="str">
        <f>元データ!B234</f>
        <v>アルフレッサ</v>
      </c>
      <c r="E237" s="27" t="str">
        <f>元データ!C234</f>
        <v/>
      </c>
      <c r="F237" s="27" t="str">
        <f>元データ!D234</f>
        <v>1シリンジ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5" t="str">
        <f ca="1">IF(OFFSET(マスタ非採用削除!A$4,統合マスタ!$A237,0)="","",OFFSET(マスタ非採用削除!A$4,統合マスタ!$A237,0))</f>
        <v>コード(区分値)</v>
      </c>
      <c r="O237" s="55" t="str">
        <f ca="1">IF(OFFSET(マスタ非採用削除!B$4,統合マスタ!$A237,0)="","",OFFSET(マスタ非採用削除!B$4,統合マスタ!$A237,0))</f>
        <v>コード</v>
      </c>
      <c r="P237" s="27" t="str">
        <f ca="1">IF(OFFSET(マスタ非採用削除!C$4,統合マスタ!$A237,0)="","",OFFSET(マスタ非採用削除!C$4,統合マスタ!$A237,0))</f>
        <v>名称</v>
      </c>
      <c r="Q237" s="55" t="str">
        <f ca="1">IF(OFFSET(マスタ非採用削除!D$4,統合マスタ!$A237,0)="","",OFFSET(マスタ非採用削除!D$4,統合マスタ!$A237,0))</f>
        <v>ホストコード</v>
      </c>
      <c r="R237" s="27" t="str">
        <f ca="1">IF(OFFSET(マスタ非採用削除!E$4,統合マスタ!$A237,0)="","",OFFSET(マスタ非採用削除!E$4,統合マスタ!$A237,0))</f>
        <v>採用区分（区分値）(区分値)</v>
      </c>
      <c r="S237" s="55" t="str">
        <f ca="1">IF(OFFSET(マスタ非採用削除!F$4,統合マスタ!$A237,0)="","",OFFSET(マスタ非採用削除!F$4,統合マスタ!$A237,0))</f>
        <v>採用区分（区分値）</v>
      </c>
      <c r="T237" s="27" t="str">
        <f ca="1">IF(OFFSET(マスタ非採用削除!G$4,統合マスタ!$A237,0)="","",OFFSET(マスタ非採用削除!G$4,統合マスタ!$A237,0))</f>
        <v>薬価</v>
      </c>
      <c r="U237" s="55" t="str">
        <f ca="1">IF(OFFSET(マスタ非採用削除!H$4,統合マスタ!$A237,0)="","",OFFSET(マスタ非採用削除!H$4,統合マスタ!$A237,0))</f>
        <v>カナ名称</v>
      </c>
      <c r="V237" s="27" t="str">
        <f ca="1">IF(OFFSET(マスタ非採用削除!I$4,統合マスタ!$A237,0)="","",OFFSET(マスタ非採用削除!I$4,統合マスタ!$A237,0))</f>
        <v>剤形(区分値)</v>
      </c>
      <c r="W237" s="27" t="str">
        <f ca="1">IF(OFFSET(マスタ非採用削除!J$4,統合マスタ!$A237,0)="","",OFFSET(マスタ非採用削除!J$4,統合マスタ!$A237,0))</f>
        <v>剤形</v>
      </c>
      <c r="X237" s="27" t="str">
        <f ca="1">IF(OFFSET(マスタ非採用削除!K$4,統合マスタ!$A237,0)="","",OFFSET(マスタ非採用削除!K$4,統合マスタ!$A237,0))</f>
        <v>毒劇薬（区分値）(区分値)</v>
      </c>
      <c r="Y237" s="55" t="str">
        <f ca="1">IF(OFFSET(マスタ非採用削除!L$4,統合マスタ!$A237,0)="","",OFFSET(マスタ非採用削除!L$4,統合マスタ!$A237,0))</f>
        <v>毒劇薬（区分値）</v>
      </c>
      <c r="Z237" s="27" t="str">
        <f ca="1">IF(OFFSET(マスタ非採用削除!M$4,統合マスタ!$A237,0)="","",OFFSET(マスタ非採用削除!M$4,統合マスタ!$A237,0))</f>
        <v>棚</v>
      </c>
      <c r="AA237" s="27"/>
    </row>
    <row r="238" spans="1:27">
      <c r="A238" s="42">
        <f>元データ!P235</f>
        <v>174</v>
      </c>
      <c r="B238" s="27">
        <f t="shared" si="3"/>
        <v>234</v>
      </c>
      <c r="C238" s="27" t="str">
        <f>DBCS(元データ!A235)</f>
        <v>コンサータ錠１８ｍｇ</v>
      </c>
      <c r="D238" s="55" t="str">
        <f>元データ!B235</f>
        <v>アルフレッサ</v>
      </c>
      <c r="E238" s="27" t="str">
        <f>元データ!C235</f>
        <v>PTP</v>
      </c>
      <c r="F238" s="27" t="str">
        <f>元データ!D235</f>
        <v>100T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5" t="str">
        <f ca="1">IF(OFFSET(マスタ非採用削除!A$4,統合マスタ!$A238,0)="","",OFFSET(マスタ非採用削除!A$4,統合マスタ!$A238,0))</f>
        <v>ｺﾝｻ001</v>
      </c>
      <c r="O238" s="55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5" t="str">
        <f ca="1">IF(OFFSET(マスタ非採用削除!D$4,統合マスタ!$A238,0)="","",OFFSET(マスタ非採用削除!D$4,統合マスタ!$A238,0))</f>
        <v>ｺﾝｻ</v>
      </c>
      <c r="R238" s="27">
        <f ca="1">IF(OFFSET(マスタ非採用削除!E$4,統合マスタ!$A238,0)="","",OFFSET(マスタ非採用削除!E$4,統合マスタ!$A238,0))</f>
        <v>2</v>
      </c>
      <c r="S238" s="55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5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5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/>
    </row>
    <row r="239" spans="1:27">
      <c r="A239" s="42">
        <f>元データ!P236</f>
        <v>177</v>
      </c>
      <c r="B239" s="27">
        <f t="shared" si="3"/>
        <v>235</v>
      </c>
      <c r="C239" s="27" t="str">
        <f>DBCS(元データ!A236)</f>
        <v>コントミン糖衣錠１００ｍｇ</v>
      </c>
      <c r="D239" s="55" t="str">
        <f>元データ!B236</f>
        <v>メディセオ</v>
      </c>
      <c r="E239" s="27" t="str">
        <f>元データ!C236</f>
        <v>PTP</v>
      </c>
      <c r="F239" s="27" t="str">
        <f>元データ!D236</f>
        <v>100Ｔ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5" t="str">
        <f ca="1">IF(OFFSET(マスタ非採用削除!A$4,統合マスタ!$A239,0)="","",OFFSET(マスタ非採用削除!A$4,統合マスタ!$A239,0))</f>
        <v>ｺﾝﾄ003</v>
      </c>
      <c r="O239" s="55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5" t="str">
        <f ca="1">IF(OFFSET(マスタ非採用削除!D$4,統合マスタ!$A239,0)="","",OFFSET(マスタ非採用削除!D$4,統合マスタ!$A239,0))</f>
        <v>ｺﾝﾄﾐ4</v>
      </c>
      <c r="R239" s="27">
        <f ca="1">IF(OFFSET(マスタ非採用削除!E$4,統合マスタ!$A239,0)="","",OFFSET(マスタ非採用削除!E$4,統合マスタ!$A239,0))</f>
        <v>1</v>
      </c>
      <c r="S239" s="55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5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5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/>
    </row>
    <row r="240" spans="1:27">
      <c r="A240" s="42">
        <f>元データ!P237</f>
        <v>175</v>
      </c>
      <c r="B240" s="27">
        <f t="shared" si="3"/>
        <v>236</v>
      </c>
      <c r="C240" s="27" t="str">
        <f>DBCS(元データ!A237)</f>
        <v>コントミン糖衣錠２５ｍｇ</v>
      </c>
      <c r="D240" s="55" t="str">
        <f>元データ!B237</f>
        <v/>
      </c>
      <c r="E240" s="27" t="str">
        <f>元データ!C237</f>
        <v>PTP</v>
      </c>
      <c r="F240" s="27" t="str">
        <f>元データ!D237</f>
        <v>100Ｔ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5" t="str">
        <f ca="1">IF(OFFSET(マスタ非採用削除!A$4,統合マスタ!$A240,0)="","",OFFSET(マスタ非採用削除!A$4,統合マスタ!$A240,0))</f>
        <v>ｺﾝﾄ001</v>
      </c>
      <c r="O240" s="55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5" t="str">
        <f ca="1">IF(OFFSET(マスタ非採用削除!D$4,統合マスタ!$A240,0)="","",OFFSET(マスタ非採用削除!D$4,統合マスタ!$A240,0))</f>
        <v>ｺﾝﾄﾐ2</v>
      </c>
      <c r="R240" s="27">
        <f ca="1">IF(OFFSET(マスタ非採用削除!E$4,統合マスタ!$A240,0)="","",OFFSET(マスタ非採用削除!E$4,統合マスタ!$A240,0))</f>
        <v>1</v>
      </c>
      <c r="S240" s="55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5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5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6</v>
      </c>
      <c r="AA240" s="27"/>
    </row>
    <row r="241" spans="1:27">
      <c r="A241" s="42">
        <f>元データ!P238</f>
        <v>175</v>
      </c>
      <c r="B241" s="27">
        <f t="shared" si="3"/>
        <v>237</v>
      </c>
      <c r="C241" s="27" t="str">
        <f>DBCS(元データ!A238)</f>
        <v>コントミン糖衣錠２５ｍｇ</v>
      </c>
      <c r="D241" s="55" t="str">
        <f>元データ!B238</f>
        <v/>
      </c>
      <c r="E241" s="27" t="str">
        <f>元データ!C238</f>
        <v>PTP</v>
      </c>
      <c r="F241" s="27" t="str">
        <f>元データ!D238</f>
        <v>1000Ｔ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5" t="str">
        <f ca="1">IF(OFFSET(マスタ非採用削除!A$4,統合マスタ!$A241,0)="","",OFFSET(マスタ非採用削除!A$4,統合マスタ!$A241,0))</f>
        <v>ｺﾝﾄ001</v>
      </c>
      <c r="O241" s="55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5" t="str">
        <f ca="1">IF(OFFSET(マスタ非採用削除!D$4,統合マスタ!$A241,0)="","",OFFSET(マスタ非採用削除!D$4,統合マスタ!$A241,0))</f>
        <v>ｺﾝﾄﾐ2</v>
      </c>
      <c r="R241" s="27">
        <f ca="1">IF(OFFSET(マスタ非採用削除!E$4,統合マスタ!$A241,0)="","",OFFSET(マスタ非採用削除!E$4,統合マスタ!$A241,0))</f>
        <v>1</v>
      </c>
      <c r="S241" s="55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5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5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6</v>
      </c>
      <c r="AA241" s="27"/>
    </row>
    <row r="242" spans="1:27">
      <c r="A242" s="42">
        <f>元データ!P239</f>
        <v>175</v>
      </c>
      <c r="B242" s="27">
        <f t="shared" si="3"/>
        <v>238</v>
      </c>
      <c r="C242" s="27" t="str">
        <f>DBCS(元データ!A239)</f>
        <v>コントミン糖衣錠２５ｍｇ</v>
      </c>
      <c r="D242" s="55" t="str">
        <f>元データ!B239</f>
        <v>メディセオ</v>
      </c>
      <c r="E242" s="27" t="str">
        <f>元データ!C239</f>
        <v>バラ</v>
      </c>
      <c r="F242" s="27" t="str">
        <f>元データ!D239</f>
        <v>1000Ｔ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5" t="str">
        <f ca="1">IF(OFFSET(マスタ非採用削除!A$4,統合マスタ!$A242,0)="","",OFFSET(マスタ非採用削除!A$4,統合マスタ!$A242,0))</f>
        <v>ｺﾝﾄ001</v>
      </c>
      <c r="O242" s="55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5" t="str">
        <f ca="1">IF(OFFSET(マスタ非採用削除!D$4,統合マスタ!$A242,0)="","",OFFSET(マスタ非採用削除!D$4,統合マスタ!$A242,0))</f>
        <v>ｺﾝﾄﾐ2</v>
      </c>
      <c r="R242" s="27">
        <f ca="1">IF(OFFSET(マスタ非採用削除!E$4,統合マスタ!$A242,0)="","",OFFSET(マスタ非採用削除!E$4,統合マスタ!$A242,0))</f>
        <v>1</v>
      </c>
      <c r="S242" s="55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5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5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6</v>
      </c>
      <c r="AA242" s="27"/>
    </row>
    <row r="243" spans="1:27">
      <c r="A243" s="42">
        <f>元データ!P240</f>
        <v>176</v>
      </c>
      <c r="B243" s="27">
        <f t="shared" si="3"/>
        <v>239</v>
      </c>
      <c r="C243" s="27" t="str">
        <f>DBCS(元データ!A240)</f>
        <v>コントミン糖衣錠５０ｍｇ</v>
      </c>
      <c r="D243" s="55" t="str">
        <f>元データ!B240</f>
        <v/>
      </c>
      <c r="E243" s="27" t="str">
        <f>元データ!C240</f>
        <v>PTP</v>
      </c>
      <c r="F243" s="27" t="str">
        <f>元データ!D240</f>
        <v>100Ｔ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5" t="str">
        <f ca="1">IF(OFFSET(マスタ非採用削除!A$4,統合マスタ!$A243,0)="","",OFFSET(マスタ非採用削除!A$4,統合マスタ!$A243,0))</f>
        <v>ｺﾝﾄ002</v>
      </c>
      <c r="O243" s="55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5" t="str">
        <f ca="1">IF(OFFSET(マスタ非採用削除!D$4,統合マスタ!$A243,0)="","",OFFSET(マスタ非採用削除!D$4,統合マスタ!$A243,0))</f>
        <v>ｺﾝﾄﾐ3</v>
      </c>
      <c r="R243" s="27">
        <f ca="1">IF(OFFSET(マスタ非採用削除!E$4,統合マスタ!$A243,0)="","",OFFSET(マスタ非採用削除!E$4,統合マスタ!$A243,0))</f>
        <v>1</v>
      </c>
      <c r="S243" s="55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5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5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5</v>
      </c>
      <c r="AA243" s="27"/>
    </row>
    <row r="244" spans="1:27">
      <c r="A244" s="42">
        <f>元データ!P241</f>
        <v>176</v>
      </c>
      <c r="B244" s="27">
        <f t="shared" si="3"/>
        <v>240</v>
      </c>
      <c r="C244" s="27" t="str">
        <f>DBCS(元データ!A241)</f>
        <v>コントミン糖衣錠５０ｍｇ</v>
      </c>
      <c r="D244" s="55" t="str">
        <f>元データ!B241</f>
        <v>メディセオ</v>
      </c>
      <c r="E244" s="27" t="str">
        <f>元データ!C241</f>
        <v>バラ</v>
      </c>
      <c r="F244" s="27" t="str">
        <f>元データ!D241</f>
        <v>1000Ｔ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5" t="str">
        <f ca="1">IF(OFFSET(マスタ非採用削除!A$4,統合マスタ!$A244,0)="","",OFFSET(マスタ非採用削除!A$4,統合マスタ!$A244,0))</f>
        <v>ｺﾝﾄ002</v>
      </c>
      <c r="O244" s="55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5" t="str">
        <f ca="1">IF(OFFSET(マスタ非採用削除!D$4,統合マスタ!$A244,0)="","",OFFSET(マスタ非採用削除!D$4,統合マスタ!$A244,0))</f>
        <v>ｺﾝﾄﾐ3</v>
      </c>
      <c r="R244" s="27">
        <f ca="1">IF(OFFSET(マスタ非採用削除!E$4,統合マスタ!$A244,0)="","",OFFSET(マスタ非採用削除!E$4,統合マスタ!$A244,0))</f>
        <v>1</v>
      </c>
      <c r="S244" s="55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5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5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5</v>
      </c>
      <c r="AA244" s="27"/>
    </row>
    <row r="245" spans="1:27">
      <c r="A245" s="42" t="str">
        <f>元データ!P242</f>
        <v>非採用</v>
      </c>
      <c r="B245" s="27">
        <f t="shared" si="3"/>
        <v>241</v>
      </c>
      <c r="C245" s="27" t="str">
        <f>DBCS(元データ!A242)</f>
        <v>サリベートエアゾール</v>
      </c>
      <c r="D245" s="55" t="str">
        <f>元データ!B242</f>
        <v/>
      </c>
      <c r="E245" s="27" t="str">
        <f>元データ!C242</f>
        <v/>
      </c>
      <c r="F245" s="27" t="str">
        <f>元データ!D242</f>
        <v>50ｇｘ6個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5" t="e">
        <f ca="1">IF(OFFSET(マスタ非採用削除!A$4,統合マスタ!$A245,0)="","",OFFSET(マスタ非採用削除!A$4,統合マスタ!$A245,0))</f>
        <v>#VALUE!</v>
      </c>
      <c r="O245" s="55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5" t="e">
        <f ca="1">IF(OFFSET(マスタ非採用削除!D$4,統合マスタ!$A245,0)="","",OFFSET(マスタ非採用削除!D$4,統合マスタ!$A245,0))</f>
        <v>#VALUE!</v>
      </c>
      <c r="R245" s="27" t="e">
        <f ca="1">IF(OFFSET(マスタ非採用削除!E$4,統合マスタ!$A245,0)="","",OFFSET(マスタ非採用削除!E$4,統合マスタ!$A245,0))</f>
        <v>#VALUE!</v>
      </c>
      <c r="S245" s="55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5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5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">
        <v>4076</v>
      </c>
    </row>
    <row r="246" spans="1:27">
      <c r="A246" s="42">
        <f>元データ!P243</f>
        <v>179</v>
      </c>
      <c r="B246" s="27">
        <f t="shared" si="3"/>
        <v>242</v>
      </c>
      <c r="C246" s="27" t="str">
        <f>DBCS(元データ!A243)</f>
        <v>サワシリン錠２５０</v>
      </c>
      <c r="D246" s="55" t="str">
        <f>元データ!B243</f>
        <v>メディセオ</v>
      </c>
      <c r="E246" s="27" t="str">
        <f>元データ!C243</f>
        <v>PTP</v>
      </c>
      <c r="F246" s="27" t="str">
        <f>元データ!D243</f>
        <v>100Ｔ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5" t="str">
        <f ca="1">IF(OFFSET(マスタ非採用削除!A$4,統合マスタ!$A246,0)="","",OFFSET(マスタ非採用削除!A$4,統合マスタ!$A246,0))</f>
        <v>ｻﾜｼ001</v>
      </c>
      <c r="O246" s="55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5" t="str">
        <f ca="1">IF(OFFSET(マスタ非採用削除!D$4,統合マスタ!$A246,0)="","",OFFSET(マスタ非採用削除!D$4,統合マスタ!$A246,0))</f>
        <v>ｻﾜｼﾘﾝ</v>
      </c>
      <c r="R246" s="27">
        <f ca="1">IF(OFFSET(マスタ非採用削除!E$4,統合マスタ!$A246,0)="","",OFFSET(マスタ非採用削除!E$4,統合マスタ!$A246,0))</f>
        <v>1</v>
      </c>
      <c r="S246" s="55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5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5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/>
    </row>
    <row r="247" spans="1:27">
      <c r="A247" s="42">
        <f>元データ!P244</f>
        <v>181</v>
      </c>
      <c r="B247" s="27">
        <f t="shared" si="3"/>
        <v>243</v>
      </c>
      <c r="C247" s="27" t="str">
        <f>DBCS(元データ!A244)</f>
        <v>サンリズムカプセル２５ｍｇ</v>
      </c>
      <c r="D247" s="55" t="str">
        <f>元データ!B244</f>
        <v/>
      </c>
      <c r="E247" s="27" t="str">
        <f>元データ!C244</f>
        <v>PTP</v>
      </c>
      <c r="F247" s="27" t="str">
        <f>元データ!D244</f>
        <v>100P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5" t="str">
        <f ca="1">IF(OFFSET(マスタ非採用削除!A$4,統合マスタ!$A247,0)="","",OFFSET(マスタ非採用削除!A$4,統合マスタ!$A247,0))</f>
        <v>ｻﾝﾘ001</v>
      </c>
      <c r="O247" s="55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5" t="str">
        <f ca="1">IF(OFFSET(マスタ非採用削除!D$4,統合マスタ!$A247,0)="","",OFFSET(マスタ非採用削除!D$4,統合マスタ!$A247,0))</f>
        <v>ｻﾝﾘ</v>
      </c>
      <c r="R247" s="27">
        <f ca="1">IF(OFFSET(マスタ非採用削除!E$4,統合マスタ!$A247,0)="","",OFFSET(マスタ非採用削除!E$4,統合マスタ!$A247,0))</f>
        <v>2</v>
      </c>
      <c r="S247" s="55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5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5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/>
    </row>
    <row r="248" spans="1:27">
      <c r="A248" s="42">
        <f>元データ!P245</f>
        <v>182</v>
      </c>
      <c r="B248" s="27">
        <f t="shared" si="3"/>
        <v>244</v>
      </c>
      <c r="C248" s="27" t="str">
        <f>DBCS(元データ!A245)</f>
        <v>ジアゼパム錠２ｍｇ「アメル」</v>
      </c>
      <c r="D248" s="55" t="str">
        <f>元データ!B245</f>
        <v>メディセオ</v>
      </c>
      <c r="E248" s="27" t="str">
        <f>元データ!C245</f>
        <v>PTP</v>
      </c>
      <c r="F248" s="27" t="str">
        <f>元データ!D245</f>
        <v>100T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5" t="str">
        <f ca="1">IF(OFFSET(マスタ非採用削除!A$4,統合マスタ!$A248,0)="","",OFFSET(マスタ非採用削除!A$4,統合マスタ!$A248,0))</f>
        <v>ｼｱｾ001</v>
      </c>
      <c r="O248" s="55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5" t="str">
        <f ca="1">IF(OFFSET(マスタ非採用削除!D$4,統合マスタ!$A248,0)="","",OFFSET(マスタ非採用削除!D$4,統合マスタ!$A248,0))</f>
        <v>ｼﾞｱｾﾞ2</v>
      </c>
      <c r="R248" s="27">
        <f ca="1">IF(OFFSET(マスタ非採用削除!E$4,統合マスタ!$A248,0)="","",OFFSET(マスタ非採用削除!E$4,統合マスタ!$A248,0))</f>
        <v>1</v>
      </c>
      <c r="S248" s="55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5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5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5</v>
      </c>
      <c r="AA248" s="27"/>
    </row>
    <row r="249" spans="1:27">
      <c r="A249" s="42">
        <f>元データ!P246</f>
        <v>183</v>
      </c>
      <c r="B249" s="27">
        <f t="shared" si="3"/>
        <v>245</v>
      </c>
      <c r="C249" s="27" t="str">
        <f>DBCS(元データ!A246)</f>
        <v>ジアゼパム錠５ｍｇ「アメル」</v>
      </c>
      <c r="D249" s="55" t="str">
        <f>元データ!B246</f>
        <v>メディセオ</v>
      </c>
      <c r="E249" s="27" t="str">
        <f>元データ!C246</f>
        <v>PTP</v>
      </c>
      <c r="F249" s="27" t="str">
        <f>元データ!D246</f>
        <v>100Ｔ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5" t="str">
        <f ca="1">IF(OFFSET(マスタ非採用削除!A$4,統合マスタ!$A249,0)="","",OFFSET(マスタ非採用削除!A$4,統合マスタ!$A249,0))</f>
        <v>ｼｱｾ002</v>
      </c>
      <c r="O249" s="55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5" t="str">
        <f ca="1">IF(OFFSET(マスタ非採用削除!D$4,統合マスタ!$A249,0)="","",OFFSET(マスタ非採用削除!D$4,統合マスタ!$A249,0))</f>
        <v>ｼﾞｱｾﾞ5</v>
      </c>
      <c r="R249" s="27">
        <f ca="1">IF(OFFSET(マスタ非採用削除!E$4,統合マスタ!$A249,0)="","",OFFSET(マスタ非採用削除!E$4,統合マスタ!$A249,0))</f>
        <v>1</v>
      </c>
      <c r="S249" s="55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5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5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5</v>
      </c>
      <c r="AA249" s="27"/>
    </row>
    <row r="250" spans="1:27">
      <c r="A250" s="42">
        <f>元データ!P247</f>
        <v>184</v>
      </c>
      <c r="B250" s="27">
        <f t="shared" si="3"/>
        <v>246</v>
      </c>
      <c r="C250" s="27" t="str">
        <f>DBCS(元データ!A247)</f>
        <v>ジアゼパム注射液５ｍｇ「ＮＩＧ」</v>
      </c>
      <c r="D250" s="55" t="str">
        <f>元データ!B247</f>
        <v/>
      </c>
      <c r="E250" s="27" t="str">
        <f>元データ!C247</f>
        <v/>
      </c>
      <c r="F250" s="27" t="str">
        <f>元データ!D247</f>
        <v>1ｍｌｘ10A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5" t="str">
        <f ca="1">IF(OFFSET(マスタ非採用削除!A$4,統合マスタ!$A250,0)="","",OFFSET(マスタ非採用削除!A$4,統合マスタ!$A250,0))</f>
        <v>ｼｱｾ003</v>
      </c>
      <c r="O250" s="55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5" t="str">
        <f ca="1">IF(OFFSET(マスタ非採用削除!D$4,統合マスタ!$A250,0)="","",OFFSET(マスタ非採用削除!D$4,統合マスタ!$A250,0))</f>
        <v/>
      </c>
      <c r="R250" s="27">
        <f ca="1">IF(OFFSET(マスタ非採用削除!E$4,統合マスタ!$A250,0)="","",OFFSET(マスタ非採用削除!E$4,統合マスタ!$A250,0))</f>
        <v>1</v>
      </c>
      <c r="S250" s="55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5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5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/>
    </row>
    <row r="251" spans="1:27">
      <c r="A251" s="42">
        <f>元データ!P248</f>
        <v>185</v>
      </c>
      <c r="B251" s="27">
        <f t="shared" si="3"/>
        <v>247</v>
      </c>
      <c r="C251" s="27" t="str">
        <f>DBCS(元データ!A248)</f>
        <v>シアナマイド内用液１％「タナベ」</v>
      </c>
      <c r="D251" s="55" t="str">
        <f>元データ!B248</f>
        <v>アルフレッサ</v>
      </c>
      <c r="E251" s="27" t="str">
        <f>元データ!C248</f>
        <v/>
      </c>
      <c r="F251" s="27" t="str">
        <f>元データ!D248</f>
        <v>100ｍｌ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5" t="str">
        <f ca="1">IF(OFFSET(マスタ非採用削除!A$4,統合マスタ!$A251,0)="","",OFFSET(マスタ非採用削除!A$4,統合マスタ!$A251,0))</f>
        <v>ｼｱﾅ001</v>
      </c>
      <c r="O251" s="55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5" t="str">
        <f ca="1">IF(OFFSET(マスタ非採用削除!D$4,統合マスタ!$A251,0)="","",OFFSET(マスタ非採用削除!D$4,統合マスタ!$A251,0))</f>
        <v>ｼｱﾅﾏ</v>
      </c>
      <c r="R251" s="27">
        <f ca="1">IF(OFFSET(マスタ非採用削除!E$4,統合マスタ!$A251,0)="","",OFFSET(マスタ非採用削除!E$4,統合マスタ!$A251,0))</f>
        <v>1</v>
      </c>
      <c r="S251" s="55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5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5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/>
    </row>
    <row r="252" spans="1:27">
      <c r="A252" s="42">
        <f>元データ!P249</f>
        <v>186</v>
      </c>
      <c r="B252" s="27">
        <f t="shared" si="3"/>
        <v>248</v>
      </c>
      <c r="C252" s="27" t="str">
        <f>DBCS(元データ!A249)</f>
        <v>シアノコバラミン点眼液０．０２％「日点」</v>
      </c>
      <c r="D252" s="55" t="str">
        <f>元データ!B249</f>
        <v>メディセオ</v>
      </c>
      <c r="E252" s="27" t="str">
        <f>元データ!C249</f>
        <v/>
      </c>
      <c r="F252" s="27" t="str">
        <f>元データ!D249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5" t="str">
        <f ca="1">IF(OFFSET(マスタ非採用削除!A$4,統合マスタ!$A252,0)="","",OFFSET(マスタ非採用削除!A$4,統合マスタ!$A252,0))</f>
        <v>ｼｱﾉ001</v>
      </c>
      <c r="O252" s="55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5" t="str">
        <f ca="1">IF(OFFSET(マスタ非採用削除!D$4,統合マスタ!$A252,0)="","",OFFSET(マスタ非採用削除!D$4,統合マスタ!$A252,0))</f>
        <v>ｼｱﾉ</v>
      </c>
      <c r="R252" s="27">
        <f ca="1">IF(OFFSET(マスタ非採用削除!E$4,統合マスタ!$A252,0)="","",OFFSET(マスタ非採用削除!E$4,統合マスタ!$A252,0))</f>
        <v>1</v>
      </c>
      <c r="S252" s="55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5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5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/>
    </row>
    <row r="253" spans="1:27">
      <c r="A253" s="42">
        <f>元データ!P250</f>
        <v>195</v>
      </c>
      <c r="B253" s="27">
        <f t="shared" si="3"/>
        <v>249</v>
      </c>
      <c r="C253" s="27" t="str">
        <f>DBCS(元データ!A250)</f>
        <v>シーピー配合顆粒</v>
      </c>
      <c r="D253" s="55" t="str">
        <f>元データ!B250</f>
        <v>東和薬品</v>
      </c>
      <c r="E253" s="27" t="str">
        <f>元データ!C250</f>
        <v>粉</v>
      </c>
      <c r="F253" s="27" t="str">
        <f>元データ!D250</f>
        <v>1ｇｘ1050包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5" t="str">
        <f ca="1">IF(OFFSET(マスタ非採用削除!A$4,統合マスタ!$A253,0)="","",OFFSET(マスタ非採用削除!A$4,統合マスタ!$A253,0))</f>
        <v>ｼﾋﾊ001</v>
      </c>
      <c r="O253" s="55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5" t="str">
        <f ca="1">IF(OFFSET(マスタ非採用削除!D$4,統合マスタ!$A253,0)="","",OFFSET(マスタ非採用削除!D$4,統合マスタ!$A253,0))</f>
        <v>ｼｰﾋﾟｰ</v>
      </c>
      <c r="R253" s="27">
        <f ca="1">IF(OFFSET(マスタ非採用削除!E$4,統合マスタ!$A253,0)="","",OFFSET(マスタ非採用削除!E$4,統合マスタ!$A253,0))</f>
        <v>1</v>
      </c>
      <c r="S253" s="55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5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5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/>
    </row>
    <row r="254" spans="1:27">
      <c r="A254" s="42">
        <f>元データ!P251</f>
        <v>187</v>
      </c>
      <c r="B254" s="27">
        <f t="shared" si="3"/>
        <v>250</v>
      </c>
      <c r="C254" s="27" t="str">
        <f>DBCS(元データ!A251)</f>
        <v>ジェニナック錠２００ＭＧ</v>
      </c>
      <c r="D254" s="55" t="str">
        <f>元データ!B251</f>
        <v/>
      </c>
      <c r="E254" s="27" t="str">
        <f>元データ!C251</f>
        <v>PTP</v>
      </c>
      <c r="F254" s="27" t="str">
        <f>元データ!D251</f>
        <v>100T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5" t="str">
        <f ca="1">IF(OFFSET(マスタ非採用削除!A$4,統合マスタ!$A254,0)="","",OFFSET(マスタ非採用削除!A$4,統合マスタ!$A254,0))</f>
        <v>ｼｴﾆ001</v>
      </c>
      <c r="O254" s="55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5" t="str">
        <f ca="1">IF(OFFSET(マスタ非採用削除!D$4,統合マスタ!$A254,0)="","",OFFSET(マスタ非採用削除!D$4,統合マスタ!$A254,0))</f>
        <v>ｼﾞｪﾆﾅ</v>
      </c>
      <c r="R254" s="27">
        <f ca="1">IF(OFFSET(マスタ非採用削除!E$4,統合マスタ!$A254,0)="","",OFFSET(マスタ非採用削除!E$4,統合マスタ!$A254,0))</f>
        <v>1</v>
      </c>
      <c r="S254" s="55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5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5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/>
    </row>
    <row r="255" spans="1:27">
      <c r="A255" s="42">
        <f>元データ!P252</f>
        <v>188</v>
      </c>
      <c r="B255" s="27">
        <f t="shared" si="3"/>
        <v>251</v>
      </c>
      <c r="C255" s="27" t="str">
        <f>DBCS(元データ!A252)</f>
        <v>ジギラノゲン注０．４ｍｇ　０．０２％</v>
      </c>
      <c r="D255" s="55" t="str">
        <f>元データ!B252</f>
        <v/>
      </c>
      <c r="E255" s="27" t="str">
        <f>元データ!C252</f>
        <v/>
      </c>
      <c r="F255" s="27" t="str">
        <f>元データ!D252</f>
        <v>2ｍＬＸ10管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5" t="str">
        <f ca="1">IF(OFFSET(マスタ非採用削除!A$4,統合マスタ!$A255,0)="","",OFFSET(マスタ非採用削除!A$4,統合マスタ!$A255,0))</f>
        <v>ｼｷﾗ001</v>
      </c>
      <c r="O255" s="55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5" t="str">
        <f ca="1">IF(OFFSET(マスタ非採用削除!D$4,統合マスタ!$A255,0)="","",OFFSET(マスタ非採用削除!D$4,統合マスタ!$A255,0))</f>
        <v>ｼﾞｷﾞﾗﾉ</v>
      </c>
      <c r="R255" s="27">
        <f ca="1">IF(OFFSET(マスタ非採用削除!E$4,統合マスタ!$A255,0)="","",OFFSET(マスタ非採用削除!E$4,統合マスタ!$A255,0))</f>
        <v>1</v>
      </c>
      <c r="S255" s="55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5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5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/>
    </row>
    <row r="256" spans="1:27">
      <c r="A256" s="42">
        <f>元データ!P253</f>
        <v>189</v>
      </c>
      <c r="B256" s="27">
        <f t="shared" si="3"/>
        <v>252</v>
      </c>
      <c r="C256" s="27" t="str">
        <f>DBCS(元データ!A253)</f>
        <v>ジクアス点眼液３％</v>
      </c>
      <c r="D256" s="55" t="str">
        <f>元データ!B253</f>
        <v>東邦</v>
      </c>
      <c r="E256" s="27" t="str">
        <f>元データ!C253</f>
        <v/>
      </c>
      <c r="F256" s="27" t="str">
        <f>元データ!D253</f>
        <v>5ｍｌｘ10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5" t="str">
        <f ca="1">IF(OFFSET(マスタ非採用削除!A$4,統合マスタ!$A256,0)="","",OFFSET(マスタ非採用削除!A$4,統合マスタ!$A256,0))</f>
        <v>ｼｸｱ001</v>
      </c>
      <c r="O256" s="55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5" t="str">
        <f ca="1">IF(OFFSET(マスタ非採用削除!D$4,統合マスタ!$A256,0)="","",OFFSET(マスタ非採用削除!D$4,統合マスタ!$A256,0))</f>
        <v>ｼﾞｸｱ</v>
      </c>
      <c r="R256" s="27">
        <f ca="1">IF(OFFSET(マスタ非採用削除!E$4,統合マスタ!$A256,0)="","",OFFSET(マスタ非採用削除!E$4,統合マスタ!$A256,0))</f>
        <v>2</v>
      </c>
      <c r="S256" s="55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5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5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/>
    </row>
    <row r="257" spans="1:27">
      <c r="A257" s="42">
        <f>元データ!P254</f>
        <v>191</v>
      </c>
      <c r="B257" s="27">
        <f t="shared" si="3"/>
        <v>253</v>
      </c>
      <c r="C257" s="27" t="str">
        <f>DBCS(元データ!A254)</f>
        <v>シクレスト舌下錠１０ｍｇ</v>
      </c>
      <c r="D257" s="55" t="str">
        <f>元データ!B254</f>
        <v>アルフレッサ</v>
      </c>
      <c r="E257" s="27" t="str">
        <f>元データ!C254</f>
        <v>PTP</v>
      </c>
      <c r="F257" s="27" t="str">
        <f>元データ!D254</f>
        <v>100T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5" t="str">
        <f ca="1">IF(OFFSET(マスタ非採用削除!A$4,統合マスタ!$A257,0)="","",OFFSET(マスタ非採用削除!A$4,統合マスタ!$A257,0))</f>
        <v>ｼｸﾚ002</v>
      </c>
      <c r="O257" s="55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5" t="str">
        <f ca="1">IF(OFFSET(マスタ非採用削除!D$4,統合マスタ!$A257,0)="","",OFFSET(マスタ非採用削除!D$4,統合マスタ!$A257,0))</f>
        <v>ｼｸﾚ10</v>
      </c>
      <c r="R257" s="27">
        <f ca="1">IF(OFFSET(マスタ非採用削除!E$4,統合マスタ!$A257,0)="","",OFFSET(マスタ非採用削除!E$4,統合マスタ!$A257,0))</f>
        <v>1</v>
      </c>
      <c r="S257" s="55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5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5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/>
    </row>
    <row r="258" spans="1:27">
      <c r="A258" s="42">
        <f>元データ!P255</f>
        <v>190</v>
      </c>
      <c r="B258" s="27">
        <f t="shared" si="3"/>
        <v>254</v>
      </c>
      <c r="C258" s="27" t="str">
        <f>DBCS(元データ!A255)</f>
        <v>シクレスト舌下錠５ｍｇ</v>
      </c>
      <c r="D258" s="55" t="str">
        <f>元データ!B255</f>
        <v>アルフレッサ</v>
      </c>
      <c r="E258" s="27" t="str">
        <f>元データ!C255</f>
        <v>PTP</v>
      </c>
      <c r="F258" s="27" t="str">
        <f>元データ!D255</f>
        <v>100T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5" t="str">
        <f ca="1">IF(OFFSET(マスタ非採用削除!A$4,統合マスタ!$A258,0)="","",OFFSET(マスタ非採用削除!A$4,統合マスタ!$A258,0))</f>
        <v>ｼｸﾚ001</v>
      </c>
      <c r="O258" s="55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5" t="str">
        <f ca="1">IF(OFFSET(マスタ非採用削除!D$4,統合マスタ!$A258,0)="","",OFFSET(マスタ非採用削除!D$4,統合マスタ!$A258,0))</f>
        <v>ｼｸﾚ5</v>
      </c>
      <c r="R258" s="27">
        <f ca="1">IF(OFFSET(マスタ非採用削除!E$4,統合マスタ!$A258,0)="","",OFFSET(マスタ非採用削除!E$4,統合マスタ!$A258,0))</f>
        <v>1</v>
      </c>
      <c r="S258" s="55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5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5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/>
    </row>
    <row r="259" spans="1:27">
      <c r="A259" s="42">
        <f>元データ!P256</f>
        <v>193</v>
      </c>
      <c r="B259" s="27">
        <f t="shared" si="3"/>
        <v>255</v>
      </c>
      <c r="C259" s="27" t="str">
        <f>DBCS(元データ!A256)</f>
        <v>シクロスポリンカプセル５０ｍｇ「トーワ」</v>
      </c>
      <c r="D259" s="55" t="str">
        <f>元データ!B256</f>
        <v/>
      </c>
      <c r="E259" s="27" t="str">
        <f>元データ!C256</f>
        <v>PTP</v>
      </c>
      <c r="F259" s="27" t="str">
        <f>元データ!D256</f>
        <v>100cap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5" t="str">
        <f ca="1">IF(OFFSET(マスタ非採用削除!A$4,統合マスタ!$A259,0)="","",OFFSET(マスタ非採用削除!A$4,統合マスタ!$A259,0))</f>
        <v>ｼｸﾛ002</v>
      </c>
      <c r="O259" s="55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5" t="str">
        <f ca="1">IF(OFFSET(マスタ非採用削除!D$4,統合マスタ!$A259,0)="","",OFFSET(マスタ非採用削除!D$4,統合マスタ!$A259,0))</f>
        <v>ｼｸﾛ</v>
      </c>
      <c r="R259" s="27">
        <f ca="1">IF(OFFSET(マスタ非採用削除!E$4,統合マスタ!$A259,0)="","",OFFSET(マスタ非採用削除!E$4,統合マスタ!$A259,0))</f>
        <v>2</v>
      </c>
      <c r="S259" s="55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5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5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/>
    </row>
    <row r="260" spans="1:27">
      <c r="A260" s="42">
        <f>元データ!P257</f>
        <v>192</v>
      </c>
      <c r="B260" s="27">
        <f t="shared" si="3"/>
        <v>256</v>
      </c>
      <c r="C260" s="27" t="str">
        <f>DBCS(元データ!A257)</f>
        <v>ジクロフェナクナトリウム坐剤２５ｍｇ「ＪＧ」</v>
      </c>
      <c r="D260" s="55" t="str">
        <f>元データ!B257</f>
        <v>アルフレッサ</v>
      </c>
      <c r="E260" s="27" t="str">
        <f>元データ!C257</f>
        <v/>
      </c>
      <c r="F260" s="27" t="str">
        <f>元データ!D257</f>
        <v>50個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5" t="str">
        <f ca="1">IF(OFFSET(マスタ非採用削除!A$4,統合マスタ!$A260,0)="","",OFFSET(マスタ非採用削除!A$4,統合マスタ!$A260,0))</f>
        <v>ｼｸﾛ001</v>
      </c>
      <c r="O260" s="55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5" t="str">
        <f ca="1">IF(OFFSET(マスタ非採用削除!D$4,統合マスタ!$A260,0)="","",OFFSET(マスタ非採用削除!D$4,統合マスタ!$A260,0))</f>
        <v>ｼﾞｸﾛ</v>
      </c>
      <c r="R260" s="27">
        <f ca="1">IF(OFFSET(マスタ非採用削除!E$4,統合マスタ!$A260,0)="","",OFFSET(マスタ非採用削除!E$4,統合マスタ!$A260,0))</f>
        <v>1</v>
      </c>
      <c r="S260" s="55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5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5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/>
    </row>
    <row r="261" spans="1:27">
      <c r="A261" s="42">
        <f>元データ!P258</f>
        <v>194</v>
      </c>
      <c r="B261" s="27">
        <f t="shared" si="3"/>
        <v>257</v>
      </c>
      <c r="C261" s="27" t="str">
        <f>DBCS(元データ!A258)</f>
        <v>ジスチグミン臭化物錠５ｍｇ「ＮＩＧ」</v>
      </c>
      <c r="D261" s="55" t="str">
        <f>元データ!B258</f>
        <v>メディセオ</v>
      </c>
      <c r="E261" s="27" t="str">
        <f>元データ!C258</f>
        <v>PTP</v>
      </c>
      <c r="F261" s="27" t="str">
        <f>元データ!D258</f>
        <v>100Ｔ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5" t="str">
        <f ca="1">IF(OFFSET(マスタ非採用削除!A$4,統合マスタ!$A261,0)="","",OFFSET(マスタ非採用削除!A$4,統合マスタ!$A261,0))</f>
        <v>ｼｽﾁ001</v>
      </c>
      <c r="O261" s="55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5" t="str">
        <f ca="1">IF(OFFSET(マスタ非採用削除!D$4,統合マスタ!$A261,0)="","",OFFSET(マスタ非採用削除!D$4,統合マスタ!$A261,0))</f>
        <v>ｼﾞｽﾁ</v>
      </c>
      <c r="R261" s="27">
        <f ca="1">IF(OFFSET(マスタ非採用削除!E$4,統合マスタ!$A261,0)="","",OFFSET(マスタ非採用削除!E$4,統合マスタ!$A261,0))</f>
        <v>1</v>
      </c>
      <c r="S261" s="55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5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5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/>
    </row>
    <row r="262" spans="1:27">
      <c r="A262" s="42" t="str">
        <f>元データ!P259</f>
        <v>非採用</v>
      </c>
      <c r="B262" s="27">
        <f t="shared" si="3"/>
        <v>258</v>
      </c>
      <c r="C262" s="27" t="str">
        <f>DBCS(元データ!A259)</f>
        <v>ジスバルカプセル４０ｍｇ</v>
      </c>
      <c r="D262" s="55" t="str">
        <f>元データ!B259</f>
        <v/>
      </c>
      <c r="E262" s="27" t="str">
        <f>元データ!C259</f>
        <v>PTP</v>
      </c>
      <c r="F262" s="27" t="str">
        <f>元データ!D259</f>
        <v>100Ｔ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5" t="e">
        <f ca="1">IF(OFFSET(マスタ非採用削除!A$4,統合マスタ!$A262,0)="","",OFFSET(マスタ非採用削除!A$4,統合マスタ!$A262,0))</f>
        <v>#VALUE!</v>
      </c>
      <c r="O262" s="55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5" t="e">
        <f ca="1">IF(OFFSET(マスタ非採用削除!D$4,統合マスタ!$A262,0)="","",OFFSET(マスタ非採用削除!D$4,統合マスタ!$A262,0))</f>
        <v>#VALUE!</v>
      </c>
      <c r="R262" s="27" t="e">
        <f ca="1">IF(OFFSET(マスタ非採用削除!E$4,統合マスタ!$A262,0)="","",OFFSET(マスタ非採用削除!E$4,統合マスタ!$A262,0))</f>
        <v>#VALUE!</v>
      </c>
      <c r="S262" s="55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5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5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">
        <v>4065</v>
      </c>
    </row>
    <row r="263" spans="1:27">
      <c r="A263" s="42">
        <f>元データ!P260</f>
        <v>196</v>
      </c>
      <c r="B263" s="27">
        <f t="shared" ref="B263:B326" si="4">B262+1</f>
        <v>259</v>
      </c>
      <c r="C263" s="27" t="str">
        <f>DBCS(元データ!A260)</f>
        <v>ジフェニドール塩酸塩錠２５ｍｇ「ＮＩＧ」</v>
      </c>
      <c r="D263" s="55" t="str">
        <f>元データ!B260</f>
        <v>メディセオ</v>
      </c>
      <c r="E263" s="27" t="str">
        <f>元データ!C260</f>
        <v>PTP</v>
      </c>
      <c r="F263" s="27" t="str">
        <f>元データ!D260</f>
        <v>1000T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5" t="str">
        <f ca="1">IF(OFFSET(マスタ非採用削除!A$4,統合マスタ!$A263,0)="","",OFFSET(マスタ非採用削除!A$4,統合マスタ!$A263,0))</f>
        <v>ｼﾌｴ001</v>
      </c>
      <c r="O263" s="55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5" t="str">
        <f ca="1">IF(OFFSET(マスタ非採用削除!D$4,統合マスタ!$A263,0)="","",OFFSET(マスタ非採用削除!D$4,統合マスタ!$A263,0))</f>
        <v>ｼﾞﾌｪﾆﾄ</v>
      </c>
      <c r="R263" s="27">
        <f ca="1">IF(OFFSET(マスタ非採用削除!E$4,統合マスタ!$A263,0)="","",OFFSET(マスタ非採用削除!E$4,統合マスタ!$A263,0))</f>
        <v>1</v>
      </c>
      <c r="S263" s="55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5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5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/>
    </row>
    <row r="264" spans="1:27">
      <c r="A264" s="42">
        <f>元データ!P261</f>
        <v>199</v>
      </c>
      <c r="B264" s="27">
        <f t="shared" si="4"/>
        <v>260</v>
      </c>
      <c r="C264" s="27" t="str">
        <f>DBCS(元データ!A261)</f>
        <v>ジプレキサ　ザイディス錠１０ｍｇ</v>
      </c>
      <c r="D264" s="55" t="str">
        <f>元データ!B261</f>
        <v>アルフレッサ</v>
      </c>
      <c r="E264" s="27" t="str">
        <f>元データ!C261</f>
        <v>PTP</v>
      </c>
      <c r="F264" s="27" t="str">
        <f>元データ!D261</f>
        <v>350T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5" t="str">
        <f ca="1">IF(OFFSET(マスタ非採用削除!A$4,統合マスタ!$A264,0)="","",OFFSET(マスタ非採用削除!A$4,統合マスタ!$A264,0))</f>
        <v>ｼﾌﾚ003</v>
      </c>
      <c r="O264" s="55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5" t="str">
        <f ca="1">IF(OFFSET(マスタ非採用削除!D$4,統合マスタ!$A264,0)="","",OFFSET(マスタ非採用削除!D$4,統合マスタ!$A264,0))</f>
        <v>ｼﾞﾌﾟﾚ5</v>
      </c>
      <c r="R264" s="27">
        <f ca="1">IF(OFFSET(マスタ非採用削除!E$4,統合マスタ!$A264,0)="","",OFFSET(マスタ非採用削除!E$4,統合マスタ!$A264,0))</f>
        <v>1</v>
      </c>
      <c r="S264" s="55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5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5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/>
    </row>
    <row r="265" spans="1:27">
      <c r="A265" s="42">
        <f>元データ!P262</f>
        <v>197</v>
      </c>
      <c r="B265" s="27">
        <f t="shared" si="4"/>
        <v>261</v>
      </c>
      <c r="C265" s="27" t="str">
        <f>DBCS(元データ!A262)</f>
        <v>ジプレキサ　ザイディス錠２．５ｍｇ</v>
      </c>
      <c r="D265" s="55" t="str">
        <f>元データ!B262</f>
        <v>アルフレッサ</v>
      </c>
      <c r="E265" s="27" t="str">
        <f>元データ!C262</f>
        <v>ＰＴＰ</v>
      </c>
      <c r="F265" s="27" t="str">
        <f>元データ!D262</f>
        <v>70Ｔ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5" t="str">
        <f ca="1">IF(OFFSET(マスタ非採用削除!A$4,統合マスタ!$A265,0)="","",OFFSET(マスタ非採用削除!A$4,統合マスタ!$A265,0))</f>
        <v>ｼﾌﾚ001</v>
      </c>
      <c r="O265" s="55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5" t="str">
        <f ca="1">IF(OFFSET(マスタ非採用削除!D$4,統合マスタ!$A265,0)="","",OFFSET(マスタ非採用削除!D$4,統合マスタ!$A265,0))</f>
        <v>ｼﾞﾌﾟﾚ7</v>
      </c>
      <c r="R265" s="27">
        <f ca="1">IF(OFFSET(マスタ非採用削除!E$4,統合マスタ!$A265,0)="","",OFFSET(マスタ非採用削除!E$4,統合マスタ!$A265,0))</f>
        <v>1</v>
      </c>
      <c r="S265" s="55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5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5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/>
    </row>
    <row r="266" spans="1:27">
      <c r="A266" s="42">
        <f>元データ!P263</f>
        <v>198</v>
      </c>
      <c r="B266" s="27">
        <f t="shared" si="4"/>
        <v>262</v>
      </c>
      <c r="C266" s="27" t="str">
        <f>DBCS(元データ!A263)</f>
        <v>ジプレキサ　ザイディス錠５ｍｇ</v>
      </c>
      <c r="D266" s="55" t="str">
        <f>元データ!B263</f>
        <v>アルフレッサ</v>
      </c>
      <c r="E266" s="27" t="str">
        <f>元データ!C263</f>
        <v>PTP</v>
      </c>
      <c r="F266" s="27" t="str">
        <f>元データ!D263</f>
        <v>350T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5" t="str">
        <f ca="1">IF(OFFSET(マスタ非採用削除!A$4,統合マスタ!$A266,0)="","",OFFSET(マスタ非採用削除!A$4,統合マスタ!$A266,0))</f>
        <v>ｼﾌﾚ002</v>
      </c>
      <c r="O266" s="55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5" t="str">
        <f ca="1">IF(OFFSET(マスタ非採用削除!D$4,統合マスタ!$A266,0)="","",OFFSET(マスタ非採用削除!D$4,統合マスタ!$A266,0))</f>
        <v>ｼﾞﾌﾟﾚ4</v>
      </c>
      <c r="R266" s="27">
        <f ca="1">IF(OFFSET(マスタ非採用削除!E$4,統合マスタ!$A266,0)="","",OFFSET(マスタ非採用削除!E$4,統合マスタ!$A266,0))</f>
        <v>1</v>
      </c>
      <c r="S266" s="55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5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5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/>
    </row>
    <row r="267" spans="1:27">
      <c r="A267" s="42">
        <f>元データ!P264</f>
        <v>201</v>
      </c>
      <c r="B267" s="27">
        <f t="shared" si="4"/>
        <v>263</v>
      </c>
      <c r="C267" s="27" t="str">
        <f>DBCS(元データ!A264)</f>
        <v>シベンゾリンコハク酸塩錠１００ｍｇ「サワイ」</v>
      </c>
      <c r="D267" s="55" t="str">
        <f>元データ!B264</f>
        <v>アルフレッサ</v>
      </c>
      <c r="E267" s="27" t="str">
        <f>元データ!C264</f>
        <v>PTP</v>
      </c>
      <c r="F267" s="27" t="str">
        <f>元データ!D264</f>
        <v>100T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5" t="str">
        <f ca="1">IF(OFFSET(マスタ非採用削除!A$4,統合マスタ!$A267,0)="","",OFFSET(マスタ非採用削除!A$4,統合マスタ!$A267,0))</f>
        <v>ｼﾍﾝ001</v>
      </c>
      <c r="O267" s="55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5" t="str">
        <f ca="1">IF(OFFSET(マスタ非採用削除!D$4,統合マスタ!$A267,0)="","",OFFSET(マスタ非採用削除!D$4,統合マスタ!$A267,0))</f>
        <v/>
      </c>
      <c r="R267" s="27">
        <f ca="1">IF(OFFSET(マスタ非採用削除!E$4,統合マスタ!$A267,0)="","",OFFSET(マスタ非採用削除!E$4,統合マスタ!$A267,0))</f>
        <v>2</v>
      </c>
      <c r="S267" s="55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5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5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/>
    </row>
    <row r="268" spans="1:27">
      <c r="A268" s="42">
        <f>元データ!P265</f>
        <v>202</v>
      </c>
      <c r="B268" s="27">
        <f t="shared" si="4"/>
        <v>264</v>
      </c>
      <c r="C268" s="27" t="str">
        <f>DBCS(元データ!A265)</f>
        <v>ジメチコン錠４０ｍｇ「ＹＤ」</v>
      </c>
      <c r="D268" s="55" t="str">
        <f>元データ!B265</f>
        <v>メディセオ</v>
      </c>
      <c r="E268" s="27" t="str">
        <f>元データ!C265</f>
        <v>PTP</v>
      </c>
      <c r="F268" s="27" t="str">
        <f>元データ!D265</f>
        <v>100T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5" t="str">
        <f ca="1">IF(OFFSET(マスタ非採用削除!A$4,統合マスタ!$A268,0)="","",OFFSET(マスタ非採用削除!A$4,統合マスタ!$A268,0))</f>
        <v>ｼﾒﾁ001</v>
      </c>
      <c r="O268" s="55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5" t="str">
        <f ca="1">IF(OFFSET(マスタ非採用削除!D$4,統合マスタ!$A268,0)="","",OFFSET(マスタ非採用削除!D$4,統合マスタ!$A268,0))</f>
        <v>ｼﾞﾒﾁ</v>
      </c>
      <c r="R268" s="27">
        <f ca="1">IF(OFFSET(マスタ非採用削除!E$4,統合マスタ!$A268,0)="","",OFFSET(マスタ非採用削除!E$4,統合マスタ!$A268,0))</f>
        <v>1</v>
      </c>
      <c r="S268" s="55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5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5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5</v>
      </c>
      <c r="AA268" s="27"/>
    </row>
    <row r="269" spans="1:27">
      <c r="A269" s="42">
        <f>元データ!P266</f>
        <v>202</v>
      </c>
      <c r="B269" s="27">
        <f t="shared" si="4"/>
        <v>265</v>
      </c>
      <c r="C269" s="27" t="str">
        <f>DBCS(元データ!A266)</f>
        <v>ジメチコン錠４０ｍｇ「ＹＤ」</v>
      </c>
      <c r="D269" s="55" t="str">
        <f>元データ!B266</f>
        <v>メディセオ</v>
      </c>
      <c r="E269" s="27" t="str">
        <f>元データ!C266</f>
        <v>バラ</v>
      </c>
      <c r="F269" s="27" t="str">
        <f>元データ!D266</f>
        <v>1000T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5" t="str">
        <f ca="1">IF(OFFSET(マスタ非採用削除!A$4,統合マスタ!$A269,0)="","",OFFSET(マスタ非採用削除!A$4,統合マスタ!$A269,0))</f>
        <v>ｼﾒﾁ001</v>
      </c>
      <c r="O269" s="55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5" t="str">
        <f ca="1">IF(OFFSET(マスタ非採用削除!D$4,統合マスタ!$A269,0)="","",OFFSET(マスタ非採用削除!D$4,統合マスタ!$A269,0))</f>
        <v>ｼﾞﾒﾁ</v>
      </c>
      <c r="R269" s="27">
        <f ca="1">IF(OFFSET(マスタ非採用削除!E$4,統合マスタ!$A269,0)="","",OFFSET(マスタ非採用削除!E$4,統合マスタ!$A269,0))</f>
        <v>1</v>
      </c>
      <c r="S269" s="55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5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5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5</v>
      </c>
      <c r="AA269" s="27"/>
    </row>
    <row r="270" spans="1:27">
      <c r="A270" s="42">
        <f>元データ!P267</f>
        <v>205</v>
      </c>
      <c r="B270" s="27">
        <f t="shared" si="4"/>
        <v>266</v>
      </c>
      <c r="C270" s="27" t="str">
        <f>DBCS(元データ!A267)</f>
        <v>シロスタゾールＯＤ錠１００ｍｇ「タカタ」</v>
      </c>
      <c r="D270" s="55" t="str">
        <f>元データ!B267</f>
        <v>メディセオ</v>
      </c>
      <c r="E270" s="27" t="str">
        <f>元データ!C267</f>
        <v>PTP</v>
      </c>
      <c r="F270" s="27" t="str">
        <f>元データ!D267</f>
        <v>100T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5" t="str">
        <f ca="1">IF(OFFSET(マスタ非採用削除!A$4,統合マスタ!$A270,0)="","",OFFSET(マスタ非採用削除!A$4,統合マスタ!$A270,0))</f>
        <v>ｼﾛｽ003</v>
      </c>
      <c r="O270" s="55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5" t="str">
        <f ca="1">IF(OFFSET(マスタ非採用削除!D$4,統合マスタ!$A270,0)="","",OFFSET(マスタ非採用削除!D$4,統合マスタ!$A270,0))</f>
        <v/>
      </c>
      <c r="R270" s="27">
        <f ca="1">IF(OFFSET(マスタ非採用削除!E$4,統合マスタ!$A270,0)="","",OFFSET(マスタ非採用削除!E$4,統合マスタ!$A270,0))</f>
        <v>1</v>
      </c>
      <c r="S270" s="55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5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5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5</v>
      </c>
      <c r="AA270" s="27"/>
    </row>
    <row r="271" spans="1:27">
      <c r="A271" s="42">
        <f>元データ!P268</f>
        <v>205</v>
      </c>
      <c r="B271" s="27">
        <f t="shared" si="4"/>
        <v>267</v>
      </c>
      <c r="C271" s="27" t="str">
        <f>DBCS(元データ!A268)</f>
        <v>シロスタゾールＯＤ錠１００ｍｇ「タカタ」　</v>
      </c>
      <c r="D271" s="55" t="str">
        <f>元データ!B268</f>
        <v>メディセオ</v>
      </c>
      <c r="E271" s="27" t="str">
        <f>元データ!C268</f>
        <v>バラ</v>
      </c>
      <c r="F271" s="27" t="str">
        <f>元データ!D268</f>
        <v>500T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5" t="str">
        <f ca="1">IF(OFFSET(マスタ非採用削除!A$4,統合マスタ!$A271,0)="","",OFFSET(マスタ非採用削除!A$4,統合マスタ!$A271,0))</f>
        <v>ｼﾛｽ003</v>
      </c>
      <c r="O271" s="55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5" t="str">
        <f ca="1">IF(OFFSET(マスタ非採用削除!D$4,統合マスタ!$A271,0)="","",OFFSET(マスタ非採用削除!D$4,統合マスタ!$A271,0))</f>
        <v/>
      </c>
      <c r="R271" s="27">
        <f ca="1">IF(OFFSET(マスタ非採用削除!E$4,統合マスタ!$A271,0)="","",OFFSET(マスタ非採用削除!E$4,統合マスタ!$A271,0))</f>
        <v>1</v>
      </c>
      <c r="S271" s="55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5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5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5</v>
      </c>
      <c r="AA271" s="27"/>
    </row>
    <row r="272" spans="1:27">
      <c r="A272" s="42">
        <f>元データ!P269</f>
        <v>206</v>
      </c>
      <c r="B272" s="27">
        <f t="shared" si="4"/>
        <v>268</v>
      </c>
      <c r="C272" s="27" t="str">
        <f>DBCS(元データ!A269)</f>
        <v>シロドシンＯＤ錠４ｍｇ「ＫＭＰ」</v>
      </c>
      <c r="D272" s="55" t="str">
        <f>元データ!B269</f>
        <v>東邦</v>
      </c>
      <c r="E272" s="27" t="str">
        <f>元データ!C269</f>
        <v>PTP</v>
      </c>
      <c r="F272" s="27" t="str">
        <f>元データ!D269</f>
        <v>100T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5" t="str">
        <f ca="1">IF(OFFSET(マスタ非採用削除!A$4,統合マスタ!$A272,0)="","",OFFSET(マスタ非採用削除!A$4,統合マスタ!$A272,0))</f>
        <v>ｼﾛﾄ001</v>
      </c>
      <c r="O272" s="55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5" t="str">
        <f ca="1">IF(OFFSET(マスタ非採用削除!D$4,統合マスタ!$A272,0)="","",OFFSET(マスタ非採用削除!D$4,統合マスタ!$A272,0))</f>
        <v/>
      </c>
      <c r="R272" s="27">
        <f ca="1">IF(OFFSET(マスタ非採用削除!E$4,統合マスタ!$A272,0)="","",OFFSET(マスタ非採用削除!E$4,統合マスタ!$A272,0))</f>
        <v>1</v>
      </c>
      <c r="S272" s="55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5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5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6</v>
      </c>
      <c r="AA272" s="27"/>
    </row>
    <row r="273" spans="1:27">
      <c r="A273" s="42">
        <f>元データ!P270</f>
        <v>207</v>
      </c>
      <c r="B273" s="27">
        <f t="shared" si="4"/>
        <v>269</v>
      </c>
      <c r="C273" s="27" t="str">
        <f>DBCS(元データ!A270)</f>
        <v>シングレア錠１０ｍｇ</v>
      </c>
      <c r="D273" s="55" t="str">
        <f>元データ!B270</f>
        <v>アルフレッサ</v>
      </c>
      <c r="E273" s="27" t="str">
        <f>元データ!C270</f>
        <v>ＰＴＰ</v>
      </c>
      <c r="F273" s="27" t="str">
        <f>元データ!D270</f>
        <v>100T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5" t="str">
        <f ca="1">IF(OFFSET(マスタ非採用削除!A$4,統合マスタ!$A273,0)="","",OFFSET(マスタ非採用削除!A$4,統合マスタ!$A273,0))</f>
        <v>ｼﾝｸ001</v>
      </c>
      <c r="O273" s="55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5" t="str">
        <f ca="1">IF(OFFSET(マスタ非採用削除!D$4,統合マスタ!$A273,0)="","",OFFSET(マスタ非採用削除!D$4,統合マスタ!$A273,0))</f>
        <v>ｼﾝｸﾞﾚｱ</v>
      </c>
      <c r="R273" s="27">
        <f ca="1">IF(OFFSET(マスタ非採用削除!E$4,統合マスタ!$A273,0)="","",OFFSET(マスタ非採用削除!E$4,統合マスタ!$A273,0))</f>
        <v>1</v>
      </c>
      <c r="S273" s="55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5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5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5</v>
      </c>
      <c r="AA273" s="27"/>
    </row>
    <row r="274" spans="1:27">
      <c r="A274" s="42">
        <f>元データ!P271</f>
        <v>210</v>
      </c>
      <c r="B274" s="27">
        <f t="shared" si="4"/>
        <v>270</v>
      </c>
      <c r="C274" s="27" t="str">
        <f>DBCS(元データ!A271)</f>
        <v>スクロードパスタ</v>
      </c>
      <c r="D274" s="55" t="str">
        <f>元データ!B271</f>
        <v>アルフレッサ</v>
      </c>
      <c r="E274" s="27" t="str">
        <f>元データ!C271</f>
        <v/>
      </c>
      <c r="F274" s="27" t="str">
        <f>元データ!D271</f>
        <v>100ｇ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5" t="str">
        <f ca="1">IF(OFFSET(マスタ非採用削除!A$4,統合マスタ!$A274,0)="","",OFFSET(マスタ非採用削除!A$4,統合マスタ!$A274,0))</f>
        <v>ｽｸﾛ001</v>
      </c>
      <c r="O274" s="55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5" t="str">
        <f ca="1">IF(OFFSET(マスタ非採用削除!D$4,統合マスタ!$A274,0)="","",OFFSET(マスタ非採用削除!D$4,統合マスタ!$A274,0))</f>
        <v>ｽｸﾛｰﾄﾞ</v>
      </c>
      <c r="R274" s="27">
        <f ca="1">IF(OFFSET(マスタ非採用削除!E$4,統合マスタ!$A274,0)="","",OFFSET(マスタ非採用削除!E$4,統合マスタ!$A274,0))</f>
        <v>1</v>
      </c>
      <c r="S274" s="55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5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5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/>
    </row>
    <row r="275" spans="1:27">
      <c r="A275" s="42">
        <f>元データ!P272</f>
        <v>211</v>
      </c>
      <c r="B275" s="27">
        <f t="shared" si="4"/>
        <v>271</v>
      </c>
      <c r="C275" s="27" t="str">
        <f>DBCS(元データ!A272)</f>
        <v>スタデルムクリーム５％</v>
      </c>
      <c r="D275" s="55" t="str">
        <f>元データ!B272</f>
        <v>KSK</v>
      </c>
      <c r="E275" s="27" t="str">
        <f>元データ!C272</f>
        <v/>
      </c>
      <c r="F275" s="27" t="str">
        <f>元データ!D272</f>
        <v>10ｇｘ10本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5" t="str">
        <f ca="1">IF(OFFSET(マスタ非採用削除!A$4,統合マスタ!$A275,0)="","",OFFSET(マスタ非採用削除!A$4,統合マスタ!$A275,0))</f>
        <v>ｽﾀﾃ001</v>
      </c>
      <c r="O275" s="55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5" t="str">
        <f ca="1">IF(OFFSET(マスタ非採用削除!D$4,統合マスタ!$A275,0)="","",OFFSET(マスタ非採用削除!D$4,統合マスタ!$A275,0))</f>
        <v>ｽﾀﾃﾞ</v>
      </c>
      <c r="R275" s="27">
        <f ca="1">IF(OFFSET(マスタ非採用削除!E$4,統合マスタ!$A275,0)="","",OFFSET(マスタ非採用削除!E$4,統合マスタ!$A275,0))</f>
        <v>1</v>
      </c>
      <c r="S275" s="55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5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5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/>
    </row>
    <row r="276" spans="1:27">
      <c r="A276" s="42">
        <f>元データ!P273</f>
        <v>212</v>
      </c>
      <c r="B276" s="27">
        <f t="shared" si="4"/>
        <v>272</v>
      </c>
      <c r="C276" s="27" t="str">
        <f>DBCS(元データ!A273)</f>
        <v>ストロメクトール錠３ｍｇ</v>
      </c>
      <c r="D276" s="55" t="str">
        <f>元データ!B273</f>
        <v>アルフレッサ</v>
      </c>
      <c r="E276" s="27" t="str">
        <f>元データ!C273</f>
        <v>PTP</v>
      </c>
      <c r="F276" s="27" t="str">
        <f>元データ!D273</f>
        <v>10T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5" t="str">
        <f ca="1">IF(OFFSET(マスタ非採用削除!A$4,統合マスタ!$A276,0)="","",OFFSET(マスタ非採用削除!A$4,統合マスタ!$A276,0))</f>
        <v>ｽﾄﾛ001</v>
      </c>
      <c r="O276" s="55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5" t="str">
        <f ca="1">IF(OFFSET(マスタ非採用削除!D$4,統合マスタ!$A276,0)="","",OFFSET(マスタ非採用削除!D$4,統合マスタ!$A276,0))</f>
        <v>ｽﾄﾛﾒｸﾄ</v>
      </c>
      <c r="R276" s="27">
        <f ca="1">IF(OFFSET(マスタ非採用削除!E$4,統合マスタ!$A276,0)="","",OFFSET(マスタ非採用削除!E$4,統合マスタ!$A276,0))</f>
        <v>2</v>
      </c>
      <c r="S276" s="55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5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5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/>
    </row>
    <row r="277" spans="1:27">
      <c r="A277" s="42">
        <f>元データ!P274</f>
        <v>213</v>
      </c>
      <c r="B277" s="27">
        <f t="shared" si="4"/>
        <v>273</v>
      </c>
      <c r="C277" s="27" t="str">
        <f>DBCS(元データ!A274)</f>
        <v>スピール膏Ｍ　ＳＰＭ１６</v>
      </c>
      <c r="D277" s="55" t="str">
        <f>元データ!B274</f>
        <v>アルフレッサ</v>
      </c>
      <c r="E277" s="27" t="str">
        <f>元データ!C274</f>
        <v/>
      </c>
      <c r="F277" s="27" t="str">
        <f>元データ!D274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5" t="str">
        <f ca="1">IF(OFFSET(マスタ非採用削除!A$4,統合マスタ!$A277,0)="","",OFFSET(マスタ非採用削除!A$4,統合マスタ!$A277,0))</f>
        <v>ｽﾋﾙ001</v>
      </c>
      <c r="O277" s="55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5" t="str">
        <f ca="1">IF(OFFSET(マスタ非採用削除!D$4,統合マスタ!$A277,0)="","",OFFSET(マスタ非採用削除!D$4,統合マスタ!$A277,0))</f>
        <v>ｽﾋﾟｰﾙ</v>
      </c>
      <c r="R277" s="27">
        <f ca="1">IF(OFFSET(マスタ非採用削除!E$4,統合マスタ!$A277,0)="","",OFFSET(マスタ非採用削除!E$4,統合マスタ!$A277,0))</f>
        <v>1</v>
      </c>
      <c r="S277" s="55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5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5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/>
    </row>
    <row r="278" spans="1:27">
      <c r="A278" s="42" t="str">
        <f>元データ!P275</f>
        <v>非採用</v>
      </c>
      <c r="B278" s="27">
        <f t="shared" si="4"/>
        <v>274</v>
      </c>
      <c r="C278" s="27" t="str">
        <f>DBCS(元データ!A275)</f>
        <v>スピリーバ２．５μｇレスピマット６０吸入</v>
      </c>
      <c r="D278" s="55" t="str">
        <f>元データ!B275</f>
        <v/>
      </c>
      <c r="E278" s="27" t="str">
        <f>元データ!C275</f>
        <v/>
      </c>
      <c r="F278" s="27" t="str">
        <f>元データ!D275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5" t="e">
        <f ca="1">IF(OFFSET(マスタ非採用削除!A$4,統合マスタ!$A278,0)="","",OFFSET(マスタ非採用削除!A$4,統合マスタ!$A278,0))</f>
        <v>#VALUE!</v>
      </c>
      <c r="O278" s="55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5" t="e">
        <f ca="1">IF(OFFSET(マスタ非採用削除!D$4,統合マスタ!$A278,0)="","",OFFSET(マスタ非採用削除!D$4,統合マスタ!$A278,0))</f>
        <v>#VALUE!</v>
      </c>
      <c r="R278" s="27" t="e">
        <f ca="1">IF(OFFSET(マスタ非採用削除!E$4,統合マスタ!$A278,0)="","",OFFSET(マスタ非採用削除!E$4,統合マスタ!$A278,0))</f>
        <v>#VALUE!</v>
      </c>
      <c r="S278" s="55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5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5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">
        <v>4076</v>
      </c>
    </row>
    <row r="279" spans="1:27">
      <c r="A279" s="42">
        <f>元データ!P276</f>
        <v>214</v>
      </c>
      <c r="B279" s="27">
        <f t="shared" si="4"/>
        <v>275</v>
      </c>
      <c r="C279" s="27" t="str">
        <f>DBCS(元データ!A276)</f>
        <v>スピロペント錠１０μｇ</v>
      </c>
      <c r="D279" s="55" t="str">
        <f>元データ!B276</f>
        <v>アルフレッサ</v>
      </c>
      <c r="E279" s="27" t="str">
        <f>元データ!C276</f>
        <v>PTP</v>
      </c>
      <c r="F279" s="27" t="str">
        <f>元データ!D276</f>
        <v>100Ｔ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5" t="str">
        <f ca="1">IF(OFFSET(マスタ非採用削除!A$4,統合マスタ!$A279,0)="","",OFFSET(マスタ非採用削除!A$4,統合マスタ!$A279,0))</f>
        <v>ｽﾋﾛ002</v>
      </c>
      <c r="O279" s="55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5" t="str">
        <f ca="1">IF(OFFSET(マスタ非採用削除!D$4,統合マスタ!$A279,0)="","",OFFSET(マスタ非採用削除!D$4,統合マスタ!$A279,0))</f>
        <v>ｽﾋﾟﾛﾍﾟ</v>
      </c>
      <c r="R279" s="27">
        <f ca="1">IF(OFFSET(マスタ非採用削除!E$4,統合マスタ!$A279,0)="","",OFFSET(マスタ非採用削除!E$4,統合マスタ!$A279,0))</f>
        <v>1</v>
      </c>
      <c r="S279" s="55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5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5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/>
    </row>
    <row r="280" spans="1:27">
      <c r="A280" s="42">
        <f>元データ!P277</f>
        <v>215</v>
      </c>
      <c r="B280" s="27">
        <f t="shared" si="4"/>
        <v>276</v>
      </c>
      <c r="C280" s="27" t="str">
        <f>DBCS(元データ!A277)</f>
        <v>スミスリンローション５％</v>
      </c>
      <c r="D280" s="55" t="str">
        <f>元データ!B277</f>
        <v>メディセオ</v>
      </c>
      <c r="E280" s="27" t="str">
        <f>元データ!C277</f>
        <v/>
      </c>
      <c r="F280" s="27" t="str">
        <f>元データ!D277</f>
        <v>30ｇｘ2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5" t="str">
        <f ca="1">IF(OFFSET(マスタ非採用削除!A$4,統合マスタ!$A280,0)="","",OFFSET(マスタ非採用削除!A$4,統合マスタ!$A280,0))</f>
        <v>ｽﾐｽ001</v>
      </c>
      <c r="O280" s="55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5" t="str">
        <f ca="1">IF(OFFSET(マスタ非採用削除!D$4,統合マスタ!$A280,0)="","",OFFSET(マスタ非採用削除!D$4,統合マスタ!$A280,0))</f>
        <v/>
      </c>
      <c r="R280" s="27">
        <f ca="1">IF(OFFSET(マスタ非採用削除!E$4,統合マスタ!$A280,0)="","",OFFSET(マスタ非採用削除!E$4,統合マスタ!$A280,0))</f>
        <v>2</v>
      </c>
      <c r="S280" s="55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5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5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/>
    </row>
    <row r="281" spans="1:27">
      <c r="A281" s="42">
        <f>元データ!P278</f>
        <v>216</v>
      </c>
      <c r="B281" s="27">
        <f t="shared" si="4"/>
        <v>277</v>
      </c>
      <c r="C281" s="27" t="str">
        <f>DBCS(元データ!A278)</f>
        <v>スルバシリン静注用１．５ｇ</v>
      </c>
      <c r="D281" s="55" t="str">
        <f>元データ!B278</f>
        <v>KSK</v>
      </c>
      <c r="E281" s="27" t="str">
        <f>元データ!C278</f>
        <v/>
      </c>
      <c r="F281" s="27" t="str">
        <f>元データ!D278</f>
        <v>10瓶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5" t="str">
        <f ca="1">IF(OFFSET(マスタ非採用削除!A$4,統合マスタ!$A281,0)="","",OFFSET(マスタ非採用削除!A$4,統合マスタ!$A281,0))</f>
        <v>ｽﾙﾊ001</v>
      </c>
      <c r="O281" s="55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5" t="str">
        <f ca="1">IF(OFFSET(マスタ非採用削除!D$4,統合マスタ!$A281,0)="","",OFFSET(マスタ非採用削除!D$4,統合マスタ!$A281,0))</f>
        <v>ｽﾙﾊﾞ</v>
      </c>
      <c r="R281" s="27">
        <f ca="1">IF(OFFSET(マスタ非採用削除!E$4,統合マスタ!$A281,0)="","",OFFSET(マスタ非採用削除!E$4,統合マスタ!$A281,0))</f>
        <v>1</v>
      </c>
      <c r="S281" s="55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5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5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/>
    </row>
    <row r="282" spans="1:27">
      <c r="A282" s="42">
        <f>元データ!P279</f>
        <v>217</v>
      </c>
      <c r="B282" s="27">
        <f t="shared" si="4"/>
        <v>278</v>
      </c>
      <c r="C282" s="27" t="str">
        <f>DBCS(元データ!A279)</f>
        <v>スルピリド錠１００ｍｇ「アメル」</v>
      </c>
      <c r="D282" s="55" t="str">
        <f>元データ!B279</f>
        <v>メディセオ</v>
      </c>
      <c r="E282" s="27" t="str">
        <f>元データ!C279</f>
        <v>PTP</v>
      </c>
      <c r="F282" s="27" t="str">
        <f>元データ!D279</f>
        <v>100T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5" t="str">
        <f ca="1">IF(OFFSET(マスタ非採用削除!A$4,統合マスタ!$A282,0)="","",OFFSET(マスタ非採用削除!A$4,統合マスタ!$A282,0))</f>
        <v>ｽﾙﾋ001</v>
      </c>
      <c r="O282" s="55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5" t="str">
        <f ca="1">IF(OFFSET(マスタ非採用削除!D$4,統合マスタ!$A282,0)="","",OFFSET(マスタ非採用削除!D$4,統合マスタ!$A282,0))</f>
        <v>ｽﾙﾋﾟﾘ1</v>
      </c>
      <c r="R282" s="27">
        <f ca="1">IF(OFFSET(マスタ非採用削除!E$4,統合マスタ!$A282,0)="","",OFFSET(マスタ非採用削除!E$4,統合マスタ!$A282,0))</f>
        <v>1</v>
      </c>
      <c r="S282" s="55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5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5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6</v>
      </c>
      <c r="AA282" s="27"/>
    </row>
    <row r="283" spans="1:27">
      <c r="A283" s="42">
        <f>元データ!P280</f>
        <v>218</v>
      </c>
      <c r="B283" s="27">
        <f t="shared" si="4"/>
        <v>279</v>
      </c>
      <c r="C283" s="27" t="str">
        <f>DBCS(元データ!A280)</f>
        <v>スルピリド錠２００ｍｇ「アメル」</v>
      </c>
      <c r="D283" s="55" t="str">
        <f>元データ!B280</f>
        <v>メディセオ</v>
      </c>
      <c r="E283" s="27" t="str">
        <f>元データ!C280</f>
        <v>PTP</v>
      </c>
      <c r="F283" s="27" t="str">
        <f>元データ!D280</f>
        <v>100Ｔ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5" t="str">
        <f ca="1">IF(OFFSET(マスタ非採用削除!A$4,統合マスタ!$A283,0)="","",OFFSET(マスタ非採用削除!A$4,統合マスタ!$A283,0))</f>
        <v>ｽﾙﾋ002</v>
      </c>
      <c r="O283" s="55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5" t="str">
        <f ca="1">IF(OFFSET(マスタ非採用削除!D$4,統合マスタ!$A283,0)="","",OFFSET(マスタ非採用削除!D$4,統合マスタ!$A283,0))</f>
        <v>ｽﾙﾋﾟﾘ2</v>
      </c>
      <c r="R283" s="27">
        <f ca="1">IF(OFFSET(マスタ非採用削除!E$4,統合マスタ!$A283,0)="","",OFFSET(マスタ非採用削除!E$4,統合マスタ!$A283,0))</f>
        <v>1</v>
      </c>
      <c r="S283" s="55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5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5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6</v>
      </c>
      <c r="AA283" s="27"/>
    </row>
    <row r="284" spans="1:27">
      <c r="A284" s="42">
        <f>元データ!P281</f>
        <v>219</v>
      </c>
      <c r="B284" s="27">
        <f t="shared" si="4"/>
        <v>280</v>
      </c>
      <c r="C284" s="27" t="str">
        <f>DBCS(元データ!A281)</f>
        <v>スルピリド錠５０ｍｇ「アメル」</v>
      </c>
      <c r="D284" s="55" t="str">
        <f>元データ!B281</f>
        <v>メディセオ</v>
      </c>
      <c r="E284" s="27" t="str">
        <f>元データ!C281</f>
        <v>PTP</v>
      </c>
      <c r="F284" s="27" t="str">
        <f>元データ!D281</f>
        <v>100Ｔ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5" t="str">
        <f ca="1">IF(OFFSET(マスタ非採用削除!A$4,統合マスタ!$A284,0)="","",OFFSET(マスタ非採用削除!A$4,統合マスタ!$A284,0))</f>
        <v>ｽﾙﾋ003</v>
      </c>
      <c r="O284" s="55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5" t="str">
        <f ca="1">IF(OFFSET(マスタ非採用削除!D$4,統合マスタ!$A284,0)="","",OFFSET(マスタ非採用削除!D$4,統合マスタ!$A284,0))</f>
        <v>ｽﾙﾋﾟ</v>
      </c>
      <c r="R284" s="27">
        <f ca="1">IF(OFFSET(マスタ非採用削除!E$4,統合マスタ!$A284,0)="","",OFFSET(マスタ非採用削除!E$4,統合マスタ!$A284,0))</f>
        <v>1</v>
      </c>
      <c r="S284" s="55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5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5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5</v>
      </c>
      <c r="AA284" s="27"/>
    </row>
    <row r="285" spans="1:27">
      <c r="A285" s="42">
        <f>元データ!P282</f>
        <v>219</v>
      </c>
      <c r="B285" s="27">
        <f t="shared" si="4"/>
        <v>281</v>
      </c>
      <c r="C285" s="27" t="str">
        <f>DBCS(元データ!A282)</f>
        <v>スルピリド錠５０ｍｇ「アメル」</v>
      </c>
      <c r="D285" s="55" t="str">
        <f>元データ!B282</f>
        <v>メディセオ</v>
      </c>
      <c r="E285" s="27" t="str">
        <f>元データ!C282</f>
        <v>バラ</v>
      </c>
      <c r="F285" s="27" t="str">
        <f>元データ!D282</f>
        <v>1000Ｔ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5" t="str">
        <f ca="1">IF(OFFSET(マスタ非採用削除!A$4,統合マスタ!$A285,0)="","",OFFSET(マスタ非採用削除!A$4,統合マスタ!$A285,0))</f>
        <v>ｽﾙﾋ003</v>
      </c>
      <c r="O285" s="55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5" t="str">
        <f ca="1">IF(OFFSET(マスタ非採用削除!D$4,統合マスタ!$A285,0)="","",OFFSET(マスタ非採用削除!D$4,統合マスタ!$A285,0))</f>
        <v>ｽﾙﾋﾟ</v>
      </c>
      <c r="R285" s="27">
        <f ca="1">IF(OFFSET(マスタ非採用削除!E$4,統合マスタ!$A285,0)="","",OFFSET(マスタ非採用削除!E$4,統合マスタ!$A285,0))</f>
        <v>1</v>
      </c>
      <c r="S285" s="55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5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5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5</v>
      </c>
      <c r="AA285" s="27"/>
    </row>
    <row r="286" spans="1:27">
      <c r="A286" s="42">
        <f>元データ!P283</f>
        <v>0</v>
      </c>
      <c r="B286" s="27">
        <f t="shared" si="4"/>
        <v>282</v>
      </c>
      <c r="C286" s="27" t="str">
        <f>DBCS(元データ!A283)</f>
        <v>スワブスティック　（ヘキシジン）</v>
      </c>
      <c r="D286" s="55" t="str">
        <f>元データ!B283</f>
        <v>スズケン</v>
      </c>
      <c r="E286" s="27" t="str">
        <f>元データ!C283</f>
        <v/>
      </c>
      <c r="F286" s="27" t="str">
        <f>元データ!D283</f>
        <v>Mｻｲｽﾞ　60入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5" t="str">
        <f ca="1">IF(OFFSET(マスタ非採用削除!A$4,統合マスタ!$A286,0)="","",OFFSET(マスタ非採用削除!A$4,統合マスタ!$A286,0))</f>
        <v>コード(区分値)</v>
      </c>
      <c r="O286" s="55" t="str">
        <f ca="1">IF(OFFSET(マスタ非採用削除!B$4,統合マスタ!$A286,0)="","",OFFSET(マスタ非採用削除!B$4,統合マスタ!$A286,0))</f>
        <v>コード</v>
      </c>
      <c r="P286" s="27" t="str">
        <f ca="1">IF(OFFSET(マスタ非採用削除!C$4,統合マスタ!$A286,0)="","",OFFSET(マスタ非採用削除!C$4,統合マスタ!$A286,0))</f>
        <v>名称</v>
      </c>
      <c r="Q286" s="55" t="str">
        <f ca="1">IF(OFFSET(マスタ非採用削除!D$4,統合マスタ!$A286,0)="","",OFFSET(マスタ非採用削除!D$4,統合マスタ!$A286,0))</f>
        <v>ホストコード</v>
      </c>
      <c r="R286" s="27" t="str">
        <f ca="1">IF(OFFSET(マスタ非採用削除!E$4,統合マスタ!$A286,0)="","",OFFSET(マスタ非採用削除!E$4,統合マスタ!$A286,0))</f>
        <v>採用区分（区分値）(区分値)</v>
      </c>
      <c r="S286" s="55" t="str">
        <f ca="1">IF(OFFSET(マスタ非採用削除!F$4,統合マスタ!$A286,0)="","",OFFSET(マスタ非採用削除!F$4,統合マスタ!$A286,0))</f>
        <v>採用区分（区分値）</v>
      </c>
      <c r="T286" s="27" t="str">
        <f ca="1">IF(OFFSET(マスタ非採用削除!G$4,統合マスタ!$A286,0)="","",OFFSET(マスタ非採用削除!G$4,統合マスタ!$A286,0))</f>
        <v>薬価</v>
      </c>
      <c r="U286" s="55" t="str">
        <f ca="1">IF(OFFSET(マスタ非採用削除!H$4,統合マスタ!$A286,0)="","",OFFSET(マスタ非採用削除!H$4,統合マスタ!$A286,0))</f>
        <v>カナ名称</v>
      </c>
      <c r="V286" s="27" t="str">
        <f ca="1">IF(OFFSET(マスタ非採用削除!I$4,統合マスタ!$A286,0)="","",OFFSET(マスタ非採用削除!I$4,統合マスタ!$A286,0))</f>
        <v>剤形(区分値)</v>
      </c>
      <c r="W286" s="27" t="str">
        <f ca="1">IF(OFFSET(マスタ非採用削除!J$4,統合マスタ!$A286,0)="","",OFFSET(マスタ非採用削除!J$4,統合マスタ!$A286,0))</f>
        <v>剤形</v>
      </c>
      <c r="X286" s="27" t="str">
        <f ca="1">IF(OFFSET(マスタ非採用削除!K$4,統合マスタ!$A286,0)="","",OFFSET(マスタ非採用削除!K$4,統合マスタ!$A286,0))</f>
        <v>毒劇薬（区分値）(区分値)</v>
      </c>
      <c r="Y286" s="55" t="str">
        <f ca="1">IF(OFFSET(マスタ非採用削除!L$4,統合マスタ!$A286,0)="","",OFFSET(マスタ非採用削除!L$4,統合マスタ!$A286,0))</f>
        <v>毒劇薬（区分値）</v>
      </c>
      <c r="Z286" s="27" t="str">
        <f ca="1">IF(OFFSET(マスタ非採用削除!M$4,統合マスタ!$A286,0)="","",OFFSET(マスタ非採用削除!M$4,統合マスタ!$A286,0))</f>
        <v>棚</v>
      </c>
      <c r="AA286" s="27"/>
    </row>
    <row r="287" spans="1:27">
      <c r="A287" s="42">
        <f>元データ!P284</f>
        <v>0</v>
      </c>
      <c r="B287" s="27">
        <f t="shared" si="4"/>
        <v>283</v>
      </c>
      <c r="C287" s="27" t="str">
        <f>DBCS(元データ!A284)</f>
        <v>スワブスティック（ポビドンヨード）　　　Ｍサイズ</v>
      </c>
      <c r="D287" s="55" t="str">
        <f>元データ!B284</f>
        <v>スズケン</v>
      </c>
      <c r="E287" s="27" t="str">
        <f>元データ!C284</f>
        <v/>
      </c>
      <c r="F287" s="27" t="str">
        <f>元データ!D284</f>
        <v>60包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5" t="str">
        <f ca="1">IF(OFFSET(マスタ非採用削除!A$4,統合マスタ!$A287,0)="","",OFFSET(マスタ非採用削除!A$4,統合マスタ!$A287,0))</f>
        <v>コード(区分値)</v>
      </c>
      <c r="O287" s="55" t="str">
        <f ca="1">IF(OFFSET(マスタ非採用削除!B$4,統合マスタ!$A287,0)="","",OFFSET(マスタ非採用削除!B$4,統合マスタ!$A287,0))</f>
        <v>コード</v>
      </c>
      <c r="P287" s="27" t="str">
        <f ca="1">IF(OFFSET(マスタ非採用削除!C$4,統合マスタ!$A287,0)="","",OFFSET(マスタ非採用削除!C$4,統合マスタ!$A287,0))</f>
        <v>名称</v>
      </c>
      <c r="Q287" s="55" t="str">
        <f ca="1">IF(OFFSET(マスタ非採用削除!D$4,統合マスタ!$A287,0)="","",OFFSET(マスタ非採用削除!D$4,統合マスタ!$A287,0))</f>
        <v>ホストコード</v>
      </c>
      <c r="R287" s="27" t="str">
        <f ca="1">IF(OFFSET(マスタ非採用削除!E$4,統合マスタ!$A287,0)="","",OFFSET(マスタ非採用削除!E$4,統合マスタ!$A287,0))</f>
        <v>採用区分（区分値）(区分値)</v>
      </c>
      <c r="S287" s="55" t="str">
        <f ca="1">IF(OFFSET(マスタ非採用削除!F$4,統合マスタ!$A287,0)="","",OFFSET(マスタ非採用削除!F$4,統合マスタ!$A287,0))</f>
        <v>採用区分（区分値）</v>
      </c>
      <c r="T287" s="27" t="str">
        <f ca="1">IF(OFFSET(マスタ非採用削除!G$4,統合マスタ!$A287,0)="","",OFFSET(マスタ非採用削除!G$4,統合マスタ!$A287,0))</f>
        <v>薬価</v>
      </c>
      <c r="U287" s="55" t="str">
        <f ca="1">IF(OFFSET(マスタ非採用削除!H$4,統合マスタ!$A287,0)="","",OFFSET(マスタ非採用削除!H$4,統合マスタ!$A287,0))</f>
        <v>カナ名称</v>
      </c>
      <c r="V287" s="27" t="str">
        <f ca="1">IF(OFFSET(マスタ非採用削除!I$4,統合マスタ!$A287,0)="","",OFFSET(マスタ非採用削除!I$4,統合マスタ!$A287,0))</f>
        <v>剤形(区分値)</v>
      </c>
      <c r="W287" s="27" t="str">
        <f ca="1">IF(OFFSET(マスタ非採用削除!J$4,統合マスタ!$A287,0)="","",OFFSET(マスタ非採用削除!J$4,統合マスタ!$A287,0))</f>
        <v>剤形</v>
      </c>
      <c r="X287" s="27" t="str">
        <f ca="1">IF(OFFSET(マスタ非採用削除!K$4,統合マスタ!$A287,0)="","",OFFSET(マスタ非採用削除!K$4,統合マスタ!$A287,0))</f>
        <v>毒劇薬（区分値）(区分値)</v>
      </c>
      <c r="Y287" s="55" t="str">
        <f ca="1">IF(OFFSET(マスタ非採用削除!L$4,統合マスタ!$A287,0)="","",OFFSET(マスタ非採用削除!L$4,統合マスタ!$A287,0))</f>
        <v>毒劇薬（区分値）</v>
      </c>
      <c r="Z287" s="27" t="str">
        <f ca="1">IF(OFFSET(マスタ非採用削除!M$4,統合マスタ!$A287,0)="","",OFFSET(マスタ非採用削除!M$4,統合マスタ!$A287,0))</f>
        <v>棚</v>
      </c>
      <c r="AA287" s="27"/>
    </row>
    <row r="288" spans="1:27">
      <c r="A288" s="42">
        <f>元データ!P285</f>
        <v>226</v>
      </c>
      <c r="B288" s="27">
        <f t="shared" si="4"/>
        <v>284</v>
      </c>
      <c r="C288" s="27" t="str">
        <f>DBCS(元データ!A285)</f>
        <v>セディール錠１０ｍｇ　　　　　　　　　　</v>
      </c>
      <c r="D288" s="55" t="str">
        <f>元データ!B285</f>
        <v>メディセオ</v>
      </c>
      <c r="E288" s="27" t="str">
        <f>元データ!C285</f>
        <v>PTP</v>
      </c>
      <c r="F288" s="27" t="str">
        <f>元データ!D285</f>
        <v>100T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5" t="str">
        <f ca="1">IF(OFFSET(マスタ非採用削除!A$4,統合マスタ!$A288,0)="","",OFFSET(マスタ非採用削除!A$4,統合マスタ!$A288,0))</f>
        <v>ｾﾃｲ001</v>
      </c>
      <c r="O288" s="55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5" t="str">
        <f ca="1">IF(OFFSET(マスタ非採用削除!D$4,統合マスタ!$A288,0)="","",OFFSET(マスタ非採用削除!D$4,統合マスタ!$A288,0))</f>
        <v>ｾﾃﾞｨ</v>
      </c>
      <c r="R288" s="27">
        <f ca="1">IF(OFFSET(マスタ非採用削除!E$4,統合マスタ!$A288,0)="","",OFFSET(マスタ非採用削除!E$4,統合マスタ!$A288,0))</f>
        <v>1</v>
      </c>
      <c r="S288" s="55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5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5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6</v>
      </c>
      <c r="AA288" s="27"/>
    </row>
    <row r="289" spans="1:27">
      <c r="A289" s="42">
        <f>元データ!P286</f>
        <v>226</v>
      </c>
      <c r="B289" s="27">
        <f t="shared" si="4"/>
        <v>285</v>
      </c>
      <c r="C289" s="27" t="str">
        <f>DBCS(元データ!A286)</f>
        <v>セディール錠１０ｍｇ　　　　　　　　　　</v>
      </c>
      <c r="D289" s="55" t="str">
        <f>元データ!B286</f>
        <v>メディセオ</v>
      </c>
      <c r="E289" s="27" t="str">
        <f>元データ!C286</f>
        <v>バラ</v>
      </c>
      <c r="F289" s="27" t="str">
        <f>元データ!D286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5" t="str">
        <f ca="1">IF(OFFSET(マスタ非採用削除!A$4,統合マスタ!$A289,0)="","",OFFSET(マスタ非採用削除!A$4,統合マスタ!$A289,0))</f>
        <v>ｾﾃｲ001</v>
      </c>
      <c r="O289" s="55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5" t="str">
        <f ca="1">IF(OFFSET(マスタ非採用削除!D$4,統合マスタ!$A289,0)="","",OFFSET(マスタ非採用削除!D$4,統合マスタ!$A289,0))</f>
        <v>ｾﾃﾞｨ</v>
      </c>
      <c r="R289" s="27">
        <f ca="1">IF(OFFSET(マスタ非採用削除!E$4,統合マスタ!$A289,0)="","",OFFSET(マスタ非採用削除!E$4,統合マスタ!$A289,0))</f>
        <v>1</v>
      </c>
      <c r="S289" s="55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5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5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6</v>
      </c>
      <c r="AA289" s="27"/>
    </row>
    <row r="290" spans="1:27">
      <c r="A290" s="42">
        <f>元データ!P287</f>
        <v>227</v>
      </c>
      <c r="B290" s="27">
        <f t="shared" si="4"/>
        <v>286</v>
      </c>
      <c r="C290" s="27" t="str">
        <f>DBCS(元データ!A287)</f>
        <v>セパゾン錠１</v>
      </c>
      <c r="D290" s="55" t="str">
        <f>元データ!B287</f>
        <v/>
      </c>
      <c r="E290" s="27" t="str">
        <f>元データ!C287</f>
        <v>PTP</v>
      </c>
      <c r="F290" s="27" t="str">
        <f>元データ!D287</f>
        <v>100Ｔ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5" t="str">
        <f ca="1">IF(OFFSET(マスタ非採用削除!A$4,統合マスタ!$A290,0)="","",OFFSET(マスタ非採用削除!A$4,統合マスタ!$A290,0))</f>
        <v>ｾﾊｿ001</v>
      </c>
      <c r="O290" s="55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5" t="str">
        <f ca="1">IF(OFFSET(マスタ非採用削除!D$4,統合マスタ!$A290,0)="","",OFFSET(マスタ非採用削除!D$4,統合マスタ!$A290,0))</f>
        <v>ｾﾊﾟｿﾞ1</v>
      </c>
      <c r="R290" s="27">
        <f ca="1">IF(OFFSET(マスタ非採用削除!E$4,統合マスタ!$A290,0)="","",OFFSET(マスタ非採用削除!E$4,統合マスタ!$A290,0))</f>
        <v>1</v>
      </c>
      <c r="S290" s="55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5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5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5</v>
      </c>
      <c r="AA290" s="27"/>
    </row>
    <row r="291" spans="1:27">
      <c r="A291" s="42">
        <f>元データ!P288</f>
        <v>227</v>
      </c>
      <c r="B291" s="27">
        <f t="shared" si="4"/>
        <v>287</v>
      </c>
      <c r="C291" s="27" t="str">
        <f>DBCS(元データ!A288)</f>
        <v>セパゾン錠１</v>
      </c>
      <c r="D291" s="55" t="str">
        <f>元データ!B288</f>
        <v>アルフレッサ</v>
      </c>
      <c r="E291" s="27" t="str">
        <f>元データ!C288</f>
        <v>バラ</v>
      </c>
      <c r="F291" s="27" t="str">
        <f>元データ!D288</f>
        <v>1000Ｔ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5" t="str">
        <f ca="1">IF(OFFSET(マスタ非採用削除!A$4,統合マスタ!$A291,0)="","",OFFSET(マスタ非採用削除!A$4,統合マスタ!$A291,0))</f>
        <v>ｾﾊｿ001</v>
      </c>
      <c r="O291" s="55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5" t="str">
        <f ca="1">IF(OFFSET(マスタ非採用削除!D$4,統合マスタ!$A291,0)="","",OFFSET(マスタ非採用削除!D$4,統合マスタ!$A291,0))</f>
        <v>ｾﾊﾟｿﾞ1</v>
      </c>
      <c r="R291" s="27">
        <f ca="1">IF(OFFSET(マスタ非採用削除!E$4,統合マスタ!$A291,0)="","",OFFSET(マスタ非採用削除!E$4,統合マスタ!$A291,0))</f>
        <v>1</v>
      </c>
      <c r="S291" s="55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5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5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5</v>
      </c>
      <c r="AA291" s="27"/>
    </row>
    <row r="292" spans="1:27">
      <c r="A292" s="42">
        <f>元データ!P289</f>
        <v>228</v>
      </c>
      <c r="B292" s="27">
        <f t="shared" si="4"/>
        <v>288</v>
      </c>
      <c r="C292" s="27" t="str">
        <f>DBCS(元データ!A289)</f>
        <v>セパゾン錠２</v>
      </c>
      <c r="D292" s="55" t="str">
        <f>元データ!B289</f>
        <v>アルフレッサ</v>
      </c>
      <c r="E292" s="27" t="str">
        <f>元データ!C289</f>
        <v>PTP</v>
      </c>
      <c r="F292" s="27" t="str">
        <f>元データ!D289</f>
        <v>100Ｔ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5" t="str">
        <f ca="1">IF(OFFSET(マスタ非採用削除!A$4,統合マスタ!$A292,0)="","",OFFSET(マスタ非採用削除!A$4,統合マスタ!$A292,0))</f>
        <v>ｾﾊｿ002</v>
      </c>
      <c r="O292" s="55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5" t="str">
        <f ca="1">IF(OFFSET(マスタ非採用削除!D$4,統合マスタ!$A292,0)="","",OFFSET(マスタ非採用削除!D$4,統合マスタ!$A292,0))</f>
        <v>ｾﾊﾟｿﾞ2</v>
      </c>
      <c r="R292" s="27">
        <f ca="1">IF(OFFSET(マスタ非採用削除!E$4,統合マスタ!$A292,0)="","",OFFSET(マスタ非採用削除!E$4,統合マスタ!$A292,0))</f>
        <v>1</v>
      </c>
      <c r="S292" s="55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5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5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/>
    </row>
    <row r="293" spans="1:27">
      <c r="A293" s="42">
        <f>元データ!P290</f>
        <v>229</v>
      </c>
      <c r="B293" s="27">
        <f t="shared" si="4"/>
        <v>289</v>
      </c>
      <c r="C293" s="27" t="str">
        <f>DBCS(元データ!A290)</f>
        <v>セパミット細粒１％</v>
      </c>
      <c r="D293" s="55" t="str">
        <f>元データ!B290</f>
        <v>アルフレッサ</v>
      </c>
      <c r="E293" s="27" t="str">
        <f>元データ!C290</f>
        <v>粉</v>
      </c>
      <c r="F293" s="27" t="str">
        <f>元データ!D290</f>
        <v>1ｇｘ300包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5" t="str">
        <f ca="1">IF(OFFSET(マスタ非採用削除!A$4,統合マスタ!$A293,0)="","",OFFSET(マスタ非採用削除!A$4,統合マスタ!$A293,0))</f>
        <v>ｾﾊﾐ001</v>
      </c>
      <c r="O293" s="55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5" t="str">
        <f ca="1">IF(OFFSET(マスタ非採用削除!D$4,統合マスタ!$A293,0)="","",OFFSET(マスタ非採用削除!D$4,統合マスタ!$A293,0))</f>
        <v/>
      </c>
      <c r="R293" s="27">
        <f ca="1">IF(OFFSET(マスタ非採用削除!E$4,統合マスタ!$A293,0)="","",OFFSET(マスタ非採用削除!E$4,統合マスタ!$A293,0))</f>
        <v>2</v>
      </c>
      <c r="S293" s="55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5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5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/>
    </row>
    <row r="294" spans="1:27">
      <c r="A294" s="42">
        <f>元データ!P291</f>
        <v>230</v>
      </c>
      <c r="B294" s="27">
        <f t="shared" si="4"/>
        <v>290</v>
      </c>
      <c r="C294" s="27" t="str">
        <f>DBCS(元データ!A291)</f>
        <v>セフェピム塩酸塩静注用１ｇ「サンド」</v>
      </c>
      <c r="D294" s="55" t="str">
        <f>元データ!B291</f>
        <v/>
      </c>
      <c r="E294" s="27" t="str">
        <f>元データ!C291</f>
        <v/>
      </c>
      <c r="F294" s="27" t="str">
        <f>元データ!D291</f>
        <v>10V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5" t="str">
        <f ca="1">IF(OFFSET(マスタ非採用削除!A$4,統合マスタ!$A294,0)="","",OFFSET(マスタ非採用削除!A$4,統合マスタ!$A294,0))</f>
        <v>ｾﾌｴ001</v>
      </c>
      <c r="O294" s="55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5" t="str">
        <f ca="1">IF(OFFSET(マスタ非採用削除!D$4,統合マスタ!$A294,0)="","",OFFSET(マスタ非採用削除!D$4,統合マスタ!$A294,0))</f>
        <v>ｾﾌｪ</v>
      </c>
      <c r="R294" s="27">
        <f ca="1">IF(OFFSET(マスタ非採用削除!E$4,統合マスタ!$A294,0)="","",OFFSET(マスタ非採用削除!E$4,統合マスタ!$A294,0))</f>
        <v>1</v>
      </c>
      <c r="S294" s="55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5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5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/>
    </row>
    <row r="295" spans="1:27">
      <c r="A295" s="42">
        <f>元データ!P292</f>
        <v>231</v>
      </c>
      <c r="B295" s="27">
        <f t="shared" si="4"/>
        <v>291</v>
      </c>
      <c r="C295" s="27" t="str">
        <f>DBCS(元データ!A292)</f>
        <v>セフタジジム静注用１ｇ「ＶＴＲＳ」</v>
      </c>
      <c r="D295" s="55" t="str">
        <f>元データ!B292</f>
        <v>メディセオ</v>
      </c>
      <c r="E295" s="27" t="str">
        <f>元データ!C292</f>
        <v/>
      </c>
      <c r="F295" s="27" t="str">
        <f>元データ!D292</f>
        <v>10V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5" t="str">
        <f ca="1">IF(OFFSET(マスタ非採用削除!A$4,統合マスタ!$A295,0)="","",OFFSET(マスタ非採用削除!A$4,統合マスタ!$A295,0))</f>
        <v>ｾﾌﾀ002</v>
      </c>
      <c r="O295" s="55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5" t="str">
        <f ca="1">IF(OFFSET(マスタ非採用削除!D$4,統合マスタ!$A295,0)="","",OFFSET(マスタ非採用削除!D$4,統合マスタ!$A295,0))</f>
        <v/>
      </c>
      <c r="R295" s="27">
        <f ca="1">IF(OFFSET(マスタ非採用削除!E$4,統合マスタ!$A295,0)="","",OFFSET(マスタ非採用削除!E$4,統合マスタ!$A295,0))</f>
        <v>1</v>
      </c>
      <c r="S295" s="55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5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5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/>
    </row>
    <row r="296" spans="1:27">
      <c r="A296" s="42">
        <f>元データ!P293</f>
        <v>232</v>
      </c>
      <c r="B296" s="27">
        <f t="shared" si="4"/>
        <v>292</v>
      </c>
      <c r="C296" s="27" t="str">
        <f>DBCS(元データ!A293)</f>
        <v>セフトリアキソンＮａ静注１Ｇ「ニチイコウ」</v>
      </c>
      <c r="D296" s="55" t="str">
        <f>元データ!B293</f>
        <v>メディセオ</v>
      </c>
      <c r="E296" s="27" t="str">
        <f>元データ!C293</f>
        <v/>
      </c>
      <c r="F296" s="27" t="str">
        <f>元データ!D293</f>
        <v>1G   10V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5" t="str">
        <f ca="1">IF(OFFSET(マスタ非採用削除!A$4,統合マスタ!$A296,0)="","",OFFSET(マスタ非採用削除!A$4,統合マスタ!$A296,0))</f>
        <v>ｾﾌﾄ001</v>
      </c>
      <c r="O296" s="55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5" t="str">
        <f ca="1">IF(OFFSET(マスタ非採用削除!D$4,統合マスタ!$A296,0)="","",OFFSET(マスタ非採用削除!D$4,統合マスタ!$A296,0))</f>
        <v>ｾﾌﾄ</v>
      </c>
      <c r="R296" s="27">
        <f ca="1">IF(OFFSET(マスタ非採用削除!E$4,統合マスタ!$A296,0)="","",OFFSET(マスタ非採用削除!E$4,統合マスタ!$A296,0))</f>
        <v>1</v>
      </c>
      <c r="S296" s="55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5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5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/>
    </row>
    <row r="297" spans="1:27">
      <c r="A297" s="42">
        <f>元データ!P294</f>
        <v>236</v>
      </c>
      <c r="B297" s="27">
        <f t="shared" si="4"/>
        <v>293</v>
      </c>
      <c r="C297" s="27" t="str">
        <f>DBCS(元データ!A294)</f>
        <v>ゼプリオン水懸筋注１００ｍｇ　シリンジ</v>
      </c>
      <c r="D297" s="55" t="str">
        <f>元データ!B294</f>
        <v>アルフレッサ</v>
      </c>
      <c r="E297" s="27" t="str">
        <f>元データ!C294</f>
        <v/>
      </c>
      <c r="F297" s="27" t="str">
        <f>元データ!D294</f>
        <v>1本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5" t="str">
        <f ca="1">IF(OFFSET(マスタ非採用削除!A$4,統合マスタ!$A297,0)="","",OFFSET(マスタ非採用削除!A$4,統合マスタ!$A297,0))</f>
        <v>ｾﾌﾘ004</v>
      </c>
      <c r="O297" s="55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5" t="str">
        <f ca="1">IF(OFFSET(マスタ非採用削除!D$4,統合マスタ!$A297,0)="","",OFFSET(マスタ非採用削除!D$4,統合マスタ!$A297,0))</f>
        <v>ｾﾞﾌﾟﾘ4</v>
      </c>
      <c r="R297" s="27">
        <f ca="1">IF(OFFSET(マスタ非採用削除!E$4,統合マスタ!$A297,0)="","",OFFSET(マスタ非採用削除!E$4,統合マスタ!$A297,0))</f>
        <v>1</v>
      </c>
      <c r="S297" s="55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5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5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/>
    </row>
    <row r="298" spans="1:27">
      <c r="A298" s="42">
        <f>元データ!P295</f>
        <v>237</v>
      </c>
      <c r="B298" s="27">
        <f t="shared" si="4"/>
        <v>294</v>
      </c>
      <c r="C298" s="27" t="str">
        <f>DBCS(元データ!A295)</f>
        <v>ゼプリオン水懸筋注１５０ｍｇ　シリンジ</v>
      </c>
      <c r="D298" s="55" t="str">
        <f>元データ!B295</f>
        <v>アルフレッサ</v>
      </c>
      <c r="E298" s="27" t="str">
        <f>元データ!C295</f>
        <v/>
      </c>
      <c r="F298" s="27" t="str">
        <f>元データ!D295</f>
        <v>1本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5" t="str">
        <f ca="1">IF(OFFSET(マスタ非採用削除!A$4,統合マスタ!$A298,0)="","",OFFSET(マスタ非採用削除!A$4,統合マスタ!$A298,0))</f>
        <v>ｾﾌﾘ005</v>
      </c>
      <c r="O298" s="55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5" t="str">
        <f ca="1">IF(OFFSET(マスタ非採用削除!D$4,統合マスタ!$A298,0)="","",OFFSET(マスタ非採用削除!D$4,統合マスタ!$A298,0))</f>
        <v>ｾﾞﾌﾟﾘ5</v>
      </c>
      <c r="R298" s="27">
        <f ca="1">IF(OFFSET(マスタ非採用削除!E$4,統合マスタ!$A298,0)="","",OFFSET(マスタ非採用削除!E$4,統合マスタ!$A298,0))</f>
        <v>1</v>
      </c>
      <c r="S298" s="55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5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5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/>
    </row>
    <row r="299" spans="1:27">
      <c r="A299" s="42">
        <f>元データ!P296</f>
        <v>234</v>
      </c>
      <c r="B299" s="27">
        <f t="shared" si="4"/>
        <v>295</v>
      </c>
      <c r="C299" s="27" t="str">
        <f>DBCS(元データ!A296)</f>
        <v>ゼプリオン水懸筋注５０ｍｇシリンジ</v>
      </c>
      <c r="D299" s="55" t="str">
        <f>元データ!B296</f>
        <v>アルフレッサ</v>
      </c>
      <c r="E299" s="27" t="str">
        <f>元データ!C296</f>
        <v/>
      </c>
      <c r="F299" s="27" t="str">
        <f>元データ!D296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5" t="str">
        <f ca="1">IF(OFFSET(マスタ非採用削除!A$4,統合マスタ!$A299,0)="","",OFFSET(マスタ非採用削除!A$4,統合マスタ!$A299,0))</f>
        <v>ｾﾌﾘ002</v>
      </c>
      <c r="O299" s="55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5" t="str">
        <f ca="1">IF(OFFSET(マスタ非採用削除!D$4,統合マスタ!$A299,0)="","",OFFSET(マスタ非採用削除!D$4,統合マスタ!$A299,0))</f>
        <v>ｾﾞﾌﾟﾘ2</v>
      </c>
      <c r="R299" s="27">
        <f ca="1">IF(OFFSET(マスタ非採用削除!E$4,統合マスタ!$A299,0)="","",OFFSET(マスタ非採用削除!E$4,統合マスタ!$A299,0))</f>
        <v>1</v>
      </c>
      <c r="S299" s="55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5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5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/>
    </row>
    <row r="300" spans="1:27">
      <c r="A300" s="42">
        <f>元データ!P297</f>
        <v>235</v>
      </c>
      <c r="B300" s="27">
        <f t="shared" si="4"/>
        <v>296</v>
      </c>
      <c r="C300" s="27" t="str">
        <f>DBCS(元データ!A297)</f>
        <v>ゼプリオン水懸筋注７５ｍｇシリンジ</v>
      </c>
      <c r="D300" s="55" t="str">
        <f>元データ!B297</f>
        <v>アルフレッサ</v>
      </c>
      <c r="E300" s="27" t="str">
        <f>元データ!C297</f>
        <v/>
      </c>
      <c r="F300" s="27" t="str">
        <f>元データ!D297</f>
        <v>1ｼﾘﾝｼﾞ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5" t="str">
        <f ca="1">IF(OFFSET(マスタ非採用削除!A$4,統合マスタ!$A300,0)="","",OFFSET(マスタ非採用削除!A$4,統合マスタ!$A300,0))</f>
        <v>ｾﾌﾘ003</v>
      </c>
      <c r="O300" s="55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5" t="str">
        <f ca="1">IF(OFFSET(マスタ非採用削除!D$4,統合マスタ!$A300,0)="","",OFFSET(マスタ非採用削除!D$4,統合マスタ!$A300,0))</f>
        <v>ｾﾞﾌﾟﾘ3</v>
      </c>
      <c r="R300" s="27">
        <f ca="1">IF(OFFSET(マスタ非採用削除!E$4,統合マスタ!$A300,0)="","",OFFSET(マスタ非採用削除!E$4,統合マスタ!$A300,0))</f>
        <v>1</v>
      </c>
      <c r="S300" s="55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5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5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/>
    </row>
    <row r="301" spans="1:27">
      <c r="A301" s="42">
        <f>元データ!P298</f>
        <v>238</v>
      </c>
      <c r="B301" s="27">
        <f t="shared" si="4"/>
        <v>297</v>
      </c>
      <c r="C301" s="27" t="str">
        <f>DBCS(元データ!A298)</f>
        <v>セララ錠５０ｍｇ</v>
      </c>
      <c r="D301" s="55" t="str">
        <f>元データ!B298</f>
        <v>アルフレッサ</v>
      </c>
      <c r="E301" s="27" t="str">
        <f>元データ!C298</f>
        <v>PTP</v>
      </c>
      <c r="F301" s="27" t="str">
        <f>元データ!D298</f>
        <v>100T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5" t="str">
        <f ca="1">IF(OFFSET(マスタ非採用削除!A$4,統合マスタ!$A301,0)="","",OFFSET(マスタ非採用削除!A$4,統合マスタ!$A301,0))</f>
        <v>ｾﾗﾗ001</v>
      </c>
      <c r="O301" s="55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5" t="str">
        <f ca="1">IF(OFFSET(マスタ非採用削除!D$4,統合マスタ!$A301,0)="","",OFFSET(マスタ非採用削除!D$4,統合マスタ!$A301,0))</f>
        <v>ｾﾗﾗ</v>
      </c>
      <c r="R301" s="27">
        <f ca="1">IF(OFFSET(マスタ非採用削除!E$4,統合マスタ!$A301,0)="","",OFFSET(マスタ非採用削除!E$4,統合マスタ!$A301,0))</f>
        <v>2</v>
      </c>
      <c r="S301" s="55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5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5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/>
    </row>
    <row r="302" spans="1:27">
      <c r="A302" s="42">
        <f>元データ!P299</f>
        <v>239</v>
      </c>
      <c r="B302" s="27">
        <f t="shared" si="4"/>
        <v>298</v>
      </c>
      <c r="C302" s="27" t="str">
        <f>DBCS(元データ!A299)</f>
        <v>セルトラリン錠２５ｍｇ「明治」</v>
      </c>
      <c r="D302" s="55" t="str">
        <f>元データ!B299</f>
        <v>メディセオ</v>
      </c>
      <c r="E302" s="27" t="str">
        <f>元データ!C299</f>
        <v>PTP</v>
      </c>
      <c r="F302" s="27" t="str">
        <f>元データ!D299</f>
        <v>100T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5" t="str">
        <f ca="1">IF(OFFSET(マスタ非採用削除!A$4,統合マスタ!$A302,0)="","",OFFSET(マスタ非採用削除!A$4,統合マスタ!$A302,0))</f>
        <v>ｾﾙﾄ001</v>
      </c>
      <c r="O302" s="55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5" t="str">
        <f ca="1">IF(OFFSET(マスタ非採用削除!D$4,統合マスタ!$A302,0)="","",OFFSET(マスタ非採用削除!D$4,統合マスタ!$A302,0))</f>
        <v/>
      </c>
      <c r="R302" s="27">
        <f ca="1">IF(OFFSET(マスタ非採用削除!E$4,統合マスタ!$A302,0)="","",OFFSET(マスタ非採用削除!E$4,統合マスタ!$A302,0))</f>
        <v>1</v>
      </c>
      <c r="S302" s="55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5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5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6</v>
      </c>
      <c r="AA302" s="27"/>
    </row>
    <row r="303" spans="1:27">
      <c r="A303" s="42">
        <f>元データ!P300</f>
        <v>239</v>
      </c>
      <c r="B303" s="27">
        <f t="shared" si="4"/>
        <v>299</v>
      </c>
      <c r="C303" s="27" t="str">
        <f>DBCS(元データ!A300)</f>
        <v>セルトラリン錠２５ｍｇ「明治」</v>
      </c>
      <c r="D303" s="55" t="str">
        <f>元データ!B300</f>
        <v>メディセオ</v>
      </c>
      <c r="E303" s="27" t="str">
        <f>元データ!C300</f>
        <v>バラ</v>
      </c>
      <c r="F303" s="27" t="str">
        <f>元データ!D300</f>
        <v>500T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5" t="str">
        <f ca="1">IF(OFFSET(マスタ非採用削除!A$4,統合マスタ!$A303,0)="","",OFFSET(マスタ非採用削除!A$4,統合マスタ!$A303,0))</f>
        <v>ｾﾙﾄ001</v>
      </c>
      <c r="O303" s="55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5" t="str">
        <f ca="1">IF(OFFSET(マスタ非採用削除!D$4,統合マスタ!$A303,0)="","",OFFSET(マスタ非採用削除!D$4,統合マスタ!$A303,0))</f>
        <v/>
      </c>
      <c r="R303" s="27">
        <f ca="1">IF(OFFSET(マスタ非採用削除!E$4,統合マスタ!$A303,0)="","",OFFSET(マスタ非採用削除!E$4,統合マスタ!$A303,0))</f>
        <v>1</v>
      </c>
      <c r="S303" s="55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5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5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6</v>
      </c>
      <c r="AA303" s="27"/>
    </row>
    <row r="304" spans="1:27">
      <c r="A304" s="42">
        <f>元データ!P301</f>
        <v>240</v>
      </c>
      <c r="B304" s="27">
        <f t="shared" si="4"/>
        <v>300</v>
      </c>
      <c r="C304" s="27" t="str">
        <f>DBCS(元データ!A301)</f>
        <v>セレコキシブ錠１００ｍｇ「ＤＳＥＰ」</v>
      </c>
      <c r="D304" s="55" t="str">
        <f>元データ!B301</f>
        <v>メディセオ</v>
      </c>
      <c r="E304" s="27" t="str">
        <f>元データ!C301</f>
        <v>PTP</v>
      </c>
      <c r="F304" s="27" t="str">
        <f>元データ!D301</f>
        <v>100T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5" t="str">
        <f ca="1">IF(OFFSET(マスタ非採用削除!A$4,統合マスタ!$A304,0)="","",OFFSET(マスタ非採用削除!A$4,統合マスタ!$A304,0))</f>
        <v>ｾﾚｺ001</v>
      </c>
      <c r="O304" s="55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5" t="str">
        <f ca="1">IF(OFFSET(マスタ非採用削除!D$4,統合マスタ!$A304,0)="","",OFFSET(マスタ非採用削除!D$4,統合マスタ!$A304,0))</f>
        <v>ｾﾚｺ</v>
      </c>
      <c r="R304" s="27">
        <f ca="1">IF(OFFSET(マスタ非採用削除!E$4,統合マスタ!$A304,0)="","",OFFSET(マスタ非採用削除!E$4,統合マスタ!$A304,0))</f>
        <v>1</v>
      </c>
      <c r="S304" s="55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5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5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6</v>
      </c>
      <c r="AA304" s="27"/>
    </row>
    <row r="305" spans="1:27">
      <c r="A305" s="42">
        <f>元データ!P302</f>
        <v>240</v>
      </c>
      <c r="B305" s="27">
        <f t="shared" si="4"/>
        <v>301</v>
      </c>
      <c r="C305" s="27" t="str">
        <f>DBCS(元データ!A302)</f>
        <v>セレコキシブ錠１００ｍｇ「ＤＳＥＰ」</v>
      </c>
      <c r="D305" s="55" t="str">
        <f>元データ!B302</f>
        <v>メディセオ</v>
      </c>
      <c r="E305" s="27" t="str">
        <f>元データ!C302</f>
        <v>バラ</v>
      </c>
      <c r="F305" s="27" t="str">
        <f>元データ!D302</f>
        <v>500T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5" t="str">
        <f ca="1">IF(OFFSET(マスタ非採用削除!A$4,統合マスタ!$A305,0)="","",OFFSET(マスタ非採用削除!A$4,統合マスタ!$A305,0))</f>
        <v>ｾﾚｺ001</v>
      </c>
      <c r="O305" s="55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5" t="str">
        <f ca="1">IF(OFFSET(マスタ非採用削除!D$4,統合マスタ!$A305,0)="","",OFFSET(マスタ非採用削除!D$4,統合マスタ!$A305,0))</f>
        <v>ｾﾚｺ</v>
      </c>
      <c r="R305" s="27">
        <f ca="1">IF(OFFSET(マスタ非採用削除!E$4,統合マスタ!$A305,0)="","",OFFSET(マスタ非採用削除!E$4,統合マスタ!$A305,0))</f>
        <v>1</v>
      </c>
      <c r="S305" s="55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5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5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6</v>
      </c>
      <c r="AA305" s="27"/>
    </row>
    <row r="306" spans="1:27">
      <c r="A306" s="42">
        <f>元データ!P303</f>
        <v>241</v>
      </c>
      <c r="B306" s="27">
        <f t="shared" si="4"/>
        <v>302</v>
      </c>
      <c r="C306" s="27" t="str">
        <f>DBCS(元データ!A303)</f>
        <v>セレスタミン配合錠</v>
      </c>
      <c r="D306" s="55" t="str">
        <f>元データ!B303</f>
        <v/>
      </c>
      <c r="E306" s="27" t="str">
        <f>元データ!C303</f>
        <v>バラ</v>
      </c>
      <c r="F306" s="27" t="str">
        <f>元データ!D303</f>
        <v>100Ｔ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5" t="str">
        <f ca="1">IF(OFFSET(マスタ非採用削除!A$4,統合マスタ!$A306,0)="","",OFFSET(マスタ非採用削除!A$4,統合マスタ!$A306,0))</f>
        <v>ｾﾚｽ001</v>
      </c>
      <c r="O306" s="55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5" t="str">
        <f ca="1">IF(OFFSET(マスタ非採用削除!D$4,統合マスタ!$A306,0)="","",OFFSET(マスタ非採用削除!D$4,統合マスタ!$A306,0))</f>
        <v>ｾﾚｽﾀ**</v>
      </c>
      <c r="R306" s="27">
        <f ca="1">IF(OFFSET(マスタ非採用削除!E$4,統合マスタ!$A306,0)="","",OFFSET(マスタ非採用削除!E$4,統合マスタ!$A306,0))</f>
        <v>1</v>
      </c>
      <c r="S306" s="55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5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5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5</v>
      </c>
      <c r="AA306" s="27"/>
    </row>
    <row r="307" spans="1:27">
      <c r="A307" s="42">
        <f>元データ!P304</f>
        <v>242</v>
      </c>
      <c r="B307" s="27">
        <f t="shared" si="4"/>
        <v>303</v>
      </c>
      <c r="C307" s="27" t="str">
        <f>DBCS(元データ!A304)</f>
        <v>セレニカＲ顆粒４０％</v>
      </c>
      <c r="D307" s="55" t="str">
        <f>元データ!B304</f>
        <v>アルフレッサ</v>
      </c>
      <c r="E307" s="27" t="str">
        <f>元データ!C304</f>
        <v>粉</v>
      </c>
      <c r="F307" s="27" t="str">
        <f>元データ!D304</f>
        <v>500ｇ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5" t="str">
        <f ca="1">IF(OFFSET(マスタ非採用削除!A$4,統合マスタ!$A307,0)="","",OFFSET(マスタ非採用削除!A$4,統合マスタ!$A307,0))</f>
        <v>ｾﾚﾆ001</v>
      </c>
      <c r="O307" s="55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5" t="str">
        <f ca="1">IF(OFFSET(マスタ非採用削除!D$4,統合マスタ!$A307,0)="","",OFFSET(マスタ非採用削除!D$4,統合マスタ!$A307,0))</f>
        <v/>
      </c>
      <c r="R307" s="27">
        <f ca="1">IF(OFFSET(マスタ非採用削除!E$4,統合マスタ!$A307,0)="","",OFFSET(マスタ非採用削除!E$4,統合マスタ!$A307,0))</f>
        <v>1</v>
      </c>
      <c r="S307" s="55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5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5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/>
    </row>
    <row r="308" spans="1:27">
      <c r="A308" s="42">
        <f>元データ!P305</f>
        <v>243</v>
      </c>
      <c r="B308" s="27">
        <f t="shared" si="4"/>
        <v>304</v>
      </c>
      <c r="C308" s="27" t="str">
        <f>DBCS(元データ!A305)</f>
        <v>セレネース注５ｍｇ</v>
      </c>
      <c r="D308" s="55" t="str">
        <f>元データ!B305</f>
        <v>メディセオ</v>
      </c>
      <c r="E308" s="27" t="str">
        <f>元データ!C305</f>
        <v/>
      </c>
      <c r="F308" s="27" t="str">
        <f>元データ!D305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5" t="str">
        <f ca="1">IF(OFFSET(マスタ非採用削除!A$4,統合マスタ!$A308,0)="","",OFFSET(マスタ非採用削除!A$4,統合マスタ!$A308,0))</f>
        <v>ｾﾚﾈ001</v>
      </c>
      <c r="O308" s="55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5" t="str">
        <f ca="1">IF(OFFSET(マスタ非採用削除!D$4,統合マスタ!$A308,0)="","",OFFSET(マスタ非採用削除!D$4,統合マスタ!$A308,0))</f>
        <v>ｾﾚﾈｰｽﾁ</v>
      </c>
      <c r="R308" s="27">
        <f ca="1">IF(OFFSET(マスタ非採用削除!E$4,統合マスタ!$A308,0)="","",OFFSET(マスタ非採用削除!E$4,統合マスタ!$A308,0))</f>
        <v>1</v>
      </c>
      <c r="S308" s="55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5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5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/>
    </row>
    <row r="309" spans="1:27">
      <c r="A309" s="42">
        <f>元データ!P306</f>
        <v>244</v>
      </c>
      <c r="B309" s="27">
        <f t="shared" si="4"/>
        <v>305</v>
      </c>
      <c r="C309" s="27" t="str">
        <f>DBCS(元データ!A306)</f>
        <v>セレネース内服液０．２％</v>
      </c>
      <c r="D309" s="55" t="str">
        <f>元データ!B306</f>
        <v>スズケン</v>
      </c>
      <c r="E309" s="27" t="str">
        <f>元データ!C306</f>
        <v/>
      </c>
      <c r="F309" s="27" t="str">
        <f>元データ!D306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5" t="str">
        <f ca="1">IF(OFFSET(マスタ非採用削除!A$4,統合マスタ!$A309,0)="","",OFFSET(マスタ非採用削除!A$4,統合マスタ!$A309,0))</f>
        <v>ｾﾚﾈ002</v>
      </c>
      <c r="O309" s="55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5" t="str">
        <f ca="1">IF(OFFSET(マスタ非採用削除!D$4,統合マスタ!$A309,0)="","",OFFSET(マスタ非採用削除!D$4,統合マスタ!$A309,0))</f>
        <v>ｾﾚﾈｰｽｴ</v>
      </c>
      <c r="R309" s="27">
        <f ca="1">IF(OFFSET(マスタ非採用削除!E$4,統合マスタ!$A309,0)="","",OFFSET(マスタ非採用削除!E$4,統合マスタ!$A309,0))</f>
        <v>1</v>
      </c>
      <c r="S309" s="55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5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5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/>
    </row>
    <row r="310" spans="1:27">
      <c r="A310" s="42">
        <f>元データ!P307</f>
        <v>245</v>
      </c>
      <c r="B310" s="27">
        <f t="shared" si="4"/>
        <v>306</v>
      </c>
      <c r="C310" s="27" t="str">
        <f>DBCS(元データ!A307)</f>
        <v>センノシド錠１２ｍｇ「クニヒロ」</v>
      </c>
      <c r="D310" s="55" t="str">
        <f>元データ!B307</f>
        <v>メディセオ</v>
      </c>
      <c r="E310" s="27" t="str">
        <f>元データ!C307</f>
        <v>ＰＴＰ</v>
      </c>
      <c r="F310" s="27" t="str">
        <f>元データ!D307</f>
        <v>1000T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5" t="str">
        <f ca="1">IF(OFFSET(マスタ非採用削除!A$4,統合マスタ!$A310,0)="","",OFFSET(マスタ非採用削除!A$4,統合マスタ!$A310,0))</f>
        <v>ｾﾝﾉ003</v>
      </c>
      <c r="O310" s="55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5" t="str">
        <f ca="1">IF(OFFSET(マスタ非採用削除!D$4,統合マスタ!$A310,0)="","",OFFSET(マスタ非採用削除!D$4,統合マスタ!$A310,0))</f>
        <v/>
      </c>
      <c r="R310" s="27">
        <f ca="1">IF(OFFSET(マスタ非採用削除!E$4,統合マスタ!$A310,0)="","",OFFSET(マスタ非採用削除!E$4,統合マスタ!$A310,0))</f>
        <v>1</v>
      </c>
      <c r="S310" s="55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5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5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5</v>
      </c>
      <c r="AA310" s="27"/>
    </row>
    <row r="311" spans="1:27">
      <c r="A311" s="42">
        <f>元データ!P308</f>
        <v>245</v>
      </c>
      <c r="B311" s="27">
        <f t="shared" si="4"/>
        <v>307</v>
      </c>
      <c r="C311" s="27" t="str">
        <f>DBCS(元データ!A308)</f>
        <v>センノシド錠１２ｍｇ「クニヒロ」</v>
      </c>
      <c r="D311" s="55" t="str">
        <f>元データ!B308</f>
        <v>メディセオ</v>
      </c>
      <c r="E311" s="27" t="str">
        <f>元データ!C308</f>
        <v>バラ</v>
      </c>
      <c r="F311" s="27" t="str">
        <f>元データ!D308</f>
        <v>1000T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5" t="str">
        <f ca="1">IF(OFFSET(マスタ非採用削除!A$4,統合マスタ!$A311,0)="","",OFFSET(マスタ非採用削除!A$4,統合マスタ!$A311,0))</f>
        <v>ｾﾝﾉ003</v>
      </c>
      <c r="O311" s="55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5" t="str">
        <f ca="1">IF(OFFSET(マスタ非採用削除!D$4,統合マスタ!$A311,0)="","",OFFSET(マスタ非採用削除!D$4,統合マスタ!$A311,0))</f>
        <v/>
      </c>
      <c r="R311" s="27">
        <f ca="1">IF(OFFSET(マスタ非採用削除!E$4,統合マスタ!$A311,0)="","",OFFSET(マスタ非採用削除!E$4,統合マスタ!$A311,0))</f>
        <v>1</v>
      </c>
      <c r="S311" s="55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5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5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5</v>
      </c>
      <c r="AA311" s="27"/>
    </row>
    <row r="312" spans="1:27">
      <c r="A312" s="42">
        <f>元データ!P309</f>
        <v>246</v>
      </c>
      <c r="B312" s="27">
        <f t="shared" si="4"/>
        <v>308</v>
      </c>
      <c r="C312" s="27" t="str">
        <f>DBCS(元データ!A309)</f>
        <v>センブリ・重曹散</v>
      </c>
      <c r="D312" s="55" t="str">
        <f>元データ!B309</f>
        <v/>
      </c>
      <c r="E312" s="27" t="str">
        <f>元データ!C309</f>
        <v>粉</v>
      </c>
      <c r="F312" s="27" t="str">
        <f>元データ!D309</f>
        <v>500ｇ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5" t="str">
        <f ca="1">IF(OFFSET(マスタ非採用削除!A$4,統合マスタ!$A312,0)="","",OFFSET(マスタ非採用削除!A$4,統合マスタ!$A312,0))</f>
        <v>ｾﾝﾌ001</v>
      </c>
      <c r="O312" s="55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5" t="str">
        <f ca="1">IF(OFFSET(マスタ非採用削除!D$4,統合マスタ!$A312,0)="","",OFFSET(マスタ非採用削除!D$4,統合マスタ!$A312,0))</f>
        <v>ｾﾝﾌﾞﾘ</v>
      </c>
      <c r="R312" s="27">
        <f ca="1">IF(OFFSET(マスタ非採用削除!E$4,統合マスタ!$A312,0)="","",OFFSET(マスタ非採用削除!E$4,統合マスタ!$A312,0))</f>
        <v>1</v>
      </c>
      <c r="S312" s="55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5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5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/>
    </row>
    <row r="313" spans="1:27">
      <c r="A313" s="42">
        <f>元データ!P310</f>
        <v>247</v>
      </c>
      <c r="B313" s="27">
        <f t="shared" si="4"/>
        <v>309</v>
      </c>
      <c r="C313" s="27" t="str">
        <f>DBCS(元データ!A310)</f>
        <v>ゾシン静注用４．５</v>
      </c>
      <c r="D313" s="55" t="str">
        <f>元データ!B310</f>
        <v>メディセオ</v>
      </c>
      <c r="E313" s="27" t="str">
        <f>元データ!C310</f>
        <v/>
      </c>
      <c r="F313" s="27" t="str">
        <f>元データ!D310</f>
        <v>10Ｖ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5" t="str">
        <f ca="1">IF(OFFSET(マスタ非採用削除!A$4,統合マスタ!$A313,0)="","",OFFSET(マスタ非採用削除!A$4,統合マスタ!$A313,0))</f>
        <v>ｿｼﾝ001</v>
      </c>
      <c r="O313" s="55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5" t="str">
        <f ca="1">IF(OFFSET(マスタ非採用削除!D$4,統合マスタ!$A313,0)="","",OFFSET(マスタ非採用削除!D$4,統合マスタ!$A313,0))</f>
        <v>ｿﾞｼﾝ</v>
      </c>
      <c r="R313" s="27">
        <f ca="1">IF(OFFSET(マスタ非採用削除!E$4,統合マスタ!$A313,0)="","",OFFSET(マスタ非採用削除!E$4,統合マスタ!$A313,0))</f>
        <v>1</v>
      </c>
      <c r="S313" s="55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5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5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/>
    </row>
    <row r="314" spans="1:27">
      <c r="A314" s="42">
        <f>元データ!P311</f>
        <v>248</v>
      </c>
      <c r="B314" s="27">
        <f t="shared" si="4"/>
        <v>310</v>
      </c>
      <c r="C314" s="27" t="str">
        <f>DBCS(元データ!A311)</f>
        <v>ソタロール塩酸塩錠８０ｍｇ「ＴＥ」</v>
      </c>
      <c r="D314" s="55" t="str">
        <f>元データ!B311</f>
        <v/>
      </c>
      <c r="E314" s="27" t="str">
        <f>元データ!C311</f>
        <v>PTP</v>
      </c>
      <c r="F314" s="27" t="str">
        <f>元データ!D311</f>
        <v>140T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5" t="str">
        <f ca="1">IF(OFFSET(マスタ非採用削除!A$4,統合マスタ!$A314,0)="","",OFFSET(マスタ非採用削除!A$4,統合マスタ!$A314,0))</f>
        <v>ｿﾀﾛ001</v>
      </c>
      <c r="O314" s="55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5" t="str">
        <f ca="1">IF(OFFSET(マスタ非採用削除!D$4,統合マスタ!$A314,0)="","",OFFSET(マスタ非採用削除!D$4,統合マスタ!$A314,0))</f>
        <v/>
      </c>
      <c r="R314" s="27">
        <f ca="1">IF(OFFSET(マスタ非採用削除!E$4,統合マスタ!$A314,0)="","",OFFSET(マスタ非採用削除!E$4,統合マスタ!$A314,0))</f>
        <v>2</v>
      </c>
      <c r="S314" s="55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5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5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/>
    </row>
    <row r="315" spans="1:27">
      <c r="A315" s="42">
        <f>元データ!P312</f>
        <v>250</v>
      </c>
      <c r="B315" s="27">
        <f t="shared" si="4"/>
        <v>311</v>
      </c>
      <c r="C315" s="27" t="str">
        <f>DBCS(元データ!A312)</f>
        <v>ゾニサミドＯＤ錠２５ｍｇＴＲＥ「ＤＳＥＰ」</v>
      </c>
      <c r="D315" s="55" t="str">
        <f>元データ!B312</f>
        <v>メディセオ</v>
      </c>
      <c r="E315" s="27" t="str">
        <f>元データ!C312</f>
        <v>バラ</v>
      </c>
      <c r="F315" s="27" t="str">
        <f>元データ!D312</f>
        <v>100T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5" t="str">
        <f ca="1">IF(OFFSET(マスタ非採用削除!A$4,統合マスタ!$A315,0)="","",OFFSET(マスタ非採用削除!A$4,統合マスタ!$A315,0))</f>
        <v>ｿﾆｻ003</v>
      </c>
      <c r="O315" s="55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5" t="str">
        <f ca="1">IF(OFFSET(マスタ非採用削除!D$4,統合マスタ!$A315,0)="","",OFFSET(マスタ非採用削除!D$4,統合マスタ!$A315,0))</f>
        <v/>
      </c>
      <c r="R315" s="27">
        <f ca="1">IF(OFFSET(マスタ非採用削除!E$4,統合マスタ!$A315,0)="","",OFFSET(マスタ非採用削除!E$4,統合マスタ!$A315,0))</f>
        <v>1</v>
      </c>
      <c r="S315" s="55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5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5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6</v>
      </c>
      <c r="AA315" s="27"/>
    </row>
    <row r="316" spans="1:27">
      <c r="A316" s="42">
        <f>元データ!P313</f>
        <v>249</v>
      </c>
      <c r="B316" s="27">
        <f t="shared" si="4"/>
        <v>312</v>
      </c>
      <c r="C316" s="27" t="str">
        <f>DBCS(元データ!A313)</f>
        <v>ゾニサミド錠１００ＭＧ「アメル」</v>
      </c>
      <c r="D316" s="55" t="str">
        <f>元データ!B313</f>
        <v/>
      </c>
      <c r="E316" s="27" t="str">
        <f>元データ!C313</f>
        <v>バラ</v>
      </c>
      <c r="F316" s="27" t="str">
        <f>元データ!D313</f>
        <v>1000T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5" t="str">
        <f ca="1">IF(OFFSET(マスタ非採用削除!A$4,統合マスタ!$A316,0)="","",OFFSET(マスタ非採用削除!A$4,統合マスタ!$A316,0))</f>
        <v>ｿﾆｻ001</v>
      </c>
      <c r="O316" s="55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5" t="str">
        <f ca="1">IF(OFFSET(マスタ非採用削除!D$4,統合マスタ!$A316,0)="","",OFFSET(マスタ非採用削除!D$4,統合マスタ!$A316,0))</f>
        <v>ｿﾞﾆｻ</v>
      </c>
      <c r="R316" s="27">
        <f ca="1">IF(OFFSET(マスタ非採用削除!E$4,統合マスタ!$A316,0)="","",OFFSET(マスタ非採用削除!E$4,統合マスタ!$A316,0))</f>
        <v>1</v>
      </c>
      <c r="S316" s="55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5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5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6</v>
      </c>
      <c r="AA316" s="27"/>
    </row>
    <row r="317" spans="1:27">
      <c r="A317" s="42">
        <f>元データ!P314</f>
        <v>251</v>
      </c>
      <c r="B317" s="27">
        <f t="shared" si="4"/>
        <v>313</v>
      </c>
      <c r="C317" s="27" t="str">
        <f>DBCS(元データ!A314)</f>
        <v>ゾピクロン錠７．５ｍｇ「トーワ」</v>
      </c>
      <c r="D317" s="55" t="str">
        <f>元データ!B314</f>
        <v>東和薬品</v>
      </c>
      <c r="E317" s="27" t="str">
        <f>元データ!C314</f>
        <v>PTP</v>
      </c>
      <c r="F317" s="27" t="str">
        <f>元データ!D314</f>
        <v>100T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5" t="str">
        <f ca="1">IF(OFFSET(マスタ非採用削除!A$4,統合マスタ!$A317,0)="","",OFFSET(マスタ非採用削除!A$4,統合マスタ!$A317,0))</f>
        <v>ｿﾋｸ001</v>
      </c>
      <c r="O317" s="55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5" t="str">
        <f ca="1">IF(OFFSET(マスタ非採用削除!D$4,統合マスタ!$A317,0)="","",OFFSET(マスタ非採用削除!D$4,統合マスタ!$A317,0))</f>
        <v>ｿﾞﾋﾟｸ</v>
      </c>
      <c r="R317" s="27">
        <f ca="1">IF(OFFSET(マスタ非採用削除!E$4,統合マスタ!$A317,0)="","",OFFSET(マスタ非採用削除!E$4,統合マスタ!$A317,0))</f>
        <v>1</v>
      </c>
      <c r="S317" s="55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5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5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5</v>
      </c>
      <c r="AA317" s="27"/>
    </row>
    <row r="318" spans="1:27">
      <c r="A318" s="42">
        <f>元データ!P315</f>
        <v>251</v>
      </c>
      <c r="B318" s="27">
        <f t="shared" si="4"/>
        <v>314</v>
      </c>
      <c r="C318" s="27" t="str">
        <f>DBCS(元データ!A315)</f>
        <v>ゾピクロン錠７．５ｍｇ「トーワ」</v>
      </c>
      <c r="D318" s="55" t="str">
        <f>元データ!B315</f>
        <v>東和薬品</v>
      </c>
      <c r="E318" s="27" t="str">
        <f>元データ!C315</f>
        <v>バラ</v>
      </c>
      <c r="F318" s="27" t="str">
        <f>元データ!D315</f>
        <v>1000T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5" t="str">
        <f ca="1">IF(OFFSET(マスタ非採用削除!A$4,統合マスタ!$A318,0)="","",OFFSET(マスタ非採用削除!A$4,統合マスタ!$A318,0))</f>
        <v>ｿﾋｸ001</v>
      </c>
      <c r="O318" s="55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5" t="str">
        <f ca="1">IF(OFFSET(マスタ非採用削除!D$4,統合マスタ!$A318,0)="","",OFFSET(マスタ非採用削除!D$4,統合マスタ!$A318,0))</f>
        <v>ｿﾞﾋﾟｸ</v>
      </c>
      <c r="R318" s="27">
        <f ca="1">IF(OFFSET(マスタ非採用削除!E$4,統合マスタ!$A318,0)="","",OFFSET(マスタ非採用削除!E$4,統合マスタ!$A318,0))</f>
        <v>1</v>
      </c>
      <c r="S318" s="55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5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5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5</v>
      </c>
      <c r="AA318" s="27"/>
    </row>
    <row r="319" spans="1:27">
      <c r="A319" s="42">
        <f>元データ!P316</f>
        <v>252</v>
      </c>
      <c r="B319" s="27">
        <f t="shared" si="4"/>
        <v>315</v>
      </c>
      <c r="C319" s="27" t="str">
        <f>DBCS(元データ!A316)</f>
        <v>ゾフルーザ錠２０ｍｇ</v>
      </c>
      <c r="D319" s="55" t="str">
        <f>元データ!B316</f>
        <v/>
      </c>
      <c r="E319" s="27" t="str">
        <f>元データ!C316</f>
        <v>PTP</v>
      </c>
      <c r="F319" s="27" t="str">
        <f>元データ!D316</f>
        <v>10T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5" t="str">
        <f ca="1">IF(OFFSET(マスタ非採用削除!A$4,統合マスタ!$A319,0)="","",OFFSET(マスタ非採用削除!A$4,統合マスタ!$A319,0))</f>
        <v>ｿﾌﾙ001</v>
      </c>
      <c r="O319" s="55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5" t="str">
        <f ca="1">IF(OFFSET(マスタ非採用削除!D$4,統合マスタ!$A319,0)="","",OFFSET(マスタ非採用削除!D$4,統合マスタ!$A319,0))</f>
        <v>ｿﾞﾌﾙ</v>
      </c>
      <c r="R319" s="27">
        <f ca="1">IF(OFFSET(マスタ非採用削除!E$4,統合マスタ!$A319,0)="","",OFFSET(マスタ非採用削除!E$4,統合マスタ!$A319,0))</f>
        <v>1</v>
      </c>
      <c r="S319" s="55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5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5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/>
    </row>
    <row r="320" spans="1:27">
      <c r="A320" s="42">
        <f>元データ!P317</f>
        <v>253</v>
      </c>
      <c r="B320" s="27">
        <f t="shared" si="4"/>
        <v>316</v>
      </c>
      <c r="C320" s="27" t="str">
        <f>DBCS(元データ!A317)</f>
        <v>ソラナックス０．４ｍｇ錠</v>
      </c>
      <c r="D320" s="55" t="str">
        <f>元データ!B317</f>
        <v>アルフレッサ</v>
      </c>
      <c r="E320" s="27" t="str">
        <f>元データ!C317</f>
        <v>PTP</v>
      </c>
      <c r="F320" s="27" t="str">
        <f>元データ!D317</f>
        <v>1000Ｔ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5" t="str">
        <f ca="1">IF(OFFSET(マスタ非採用削除!A$4,統合マスタ!$A320,0)="","",OFFSET(マスタ非採用削除!A$4,統合マスタ!$A320,0))</f>
        <v>ｿﾗﾅ001</v>
      </c>
      <c r="O320" s="55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5" t="str">
        <f ca="1">IF(OFFSET(マスタ非採用削除!D$4,統合マスタ!$A320,0)="","",OFFSET(マスタ非採用削除!D$4,統合マスタ!$A320,0))</f>
        <v>ｿﾗﾅｯｸｽ</v>
      </c>
      <c r="R320" s="27">
        <f ca="1">IF(OFFSET(マスタ非採用削除!E$4,統合マスタ!$A320,0)="","",OFFSET(マスタ非採用削除!E$4,統合マスタ!$A320,0))</f>
        <v>1</v>
      </c>
      <c r="S320" s="55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5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5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/>
    </row>
    <row r="321" spans="1:27">
      <c r="A321" s="42">
        <f>元データ!P318</f>
        <v>253</v>
      </c>
      <c r="B321" s="27">
        <f t="shared" si="4"/>
        <v>317</v>
      </c>
      <c r="C321" s="27" t="str">
        <f>DBCS(元データ!A318)</f>
        <v>ソラナックス０．４ｍｇ錠</v>
      </c>
      <c r="D321" s="55" t="str">
        <f>元データ!B318</f>
        <v>アルフレッサ</v>
      </c>
      <c r="E321" s="27" t="str">
        <f>元データ!C318</f>
        <v>バラ</v>
      </c>
      <c r="F321" s="27" t="str">
        <f>元データ!D318</f>
        <v>500Ｔ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5" t="str">
        <f ca="1">IF(OFFSET(マスタ非採用削除!A$4,統合マスタ!$A321,0)="","",OFFSET(マスタ非採用削除!A$4,統合マスタ!$A321,0))</f>
        <v>ｿﾗﾅ001</v>
      </c>
      <c r="O321" s="55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5" t="str">
        <f ca="1">IF(OFFSET(マスタ非採用削除!D$4,統合マスタ!$A321,0)="","",OFFSET(マスタ非採用削除!D$4,統合マスタ!$A321,0))</f>
        <v>ｿﾗﾅｯｸｽ</v>
      </c>
      <c r="R321" s="27">
        <f ca="1">IF(OFFSET(マスタ非採用削除!E$4,統合マスタ!$A321,0)="","",OFFSET(マスタ非採用削除!E$4,統合マスタ!$A321,0))</f>
        <v>1</v>
      </c>
      <c r="S321" s="55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5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5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/>
    </row>
    <row r="322" spans="1:27">
      <c r="A322" s="42">
        <f>元データ!P319</f>
        <v>254</v>
      </c>
      <c r="B322" s="27">
        <f t="shared" si="4"/>
        <v>318</v>
      </c>
      <c r="C322" s="27" t="str">
        <f>DBCS(元データ!A319)</f>
        <v>ソラナックス０．８ｍｇ錠</v>
      </c>
      <c r="D322" s="55" t="str">
        <f>元データ!B319</f>
        <v>アルフレッサ</v>
      </c>
      <c r="E322" s="27" t="str">
        <f>元データ!C319</f>
        <v>PTP</v>
      </c>
      <c r="F322" s="27" t="str">
        <f>元データ!D319</f>
        <v>500Ｔ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5" t="str">
        <f ca="1">IF(OFFSET(マスタ非採用削除!A$4,統合マスタ!$A322,0)="","",OFFSET(マスタ非採用削除!A$4,統合マスタ!$A322,0))</f>
        <v>ｿﾗﾅ002</v>
      </c>
      <c r="O322" s="55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5" t="str">
        <f ca="1">IF(OFFSET(マスタ非採用削除!D$4,統合マスタ!$A322,0)="","",OFFSET(マスタ非採用削除!D$4,統合マスタ!$A322,0))</f>
        <v>ｿﾗﾅｯｸ*</v>
      </c>
      <c r="R322" s="27">
        <f ca="1">IF(OFFSET(マスタ非採用削除!E$4,統合マスタ!$A322,0)="","",OFFSET(マスタ非採用削除!E$4,統合マスタ!$A322,0))</f>
        <v>1</v>
      </c>
      <c r="S322" s="55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5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5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/>
    </row>
    <row r="323" spans="1:27">
      <c r="A323" s="42">
        <f>元データ!P320</f>
        <v>254</v>
      </c>
      <c r="B323" s="27">
        <f t="shared" si="4"/>
        <v>319</v>
      </c>
      <c r="C323" s="27" t="str">
        <f>DBCS(元データ!A320)</f>
        <v>ソラナックス０．８ｍｇ錠</v>
      </c>
      <c r="D323" s="55" t="str">
        <f>元データ!B320</f>
        <v>アルフレッサ</v>
      </c>
      <c r="E323" s="27" t="str">
        <f>元データ!C320</f>
        <v>バラ</v>
      </c>
      <c r="F323" s="27" t="str">
        <f>元データ!D320</f>
        <v>500Ｔ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5" t="str">
        <f ca="1">IF(OFFSET(マスタ非採用削除!A$4,統合マスタ!$A323,0)="","",OFFSET(マスタ非採用削除!A$4,統合マスタ!$A323,0))</f>
        <v>ｿﾗﾅ002</v>
      </c>
      <c r="O323" s="55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5" t="str">
        <f ca="1">IF(OFFSET(マスタ非採用削除!D$4,統合マスタ!$A323,0)="","",OFFSET(マスタ非採用削除!D$4,統合マスタ!$A323,0))</f>
        <v>ｿﾗﾅｯｸ*</v>
      </c>
      <c r="R323" s="27">
        <f ca="1">IF(OFFSET(マスタ非採用削除!E$4,統合マスタ!$A323,0)="","",OFFSET(マスタ非採用削除!E$4,統合マスタ!$A323,0))</f>
        <v>1</v>
      </c>
      <c r="S323" s="55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5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5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/>
    </row>
    <row r="324" spans="1:27">
      <c r="A324" s="42">
        <f>元データ!P321</f>
        <v>255</v>
      </c>
      <c r="B324" s="27">
        <f t="shared" si="4"/>
        <v>320</v>
      </c>
      <c r="C324" s="27" t="str">
        <f>DBCS(元データ!A321)</f>
        <v>ソリフェナシンコハク酸塩ＯＤ錠５ｍｇ「トーワ」</v>
      </c>
      <c r="D324" s="55" t="str">
        <f>元データ!B321</f>
        <v>東和薬品</v>
      </c>
      <c r="E324" s="27" t="str">
        <f>元データ!C321</f>
        <v>PTP</v>
      </c>
      <c r="F324" s="27" t="str">
        <f>元データ!D321</f>
        <v>100T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5" t="str">
        <f ca="1">IF(OFFSET(マスタ非採用削除!A$4,統合マスタ!$A324,0)="","",OFFSET(マスタ非採用削除!A$4,統合マスタ!$A324,0))</f>
        <v>ｿﾘﾌ001</v>
      </c>
      <c r="O324" s="55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5" t="str">
        <f ca="1">IF(OFFSET(マスタ非採用削除!D$4,統合マスタ!$A324,0)="","",OFFSET(マスタ非採用削除!D$4,統合マスタ!$A324,0))</f>
        <v/>
      </c>
      <c r="R324" s="27">
        <f ca="1">IF(OFFSET(マスタ非採用削除!E$4,統合マスタ!$A324,0)="","",OFFSET(マスタ非採用削除!E$4,統合マスタ!$A324,0))</f>
        <v>1</v>
      </c>
      <c r="S324" s="55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5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5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/>
    </row>
    <row r="325" spans="1:27">
      <c r="A325" s="42">
        <f>元データ!P322</f>
        <v>255</v>
      </c>
      <c r="B325" s="27">
        <f t="shared" si="4"/>
        <v>321</v>
      </c>
      <c r="C325" s="27" t="str">
        <f>DBCS(元データ!A322)</f>
        <v>ソリフェナシンコハク酸塩ＯＤ錠５ｍｇ「トーワ」</v>
      </c>
      <c r="D325" s="55" t="str">
        <f>元データ!B322</f>
        <v>東和薬品</v>
      </c>
      <c r="E325" s="27" t="str">
        <f>元データ!C322</f>
        <v>バラ</v>
      </c>
      <c r="F325" s="27" t="str">
        <f>元データ!D322</f>
        <v>100T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5" t="str">
        <f ca="1">IF(OFFSET(マスタ非採用削除!A$4,統合マスタ!$A325,0)="","",OFFSET(マスタ非採用削除!A$4,統合マスタ!$A325,0))</f>
        <v>ｿﾘﾌ001</v>
      </c>
      <c r="O325" s="55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5" t="str">
        <f ca="1">IF(OFFSET(マスタ非採用削除!D$4,統合マスタ!$A325,0)="","",OFFSET(マスタ非採用削除!D$4,統合マスタ!$A325,0))</f>
        <v/>
      </c>
      <c r="R325" s="27">
        <f ca="1">IF(OFFSET(マスタ非採用削除!E$4,統合マスタ!$A325,0)="","",OFFSET(マスタ非採用削除!E$4,統合マスタ!$A325,0))</f>
        <v>1</v>
      </c>
      <c r="S325" s="55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5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5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/>
    </row>
    <row r="326" spans="1:27">
      <c r="A326" s="42">
        <f>元データ!P323</f>
        <v>256</v>
      </c>
      <c r="B326" s="27">
        <f t="shared" si="4"/>
        <v>322</v>
      </c>
      <c r="C326" s="27" t="str">
        <f>DBCS(元データ!A323)</f>
        <v>ソルダクトン静注用１００ｍｇ</v>
      </c>
      <c r="D326" s="55" t="str">
        <f>元データ!B323</f>
        <v/>
      </c>
      <c r="E326" s="27" t="str">
        <f>元データ!C323</f>
        <v/>
      </c>
      <c r="F326" s="27" t="str">
        <f>元データ!D323</f>
        <v>10管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5" t="str">
        <f ca="1">IF(OFFSET(マスタ非採用削除!A$4,統合マスタ!$A326,0)="","",OFFSET(マスタ非採用削除!A$4,統合マスタ!$A326,0))</f>
        <v>ｿﾙﾀ001</v>
      </c>
      <c r="O326" s="55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5" t="str">
        <f ca="1">IF(OFFSET(マスタ非採用削除!D$4,統合マスタ!$A326,0)="","",OFFSET(マスタ非採用削除!D$4,統合マスタ!$A326,0))</f>
        <v/>
      </c>
      <c r="R326" s="27">
        <f ca="1">IF(OFFSET(マスタ非採用削除!E$4,統合マスタ!$A326,0)="","",OFFSET(マスタ非採用削除!E$4,統合マスタ!$A326,0))</f>
        <v>2</v>
      </c>
      <c r="S326" s="55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5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5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/>
    </row>
    <row r="327" spans="1:27">
      <c r="A327" s="42">
        <f>元データ!P324</f>
        <v>258</v>
      </c>
      <c r="B327" s="27">
        <f t="shared" ref="B327:B390" si="5">B326+1</f>
        <v>323</v>
      </c>
      <c r="C327" s="27" t="str">
        <f>DBCS(元データ!A324)</f>
        <v>ソルデム－１輸液　２００ｍｌ</v>
      </c>
      <c r="D327" s="55" t="str">
        <f>元データ!B324</f>
        <v>メディセオ</v>
      </c>
      <c r="E327" s="27" t="str">
        <f>元データ!C324</f>
        <v/>
      </c>
      <c r="F327" s="27" t="str">
        <f>元データ!D324</f>
        <v>200MLX30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5" t="str">
        <f ca="1">IF(OFFSET(マスタ非採用削除!A$4,統合マスタ!$A327,0)="","",OFFSET(マスタ非採用削除!A$4,統合マスタ!$A327,0))</f>
        <v>ｿﾙﾃ002</v>
      </c>
      <c r="O327" s="55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5" t="str">
        <f ca="1">IF(OFFSET(マスタ非採用削除!D$4,統合マスタ!$A327,0)="","",OFFSET(マスタ非採用削除!D$4,統合マスタ!$A327,0))</f>
        <v>ｿﾙﾃﾞﾑ2</v>
      </c>
      <c r="R327" s="27">
        <f ca="1">IF(OFFSET(マスタ非採用削除!E$4,統合マスタ!$A327,0)="","",OFFSET(マスタ非採用削除!E$4,統合マスタ!$A327,0))</f>
        <v>1</v>
      </c>
      <c r="S327" s="55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5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5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/>
    </row>
    <row r="328" spans="1:27">
      <c r="A328" s="42">
        <f>元データ!P325</f>
        <v>257</v>
      </c>
      <c r="B328" s="27">
        <f t="shared" si="5"/>
        <v>324</v>
      </c>
      <c r="C328" s="27" t="str">
        <f>DBCS(元データ!A325)</f>
        <v>ソルデム１輸液　５００ｍｌ</v>
      </c>
      <c r="D328" s="55" t="str">
        <f>元データ!B325</f>
        <v>メディセオ</v>
      </c>
      <c r="E328" s="27" t="str">
        <f>元データ!C325</f>
        <v/>
      </c>
      <c r="F328" s="27" t="str">
        <f>元データ!D325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5" t="str">
        <f ca="1">IF(OFFSET(マスタ非採用削除!A$4,統合マスタ!$A328,0)="","",OFFSET(マスタ非採用削除!A$4,統合マスタ!$A328,0))</f>
        <v>ｿﾙﾃ001</v>
      </c>
      <c r="O328" s="55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5" t="str">
        <f ca="1">IF(OFFSET(マスタ非採用削除!D$4,統合マスタ!$A328,0)="","",OFFSET(マスタ非採用削除!D$4,統合マスタ!$A328,0))</f>
        <v>ｿﾙﾃﾞﾑ</v>
      </c>
      <c r="R328" s="27">
        <f ca="1">IF(OFFSET(マスタ非採用削除!E$4,統合マスタ!$A328,0)="","",OFFSET(マスタ非採用削除!E$4,統合マスタ!$A328,0))</f>
        <v>1</v>
      </c>
      <c r="S328" s="55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5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5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/>
    </row>
    <row r="329" spans="1:27">
      <c r="A329" s="42">
        <f>元データ!P326</f>
        <v>268</v>
      </c>
      <c r="B329" s="27">
        <f t="shared" si="5"/>
        <v>325</v>
      </c>
      <c r="C329" s="27" t="str">
        <f>DBCS(元データ!A326)</f>
        <v>ダーブロック錠２ｍｇ</v>
      </c>
      <c r="D329" s="55" t="str">
        <f>元データ!B326</f>
        <v>スズケン</v>
      </c>
      <c r="E329" s="27" t="str">
        <f>元データ!C326</f>
        <v>PTP</v>
      </c>
      <c r="F329" s="27" t="str">
        <f>元データ!D326</f>
        <v>100T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5" t="str">
        <f ca="1">IF(OFFSET(マスタ非採用削除!A$4,統合マスタ!$A329,0)="","",OFFSET(マスタ非採用削除!A$4,統合マスタ!$A329,0))</f>
        <v>ﾀﾌﾛ002</v>
      </c>
      <c r="O329" s="55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5" t="str">
        <f ca="1">IF(OFFSET(マスタ非採用削除!D$4,統合マスタ!$A329,0)="","",OFFSET(マスタ非採用削除!D$4,統合マスタ!$A329,0))</f>
        <v/>
      </c>
      <c r="R329" s="27">
        <f ca="1">IF(OFFSET(マスタ非採用削除!E$4,統合マスタ!$A329,0)="","",OFFSET(マスタ非採用削除!E$4,統合マスタ!$A329,0))</f>
        <v>2</v>
      </c>
      <c r="S329" s="55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5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5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/>
    </row>
    <row r="330" spans="1:27">
      <c r="A330" s="42">
        <f>元データ!P327</f>
        <v>259</v>
      </c>
      <c r="B330" s="27">
        <f t="shared" si="5"/>
        <v>326</v>
      </c>
      <c r="C330" s="27" t="str">
        <f>DBCS(元データ!A327)</f>
        <v>ダイアップ坐剤４</v>
      </c>
      <c r="D330" s="55" t="str">
        <f>元データ!B327</f>
        <v>メディセオ</v>
      </c>
      <c r="E330" s="27" t="str">
        <f>元データ!C327</f>
        <v/>
      </c>
      <c r="F330" s="27" t="str">
        <f>元データ!D327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5" t="str">
        <f ca="1">IF(OFFSET(マスタ非採用削除!A$4,統合マスタ!$A330,0)="","",OFFSET(マスタ非採用削除!A$4,統合マスタ!$A330,0))</f>
        <v>ﾀｲｱ001</v>
      </c>
      <c r="O330" s="55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5" t="str">
        <f ca="1">IF(OFFSET(マスタ非採用削除!D$4,統合マスタ!$A330,0)="","",OFFSET(マスタ非採用削除!D$4,統合マスタ!$A330,0))</f>
        <v>ﾀﾞｲｱｯﾌ</v>
      </c>
      <c r="R330" s="27">
        <f ca="1">IF(OFFSET(マスタ非採用削除!E$4,統合マスタ!$A330,0)="","",OFFSET(マスタ非採用削除!E$4,統合マスタ!$A330,0))</f>
        <v>1</v>
      </c>
      <c r="S330" s="55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5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5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/>
    </row>
    <row r="331" spans="1:27">
      <c r="A331" s="42">
        <f>元データ!P328</f>
        <v>260</v>
      </c>
      <c r="B331" s="27">
        <f t="shared" si="5"/>
        <v>327</v>
      </c>
      <c r="C331" s="27" t="str">
        <f>DBCS(元データ!A328)</f>
        <v>ダイビタミックス注</v>
      </c>
      <c r="D331" s="55" t="str">
        <f>元データ!B328</f>
        <v>アルフレッサ</v>
      </c>
      <c r="E331" s="27" t="str">
        <f>元データ!C328</f>
        <v/>
      </c>
      <c r="F331" s="27" t="str">
        <f>元データ!D328</f>
        <v>2ｍｌｘ50管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5" t="str">
        <f ca="1">IF(OFFSET(マスタ非採用削除!A$4,統合マスタ!$A331,0)="","",OFFSET(マスタ非採用削除!A$4,統合マスタ!$A331,0))</f>
        <v>ﾀｲﾋ001</v>
      </c>
      <c r="O331" s="55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5" t="str">
        <f ca="1">IF(OFFSET(マスタ非採用削除!D$4,統合マスタ!$A331,0)="","",OFFSET(マスタ非採用削除!D$4,統合マスタ!$A331,0))</f>
        <v/>
      </c>
      <c r="R331" s="27">
        <f ca="1">IF(OFFSET(マスタ非採用削除!E$4,統合マスタ!$A331,0)="","",OFFSET(マスタ非採用削除!E$4,統合マスタ!$A331,0))</f>
        <v>1</v>
      </c>
      <c r="S331" s="55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5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5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/>
    </row>
    <row r="332" spans="1:27">
      <c r="A332" s="42">
        <f>元データ!P329</f>
        <v>261</v>
      </c>
      <c r="B332" s="27">
        <f t="shared" si="5"/>
        <v>328</v>
      </c>
      <c r="C332" s="27" t="str">
        <f>DBCS(元データ!A329)</f>
        <v>ダイフェン配合錠</v>
      </c>
      <c r="D332" s="55" t="str">
        <f>元データ!B329</f>
        <v/>
      </c>
      <c r="E332" s="27" t="str">
        <f>元データ!C329</f>
        <v>PTP</v>
      </c>
      <c r="F332" s="27" t="str">
        <f>元データ!D329</f>
        <v>100T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5" t="str">
        <f ca="1">IF(OFFSET(マスタ非採用削除!A$4,統合マスタ!$A332,0)="","",OFFSET(マスタ非採用削除!A$4,統合マスタ!$A332,0))</f>
        <v>ﾀｲﾌ001</v>
      </c>
      <c r="O332" s="55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5" t="str">
        <f ca="1">IF(OFFSET(マスタ非採用削除!D$4,統合マスタ!$A332,0)="","",OFFSET(マスタ非採用削除!D$4,統合マスタ!$A332,0))</f>
        <v>ﾀﾞｲﾌ</v>
      </c>
      <c r="R332" s="27">
        <f ca="1">IF(OFFSET(マスタ非採用削除!E$4,統合マスタ!$A332,0)="","",OFFSET(マスタ非採用削除!E$4,統合マスタ!$A332,0))</f>
        <v>2</v>
      </c>
      <c r="S332" s="55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5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5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/>
    </row>
    <row r="333" spans="1:27">
      <c r="A333" s="42">
        <f>元データ!P330</f>
        <v>262</v>
      </c>
      <c r="B333" s="27">
        <f t="shared" si="5"/>
        <v>329</v>
      </c>
      <c r="C333" s="27" t="str">
        <f>DBCS(元データ!A330)</f>
        <v>タクロリムスカプセル１ｍｇ「ニプロ」</v>
      </c>
      <c r="D333" s="55" t="str">
        <f>元データ!B330</f>
        <v/>
      </c>
      <c r="E333" s="27" t="str">
        <f>元データ!C330</f>
        <v>PTP</v>
      </c>
      <c r="F333" s="27" t="str">
        <f>元データ!D330</f>
        <v>100cap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5" t="str">
        <f ca="1">IF(OFFSET(マスタ非採用削除!A$4,統合マスタ!$A333,0)="","",OFFSET(マスタ非採用削除!A$4,統合マスタ!$A333,0))</f>
        <v>ﾀｸﾛ001</v>
      </c>
      <c r="O333" s="55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5" t="str">
        <f ca="1">IF(OFFSET(マスタ非採用削除!D$4,統合マスタ!$A333,0)="","",OFFSET(マスタ非採用削除!D$4,統合マスタ!$A333,0))</f>
        <v/>
      </c>
      <c r="R333" s="27">
        <f ca="1">IF(OFFSET(マスタ非採用削除!E$4,統合マスタ!$A333,0)="","",OFFSET(マスタ非採用削除!E$4,統合マスタ!$A333,0))</f>
        <v>2</v>
      </c>
      <c r="S333" s="55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5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5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/>
    </row>
    <row r="334" spans="1:27">
      <c r="A334" s="42">
        <f>元データ!P331</f>
        <v>263</v>
      </c>
      <c r="B334" s="27">
        <f t="shared" si="5"/>
        <v>330</v>
      </c>
      <c r="C334" s="27" t="str">
        <f>DBCS(元データ!A331)</f>
        <v>タケキャブＯＤ錠１０ｍｇ</v>
      </c>
      <c r="D334" s="55" t="str">
        <f>元データ!B331</f>
        <v>メディセオ</v>
      </c>
      <c r="E334" s="27" t="str">
        <f>元データ!C331</f>
        <v>PTP</v>
      </c>
      <c r="F334" s="27" t="str">
        <f>元データ!D331</f>
        <v>100Ｔ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5" t="str">
        <f ca="1">IF(OFFSET(マスタ非採用削除!A$4,統合マスタ!$A334,0)="","",OFFSET(マスタ非採用削除!A$4,統合マスタ!$A334,0))</f>
        <v>ﾀｹｷ003</v>
      </c>
      <c r="O334" s="55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5" t="str">
        <f ca="1">IF(OFFSET(マスタ非採用削除!D$4,統合マスタ!$A334,0)="","",OFFSET(マスタ非採用削除!D$4,統合マスタ!$A334,0))</f>
        <v/>
      </c>
      <c r="R334" s="27">
        <f ca="1">IF(OFFSET(マスタ非採用削除!E$4,統合マスタ!$A334,0)="","",OFFSET(マスタ非採用削除!E$4,統合マスタ!$A334,0))</f>
        <v>1</v>
      </c>
      <c r="S334" s="55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5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5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5</v>
      </c>
      <c r="AA334" s="27"/>
    </row>
    <row r="335" spans="1:27">
      <c r="A335" s="42">
        <f>元データ!P332</f>
        <v>263</v>
      </c>
      <c r="B335" s="27">
        <f t="shared" si="5"/>
        <v>331</v>
      </c>
      <c r="C335" s="27" t="str">
        <f>DBCS(元データ!A332)</f>
        <v>タケキャブＯＤ錠１０ｍｇ</v>
      </c>
      <c r="D335" s="55" t="str">
        <f>元データ!B332</f>
        <v>メディセオ</v>
      </c>
      <c r="E335" s="27" t="str">
        <f>元データ!C332</f>
        <v>バラ</v>
      </c>
      <c r="F335" s="27" t="str">
        <f>元データ!D332</f>
        <v>200Ｔ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5" t="str">
        <f ca="1">IF(OFFSET(マスタ非採用削除!A$4,統合マスタ!$A335,0)="","",OFFSET(マスタ非採用削除!A$4,統合マスタ!$A335,0))</f>
        <v>ﾀｹｷ003</v>
      </c>
      <c r="O335" s="55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5" t="str">
        <f ca="1">IF(OFFSET(マスタ非採用削除!D$4,統合マスタ!$A335,0)="","",OFFSET(マスタ非採用削除!D$4,統合マスタ!$A335,0))</f>
        <v/>
      </c>
      <c r="R335" s="27">
        <f ca="1">IF(OFFSET(マスタ非採用削除!E$4,統合マスタ!$A335,0)="","",OFFSET(マスタ非採用削除!E$4,統合マスタ!$A335,0))</f>
        <v>1</v>
      </c>
      <c r="S335" s="55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5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5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5</v>
      </c>
      <c r="AA335" s="27"/>
    </row>
    <row r="336" spans="1:27">
      <c r="A336" s="42">
        <f>元データ!P333</f>
        <v>264</v>
      </c>
      <c r="B336" s="27">
        <f t="shared" si="5"/>
        <v>332</v>
      </c>
      <c r="C336" s="27" t="str">
        <f>DBCS(元データ!A333)</f>
        <v>タケキャブＯＤ錠２０ｍｇ</v>
      </c>
      <c r="D336" s="55" t="str">
        <f>元データ!B333</f>
        <v>メディセオ</v>
      </c>
      <c r="E336" s="27" t="str">
        <f>元データ!C333</f>
        <v>PTP</v>
      </c>
      <c r="F336" s="27" t="str">
        <f>元データ!D333</f>
        <v>100Ｔ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5" t="str">
        <f ca="1">IF(OFFSET(マスタ非採用削除!A$4,統合マスタ!$A336,0)="","",OFFSET(マスタ非採用削除!A$4,統合マスタ!$A336,0))</f>
        <v>ﾀｹｷ004</v>
      </c>
      <c r="O336" s="55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5" t="str">
        <f ca="1">IF(OFFSET(マスタ非採用削除!D$4,統合マスタ!$A336,0)="","",OFFSET(マスタ非採用削除!D$4,統合マスタ!$A336,0))</f>
        <v/>
      </c>
      <c r="R336" s="27">
        <f ca="1">IF(OFFSET(マスタ非採用削除!E$4,統合マスタ!$A336,0)="","",OFFSET(マスタ非採用削除!E$4,統合マスタ!$A336,0))</f>
        <v>1</v>
      </c>
      <c r="S336" s="55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5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5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5</v>
      </c>
      <c r="AA336" s="27"/>
    </row>
    <row r="337" spans="1:27">
      <c r="A337" s="42">
        <f>元データ!P334</f>
        <v>265</v>
      </c>
      <c r="B337" s="27">
        <f t="shared" si="5"/>
        <v>333</v>
      </c>
      <c r="C337" s="27" t="str">
        <f>DBCS(元データ!A334)</f>
        <v>タケプロン静注用３０ｍｇ</v>
      </c>
      <c r="D337" s="55" t="str">
        <f>元データ!B334</f>
        <v>メディセオ</v>
      </c>
      <c r="E337" s="27" t="str">
        <f>元データ!C334</f>
        <v/>
      </c>
      <c r="F337" s="27" t="str">
        <f>元データ!D334</f>
        <v>1Vx10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5" t="str">
        <f ca="1">IF(OFFSET(マスタ非採用削除!A$4,統合マスタ!$A337,0)="","",OFFSET(マスタ非採用削除!A$4,統合マスタ!$A337,0))</f>
        <v>ﾀｹﾌ001</v>
      </c>
      <c r="O337" s="55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5" t="str">
        <f ca="1">IF(OFFSET(マスタ非採用削除!D$4,統合マスタ!$A337,0)="","",OFFSET(マスタ非採用削除!D$4,統合マスタ!$A337,0))</f>
        <v>ﾀｹﾌﾟ30</v>
      </c>
      <c r="R337" s="27">
        <f ca="1">IF(OFFSET(マスタ非採用削除!E$4,統合マスタ!$A337,0)="","",OFFSET(マスタ非採用削除!E$4,統合マスタ!$A337,0))</f>
        <v>1</v>
      </c>
      <c r="S337" s="55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5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5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/>
    </row>
    <row r="338" spans="1:27">
      <c r="A338" s="42">
        <f>元データ!P335</f>
        <v>266</v>
      </c>
      <c r="B338" s="27">
        <f t="shared" si="5"/>
        <v>334</v>
      </c>
      <c r="C338" s="27" t="str">
        <f>DBCS(元データ!A335)</f>
        <v>タチオン錠５０ｍｇ</v>
      </c>
      <c r="D338" s="55" t="str">
        <f>元データ!B335</f>
        <v>メディセオ</v>
      </c>
      <c r="E338" s="27" t="str">
        <f>元データ!C335</f>
        <v>PTP</v>
      </c>
      <c r="F338" s="27" t="str">
        <f>元データ!D335</f>
        <v>120T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5" t="str">
        <f ca="1">IF(OFFSET(マスタ非採用削除!A$4,統合マスタ!$A338,0)="","",OFFSET(マスタ非採用削除!A$4,統合マスタ!$A338,0))</f>
        <v>ﾀﾁｵ001</v>
      </c>
      <c r="O338" s="55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5" t="str">
        <f ca="1">IF(OFFSET(マスタ非採用削除!D$4,統合マスタ!$A338,0)="","",OFFSET(マスタ非採用削除!D$4,統合マスタ!$A338,0))</f>
        <v>ﾀﾁｵ</v>
      </c>
      <c r="R338" s="27">
        <f ca="1">IF(OFFSET(マスタ非採用削除!E$4,統合マスタ!$A338,0)="","",OFFSET(マスタ非採用削除!E$4,統合マスタ!$A338,0))</f>
        <v>2</v>
      </c>
      <c r="S338" s="55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5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5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/>
    </row>
    <row r="339" spans="1:27">
      <c r="A339" s="42">
        <f>元データ!P336</f>
        <v>269</v>
      </c>
      <c r="B339" s="27">
        <f t="shared" si="5"/>
        <v>335</v>
      </c>
      <c r="C339" s="27" t="str">
        <f>DBCS(元データ!A336)</f>
        <v>タムスロシン塩酸塩ＯＤ錠０．２ｍｇ「サワイ」</v>
      </c>
      <c r="D339" s="55" t="str">
        <f>元データ!B336</f>
        <v/>
      </c>
      <c r="E339" s="27" t="str">
        <f>元データ!C336</f>
        <v>ＰＴＰ</v>
      </c>
      <c r="F339" s="27" t="str">
        <f>元データ!D336</f>
        <v>140T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5" t="str">
        <f ca="1">IF(OFFSET(マスタ非採用削除!A$4,統合マスタ!$A339,0)="","",OFFSET(マスタ非採用削除!A$4,統合マスタ!$A339,0))</f>
        <v>ﾀﾑｽ001</v>
      </c>
      <c r="O339" s="55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5" t="str">
        <f ca="1">IF(OFFSET(マスタ非採用削除!D$4,統合マスタ!$A339,0)="","",OFFSET(マスタ非採用削除!D$4,統合マスタ!$A339,0))</f>
        <v>ﾀﾑｽ</v>
      </c>
      <c r="R339" s="27">
        <f ca="1">IF(OFFSET(マスタ非採用削除!E$4,統合マスタ!$A339,0)="","",OFFSET(マスタ非採用削除!E$4,統合マスタ!$A339,0))</f>
        <v>1</v>
      </c>
      <c r="S339" s="55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5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5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5</v>
      </c>
      <c r="AA339" s="27"/>
    </row>
    <row r="340" spans="1:27">
      <c r="A340" s="42">
        <f>元データ!P337</f>
        <v>269</v>
      </c>
      <c r="B340" s="27">
        <f t="shared" si="5"/>
        <v>336</v>
      </c>
      <c r="C340" s="27" t="str">
        <f>DBCS(元データ!A337)</f>
        <v>タムスロシン塩酸塩ＯＤ錠０．２ｍｇ「サワイ」</v>
      </c>
      <c r="D340" s="55" t="str">
        <f>元データ!B337</f>
        <v>アルフレッサ</v>
      </c>
      <c r="E340" s="27" t="str">
        <f>元データ!C337</f>
        <v>バラ</v>
      </c>
      <c r="F340" s="27" t="str">
        <f>元データ!D337</f>
        <v>300T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5" t="str">
        <f ca="1">IF(OFFSET(マスタ非採用削除!A$4,統合マスタ!$A340,0)="","",OFFSET(マスタ非採用削除!A$4,統合マスタ!$A340,0))</f>
        <v>ﾀﾑｽ001</v>
      </c>
      <c r="O340" s="55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5" t="str">
        <f ca="1">IF(OFFSET(マスタ非採用削除!D$4,統合マスタ!$A340,0)="","",OFFSET(マスタ非採用削除!D$4,統合マスタ!$A340,0))</f>
        <v>ﾀﾑｽ</v>
      </c>
      <c r="R340" s="27">
        <f ca="1">IF(OFFSET(マスタ非採用削除!E$4,統合マスタ!$A340,0)="","",OFFSET(マスタ非採用削除!E$4,統合マスタ!$A340,0))</f>
        <v>1</v>
      </c>
      <c r="S340" s="55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5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5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5</v>
      </c>
      <c r="AA340" s="27"/>
    </row>
    <row r="341" spans="1:27">
      <c r="A341" s="42">
        <f>元データ!P338</f>
        <v>270</v>
      </c>
      <c r="B341" s="27">
        <f t="shared" si="5"/>
        <v>337</v>
      </c>
      <c r="C341" s="27" t="str">
        <f>DBCS(元データ!A338)</f>
        <v>ダラシンカプセル１５０ｍｇ</v>
      </c>
      <c r="D341" s="55" t="str">
        <f>元データ!B338</f>
        <v/>
      </c>
      <c r="E341" s="27" t="str">
        <f>元データ!C338</f>
        <v>PTP</v>
      </c>
      <c r="F341" s="27" t="str">
        <f>元データ!D338</f>
        <v>100T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5" t="str">
        <f ca="1">IF(OFFSET(マスタ非採用削除!A$4,統合マスタ!$A341,0)="","",OFFSET(マスタ非採用削除!A$4,統合マスタ!$A341,0))</f>
        <v>ﾀﾗｼ001</v>
      </c>
      <c r="O341" s="55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5" t="str">
        <f ca="1">IF(OFFSET(マスタ非採用削除!D$4,統合マスタ!$A341,0)="","",OFFSET(マスタ非採用削除!D$4,統合マスタ!$A341,0))</f>
        <v/>
      </c>
      <c r="R341" s="27">
        <f ca="1">IF(OFFSET(マスタ非採用削除!E$4,統合マスタ!$A341,0)="","",OFFSET(マスタ非採用削除!E$4,統合マスタ!$A341,0))</f>
        <v>2</v>
      </c>
      <c r="S341" s="55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5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5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/>
    </row>
    <row r="342" spans="1:27">
      <c r="A342" s="42">
        <f>元データ!P339</f>
        <v>271</v>
      </c>
      <c r="B342" s="27">
        <f t="shared" si="5"/>
        <v>338</v>
      </c>
      <c r="C342" s="27" t="str">
        <f>DBCS(元データ!A339)</f>
        <v>タリージェ錠５ｍｇ</v>
      </c>
      <c r="D342" s="55" t="str">
        <f>元データ!B339</f>
        <v>メディセオ</v>
      </c>
      <c r="E342" s="27" t="str">
        <f>元データ!C339</f>
        <v>PTP</v>
      </c>
      <c r="F342" s="27" t="str">
        <f>元データ!D339</f>
        <v>100T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5" t="str">
        <f ca="1">IF(OFFSET(マスタ非採用削除!A$4,統合マスタ!$A342,0)="","",OFFSET(マスタ非採用削除!A$4,統合マスタ!$A342,0))</f>
        <v>ﾀﾘｼ001</v>
      </c>
      <c r="O342" s="55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5" t="str">
        <f ca="1">IF(OFFSET(マスタ非採用削除!D$4,統合マスタ!$A342,0)="","",OFFSET(マスタ非採用削除!D$4,統合マスタ!$A342,0))</f>
        <v/>
      </c>
      <c r="R342" s="27">
        <f ca="1">IF(OFFSET(マスタ非採用削除!E$4,統合マスタ!$A342,0)="","",OFFSET(マスタ非採用削除!E$4,統合マスタ!$A342,0))</f>
        <v>2</v>
      </c>
      <c r="S342" s="55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5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5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/>
    </row>
    <row r="343" spans="1:27">
      <c r="A343" s="42">
        <f>元データ!P340</f>
        <v>272</v>
      </c>
      <c r="B343" s="27">
        <f t="shared" si="5"/>
        <v>339</v>
      </c>
      <c r="C343" s="27" t="str">
        <f>DBCS(元データ!A340)</f>
        <v>タリビッド眼軟膏０．３％</v>
      </c>
      <c r="D343" s="55" t="str">
        <f>元データ!B340</f>
        <v>アルフレッサ</v>
      </c>
      <c r="E343" s="27" t="str">
        <f>元データ!C340</f>
        <v/>
      </c>
      <c r="F343" s="27" t="str">
        <f>元データ!D340</f>
        <v>3.5ｇｘ10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5" t="str">
        <f ca="1">IF(OFFSET(マスタ非採用削除!A$4,統合マスタ!$A343,0)="","",OFFSET(マスタ非採用削除!A$4,統合マスタ!$A343,0))</f>
        <v>ﾀﾘﾋ001</v>
      </c>
      <c r="O343" s="55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5" t="str">
        <f ca="1">IF(OFFSET(マスタ非採用削除!D$4,統合マスタ!$A343,0)="","",OFFSET(マスタ非採用削除!D$4,統合マスタ!$A343,0))</f>
        <v>ﾀﾘﾋﾞ2</v>
      </c>
      <c r="R343" s="27">
        <f ca="1">IF(OFFSET(マスタ非採用削除!E$4,統合マスタ!$A343,0)="","",OFFSET(マスタ非採用削除!E$4,統合マスタ!$A343,0))</f>
        <v>1</v>
      </c>
      <c r="S343" s="55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5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5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/>
    </row>
    <row r="344" spans="1:27">
      <c r="A344" s="42">
        <f>元データ!P341</f>
        <v>273</v>
      </c>
      <c r="B344" s="27">
        <f t="shared" si="5"/>
        <v>340</v>
      </c>
      <c r="C344" s="27" t="str">
        <f>DBCS(元データ!A341)</f>
        <v>タリビッド耳科用液０．３％</v>
      </c>
      <c r="D344" s="55" t="str">
        <f>元データ!B341</f>
        <v>アルフレッサ</v>
      </c>
      <c r="E344" s="27" t="str">
        <f>元データ!C341</f>
        <v/>
      </c>
      <c r="F344" s="27" t="str">
        <f>元データ!D341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5" t="str">
        <f ca="1">IF(OFFSET(マスタ非採用削除!A$4,統合マスタ!$A344,0)="","",OFFSET(マスタ非採用削除!A$4,統合マスタ!$A344,0))</f>
        <v>ﾀﾘﾋ002</v>
      </c>
      <c r="O344" s="55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5" t="str">
        <f ca="1">IF(OFFSET(マスタ非採用削除!D$4,統合マスタ!$A344,0)="","",OFFSET(マスタ非採用削除!D$4,統合マスタ!$A344,0))</f>
        <v>ﾀﾘﾋﾞ</v>
      </c>
      <c r="R344" s="27">
        <f ca="1">IF(OFFSET(マスタ非採用削除!E$4,統合マスタ!$A344,0)="","",OFFSET(マスタ非採用削除!E$4,統合マスタ!$A344,0))</f>
        <v>1</v>
      </c>
      <c r="S344" s="55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5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5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/>
    </row>
    <row r="345" spans="1:27">
      <c r="A345" s="42">
        <f>元データ!P342</f>
        <v>274</v>
      </c>
      <c r="B345" s="27">
        <f t="shared" si="5"/>
        <v>341</v>
      </c>
      <c r="C345" s="27" t="str">
        <f>DBCS(元データ!A342)</f>
        <v>ダルベポエチン　アルファＢＳ注１２０μｇシリンジ「三和」</v>
      </c>
      <c r="D345" s="55" t="str">
        <f>元データ!B342</f>
        <v>スズケン</v>
      </c>
      <c r="E345" s="27" t="str">
        <f>元データ!C342</f>
        <v/>
      </c>
      <c r="F345" s="27" t="str">
        <f>元データ!D342</f>
        <v>1シリンジ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5" t="str">
        <f ca="1">IF(OFFSET(マスタ非採用削除!A$4,統合マスタ!$A345,0)="","",OFFSET(マスタ非採用削除!A$4,統合マスタ!$A345,0))</f>
        <v>ﾀﾘﾍ003</v>
      </c>
      <c r="O345" s="55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5" t="str">
        <f ca="1">IF(OFFSET(マスタ非採用削除!D$4,統合マスタ!$A345,0)="","",OFFSET(マスタ非採用削除!D$4,統合マスタ!$A345,0))</f>
        <v/>
      </c>
      <c r="R345" s="27">
        <f ca="1">IF(OFFSET(マスタ非採用削除!E$4,統合マスタ!$A345,0)="","",OFFSET(マスタ非採用削除!E$4,統合マスタ!$A345,0))</f>
        <v>2</v>
      </c>
      <c r="S345" s="55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5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5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/>
    </row>
    <row r="346" spans="1:27">
      <c r="A346" s="42">
        <f>元データ!P343</f>
        <v>275</v>
      </c>
      <c r="B346" s="27">
        <f t="shared" si="5"/>
        <v>342</v>
      </c>
      <c r="C346" s="27" t="str">
        <f>DBCS(元データ!A343)</f>
        <v>ダルベポエチン　アルファＢＳ注３０μｇシリンジ「三和」</v>
      </c>
      <c r="D346" s="55" t="str">
        <f>元データ!B343</f>
        <v>スズケン</v>
      </c>
      <c r="E346" s="27" t="str">
        <f>元データ!C343</f>
        <v/>
      </c>
      <c r="F346" s="27" t="str">
        <f>元データ!D343</f>
        <v>1シリンジ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5" t="str">
        <f ca="1">IF(OFFSET(マスタ非採用削除!A$4,統合マスタ!$A346,0)="","",OFFSET(マスタ非採用削除!A$4,統合マスタ!$A346,0))</f>
        <v>ﾀﾙﾍ001</v>
      </c>
      <c r="O346" s="55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5" t="str">
        <f ca="1">IF(OFFSET(マスタ非採用削除!D$4,統合マスタ!$A346,0)="","",OFFSET(マスタ非採用削除!D$4,統合マスタ!$A346,0))</f>
        <v>ﾀﾞﾙﾍﾞ</v>
      </c>
      <c r="R346" s="27">
        <f ca="1">IF(OFFSET(マスタ非採用削除!E$4,統合マスタ!$A346,0)="","",OFFSET(マスタ非採用削除!E$4,統合マスタ!$A346,0))</f>
        <v>2</v>
      </c>
      <c r="S346" s="55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5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5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/>
    </row>
    <row r="347" spans="1:27">
      <c r="A347" s="42">
        <f>元データ!P344</f>
        <v>276</v>
      </c>
      <c r="B347" s="27">
        <f t="shared" si="5"/>
        <v>343</v>
      </c>
      <c r="C347" s="27" t="str">
        <f>DBCS(元データ!A344)</f>
        <v>ダルベポエチンアルファＢＳ注６０μｇシリンジ「三和」</v>
      </c>
      <c r="D347" s="55" t="str">
        <f>元データ!B344</f>
        <v>スズケン</v>
      </c>
      <c r="E347" s="27" t="str">
        <f>元データ!C344</f>
        <v/>
      </c>
      <c r="F347" s="27" t="str">
        <f>元データ!D344</f>
        <v>1シリンジ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5" t="str">
        <f ca="1">IF(OFFSET(マスタ非採用削除!A$4,統合マスタ!$A347,0)="","",OFFSET(マスタ非採用削除!A$4,統合マスタ!$A347,0))</f>
        <v>ﾀﾙﾍ002</v>
      </c>
      <c r="O347" s="55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5" t="str">
        <f ca="1">IF(OFFSET(マスタ非採用削除!D$4,統合マスタ!$A347,0)="","",OFFSET(マスタ非採用削除!D$4,統合マスタ!$A347,0))</f>
        <v/>
      </c>
      <c r="R347" s="27">
        <f ca="1">IF(OFFSET(マスタ非採用削除!E$4,統合マスタ!$A347,0)="","",OFFSET(マスタ非採用削除!E$4,統合マスタ!$A347,0))</f>
        <v>2</v>
      </c>
      <c r="S347" s="55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5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5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/>
    </row>
    <row r="348" spans="1:27">
      <c r="A348" s="42">
        <f>元データ!P345</f>
        <v>281</v>
      </c>
      <c r="B348" s="27">
        <f t="shared" si="5"/>
        <v>344</v>
      </c>
      <c r="C348" s="27" t="str">
        <f>DBCS(元データ!A345)</f>
        <v>ダントリウム　カプセル　２５ＭＧ</v>
      </c>
      <c r="D348" s="55" t="str">
        <f>元データ!B345</f>
        <v/>
      </c>
      <c r="E348" s="27" t="str">
        <f>元データ!C345</f>
        <v>PTP</v>
      </c>
      <c r="F348" s="27" t="str">
        <f>元データ!D345</f>
        <v>100P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5" t="str">
        <f ca="1">IF(OFFSET(マスタ非採用削除!A$4,統合マスタ!$A348,0)="","",OFFSET(マスタ非採用削除!A$4,統合マスタ!$A348,0))</f>
        <v>ﾀﾝﾄ001</v>
      </c>
      <c r="O348" s="55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5" t="str">
        <f ca="1">IF(OFFSET(マスタ非採用削除!D$4,統合マスタ!$A348,0)="","",OFFSET(マスタ非採用削除!D$4,統合マスタ!$A348,0))</f>
        <v>ﾀﾞﾝﾄ1*</v>
      </c>
      <c r="R348" s="27">
        <f ca="1">IF(OFFSET(マスタ非採用削除!E$4,統合マスタ!$A348,0)="","",OFFSET(マスタ非採用削除!E$4,統合マスタ!$A348,0))</f>
        <v>1</v>
      </c>
      <c r="S348" s="55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5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5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/>
    </row>
    <row r="349" spans="1:27">
      <c r="A349" s="42">
        <f>元データ!P346</f>
        <v>282</v>
      </c>
      <c r="B349" s="27">
        <f t="shared" si="5"/>
        <v>345</v>
      </c>
      <c r="C349" s="27" t="str">
        <f>DBCS(元データ!A346)</f>
        <v>ダントリウム静注用２０ＭＧ</v>
      </c>
      <c r="D349" s="55" t="str">
        <f>元データ!B346</f>
        <v/>
      </c>
      <c r="E349" s="27" t="str">
        <f>元データ!C346</f>
        <v/>
      </c>
      <c r="F349" s="27" t="str">
        <f>元データ!D346</f>
        <v>5V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5" t="str">
        <f ca="1">IF(OFFSET(マスタ非採用削除!A$4,統合マスタ!$A349,0)="","",OFFSET(マスタ非採用削除!A$4,統合マスタ!$A349,0))</f>
        <v>ﾀﾝﾄ002</v>
      </c>
      <c r="O349" s="55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5" t="str">
        <f ca="1">IF(OFFSET(マスタ非採用削除!D$4,統合マスタ!$A349,0)="","",OFFSET(マスタ非採用削除!D$4,統合マスタ!$A349,0))</f>
        <v>ﾀﾞﾝﾄ1</v>
      </c>
      <c r="R349" s="27">
        <f ca="1">IF(OFFSET(マスタ非採用削除!E$4,統合マスタ!$A349,0)="","",OFFSET(マスタ非採用削除!E$4,統合マスタ!$A349,0))</f>
        <v>1</v>
      </c>
      <c r="S349" s="55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5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5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/>
    </row>
    <row r="350" spans="1:27">
      <c r="A350" s="42">
        <f>元データ!P347</f>
        <v>283</v>
      </c>
      <c r="B350" s="27">
        <f t="shared" si="5"/>
        <v>346</v>
      </c>
      <c r="C350" s="27" t="str">
        <f>DBCS(元データ!A347)</f>
        <v>タンニン酸アルブミン「ＶＴＲＳ」原末　　　</v>
      </c>
      <c r="D350" s="55" t="str">
        <f>元データ!B347</f>
        <v>メディセオ</v>
      </c>
      <c r="E350" s="27" t="str">
        <f>元データ!C347</f>
        <v>粉</v>
      </c>
      <c r="F350" s="27" t="str">
        <f>元データ!D347</f>
        <v>500ｇ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5" t="str">
        <f ca="1">IF(OFFSET(マスタ非採用削除!A$4,統合マスタ!$A350,0)="","",OFFSET(マスタ非採用削除!A$4,統合マスタ!$A350,0))</f>
        <v>ﾀﾝﾆ001</v>
      </c>
      <c r="O350" s="55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5" t="str">
        <f ca="1">IF(OFFSET(マスタ非採用削除!D$4,統合マスタ!$A350,0)="","",OFFSET(マスタ非採用削除!D$4,統合マスタ!$A350,0))</f>
        <v>ﾀﾝﾆﾝ</v>
      </c>
      <c r="R350" s="27">
        <f ca="1">IF(OFFSET(マスタ非採用削除!E$4,統合マスタ!$A350,0)="","",OFFSET(マスタ非採用削除!E$4,統合マスタ!$A350,0))</f>
        <v>1</v>
      </c>
      <c r="S350" s="55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5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5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/>
    </row>
    <row r="351" spans="1:27">
      <c r="A351" s="42">
        <f>元データ!P348</f>
        <v>284</v>
      </c>
      <c r="B351" s="27">
        <f t="shared" si="5"/>
        <v>347</v>
      </c>
      <c r="C351" s="27" t="str">
        <f>DBCS(元データ!A348)</f>
        <v>タンボコール錠５０ｍｇ</v>
      </c>
      <c r="D351" s="55" t="str">
        <f>元データ!B348</f>
        <v>スズケン</v>
      </c>
      <c r="E351" s="27" t="str">
        <f>元データ!C348</f>
        <v>PTP</v>
      </c>
      <c r="F351" s="27" t="str">
        <f>元データ!D348</f>
        <v>100T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5" t="str">
        <f ca="1">IF(OFFSET(マスタ非採用削除!A$4,統合マスタ!$A351,0)="","",OFFSET(マスタ非採用削除!A$4,統合マスタ!$A351,0))</f>
        <v>ﾀﾝﾎ001</v>
      </c>
      <c r="O351" s="55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5" t="str">
        <f ca="1">IF(OFFSET(マスタ非採用削除!D$4,統合マスタ!$A351,0)="","",OFFSET(マスタ非採用削除!D$4,統合マスタ!$A351,0))</f>
        <v>ﾀﾝﾎﾞ</v>
      </c>
      <c r="R351" s="27">
        <f ca="1">IF(OFFSET(マスタ非採用削除!E$4,統合マスタ!$A351,0)="","",OFFSET(マスタ非採用削除!E$4,統合マスタ!$A351,0))</f>
        <v>2</v>
      </c>
      <c r="S351" s="55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5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5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/>
    </row>
    <row r="352" spans="1:27">
      <c r="A352" s="42">
        <f>元データ!P349</f>
        <v>285</v>
      </c>
      <c r="B352" s="27">
        <f t="shared" si="5"/>
        <v>348</v>
      </c>
      <c r="C352" s="27" t="str">
        <f>DBCS(元データ!A349)</f>
        <v>チエナム点滴静注用０．５ｇ</v>
      </c>
      <c r="D352" s="55" t="str">
        <f>元データ!B349</f>
        <v/>
      </c>
      <c r="E352" s="27" t="str">
        <f>元データ!C349</f>
        <v/>
      </c>
      <c r="F352" s="27" t="str">
        <f>元データ!D349</f>
        <v>10瓶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5" t="str">
        <f ca="1">IF(OFFSET(マスタ非採用削除!A$4,統合マスタ!$A352,0)="","",OFFSET(マスタ非採用削除!A$4,統合マスタ!$A352,0))</f>
        <v>ﾁｴﾅ001</v>
      </c>
      <c r="O352" s="55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5" t="str">
        <f ca="1">IF(OFFSET(マスタ非採用削除!D$4,統合マスタ!$A352,0)="","",OFFSET(マスタ非採用削除!D$4,統合マスタ!$A352,0))</f>
        <v>ﾁｴﾅ</v>
      </c>
      <c r="R352" s="27">
        <f ca="1">IF(OFFSET(マスタ非採用削除!E$4,統合マスタ!$A352,0)="","",OFFSET(マスタ非採用削除!E$4,統合マスタ!$A352,0))</f>
        <v>2</v>
      </c>
      <c r="S352" s="55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5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5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/>
    </row>
    <row r="353" spans="1:27">
      <c r="A353" s="42">
        <f>元データ!P350</f>
        <v>286</v>
      </c>
      <c r="B353" s="27">
        <f t="shared" si="5"/>
        <v>349</v>
      </c>
      <c r="C353" s="27" t="str">
        <f>DBCS(元データ!A350)</f>
        <v>チザニジン錠１ｍｇ「トーワ」　</v>
      </c>
      <c r="D353" s="55" t="str">
        <f>元データ!B350</f>
        <v>東和薬品</v>
      </c>
      <c r="E353" s="27" t="str">
        <f>元データ!C350</f>
        <v>ＰＴＰ</v>
      </c>
      <c r="F353" s="27" t="str">
        <f>元データ!D350</f>
        <v>100Ｔ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5" t="str">
        <f ca="1">IF(OFFSET(マスタ非採用削除!A$4,統合マスタ!$A353,0)="","",OFFSET(マスタ非採用削除!A$4,統合マスタ!$A353,0))</f>
        <v>ﾁｻﾆ001</v>
      </c>
      <c r="O353" s="55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5" t="str">
        <f ca="1">IF(OFFSET(マスタ非採用削除!D$4,統合マスタ!$A353,0)="","",OFFSET(マスタ非採用削除!D$4,統合マスタ!$A353,0))</f>
        <v>ﾁｻﾞﾆ</v>
      </c>
      <c r="R353" s="27">
        <f ca="1">IF(OFFSET(マスタ非採用削除!E$4,統合マスタ!$A353,0)="","",OFFSET(マスタ非採用削除!E$4,統合マスタ!$A353,0))</f>
        <v>1</v>
      </c>
      <c r="S353" s="55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5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5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/>
    </row>
    <row r="354" spans="1:27">
      <c r="A354" s="42">
        <f>元データ!P351</f>
        <v>286</v>
      </c>
      <c r="B354" s="27">
        <f t="shared" si="5"/>
        <v>350</v>
      </c>
      <c r="C354" s="27" t="str">
        <f>DBCS(元データ!A351)</f>
        <v>チザニジン錠１ｍｇ「トーワ」　</v>
      </c>
      <c r="D354" s="55" t="str">
        <f>元データ!B351</f>
        <v/>
      </c>
      <c r="E354" s="27" t="str">
        <f>元データ!C351</f>
        <v>バラ</v>
      </c>
      <c r="F354" s="27" t="str">
        <f>元データ!D351</f>
        <v>1000Ｔ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5" t="str">
        <f ca="1">IF(OFFSET(マスタ非採用削除!A$4,統合マスタ!$A354,0)="","",OFFSET(マスタ非採用削除!A$4,統合マスタ!$A354,0))</f>
        <v>ﾁｻﾆ001</v>
      </c>
      <c r="O354" s="55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5" t="str">
        <f ca="1">IF(OFFSET(マスタ非採用削除!D$4,統合マスタ!$A354,0)="","",OFFSET(マスタ非採用削除!D$4,統合マスタ!$A354,0))</f>
        <v>ﾁｻﾞﾆ</v>
      </c>
      <c r="R354" s="27">
        <f ca="1">IF(OFFSET(マスタ非採用削除!E$4,統合マスタ!$A354,0)="","",OFFSET(マスタ非採用削除!E$4,統合マスタ!$A354,0))</f>
        <v>1</v>
      </c>
      <c r="S354" s="55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5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5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/>
    </row>
    <row r="355" spans="1:27">
      <c r="A355" s="42">
        <f>元データ!P352</f>
        <v>287</v>
      </c>
      <c r="B355" s="27">
        <f t="shared" si="5"/>
        <v>351</v>
      </c>
      <c r="C355" s="27" t="str">
        <f>DBCS(元データ!A352)</f>
        <v>チモロール点眼液０．５％「ニッテン」</v>
      </c>
      <c r="D355" s="55" t="str">
        <f>元データ!B352</f>
        <v/>
      </c>
      <c r="E355" s="27" t="str">
        <f>元データ!C352</f>
        <v/>
      </c>
      <c r="F355" s="27" t="str">
        <f>元データ!D352</f>
        <v>5MLX10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5" t="str">
        <f ca="1">IF(OFFSET(マスタ非採用削除!A$4,統合マスタ!$A355,0)="","",OFFSET(マスタ非採用削除!A$4,統合マスタ!$A355,0))</f>
        <v>ﾁﾓﾛ001</v>
      </c>
      <c r="O355" s="55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5" t="str">
        <f ca="1">IF(OFFSET(マスタ非採用削除!D$4,統合マスタ!$A355,0)="","",OFFSET(マスタ非採用削除!D$4,統合マスタ!$A355,0))</f>
        <v>ﾁﾓﾛ</v>
      </c>
      <c r="R355" s="27">
        <f ca="1">IF(OFFSET(マスタ非採用削除!E$4,統合マスタ!$A355,0)="","",OFFSET(マスタ非採用削除!E$4,統合マスタ!$A355,0))</f>
        <v>2</v>
      </c>
      <c r="S355" s="55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5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5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/>
    </row>
    <row r="356" spans="1:27">
      <c r="A356" s="42">
        <f>元データ!P353</f>
        <v>291</v>
      </c>
      <c r="B356" s="27">
        <f t="shared" si="5"/>
        <v>352</v>
      </c>
      <c r="C356" s="27" t="str">
        <f>DBCS(元データ!A353)</f>
        <v>チラーヂンＳ錠２５μｇ</v>
      </c>
      <c r="D356" s="55" t="str">
        <f>元データ!B353</f>
        <v>アルフレッサ</v>
      </c>
      <c r="E356" s="27" t="str">
        <f>元データ!C353</f>
        <v>バラ</v>
      </c>
      <c r="F356" s="27" t="str">
        <f>元データ!D353</f>
        <v>500T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5" t="str">
        <f ca="1">IF(OFFSET(マスタ非採用削除!A$4,統合マスタ!$A356,0)="","",OFFSET(マスタ非採用削除!A$4,統合マスタ!$A356,0))</f>
        <v>ﾁﾗﾁ001</v>
      </c>
      <c r="O356" s="55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5" t="str">
        <f ca="1">IF(OFFSET(マスタ非採用削除!D$4,統合マスタ!$A356,0)="","",OFFSET(マスタ非採用削除!D$4,統合マスタ!$A356,0))</f>
        <v>ﾁﾗｰ25</v>
      </c>
      <c r="R356" s="27">
        <f ca="1">IF(OFFSET(マスタ非採用削除!E$4,統合マスタ!$A356,0)="","",OFFSET(マスタ非採用削除!E$4,統合マスタ!$A356,0))</f>
        <v>1</v>
      </c>
      <c r="S356" s="55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5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5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6</v>
      </c>
      <c r="AA356" s="27"/>
    </row>
    <row r="357" spans="1:27">
      <c r="A357" s="42">
        <f>元データ!P354</f>
        <v>292</v>
      </c>
      <c r="B357" s="27">
        <f t="shared" si="5"/>
        <v>353</v>
      </c>
      <c r="C357" s="27" t="str">
        <f>DBCS(元データ!A354)</f>
        <v>チラーヂンＳ錠５０μｇ</v>
      </c>
      <c r="D357" s="55" t="str">
        <f>元データ!B354</f>
        <v>アルフレッサ</v>
      </c>
      <c r="E357" s="27" t="str">
        <f>元データ!C354</f>
        <v>バラ</v>
      </c>
      <c r="F357" s="27" t="str">
        <f>元データ!D354</f>
        <v>500T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5" t="str">
        <f ca="1">IF(OFFSET(マスタ非採用削除!A$4,統合マスタ!$A357,0)="","",OFFSET(マスタ非採用削除!A$4,統合マスタ!$A357,0))</f>
        <v>ﾁﾗﾁ002</v>
      </c>
      <c r="O357" s="55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5" t="str">
        <f ca="1">IF(OFFSET(マスタ非採用削除!D$4,統合マスタ!$A357,0)="","",OFFSET(マスタ非採用削除!D$4,統合マスタ!$A357,0))</f>
        <v>ﾁﾗｰｼﾞS</v>
      </c>
      <c r="R357" s="27">
        <f ca="1">IF(OFFSET(マスタ非採用削除!E$4,統合マスタ!$A357,0)="","",OFFSET(マスタ非採用削除!E$4,統合マスタ!$A357,0))</f>
        <v>1</v>
      </c>
      <c r="S357" s="55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5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5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6</v>
      </c>
      <c r="AA357" s="27"/>
    </row>
    <row r="358" spans="1:27">
      <c r="A358" s="42">
        <f>元データ!P355</f>
        <v>293</v>
      </c>
      <c r="B358" s="27">
        <f t="shared" si="5"/>
        <v>354</v>
      </c>
      <c r="C358" s="27" t="str">
        <f>DBCS(元データ!A355)</f>
        <v>チラーヂンＳ静注液２００μｇ</v>
      </c>
      <c r="D358" s="55" t="str">
        <f>元データ!B355</f>
        <v/>
      </c>
      <c r="E358" s="27" t="str">
        <f>元データ!C355</f>
        <v/>
      </c>
      <c r="F358" s="27" t="str">
        <f>元データ!D355</f>
        <v>1ｍｌｘ2A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5" t="str">
        <f ca="1">IF(OFFSET(マスタ非採用削除!A$4,統合マスタ!$A358,0)="","",OFFSET(マスタ非採用削除!A$4,統合マスタ!$A358,0))</f>
        <v>ﾁﾗﾁ003</v>
      </c>
      <c r="O358" s="55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5" t="str">
        <f ca="1">IF(OFFSET(マスタ非採用削除!D$4,統合マスタ!$A358,0)="","",OFFSET(マスタ非採用削除!D$4,統合マスタ!$A358,0))</f>
        <v/>
      </c>
      <c r="R358" s="27">
        <f ca="1">IF(OFFSET(マスタ非採用削除!E$4,統合マスタ!$A358,0)="","",OFFSET(マスタ非採用削除!E$4,統合マスタ!$A358,0))</f>
        <v>2</v>
      </c>
      <c r="S358" s="55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5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5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/>
    </row>
    <row r="359" spans="1:27">
      <c r="A359" s="42">
        <f>元データ!P356</f>
        <v>294</v>
      </c>
      <c r="B359" s="27">
        <f t="shared" si="5"/>
        <v>355</v>
      </c>
      <c r="C359" s="27" t="str">
        <f>DBCS(元データ!A356)</f>
        <v>ツイミーグ錠５００ｍｇ</v>
      </c>
      <c r="D359" s="55" t="str">
        <f>元データ!B356</f>
        <v>スズケン</v>
      </c>
      <c r="E359" s="27" t="str">
        <f>元データ!C356</f>
        <v>PTP</v>
      </c>
      <c r="F359" s="27" t="str">
        <f>元データ!D356</f>
        <v>100Ｔ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5" t="str">
        <f ca="1">IF(OFFSET(マスタ非採用削除!A$4,統合マスタ!$A359,0)="","",OFFSET(マスタ非採用削除!A$4,統合マスタ!$A359,0))</f>
        <v>ﾂｲﾐ001</v>
      </c>
      <c r="O359" s="55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5" t="str">
        <f ca="1">IF(OFFSET(マスタ非採用削除!D$4,統合マスタ!$A359,0)="","",OFFSET(マスタ非採用削除!D$4,統合マスタ!$A359,0))</f>
        <v/>
      </c>
      <c r="R359" s="27">
        <f ca="1">IF(OFFSET(マスタ非採用削除!E$4,統合マスタ!$A359,0)="","",OFFSET(マスタ非採用削除!E$4,統合マスタ!$A359,0))</f>
        <v>2</v>
      </c>
      <c r="S359" s="55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5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5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/>
    </row>
    <row r="360" spans="1:27">
      <c r="A360" s="42">
        <f>元データ!P357</f>
        <v>309</v>
      </c>
      <c r="B360" s="27">
        <f t="shared" si="5"/>
        <v>356</v>
      </c>
      <c r="C360" s="27" t="str">
        <f>DBCS(元データ!A357)</f>
        <v>ツロブテロールテープ１ｍｇ「サワイ」</v>
      </c>
      <c r="D360" s="55" t="str">
        <f>元データ!B357</f>
        <v>東邦</v>
      </c>
      <c r="E360" s="27" t="str">
        <f>元データ!C357</f>
        <v/>
      </c>
      <c r="F360" s="27" t="str">
        <f>元データ!D357</f>
        <v>70枚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5" t="str">
        <f ca="1">IF(OFFSET(マスタ非採用削除!A$4,統合マスタ!$A360,0)="","",OFFSET(マスタ非採用削除!A$4,統合マスタ!$A360,0))</f>
        <v>ﾂﾛﾌ001</v>
      </c>
      <c r="O360" s="55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5" t="str">
        <f ca="1">IF(OFFSET(マスタ非採用削除!D$4,統合マスタ!$A360,0)="","",OFFSET(マスタ非採用削除!D$4,統合マスタ!$A360,0))</f>
        <v>ﾂﾛﾌﾞ</v>
      </c>
      <c r="R360" s="27">
        <f ca="1">IF(OFFSET(マスタ非採用削除!E$4,統合マスタ!$A360,0)="","",OFFSET(マスタ非採用削除!E$4,統合マスタ!$A360,0))</f>
        <v>1</v>
      </c>
      <c r="S360" s="55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5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5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/>
    </row>
    <row r="361" spans="1:27">
      <c r="A361" s="42">
        <f>元データ!P358</f>
        <v>311</v>
      </c>
      <c r="B361" s="27">
        <f t="shared" si="5"/>
        <v>357</v>
      </c>
      <c r="C361" s="27" t="str">
        <f>DBCS(元データ!A358)</f>
        <v>デエビゴ錠２．５ｍｇ</v>
      </c>
      <c r="D361" s="55" t="str">
        <f>元データ!B358</f>
        <v>メディセオ</v>
      </c>
      <c r="E361" s="27" t="str">
        <f>元データ!C358</f>
        <v>PTP</v>
      </c>
      <c r="F361" s="27" t="str">
        <f>元データ!D358</f>
        <v>100T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5" t="str">
        <f ca="1">IF(OFFSET(マスタ非採用削除!A$4,統合マスタ!$A361,0)="","",OFFSET(マスタ非採用削除!A$4,統合マスタ!$A361,0))</f>
        <v>ﾃｴﾋ001</v>
      </c>
      <c r="O361" s="55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5" t="str">
        <f ca="1">IF(OFFSET(マスタ非採用削除!D$4,統合マスタ!$A361,0)="","",OFFSET(マスタ非採用削除!D$4,統合マスタ!$A361,0))</f>
        <v>ﾃﾞｴﾋﾞ2</v>
      </c>
      <c r="R361" s="27">
        <f ca="1">IF(OFFSET(マスタ非採用削除!E$4,統合マスタ!$A361,0)="","",OFFSET(マスタ非採用削除!E$4,統合マスタ!$A361,0))</f>
        <v>1</v>
      </c>
      <c r="S361" s="55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5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5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5</v>
      </c>
      <c r="AA361" s="27"/>
    </row>
    <row r="362" spans="1:27">
      <c r="A362" s="42">
        <f>元データ!P359</f>
        <v>311</v>
      </c>
      <c r="B362" s="27">
        <f t="shared" si="5"/>
        <v>358</v>
      </c>
      <c r="C362" s="27" t="str">
        <f>DBCS(元データ!A359)</f>
        <v>デエビゴ錠２．５ｍｇ</v>
      </c>
      <c r="D362" s="55" t="str">
        <f>元データ!B359</f>
        <v>メディセオ</v>
      </c>
      <c r="E362" s="27" t="str">
        <f>元データ!C359</f>
        <v>バラ</v>
      </c>
      <c r="F362" s="27" t="str">
        <f>元データ!D359</f>
        <v>100T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5" t="str">
        <f ca="1">IF(OFFSET(マスタ非採用削除!A$4,統合マスタ!$A362,0)="","",OFFSET(マスタ非採用削除!A$4,統合マスタ!$A362,0))</f>
        <v>ﾃｴﾋ001</v>
      </c>
      <c r="O362" s="55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5" t="str">
        <f ca="1">IF(OFFSET(マスタ非採用削除!D$4,統合マスタ!$A362,0)="","",OFFSET(マスタ非採用削除!D$4,統合マスタ!$A362,0))</f>
        <v>ﾃﾞｴﾋﾞ2</v>
      </c>
      <c r="R362" s="27">
        <f ca="1">IF(OFFSET(マスタ非採用削除!E$4,統合マスタ!$A362,0)="","",OFFSET(マスタ非採用削除!E$4,統合マスタ!$A362,0))</f>
        <v>1</v>
      </c>
      <c r="S362" s="55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5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5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5</v>
      </c>
      <c r="AA362" s="27"/>
    </row>
    <row r="363" spans="1:27">
      <c r="A363" s="42">
        <f>元データ!P360</f>
        <v>312</v>
      </c>
      <c r="B363" s="27">
        <f t="shared" si="5"/>
        <v>359</v>
      </c>
      <c r="C363" s="27" t="str">
        <f>DBCS(元データ!A360)</f>
        <v>デエビゴ錠５ｍｇ</v>
      </c>
      <c r="D363" s="55" t="str">
        <f>元データ!B360</f>
        <v>メディセオ</v>
      </c>
      <c r="E363" s="27" t="str">
        <f>元データ!C360</f>
        <v>PTP</v>
      </c>
      <c r="F363" s="27" t="str">
        <f>元データ!D360</f>
        <v>500T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5" t="str">
        <f ca="1">IF(OFFSET(マスタ非採用削除!A$4,統合マスタ!$A363,0)="","",OFFSET(マスタ非採用削除!A$4,統合マスタ!$A363,0))</f>
        <v>ﾃｴﾋ002</v>
      </c>
      <c r="O363" s="55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5" t="str">
        <f ca="1">IF(OFFSET(マスタ非採用削除!D$4,統合マスタ!$A363,0)="","",OFFSET(マスタ非採用削除!D$4,統合マスタ!$A363,0))</f>
        <v>ﾃﾞｴﾋﾞ</v>
      </c>
      <c r="R363" s="27">
        <f ca="1">IF(OFFSET(マスタ非採用削除!E$4,統合マスタ!$A363,0)="","",OFFSET(マスタ非採用削除!E$4,統合マスタ!$A363,0))</f>
        <v>1</v>
      </c>
      <c r="S363" s="55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5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5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5</v>
      </c>
      <c r="AA363" s="27"/>
    </row>
    <row r="364" spans="1:27">
      <c r="A364" s="42">
        <f>元データ!P361</f>
        <v>312</v>
      </c>
      <c r="B364" s="27">
        <f t="shared" si="5"/>
        <v>360</v>
      </c>
      <c r="C364" s="27" t="str">
        <f>DBCS(元データ!A361)</f>
        <v>デエビゴ錠５ｍｇ</v>
      </c>
      <c r="D364" s="55" t="str">
        <f>元データ!B361</f>
        <v>メディセオ</v>
      </c>
      <c r="E364" s="27" t="str">
        <f>元データ!C361</f>
        <v>バラ</v>
      </c>
      <c r="F364" s="27" t="str">
        <f>元データ!D361</f>
        <v>100T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5" t="str">
        <f ca="1">IF(OFFSET(マスタ非採用削除!A$4,統合マスタ!$A364,0)="","",OFFSET(マスタ非採用削除!A$4,統合マスタ!$A364,0))</f>
        <v>ﾃｴﾋ002</v>
      </c>
      <c r="O364" s="55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5" t="str">
        <f ca="1">IF(OFFSET(マスタ非採用削除!D$4,統合マスタ!$A364,0)="","",OFFSET(マスタ非採用削除!D$4,統合マスタ!$A364,0))</f>
        <v>ﾃﾞｴﾋﾞ</v>
      </c>
      <c r="R364" s="27">
        <f ca="1">IF(OFFSET(マスタ非採用削除!E$4,統合マスタ!$A364,0)="","",OFFSET(マスタ非採用削除!E$4,統合マスタ!$A364,0))</f>
        <v>1</v>
      </c>
      <c r="S364" s="55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5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5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5</v>
      </c>
      <c r="AA364" s="27"/>
    </row>
    <row r="365" spans="1:27">
      <c r="A365" s="42">
        <f>元データ!P362</f>
        <v>313</v>
      </c>
      <c r="B365" s="27">
        <f t="shared" si="5"/>
        <v>361</v>
      </c>
      <c r="C365" s="27" t="str">
        <f>DBCS(元データ!A362)</f>
        <v>テオフィリン徐放Ｕ錠２００ｍｇ「トーワ」</v>
      </c>
      <c r="D365" s="55" t="str">
        <f>元データ!B362</f>
        <v>東和薬品</v>
      </c>
      <c r="E365" s="27" t="str">
        <f>元データ!C362</f>
        <v>PTP</v>
      </c>
      <c r="F365" s="27" t="str">
        <f>元データ!D362</f>
        <v>100Ｔ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5" t="str">
        <f ca="1">IF(OFFSET(マスタ非採用削除!A$4,統合マスタ!$A365,0)="","",OFFSET(マスタ非採用削除!A$4,統合マスタ!$A365,0))</f>
        <v>ﾃｵﾌ001</v>
      </c>
      <c r="O365" s="55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5" t="str">
        <f ca="1">IF(OFFSET(マスタ非採用削除!D$4,統合マスタ!$A365,0)="","",OFFSET(マスタ非採用削除!D$4,統合マスタ!$A365,0))</f>
        <v>ﾃｵﾌｨ</v>
      </c>
      <c r="R365" s="27">
        <f ca="1">IF(OFFSET(マスタ非採用削除!E$4,統合マスタ!$A365,0)="","",OFFSET(マスタ非採用削除!E$4,統合マスタ!$A365,0))</f>
        <v>1</v>
      </c>
      <c r="S365" s="55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5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5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/>
    </row>
    <row r="366" spans="1:27">
      <c r="A366" s="42">
        <f>元データ!P363</f>
        <v>0</v>
      </c>
      <c r="B366" s="27">
        <f t="shared" si="5"/>
        <v>362</v>
      </c>
      <c r="C366" s="27" t="str">
        <f>DBCS(元データ!A363)</f>
        <v>デカドロン錠０．５ｍｇ</v>
      </c>
      <c r="D366" s="55" t="str">
        <f>元データ!B363</f>
        <v/>
      </c>
      <c r="E366" s="27" t="str">
        <f>元データ!C363</f>
        <v>ＰＴＰ</v>
      </c>
      <c r="F366" s="27" t="str">
        <f>元データ!D363</f>
        <v>100T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5" t="str">
        <f ca="1">IF(OFFSET(マスタ非採用削除!A$4,統合マスタ!$A366,0)="","",OFFSET(マスタ非採用削除!A$4,統合マスタ!$A366,0))</f>
        <v>コード(区分値)</v>
      </c>
      <c r="O366" s="55" t="str">
        <f ca="1">IF(OFFSET(マスタ非採用削除!B$4,統合マスタ!$A366,0)="","",OFFSET(マスタ非採用削除!B$4,統合マスタ!$A366,0))</f>
        <v>コード</v>
      </c>
      <c r="P366" s="27" t="str">
        <f ca="1">IF(OFFSET(マスタ非採用削除!C$4,統合マスタ!$A366,0)="","",OFFSET(マスタ非採用削除!C$4,統合マスタ!$A366,0))</f>
        <v>名称</v>
      </c>
      <c r="Q366" s="55" t="str">
        <f ca="1">IF(OFFSET(マスタ非採用削除!D$4,統合マスタ!$A366,0)="","",OFFSET(マスタ非採用削除!D$4,統合マスタ!$A366,0))</f>
        <v>ホストコード</v>
      </c>
      <c r="R366" s="27" t="str">
        <f ca="1">IF(OFFSET(マスタ非採用削除!E$4,統合マスタ!$A366,0)="","",OFFSET(マスタ非採用削除!E$4,統合マスタ!$A366,0))</f>
        <v>採用区分（区分値）(区分値)</v>
      </c>
      <c r="S366" s="55" t="str">
        <f ca="1">IF(OFFSET(マスタ非採用削除!F$4,統合マスタ!$A366,0)="","",OFFSET(マスタ非採用削除!F$4,統合マスタ!$A366,0))</f>
        <v>採用区分（区分値）</v>
      </c>
      <c r="T366" s="27" t="str">
        <f ca="1">IF(OFFSET(マスタ非採用削除!G$4,統合マスタ!$A366,0)="","",OFFSET(マスタ非採用削除!G$4,統合マスタ!$A366,0))</f>
        <v>薬価</v>
      </c>
      <c r="U366" s="55" t="str">
        <f ca="1">IF(OFFSET(マスタ非採用削除!H$4,統合マスタ!$A366,0)="","",OFFSET(マスタ非採用削除!H$4,統合マスタ!$A366,0))</f>
        <v>カナ名称</v>
      </c>
      <c r="V366" s="27" t="str">
        <f ca="1">IF(OFFSET(マスタ非採用削除!I$4,統合マスタ!$A366,0)="","",OFFSET(マスタ非採用削除!I$4,統合マスタ!$A366,0))</f>
        <v>剤形(区分値)</v>
      </c>
      <c r="W366" s="27" t="str">
        <f ca="1">IF(OFFSET(マスタ非採用削除!J$4,統合マスタ!$A366,0)="","",OFFSET(マスタ非採用削除!J$4,統合マスタ!$A366,0))</f>
        <v>剤形</v>
      </c>
      <c r="X366" s="27" t="str">
        <f ca="1">IF(OFFSET(マスタ非採用削除!K$4,統合マスタ!$A366,0)="","",OFFSET(マスタ非採用削除!K$4,統合マスタ!$A366,0))</f>
        <v>毒劇薬（区分値）(区分値)</v>
      </c>
      <c r="Y366" s="55" t="str">
        <f ca="1">IF(OFFSET(マスタ非採用削除!L$4,統合マスタ!$A366,0)="","",OFFSET(マスタ非採用削除!L$4,統合マスタ!$A366,0))</f>
        <v>毒劇薬（区分値）</v>
      </c>
      <c r="Z366" s="27" t="str">
        <f ca="1">IF(OFFSET(マスタ非採用削除!M$4,統合マスタ!$A366,0)="","",OFFSET(マスタ非採用削除!M$4,統合マスタ!$A366,0))</f>
        <v>棚</v>
      </c>
      <c r="AA366" s="27"/>
    </row>
    <row r="367" spans="1:27">
      <c r="A367" s="42">
        <f>元データ!P364</f>
        <v>314</v>
      </c>
      <c r="B367" s="27">
        <f t="shared" si="5"/>
        <v>363</v>
      </c>
      <c r="C367" s="27" t="str">
        <f>DBCS(元データ!A364)</f>
        <v>デカドロン注射液３．３ｍｇ</v>
      </c>
      <c r="D367" s="55" t="str">
        <f>元データ!B364</f>
        <v/>
      </c>
      <c r="E367" s="27" t="str">
        <f>元データ!C364</f>
        <v/>
      </c>
      <c r="F367" s="27" t="str">
        <f>元データ!D364</f>
        <v>1ｍｌｘ10A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5" t="str">
        <f ca="1">IF(OFFSET(マスタ非採用削除!A$4,統合マスタ!$A367,0)="","",OFFSET(マスタ非採用削除!A$4,統合マスタ!$A367,0))</f>
        <v>ﾃｶﾄ001</v>
      </c>
      <c r="O367" s="55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5" t="str">
        <f ca="1">IF(OFFSET(マスタ非採用削除!D$4,統合マスタ!$A367,0)="","",OFFSET(マスタ非採用削除!D$4,統合マスタ!$A367,0))</f>
        <v/>
      </c>
      <c r="R367" s="27">
        <f ca="1">IF(OFFSET(マスタ非採用削除!E$4,統合マスタ!$A367,0)="","",OFFSET(マスタ非採用削除!E$4,統合マスタ!$A367,0))</f>
        <v>1</v>
      </c>
      <c r="S367" s="55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5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5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/>
    </row>
    <row r="368" spans="1:27">
      <c r="A368" s="42" t="str">
        <f>元データ!P365</f>
        <v/>
      </c>
      <c r="B368" s="27">
        <f t="shared" si="5"/>
        <v>364</v>
      </c>
      <c r="C368" s="27" t="str">
        <f>DBCS(元データ!A365)</f>
        <v>デカドロン注射液６．６ｍｇ</v>
      </c>
      <c r="D368" s="55" t="str">
        <f>元データ!B365</f>
        <v/>
      </c>
      <c r="E368" s="27" t="str">
        <f>元データ!C365</f>
        <v/>
      </c>
      <c r="F368" s="27" t="str">
        <f>元データ!D365</f>
        <v>2ｍｌｘ10</v>
      </c>
      <c r="G368" s="27" t="str">
        <f>元データ!E365</f>
        <v>アスペンジャパン</v>
      </c>
      <c r="H368" s="27">
        <f>元データ!F365</f>
        <v>194</v>
      </c>
      <c r="I368" s="27">
        <f>元データ!G365</f>
        <v>1940</v>
      </c>
      <c r="J368" s="27">
        <f>元データ!H365</f>
        <v>10</v>
      </c>
      <c r="K368" s="27" t="str">
        <f>元データ!I365</f>
        <v>A</v>
      </c>
      <c r="L368" s="27">
        <f>元データ!J365</f>
        <v>1762.8</v>
      </c>
      <c r="M368" s="27">
        <f>元データ!K365</f>
        <v>176.28</v>
      </c>
      <c r="N368" s="55" t="e">
        <f ca="1">IF(OFFSET(マスタ非採用削除!A$4,統合マスタ!$A368,0)="","",OFFSET(マスタ非採用削除!A$4,統合マスタ!$A368,0))</f>
        <v>#VALUE!</v>
      </c>
      <c r="O368" s="55" t="e">
        <f ca="1">IF(OFFSET(マスタ非採用削除!B$4,統合マスタ!$A368,0)="","",OFFSET(マスタ非採用削除!B$4,統合マスタ!$A368,0))</f>
        <v>#VALUE!</v>
      </c>
      <c r="P368" s="27" t="e">
        <f ca="1">IF(OFFSET(マスタ非採用削除!C$4,統合マスタ!$A368,0)="","",OFFSET(マスタ非採用削除!C$4,統合マスタ!$A368,0))</f>
        <v>#VALUE!</v>
      </c>
      <c r="Q368" s="55" t="e">
        <f ca="1">IF(OFFSET(マスタ非採用削除!D$4,統合マスタ!$A368,0)="","",OFFSET(マスタ非採用削除!D$4,統合マスタ!$A368,0))</f>
        <v>#VALUE!</v>
      </c>
      <c r="R368" s="27" t="e">
        <f ca="1">IF(OFFSET(マスタ非採用削除!E$4,統合マスタ!$A368,0)="","",OFFSET(マスタ非採用削除!E$4,統合マスタ!$A368,0))</f>
        <v>#VALUE!</v>
      </c>
      <c r="S368" s="55" t="e">
        <f ca="1">IF(OFFSET(マスタ非採用削除!F$4,統合マスタ!$A368,0)="","",OFFSET(マスタ非採用削除!F$4,統合マスタ!$A368,0))</f>
        <v>#VALUE!</v>
      </c>
      <c r="T368" s="27" t="e">
        <f ca="1">IF(OFFSET(マスタ非採用削除!G$4,統合マスタ!$A368,0)="","",OFFSET(マスタ非採用削除!G$4,統合マスタ!$A368,0))</f>
        <v>#VALUE!</v>
      </c>
      <c r="U368" s="55" t="e">
        <f ca="1">IF(OFFSET(マスタ非採用削除!H$4,統合マスタ!$A368,0)="","",OFFSET(マスタ非採用削除!H$4,統合マスタ!$A368,0))</f>
        <v>#VALUE!</v>
      </c>
      <c r="V368" s="27" t="e">
        <f ca="1">IF(OFFSET(マスタ非採用削除!I$4,統合マスタ!$A368,0)="","",OFFSET(マスタ非採用削除!I$4,統合マスタ!$A368,0))</f>
        <v>#VALUE!</v>
      </c>
      <c r="W368" s="27" t="e">
        <f ca="1">IF(OFFSET(マスタ非採用削除!J$4,統合マスタ!$A368,0)="","",OFFSET(マスタ非採用削除!J$4,統合マスタ!$A368,0))</f>
        <v>#VALUE!</v>
      </c>
      <c r="X368" s="27" t="e">
        <f ca="1">IF(OFFSET(マスタ非採用削除!K$4,統合マスタ!$A368,0)="","",OFFSET(マスタ非採用削除!K$4,統合マスタ!$A368,0))</f>
        <v>#VALUE!</v>
      </c>
      <c r="Y368" s="55" t="e">
        <f ca="1">IF(OFFSET(マスタ非採用削除!L$4,統合マスタ!$A368,0)="","",OFFSET(マスタ非採用削除!L$4,統合マスタ!$A368,0))</f>
        <v>#VALUE!</v>
      </c>
      <c r="Z368" s="27" t="e">
        <f ca="1">IF(OFFSET(マスタ非採用削除!M$4,統合マスタ!$A368,0)="","",OFFSET(マスタ非採用削除!M$4,統合マスタ!$A368,0))</f>
        <v>#VALUE!</v>
      </c>
      <c r="AA368" s="27"/>
    </row>
    <row r="369" spans="1:27">
      <c r="A369" s="42">
        <f>元データ!P366</f>
        <v>315</v>
      </c>
      <c r="B369" s="27">
        <f t="shared" si="5"/>
        <v>365</v>
      </c>
      <c r="C369" s="27" t="str">
        <f>DBCS(元データ!A366)</f>
        <v>デキサメタゾン口腔用軟膏０．１％「日医工」</v>
      </c>
      <c r="D369" s="55" t="str">
        <f>元データ!B366</f>
        <v>メディセオ</v>
      </c>
      <c r="E369" s="27" t="str">
        <f>元データ!C366</f>
        <v/>
      </c>
      <c r="F369" s="27" t="str">
        <f>元データ!D366</f>
        <v>5ｇX10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5" t="str">
        <f ca="1">IF(OFFSET(マスタ非採用削除!A$4,統合マスタ!$A369,0)="","",OFFSET(マスタ非採用削除!A$4,統合マスタ!$A369,0))</f>
        <v>ﾃｷｻ001</v>
      </c>
      <c r="O369" s="55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5" t="str">
        <f ca="1">IF(OFFSET(マスタ非採用削除!D$4,統合マスタ!$A369,0)="","",OFFSET(マスタ非採用削除!D$4,統合マスタ!$A369,0))</f>
        <v>ﾃﾞｷｻ</v>
      </c>
      <c r="R369" s="27">
        <f ca="1">IF(OFFSET(マスタ非採用削除!E$4,統合マスタ!$A369,0)="","",OFFSET(マスタ非採用削除!E$4,統合マスタ!$A369,0))</f>
        <v>1</v>
      </c>
      <c r="S369" s="55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5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5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/>
    </row>
    <row r="370" spans="1:27">
      <c r="A370" s="42">
        <f>元データ!P367</f>
        <v>316</v>
      </c>
      <c r="B370" s="27">
        <f t="shared" si="5"/>
        <v>366</v>
      </c>
      <c r="C370" s="27" t="str">
        <f>DBCS(元データ!A367)</f>
        <v>デキストロメトルファン臭化水素酸塩錠１５ｍｇ「トーワ」</v>
      </c>
      <c r="D370" s="55" t="str">
        <f>元データ!B367</f>
        <v>東和薬品</v>
      </c>
      <c r="E370" s="27" t="str">
        <f>元データ!C367</f>
        <v>バラ</v>
      </c>
      <c r="F370" s="27" t="str">
        <f>元データ!D367</f>
        <v>1000Ｔ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5" t="str">
        <f ca="1">IF(OFFSET(マスタ非採用削除!A$4,統合マスタ!$A370,0)="","",OFFSET(マスタ非採用削除!A$4,統合マスタ!$A370,0))</f>
        <v>ﾃｷｽ001</v>
      </c>
      <c r="O370" s="55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5" t="str">
        <f ca="1">IF(OFFSET(マスタ非採用削除!D$4,統合マスタ!$A370,0)="","",OFFSET(マスタ非採用削除!D$4,統合マスタ!$A370,0))</f>
        <v/>
      </c>
      <c r="R370" s="27">
        <f ca="1">IF(OFFSET(マスタ非採用削除!E$4,統合マスタ!$A370,0)="","",OFFSET(マスタ非採用削除!E$4,統合マスタ!$A370,0))</f>
        <v>2</v>
      </c>
      <c r="S370" s="55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5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5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/>
    </row>
    <row r="371" spans="1:27">
      <c r="A371" s="42">
        <f>元データ!P368</f>
        <v>317</v>
      </c>
      <c r="B371" s="27">
        <f t="shared" si="5"/>
        <v>367</v>
      </c>
      <c r="C371" s="27" t="str">
        <f>DBCS(元データ!A368)</f>
        <v>テクスメテン　ユニバーサル　クリーム０．１％</v>
      </c>
      <c r="D371" s="55" t="str">
        <f>元データ!B368</f>
        <v>アルフレッサ</v>
      </c>
      <c r="E371" s="27" t="str">
        <f>元データ!C368</f>
        <v/>
      </c>
      <c r="F371" s="27" t="str">
        <f>元データ!D368</f>
        <v>10ｇｘ10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5" t="str">
        <f ca="1">IF(OFFSET(マスタ非採用削除!A$4,統合マスタ!$A371,0)="","",OFFSET(マスタ非採用削除!A$4,統合マスタ!$A371,0))</f>
        <v>ﾃｸｽ001</v>
      </c>
      <c r="O371" s="55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5" t="str">
        <f ca="1">IF(OFFSET(マスタ非採用削除!D$4,統合マスタ!$A371,0)="","",OFFSET(マスタ非採用削除!D$4,統合マスタ!$A371,0))</f>
        <v/>
      </c>
      <c r="R371" s="27">
        <f ca="1">IF(OFFSET(マスタ非採用削除!E$4,統合マスタ!$A371,0)="","",OFFSET(マスタ非採用削除!E$4,統合マスタ!$A371,0))</f>
        <v>1</v>
      </c>
      <c r="S371" s="55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5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5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/>
    </row>
    <row r="372" spans="1:27">
      <c r="A372" s="42">
        <f>元データ!P369</f>
        <v>320</v>
      </c>
      <c r="B372" s="27">
        <f t="shared" si="5"/>
        <v>368</v>
      </c>
      <c r="C372" s="27" t="str">
        <f>DBCS(元データ!A369)</f>
        <v>テトラミド錠１０ｍｇ</v>
      </c>
      <c r="D372" s="55" t="str">
        <f>元データ!B369</f>
        <v>アルフレッサ</v>
      </c>
      <c r="E372" s="27" t="str">
        <f>元データ!C369</f>
        <v>PTP</v>
      </c>
      <c r="F372" s="27" t="str">
        <f>元データ!D369</f>
        <v>105Ｔ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5" t="str">
        <f ca="1">IF(OFFSET(マスタ非採用削除!A$4,統合マスタ!$A372,0)="","",OFFSET(マスタ非採用削除!A$4,統合マスタ!$A372,0))</f>
        <v>ﾃﾄﾗ001</v>
      </c>
      <c r="O372" s="55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5" t="str">
        <f ca="1">IF(OFFSET(マスタ非採用削除!D$4,統合マスタ!$A372,0)="","",OFFSET(マスタ非採用削除!D$4,統合マスタ!$A372,0))</f>
        <v>ﾃﾄﾗﾐ1*</v>
      </c>
      <c r="R372" s="27">
        <f ca="1">IF(OFFSET(マスタ非採用削除!E$4,統合マスタ!$A372,0)="","",OFFSET(マスタ非採用削除!E$4,統合マスタ!$A372,0))</f>
        <v>1</v>
      </c>
      <c r="S372" s="55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5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5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/>
    </row>
    <row r="373" spans="1:27">
      <c r="A373" s="42">
        <f>元データ!P370</f>
        <v>321</v>
      </c>
      <c r="B373" s="27">
        <f t="shared" si="5"/>
        <v>369</v>
      </c>
      <c r="C373" s="27" t="str">
        <f>DBCS(元データ!A370)</f>
        <v>テトラミド錠３０ｍｇ</v>
      </c>
      <c r="D373" s="55" t="str">
        <f>元データ!B370</f>
        <v>アルフレッサ</v>
      </c>
      <c r="E373" s="27" t="str">
        <f>元データ!C370</f>
        <v>PTP</v>
      </c>
      <c r="F373" s="27" t="str">
        <f>元データ!D370</f>
        <v>100T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5" t="str">
        <f ca="1">IF(OFFSET(マスタ非採用削除!A$4,統合マスタ!$A373,0)="","",OFFSET(マスタ非採用削除!A$4,統合マスタ!$A373,0))</f>
        <v>ﾃﾄﾗ002</v>
      </c>
      <c r="O373" s="55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5" t="str">
        <f ca="1">IF(OFFSET(マスタ非採用削除!D$4,統合マスタ!$A373,0)="","",OFFSET(マスタ非採用削除!D$4,統合マスタ!$A373,0))</f>
        <v>ﾃﾄﾗﾐ2</v>
      </c>
      <c r="R373" s="27">
        <f ca="1">IF(OFFSET(マスタ非採用削除!E$4,統合マスタ!$A373,0)="","",OFFSET(マスタ非採用削除!E$4,統合マスタ!$A373,0))</f>
        <v>1</v>
      </c>
      <c r="S373" s="55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5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5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/>
    </row>
    <row r="374" spans="1:27">
      <c r="A374" s="42">
        <f>元データ!P371</f>
        <v>0</v>
      </c>
      <c r="B374" s="27">
        <f t="shared" si="5"/>
        <v>370</v>
      </c>
      <c r="C374" s="27" t="str">
        <f>DBCS(元データ!A371)</f>
        <v>デノタスチュアブル配合錠</v>
      </c>
      <c r="D374" s="55" t="str">
        <f>元データ!B371</f>
        <v>スズケン</v>
      </c>
      <c r="E374" s="27" t="str">
        <f>元データ!C371</f>
        <v>PTP</v>
      </c>
      <c r="F374" s="27" t="str">
        <f>元データ!D371</f>
        <v>60錠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5" t="str">
        <f ca="1">IF(OFFSET(マスタ非採用削除!A$4,統合マスタ!$A374,0)="","",OFFSET(マスタ非採用削除!A$4,統合マスタ!$A374,0))</f>
        <v>コード(区分値)</v>
      </c>
      <c r="O374" s="55" t="str">
        <f ca="1">IF(OFFSET(マスタ非採用削除!B$4,統合マスタ!$A374,0)="","",OFFSET(マスタ非採用削除!B$4,統合マスタ!$A374,0))</f>
        <v>コード</v>
      </c>
      <c r="P374" s="27" t="str">
        <f ca="1">IF(OFFSET(マスタ非採用削除!C$4,統合マスタ!$A374,0)="","",OFFSET(マスタ非採用削除!C$4,統合マスタ!$A374,0))</f>
        <v>名称</v>
      </c>
      <c r="Q374" s="55" t="str">
        <f ca="1">IF(OFFSET(マスタ非採用削除!D$4,統合マスタ!$A374,0)="","",OFFSET(マスタ非採用削除!D$4,統合マスタ!$A374,0))</f>
        <v>ホストコード</v>
      </c>
      <c r="R374" s="27" t="str">
        <f ca="1">IF(OFFSET(マスタ非採用削除!E$4,統合マスタ!$A374,0)="","",OFFSET(マスタ非採用削除!E$4,統合マスタ!$A374,0))</f>
        <v>採用区分（区分値）(区分値)</v>
      </c>
      <c r="S374" s="55" t="str">
        <f ca="1">IF(OFFSET(マスタ非採用削除!F$4,統合マスタ!$A374,0)="","",OFFSET(マスタ非採用削除!F$4,統合マスタ!$A374,0))</f>
        <v>採用区分（区分値）</v>
      </c>
      <c r="T374" s="27" t="str">
        <f ca="1">IF(OFFSET(マスタ非採用削除!G$4,統合マスタ!$A374,0)="","",OFFSET(マスタ非採用削除!G$4,統合マスタ!$A374,0))</f>
        <v>薬価</v>
      </c>
      <c r="U374" s="55" t="str">
        <f ca="1">IF(OFFSET(マスタ非採用削除!H$4,統合マスタ!$A374,0)="","",OFFSET(マスタ非採用削除!H$4,統合マスタ!$A374,0))</f>
        <v>カナ名称</v>
      </c>
      <c r="V374" s="27" t="str">
        <f ca="1">IF(OFFSET(マスタ非採用削除!I$4,統合マスタ!$A374,0)="","",OFFSET(マスタ非採用削除!I$4,統合マスタ!$A374,0))</f>
        <v>剤形(区分値)</v>
      </c>
      <c r="W374" s="27" t="str">
        <f ca="1">IF(OFFSET(マスタ非採用削除!J$4,統合マスタ!$A374,0)="","",OFFSET(マスタ非採用削除!J$4,統合マスタ!$A374,0))</f>
        <v>剤形</v>
      </c>
      <c r="X374" s="27" t="str">
        <f ca="1">IF(OFFSET(マスタ非採用削除!K$4,統合マスタ!$A374,0)="","",OFFSET(マスタ非採用削除!K$4,統合マスタ!$A374,0))</f>
        <v>毒劇薬（区分値）(区分値)</v>
      </c>
      <c r="Y374" s="55" t="str">
        <f ca="1">IF(OFFSET(マスタ非採用削除!L$4,統合マスタ!$A374,0)="","",OFFSET(マスタ非採用削除!L$4,統合マスタ!$A374,0))</f>
        <v>毒劇薬（区分値）</v>
      </c>
      <c r="Z374" s="27" t="str">
        <f ca="1">IF(OFFSET(マスタ非採用削除!M$4,統合マスタ!$A374,0)="","",OFFSET(マスタ非採用削除!M$4,統合マスタ!$A374,0))</f>
        <v>棚</v>
      </c>
      <c r="AA374" s="27"/>
    </row>
    <row r="375" spans="1:27">
      <c r="A375" s="42">
        <f>元データ!P372</f>
        <v>322</v>
      </c>
      <c r="B375" s="27">
        <f t="shared" si="5"/>
        <v>371</v>
      </c>
      <c r="C375" s="27" t="str">
        <f>DBCS(元データ!A372)</f>
        <v>デパケンＲ錠２００ｍｇ</v>
      </c>
      <c r="D375" s="55" t="str">
        <f>元データ!B372</f>
        <v>アルフレッサ</v>
      </c>
      <c r="E375" s="27" t="str">
        <f>元データ!C372</f>
        <v>PTP</v>
      </c>
      <c r="F375" s="27" t="str">
        <f>元データ!D372</f>
        <v>100Ｔ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5" t="str">
        <f ca="1">IF(OFFSET(マスタ非採用削除!A$4,統合マスタ!$A375,0)="","",OFFSET(マスタ非採用削除!A$4,統合マスタ!$A375,0))</f>
        <v>ﾃﾊｹ002</v>
      </c>
      <c r="O375" s="55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5" t="str">
        <f ca="1">IF(OFFSET(マスタ非採用削除!D$4,統合マスタ!$A375,0)="","",OFFSET(マスタ非採用削除!D$4,統合マスタ!$A375,0))</f>
        <v>ﾃﾞﾊﾟR2</v>
      </c>
      <c r="R375" s="27">
        <f ca="1">IF(OFFSET(マスタ非採用削除!E$4,統合マスタ!$A375,0)="","",OFFSET(マスタ非採用削除!E$4,統合マスタ!$A375,0))</f>
        <v>1</v>
      </c>
      <c r="S375" s="55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5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5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5</v>
      </c>
      <c r="AA375" s="27"/>
    </row>
    <row r="376" spans="1:27">
      <c r="A376" s="42">
        <f>元データ!P373</f>
        <v>322</v>
      </c>
      <c r="B376" s="27">
        <f t="shared" si="5"/>
        <v>372</v>
      </c>
      <c r="C376" s="27" t="str">
        <f>DBCS(元データ!A373)</f>
        <v>デパケンＲ錠２００ｍｇ</v>
      </c>
      <c r="D376" s="55" t="str">
        <f>元データ!B373</f>
        <v>アルフレッサ</v>
      </c>
      <c r="E376" s="27" t="str">
        <f>元データ!C373</f>
        <v>バラ</v>
      </c>
      <c r="F376" s="27" t="str">
        <f>元データ!D373</f>
        <v>1000Ｔ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5" t="str">
        <f ca="1">IF(OFFSET(マスタ非採用削除!A$4,統合マスタ!$A376,0)="","",OFFSET(マスタ非採用削除!A$4,統合マスタ!$A376,0))</f>
        <v>ﾃﾊｹ002</v>
      </c>
      <c r="O376" s="55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5" t="str">
        <f ca="1">IF(OFFSET(マスタ非採用削除!D$4,統合マスタ!$A376,0)="","",OFFSET(マスタ非採用削除!D$4,統合マスタ!$A376,0))</f>
        <v>ﾃﾞﾊﾟR2</v>
      </c>
      <c r="R376" s="27">
        <f ca="1">IF(OFFSET(マスタ非採用削除!E$4,統合マスタ!$A376,0)="","",OFFSET(マスタ非採用削除!E$4,統合マスタ!$A376,0))</f>
        <v>1</v>
      </c>
      <c r="S376" s="55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5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5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5</v>
      </c>
      <c r="AA376" s="27"/>
    </row>
    <row r="377" spans="1:27">
      <c r="A377" s="42">
        <f>元データ!P374</f>
        <v>323</v>
      </c>
      <c r="B377" s="27">
        <f t="shared" si="5"/>
        <v>373</v>
      </c>
      <c r="C377" s="27" t="str">
        <f>DBCS(元データ!A374)</f>
        <v>デパス細粒１％</v>
      </c>
      <c r="D377" s="55" t="str">
        <f>元データ!B374</f>
        <v/>
      </c>
      <c r="E377" s="27" t="str">
        <f>元データ!C374</f>
        <v>粉</v>
      </c>
      <c r="F377" s="27" t="str">
        <f>元データ!D374</f>
        <v>100ｇ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5" t="str">
        <f ca="1">IF(OFFSET(マスタ非採用削除!A$4,統合マスタ!$A377,0)="","",OFFSET(マスタ非採用削除!A$4,統合マスタ!$A377,0))</f>
        <v>ﾃﾊｽ003</v>
      </c>
      <c r="O377" s="55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5" t="str">
        <f ca="1">IF(OFFSET(マスタ非採用削除!D$4,統合マスタ!$A377,0)="","",OFFSET(マスタ非採用削除!D$4,統合マスタ!$A377,0))</f>
        <v>ﾃﾞﾊﾟｽ2</v>
      </c>
      <c r="R377" s="27">
        <f ca="1">IF(OFFSET(マスタ非採用削除!E$4,統合マスタ!$A377,0)="","",OFFSET(マスタ非採用削除!E$4,統合マスタ!$A377,0))</f>
        <v>2</v>
      </c>
      <c r="S377" s="55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5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5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/>
    </row>
    <row r="378" spans="1:27">
      <c r="A378" s="42">
        <f>元データ!P375</f>
        <v>325</v>
      </c>
      <c r="B378" s="27">
        <f t="shared" si="5"/>
        <v>374</v>
      </c>
      <c r="C378" s="27" t="str">
        <f>DBCS(元データ!A375)</f>
        <v>テプレノンカプセル５０ｍｇ「ＹＤ」</v>
      </c>
      <c r="D378" s="55" t="str">
        <f>元データ!B375</f>
        <v>メディセオ</v>
      </c>
      <c r="E378" s="27" t="str">
        <f>元データ!C375</f>
        <v>PTP</v>
      </c>
      <c r="F378" s="27" t="str">
        <f>元データ!D375</f>
        <v>1000Ｔ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5" t="str">
        <f ca="1">IF(OFFSET(マスタ非採用削除!A$4,統合マスタ!$A378,0)="","",OFFSET(マスタ非採用削除!A$4,統合マスタ!$A378,0))</f>
        <v>ﾃﾌﾚ003</v>
      </c>
      <c r="O378" s="55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5" t="str">
        <f ca="1">IF(OFFSET(マスタ非採用削除!D$4,統合マスタ!$A378,0)="","",OFFSET(マスタ非採用削除!D$4,統合マスタ!$A378,0))</f>
        <v/>
      </c>
      <c r="R378" s="27">
        <f ca="1">IF(OFFSET(マスタ非採用削除!E$4,統合マスタ!$A378,0)="","",OFFSET(マスタ非採用削除!E$4,統合マスタ!$A378,0))</f>
        <v>1</v>
      </c>
      <c r="S378" s="55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5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5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/>
    </row>
    <row r="379" spans="1:27">
      <c r="A379" s="42">
        <f>元データ!P376</f>
        <v>324</v>
      </c>
      <c r="B379" s="27">
        <f t="shared" si="5"/>
        <v>375</v>
      </c>
      <c r="C379" s="27" t="str">
        <f>DBCS(元データ!A376)</f>
        <v>テプレノン細粒１０％「ＹＤ」</v>
      </c>
      <c r="D379" s="55" t="str">
        <f>元データ!B376</f>
        <v>メディセオ</v>
      </c>
      <c r="E379" s="27" t="str">
        <f>元データ!C376</f>
        <v>粉</v>
      </c>
      <c r="F379" s="27" t="str">
        <f>元データ!D376</f>
        <v>100ｇ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5" t="str">
        <f ca="1">IF(OFFSET(マスタ非採用削除!A$4,統合マスタ!$A379,0)="","",OFFSET(マスタ非採用削除!A$4,統合マスタ!$A379,0))</f>
        <v>ﾃﾌﾚ002</v>
      </c>
      <c r="O379" s="55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5" t="str">
        <f ca="1">IF(OFFSET(マスタ非採用削除!D$4,統合マスタ!$A379,0)="","",OFFSET(マスタ非採用削除!D$4,統合マスタ!$A379,0))</f>
        <v>ﾃﾌﾟﾚ2</v>
      </c>
      <c r="R379" s="27">
        <f ca="1">IF(OFFSET(マスタ非採用削除!E$4,統合マスタ!$A379,0)="","",OFFSET(マスタ非採用削除!E$4,統合マスタ!$A379,0))</f>
        <v>1</v>
      </c>
      <c r="S379" s="55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5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5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/>
    </row>
    <row r="380" spans="1:27">
      <c r="A380" s="42">
        <f>元データ!P377</f>
        <v>326</v>
      </c>
      <c r="B380" s="27">
        <f t="shared" si="5"/>
        <v>376</v>
      </c>
      <c r="C380" s="27" t="str">
        <f>DBCS(元データ!A377)</f>
        <v>デプロメール錠２５</v>
      </c>
      <c r="D380" s="55" t="str">
        <f>元データ!B377</f>
        <v>アルフレッサ</v>
      </c>
      <c r="E380" s="27" t="str">
        <f>元データ!C377</f>
        <v>PTP</v>
      </c>
      <c r="F380" s="27" t="str">
        <f>元データ!D377</f>
        <v>500T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5" t="str">
        <f ca="1">IF(OFFSET(マスタ非採用削除!A$4,統合マスタ!$A380,0)="","",OFFSET(マスタ非採用削除!A$4,統合マスタ!$A380,0))</f>
        <v>ﾃﾌﾛ001</v>
      </c>
      <c r="O380" s="55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5" t="str">
        <f ca="1">IF(OFFSET(マスタ非採用削除!D$4,統合マスタ!$A380,0)="","",OFFSET(マスタ非採用削除!D$4,統合マスタ!$A380,0))</f>
        <v/>
      </c>
      <c r="R380" s="27">
        <f ca="1">IF(OFFSET(マスタ非採用削除!E$4,統合マスタ!$A380,0)="","",OFFSET(マスタ非採用削除!E$4,統合マスタ!$A380,0))</f>
        <v>1</v>
      </c>
      <c r="S380" s="55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5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5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5</v>
      </c>
      <c r="AA380" s="27"/>
    </row>
    <row r="381" spans="1:27">
      <c r="A381" s="42">
        <f>元データ!P378</f>
        <v>326</v>
      </c>
      <c r="B381" s="27">
        <f t="shared" si="5"/>
        <v>377</v>
      </c>
      <c r="C381" s="27" t="str">
        <f>DBCS(元データ!A378)</f>
        <v>デプロメール錠２５</v>
      </c>
      <c r="D381" s="55" t="str">
        <f>元データ!B378</f>
        <v>アルフレッサ</v>
      </c>
      <c r="E381" s="27" t="str">
        <f>元データ!C378</f>
        <v>バラ</v>
      </c>
      <c r="F381" s="27" t="str">
        <f>元データ!D378</f>
        <v>1000T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5" t="str">
        <f ca="1">IF(OFFSET(マスタ非採用削除!A$4,統合マスタ!$A381,0)="","",OFFSET(マスタ非採用削除!A$4,統合マスタ!$A381,0))</f>
        <v>ﾃﾌﾛ001</v>
      </c>
      <c r="O381" s="55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5" t="str">
        <f ca="1">IF(OFFSET(マスタ非採用削除!D$4,統合マスタ!$A381,0)="","",OFFSET(マスタ非採用削除!D$4,統合マスタ!$A381,0))</f>
        <v/>
      </c>
      <c r="R381" s="27">
        <f ca="1">IF(OFFSET(マスタ非採用削除!E$4,統合マスタ!$A381,0)="","",OFFSET(マスタ非採用削除!E$4,統合マスタ!$A381,0))</f>
        <v>1</v>
      </c>
      <c r="S381" s="55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5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5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5</v>
      </c>
      <c r="AA381" s="27"/>
    </row>
    <row r="382" spans="1:27">
      <c r="A382" s="42">
        <f>元データ!P379</f>
        <v>327</v>
      </c>
      <c r="B382" s="27">
        <f t="shared" si="5"/>
        <v>378</v>
      </c>
      <c r="C382" s="27" t="str">
        <f>DBCS(元データ!A379)</f>
        <v>デュタステリドカプセル０．５ｍｇＡＶ「サワイ」</v>
      </c>
      <c r="D382" s="55" t="str">
        <f>元データ!B379</f>
        <v>メディセオ</v>
      </c>
      <c r="E382" s="27" t="str">
        <f>元データ!C379</f>
        <v>PTP</v>
      </c>
      <c r="F382" s="27" t="str">
        <f>元データ!D379</f>
        <v>30Ｐ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5" t="str">
        <f ca="1">IF(OFFSET(マスタ非採用削除!A$4,統合マスタ!$A382,0)="","",OFFSET(マスタ非採用削除!A$4,統合マスタ!$A382,0))</f>
        <v>ﾃﾕﾀ001</v>
      </c>
      <c r="O382" s="55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5" t="str">
        <f ca="1">IF(OFFSET(マスタ非採用削除!D$4,統合マスタ!$A382,0)="","",OFFSET(マスタ非採用削除!D$4,統合マスタ!$A382,0))</f>
        <v>ﾃﾞｭﾀ</v>
      </c>
      <c r="R382" s="27">
        <f ca="1">IF(OFFSET(マスタ非採用削除!E$4,統合マスタ!$A382,0)="","",OFFSET(マスタ非採用削除!E$4,統合マスタ!$A382,0))</f>
        <v>2</v>
      </c>
      <c r="S382" s="55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5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5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/>
    </row>
    <row r="383" spans="1:27">
      <c r="A383" s="42">
        <f>元データ!P380</f>
        <v>328</v>
      </c>
      <c r="B383" s="27">
        <f t="shared" si="5"/>
        <v>379</v>
      </c>
      <c r="C383" s="27" t="str">
        <f>DBCS(元データ!A380)</f>
        <v>デュロキセチンカプセル２０ｍｇ「ＤＳＥＰ」</v>
      </c>
      <c r="D383" s="55" t="str">
        <f>元データ!B380</f>
        <v>アルフレッサ</v>
      </c>
      <c r="E383" s="27" t="str">
        <f>元データ!C380</f>
        <v>ＰＴＰ</v>
      </c>
      <c r="F383" s="27" t="str">
        <f>元データ!D380</f>
        <v>100P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5" t="str">
        <f ca="1">IF(OFFSET(マスタ非採用削除!A$4,統合マスタ!$A383,0)="","",OFFSET(マスタ非採用削除!A$4,統合マスタ!$A383,0))</f>
        <v>ﾃﾕﾛ001</v>
      </c>
      <c r="O383" s="55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5" t="str">
        <f ca="1">IF(OFFSET(マスタ非採用削除!D$4,統合マスタ!$A383,0)="","",OFFSET(マスタ非採用削除!D$4,統合マスタ!$A383,0))</f>
        <v>ﾃﾞｭﾛ</v>
      </c>
      <c r="R383" s="27">
        <f ca="1">IF(OFFSET(マスタ非採用削除!E$4,統合マスタ!$A383,0)="","",OFFSET(マスタ非採用削除!E$4,統合マスタ!$A383,0))</f>
        <v>1</v>
      </c>
      <c r="S383" s="55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5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5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/>
    </row>
    <row r="384" spans="1:27">
      <c r="A384" s="42">
        <f>元データ!P381</f>
        <v>328</v>
      </c>
      <c r="B384" s="27">
        <f t="shared" si="5"/>
        <v>380</v>
      </c>
      <c r="C384" s="27" t="str">
        <f>DBCS(元データ!A381)</f>
        <v>デュロキセチンカプセル２０ｍｇ「ＤＳＥＰ」</v>
      </c>
      <c r="D384" s="55" t="str">
        <f>元データ!B381</f>
        <v>アルフレッサ</v>
      </c>
      <c r="E384" s="27" t="str">
        <f>元データ!C381</f>
        <v>バラ</v>
      </c>
      <c r="F384" s="27" t="str">
        <f>元データ!D381</f>
        <v>500P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5" t="str">
        <f ca="1">IF(OFFSET(マスタ非採用削除!A$4,統合マスタ!$A384,0)="","",OFFSET(マスタ非採用削除!A$4,統合マスタ!$A384,0))</f>
        <v>ﾃﾕﾛ001</v>
      </c>
      <c r="O384" s="55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5" t="str">
        <f ca="1">IF(OFFSET(マスタ非採用削除!D$4,統合マスタ!$A384,0)="","",OFFSET(マスタ非採用削除!D$4,統合マスタ!$A384,0))</f>
        <v>ﾃﾞｭﾛ</v>
      </c>
      <c r="R384" s="27">
        <f ca="1">IF(OFFSET(マスタ非採用削除!E$4,統合マスタ!$A384,0)="","",OFFSET(マスタ非採用削除!E$4,統合マスタ!$A384,0))</f>
        <v>1</v>
      </c>
      <c r="S384" s="55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5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5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/>
    </row>
    <row r="385" spans="1:27">
      <c r="A385" s="42">
        <f>元データ!P382</f>
        <v>329</v>
      </c>
      <c r="B385" s="27">
        <f t="shared" si="5"/>
        <v>381</v>
      </c>
      <c r="C385" s="27" t="str">
        <f>DBCS(元データ!A382)</f>
        <v>テリボン皮下注用５６．５μｇ　溶解液付</v>
      </c>
      <c r="D385" s="55" t="str">
        <f>元データ!B382</f>
        <v/>
      </c>
      <c r="E385" s="27" t="str">
        <f>元データ!C382</f>
        <v/>
      </c>
      <c r="F385" s="27" t="str">
        <f>元データ!D382</f>
        <v>1瓶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5" t="str">
        <f ca="1">IF(OFFSET(マスタ非採用削除!A$4,統合マスタ!$A385,0)="","",OFFSET(マスタ非採用削除!A$4,統合マスタ!$A385,0))</f>
        <v>ﾃﾘﾎ001</v>
      </c>
      <c r="O385" s="55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5" t="str">
        <f ca="1">IF(OFFSET(マスタ非採用削除!D$4,統合マスタ!$A385,0)="","",OFFSET(マスタ非採用削除!D$4,統合マスタ!$A385,0))</f>
        <v>ﾃﾘﾎﾞ</v>
      </c>
      <c r="R385" s="27">
        <f ca="1">IF(OFFSET(マスタ非採用削除!E$4,統合マスタ!$A385,0)="","",OFFSET(マスタ非採用削除!E$4,統合マスタ!$A385,0))</f>
        <v>2</v>
      </c>
      <c r="S385" s="55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5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5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/>
    </row>
    <row r="386" spans="1:27">
      <c r="A386" s="42">
        <f>元データ!P383</f>
        <v>330</v>
      </c>
      <c r="B386" s="27">
        <f t="shared" si="5"/>
        <v>382</v>
      </c>
      <c r="C386" s="27" t="str">
        <f>DBCS(元データ!A383)</f>
        <v>テルビナフィン塩酸塩クリーム　１％「サワイ」</v>
      </c>
      <c r="D386" s="55" t="str">
        <f>元データ!B383</f>
        <v>東邦</v>
      </c>
      <c r="E386" s="27" t="str">
        <f>元データ!C383</f>
        <v/>
      </c>
      <c r="F386" s="27" t="str">
        <f>元データ!D383</f>
        <v>10ｇX10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5" t="str">
        <f ca="1">IF(OFFSET(マスタ非採用削除!A$4,統合マスタ!$A386,0)="","",OFFSET(マスタ非採用削除!A$4,統合マスタ!$A386,0))</f>
        <v>ﾃﾙﾋ004</v>
      </c>
      <c r="O386" s="55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5" t="str">
        <f ca="1">IF(OFFSET(マスタ非採用削除!D$4,統合マスタ!$A386,0)="","",OFFSET(マスタ非採用削除!D$4,統合マスタ!$A386,0))</f>
        <v/>
      </c>
      <c r="R386" s="27">
        <f ca="1">IF(OFFSET(マスタ非採用削除!E$4,統合マスタ!$A386,0)="","",OFFSET(マスタ非採用削除!E$4,統合マスタ!$A386,0))</f>
        <v>1</v>
      </c>
      <c r="S386" s="55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5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5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/>
    </row>
    <row r="387" spans="1:27">
      <c r="A387" s="42">
        <f>元データ!P384</f>
        <v>331</v>
      </c>
      <c r="B387" s="27">
        <f t="shared" si="5"/>
        <v>383</v>
      </c>
      <c r="C387" s="27" t="str">
        <f>DBCS(元データ!A384)</f>
        <v>テルビナフィン塩酸塩外用液１％「サワイ」</v>
      </c>
      <c r="D387" s="55" t="str">
        <f>元データ!B384</f>
        <v>東邦</v>
      </c>
      <c r="E387" s="27" t="str">
        <f>元データ!C384</f>
        <v/>
      </c>
      <c r="F387" s="27" t="str">
        <f>元データ!D384</f>
        <v>10ｇX10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5" t="str">
        <f ca="1">IF(OFFSET(マスタ非採用削除!A$4,統合マスタ!$A387,0)="","",OFFSET(マスタ非採用削除!A$4,統合マスタ!$A387,0))</f>
        <v>ﾃﾙﾋ005</v>
      </c>
      <c r="O387" s="55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5" t="str">
        <f ca="1">IF(OFFSET(マスタ非採用削除!D$4,統合マスタ!$A387,0)="","",OFFSET(マスタ非採用削除!D$4,統合マスタ!$A387,0))</f>
        <v/>
      </c>
      <c r="R387" s="27">
        <f ca="1">IF(OFFSET(マスタ非採用削除!E$4,統合マスタ!$A387,0)="","",OFFSET(マスタ非採用削除!E$4,統合マスタ!$A387,0))</f>
        <v>1</v>
      </c>
      <c r="S387" s="55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5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5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/>
    </row>
    <row r="388" spans="1:27">
      <c r="A388" s="42">
        <f>元データ!P385</f>
        <v>332</v>
      </c>
      <c r="B388" s="27">
        <f t="shared" si="5"/>
        <v>384</v>
      </c>
      <c r="C388" s="27" t="str">
        <f>DBCS(元データ!A385)</f>
        <v>テルミサルタンＯＤ錠２０ｍｇ「トーワ」</v>
      </c>
      <c r="D388" s="55" t="str">
        <f>元データ!B385</f>
        <v>東和薬品</v>
      </c>
      <c r="E388" s="27" t="str">
        <f>元データ!C385</f>
        <v>ＰＴＰ</v>
      </c>
      <c r="F388" s="27" t="str">
        <f>元データ!D385</f>
        <v>100Ｔ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5" t="str">
        <f ca="1">IF(OFFSET(マスタ非採用削除!A$4,統合マスタ!$A388,0)="","",OFFSET(マスタ非採用削除!A$4,統合マスタ!$A388,0))</f>
        <v>ﾃﾙﾐ002</v>
      </c>
      <c r="O388" s="55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5" t="str">
        <f ca="1">IF(OFFSET(マスタ非採用削除!D$4,統合マスタ!$A388,0)="","",OFFSET(マスタ非採用削除!D$4,統合マスタ!$A388,0))</f>
        <v/>
      </c>
      <c r="R388" s="27">
        <f ca="1">IF(OFFSET(マスタ非採用削除!E$4,統合マスタ!$A388,0)="","",OFFSET(マスタ非採用削除!E$4,統合マスタ!$A388,0))</f>
        <v>1</v>
      </c>
      <c r="S388" s="55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5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5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5</v>
      </c>
      <c r="AA388" s="27"/>
    </row>
    <row r="389" spans="1:27">
      <c r="A389" s="42">
        <f>元データ!P386</f>
        <v>332</v>
      </c>
      <c r="B389" s="27">
        <f t="shared" si="5"/>
        <v>385</v>
      </c>
      <c r="C389" s="27" t="str">
        <f>DBCS(元データ!A386)</f>
        <v>テルミサルタンＯＤ錠２０ｍｇ「トーワ」</v>
      </c>
      <c r="D389" s="55" t="str">
        <f>元データ!B386</f>
        <v>東和薬品</v>
      </c>
      <c r="E389" s="27" t="str">
        <f>元データ!C386</f>
        <v>バラ</v>
      </c>
      <c r="F389" s="27" t="str">
        <f>元データ!D386</f>
        <v>300Ｔ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5" t="str">
        <f ca="1">IF(OFFSET(マスタ非採用削除!A$4,統合マスタ!$A389,0)="","",OFFSET(マスタ非採用削除!A$4,統合マスタ!$A389,0))</f>
        <v>ﾃﾙﾐ002</v>
      </c>
      <c r="O389" s="55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5" t="str">
        <f ca="1">IF(OFFSET(マスタ非採用削除!D$4,統合マスタ!$A389,0)="","",OFFSET(マスタ非採用削除!D$4,統合マスタ!$A389,0))</f>
        <v/>
      </c>
      <c r="R389" s="27">
        <f ca="1">IF(OFFSET(マスタ非採用削除!E$4,統合マスタ!$A389,0)="","",OFFSET(マスタ非採用削除!E$4,統合マスタ!$A389,0))</f>
        <v>1</v>
      </c>
      <c r="S389" s="55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5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5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5</v>
      </c>
      <c r="AA389" s="27"/>
    </row>
    <row r="390" spans="1:27">
      <c r="A390" s="42">
        <f>元データ!P387</f>
        <v>333</v>
      </c>
      <c r="B390" s="27">
        <f t="shared" si="5"/>
        <v>386</v>
      </c>
      <c r="C390" s="27" t="str">
        <f>DBCS(元データ!A387)</f>
        <v>デルモゾールＧ軟膏</v>
      </c>
      <c r="D390" s="55" t="str">
        <f>元データ!B387</f>
        <v>メディセオ</v>
      </c>
      <c r="E390" s="27" t="str">
        <f>元データ!C387</f>
        <v/>
      </c>
      <c r="F390" s="27" t="str">
        <f>元データ!D387</f>
        <v>5ｇX50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5" t="str">
        <f ca="1">IF(OFFSET(マスタ非採用削除!A$4,統合マスタ!$A390,0)="","",OFFSET(マスタ非採用削除!A$4,統合マスタ!$A390,0))</f>
        <v>ﾃﾙﾓ002</v>
      </c>
      <c r="O390" s="55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5" t="str">
        <f ca="1">IF(OFFSET(マスタ非採用削除!D$4,統合マスタ!$A390,0)="","",OFFSET(マスタ非採用削除!D$4,統合マスタ!$A390,0))</f>
        <v>ﾃﾞﾙﾓｿ</v>
      </c>
      <c r="R390" s="27">
        <f ca="1">IF(OFFSET(マスタ非採用削除!E$4,統合マスタ!$A390,0)="","",OFFSET(マスタ非採用削除!E$4,統合マスタ!$A390,0))</f>
        <v>1</v>
      </c>
      <c r="S390" s="55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5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5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/>
    </row>
    <row r="391" spans="1:27">
      <c r="A391" s="42">
        <f>元データ!P388</f>
        <v>333</v>
      </c>
      <c r="B391" s="27">
        <f t="shared" ref="B391:B454" si="6">B390+1</f>
        <v>387</v>
      </c>
      <c r="C391" s="27" t="str">
        <f>DBCS(元データ!A388)</f>
        <v>デルモゾールＧ軟膏</v>
      </c>
      <c r="D391" s="55" t="str">
        <f>元データ!B388</f>
        <v>メディセオ</v>
      </c>
      <c r="E391" s="27" t="str">
        <f>元データ!C388</f>
        <v/>
      </c>
      <c r="F391" s="27" t="str">
        <f>元データ!D388</f>
        <v>500ｇ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5" t="str">
        <f ca="1">IF(OFFSET(マスタ非採用削除!A$4,統合マスタ!$A391,0)="","",OFFSET(マスタ非採用削除!A$4,統合マスタ!$A391,0))</f>
        <v>ﾃﾙﾓ002</v>
      </c>
      <c r="O391" s="55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5" t="str">
        <f ca="1">IF(OFFSET(マスタ非採用削除!D$4,統合マスタ!$A391,0)="","",OFFSET(マスタ非採用削除!D$4,統合マスタ!$A391,0))</f>
        <v>ﾃﾞﾙﾓｿ</v>
      </c>
      <c r="R391" s="27">
        <f ca="1">IF(OFFSET(マスタ非採用削除!E$4,統合マスタ!$A391,0)="","",OFFSET(マスタ非採用削除!E$4,統合マスタ!$A391,0))</f>
        <v>1</v>
      </c>
      <c r="S391" s="55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5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5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/>
    </row>
    <row r="392" spans="1:27">
      <c r="A392" s="42">
        <f>元データ!P389</f>
        <v>0</v>
      </c>
      <c r="B392" s="27">
        <f t="shared" si="6"/>
        <v>388</v>
      </c>
      <c r="C392" s="27" t="str">
        <f>DBCS(元データ!A389)</f>
        <v>デルモベート軟膏０．０５％</v>
      </c>
      <c r="D392" s="55" t="str">
        <f>元データ!B389</f>
        <v/>
      </c>
      <c r="E392" s="27" t="str">
        <f>元データ!C389</f>
        <v/>
      </c>
      <c r="F392" s="27" t="str">
        <f>元データ!D389</f>
        <v>5GX10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5" t="str">
        <f ca="1">IF(OFFSET(マスタ非採用削除!A$4,統合マスタ!$A392,0)="","",OFFSET(マスタ非採用削除!A$4,統合マスタ!$A392,0))</f>
        <v>コード(区分値)</v>
      </c>
      <c r="O392" s="55" t="str">
        <f ca="1">IF(OFFSET(マスタ非採用削除!B$4,統合マスタ!$A392,0)="","",OFFSET(マスタ非採用削除!B$4,統合マスタ!$A392,0))</f>
        <v>コード</v>
      </c>
      <c r="P392" s="27" t="str">
        <f ca="1">IF(OFFSET(マスタ非採用削除!C$4,統合マスタ!$A392,0)="","",OFFSET(マスタ非採用削除!C$4,統合マスタ!$A392,0))</f>
        <v>名称</v>
      </c>
      <c r="Q392" s="55" t="str">
        <f ca="1">IF(OFFSET(マスタ非採用削除!D$4,統合マスタ!$A392,0)="","",OFFSET(マスタ非採用削除!D$4,統合マスタ!$A392,0))</f>
        <v>ホストコード</v>
      </c>
      <c r="R392" s="27" t="str">
        <f ca="1">IF(OFFSET(マスタ非採用削除!E$4,統合マスタ!$A392,0)="","",OFFSET(マスタ非採用削除!E$4,統合マスタ!$A392,0))</f>
        <v>採用区分（区分値）(区分値)</v>
      </c>
      <c r="S392" s="55" t="str">
        <f ca="1">IF(OFFSET(マスタ非採用削除!F$4,統合マスタ!$A392,0)="","",OFFSET(マスタ非採用削除!F$4,統合マスタ!$A392,0))</f>
        <v>採用区分（区分値）</v>
      </c>
      <c r="T392" s="27" t="str">
        <f ca="1">IF(OFFSET(マスタ非採用削除!G$4,統合マスタ!$A392,0)="","",OFFSET(マスタ非採用削除!G$4,統合マスタ!$A392,0))</f>
        <v>薬価</v>
      </c>
      <c r="U392" s="55" t="str">
        <f ca="1">IF(OFFSET(マスタ非採用削除!H$4,統合マスタ!$A392,0)="","",OFFSET(マスタ非採用削除!H$4,統合マスタ!$A392,0))</f>
        <v>カナ名称</v>
      </c>
      <c r="V392" s="27" t="str">
        <f ca="1">IF(OFFSET(マスタ非採用削除!I$4,統合マスタ!$A392,0)="","",OFFSET(マスタ非採用削除!I$4,統合マスタ!$A392,0))</f>
        <v>剤形(区分値)</v>
      </c>
      <c r="W392" s="27" t="str">
        <f ca="1">IF(OFFSET(マスタ非採用削除!J$4,統合マスタ!$A392,0)="","",OFFSET(マスタ非採用削除!J$4,統合マスタ!$A392,0))</f>
        <v>剤形</v>
      </c>
      <c r="X392" s="27" t="str">
        <f ca="1">IF(OFFSET(マスタ非採用削除!K$4,統合マスタ!$A392,0)="","",OFFSET(マスタ非採用削除!K$4,統合マスタ!$A392,0))</f>
        <v>毒劇薬（区分値）(区分値)</v>
      </c>
      <c r="Y392" s="55" t="str">
        <f ca="1">IF(OFFSET(マスタ非採用削除!L$4,統合マスタ!$A392,0)="","",OFFSET(マスタ非採用削除!L$4,統合マスタ!$A392,0))</f>
        <v>毒劇薬（区分値）</v>
      </c>
      <c r="Z392" s="27" t="str">
        <f ca="1">IF(OFFSET(マスタ非採用削除!M$4,統合マスタ!$A392,0)="","",OFFSET(マスタ非採用削除!M$4,統合マスタ!$A392,0))</f>
        <v>棚</v>
      </c>
      <c r="AA392" s="27"/>
    </row>
    <row r="393" spans="1:27">
      <c r="A393" s="42">
        <f>元データ!P390</f>
        <v>334</v>
      </c>
      <c r="B393" s="27">
        <f t="shared" si="6"/>
        <v>389</v>
      </c>
      <c r="C393" s="27" t="str">
        <f>DBCS(元データ!A390)</f>
        <v>トアラセット配合錠「オーハラ」</v>
      </c>
      <c r="D393" s="55" t="str">
        <f>元データ!B390</f>
        <v>メディセオ</v>
      </c>
      <c r="E393" s="27" t="str">
        <f>元データ!C390</f>
        <v>PTP</v>
      </c>
      <c r="F393" s="27" t="str">
        <f>元データ!D390</f>
        <v>100T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5" t="str">
        <f ca="1">IF(OFFSET(マスタ非採用削除!A$4,統合マスタ!$A393,0)="","",OFFSET(マスタ非採用削除!A$4,統合マスタ!$A393,0))</f>
        <v>ﾄｱﾗ001</v>
      </c>
      <c r="O393" s="55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5" t="str">
        <f ca="1">IF(OFFSET(マスタ非採用削除!D$4,統合マスタ!$A393,0)="","",OFFSET(マスタ非採用削除!D$4,統合マスタ!$A393,0))</f>
        <v/>
      </c>
      <c r="R393" s="27">
        <f ca="1">IF(OFFSET(マスタ非採用削除!E$4,統合マスタ!$A393,0)="","",OFFSET(マスタ非採用削除!E$4,統合マスタ!$A393,0))</f>
        <v>2</v>
      </c>
      <c r="S393" s="55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5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5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/>
    </row>
    <row r="394" spans="1:27">
      <c r="A394" s="42">
        <f>元データ!P391</f>
        <v>365</v>
      </c>
      <c r="B394" s="27">
        <f t="shared" si="6"/>
        <v>390</v>
      </c>
      <c r="C394" s="27" t="str">
        <f>DBCS(元データ!A391)</f>
        <v>トーワチーム配合顆粒</v>
      </c>
      <c r="D394" s="55" t="str">
        <f>元データ!B391</f>
        <v>東和薬品</v>
      </c>
      <c r="E394" s="27" t="str">
        <f>元データ!C391</f>
        <v>粉</v>
      </c>
      <c r="F394" s="27" t="str">
        <f>元データ!D391</f>
        <v>1ｇｘ800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5" t="str">
        <f ca="1">IF(OFFSET(マスタ非採用削除!A$4,統合マスタ!$A394,0)="","",OFFSET(マスタ非採用削除!A$4,統合マスタ!$A394,0))</f>
        <v>ﾄﾜﾁ001</v>
      </c>
      <c r="O394" s="55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5" t="str">
        <f ca="1">IF(OFFSET(マスタ非採用削除!D$4,統合マスタ!$A394,0)="","",OFFSET(マスタ非採用削除!D$4,統合マスタ!$A394,0))</f>
        <v>ﾄｰﾜ</v>
      </c>
      <c r="R394" s="27">
        <f ca="1">IF(OFFSET(マスタ非採用削除!E$4,統合マスタ!$A394,0)="","",OFFSET(マスタ非採用削除!E$4,統合マスタ!$A394,0))</f>
        <v>1</v>
      </c>
      <c r="S394" s="55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5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5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/>
    </row>
    <row r="395" spans="1:27">
      <c r="A395" s="42">
        <f>元データ!P392</f>
        <v>339</v>
      </c>
      <c r="B395" s="27">
        <f t="shared" si="6"/>
        <v>391</v>
      </c>
      <c r="C395" s="27" t="str">
        <f>DBCS(元データ!A392)</f>
        <v>ドネペジル塩酸塩ＯＤ錠１０ｍｇ「トーワ」</v>
      </c>
      <c r="D395" s="55" t="str">
        <f>元データ!B392</f>
        <v>東和薬品</v>
      </c>
      <c r="E395" s="27" t="str">
        <f>元データ!C392</f>
        <v>PTP</v>
      </c>
      <c r="F395" s="27" t="str">
        <f>元データ!D392</f>
        <v>140T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5" t="str">
        <f ca="1">IF(OFFSET(マスタ非採用削除!A$4,統合マスタ!$A395,0)="","",OFFSET(マスタ非採用削除!A$4,統合マスタ!$A395,0))</f>
        <v>ﾄﾈﾍ010</v>
      </c>
      <c r="O395" s="55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5" t="str">
        <f ca="1">IF(OFFSET(マスタ非採用削除!D$4,統合マスタ!$A395,0)="","",OFFSET(マスタ非採用削除!D$4,統合マスタ!$A395,0))</f>
        <v/>
      </c>
      <c r="R395" s="27">
        <f ca="1">IF(OFFSET(マスタ非採用削除!E$4,統合マスタ!$A395,0)="","",OFFSET(マスタ非採用削除!E$4,統合マスタ!$A395,0))</f>
        <v>1</v>
      </c>
      <c r="S395" s="55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5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5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6</v>
      </c>
      <c r="AA395" s="27"/>
    </row>
    <row r="396" spans="1:27">
      <c r="A396" s="42">
        <f>元データ!P393</f>
        <v>339</v>
      </c>
      <c r="B396" s="27">
        <f t="shared" si="6"/>
        <v>392</v>
      </c>
      <c r="C396" s="27" t="str">
        <f>DBCS(元データ!A393)</f>
        <v>ドネペジル塩酸塩ＯＤ錠１０ｍｇ「トーワ」</v>
      </c>
      <c r="D396" s="55" t="str">
        <f>元データ!B393</f>
        <v>東和薬品</v>
      </c>
      <c r="E396" s="27" t="str">
        <f>元データ!C393</f>
        <v>バラ</v>
      </c>
      <c r="F396" s="27" t="str">
        <f>元データ!D393</f>
        <v>100T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5" t="str">
        <f ca="1">IF(OFFSET(マスタ非採用削除!A$4,統合マスタ!$A396,0)="","",OFFSET(マスタ非採用削除!A$4,統合マスタ!$A396,0))</f>
        <v>ﾄﾈﾍ010</v>
      </c>
      <c r="O396" s="55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5" t="str">
        <f ca="1">IF(OFFSET(マスタ非採用削除!D$4,統合マスタ!$A396,0)="","",OFFSET(マスタ非採用削除!D$4,統合マスタ!$A396,0))</f>
        <v/>
      </c>
      <c r="R396" s="27">
        <f ca="1">IF(OFFSET(マスタ非採用削除!E$4,統合マスタ!$A396,0)="","",OFFSET(マスタ非採用削除!E$4,統合マスタ!$A396,0))</f>
        <v>1</v>
      </c>
      <c r="S396" s="55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5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5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6</v>
      </c>
      <c r="AA396" s="27"/>
    </row>
    <row r="397" spans="1:27">
      <c r="A397" s="42">
        <f>元データ!P394</f>
        <v>337</v>
      </c>
      <c r="B397" s="27">
        <f t="shared" si="6"/>
        <v>393</v>
      </c>
      <c r="C397" s="27" t="str">
        <f>DBCS(元データ!A394)</f>
        <v>ドネペジル塩酸塩ＯＤ錠３ｍｇ「トーワ」</v>
      </c>
      <c r="D397" s="55" t="str">
        <f>元データ!B394</f>
        <v>東和薬品</v>
      </c>
      <c r="E397" s="27" t="str">
        <f>元データ!C394</f>
        <v>PTP</v>
      </c>
      <c r="F397" s="27" t="str">
        <f>元データ!D394</f>
        <v>28T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5" t="str">
        <f ca="1">IF(OFFSET(マスタ非採用削除!A$4,統合マスタ!$A397,0)="","",OFFSET(マスタ非採用削除!A$4,統合マスタ!$A397,0))</f>
        <v>ﾄﾈﾍ008</v>
      </c>
      <c r="O397" s="55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5" t="str">
        <f ca="1">IF(OFFSET(マスタ非採用削除!D$4,統合マスタ!$A397,0)="","",OFFSET(マスタ非採用削除!D$4,統合マスタ!$A397,0))</f>
        <v/>
      </c>
      <c r="R397" s="27">
        <f ca="1">IF(OFFSET(マスタ非採用削除!E$4,統合マスタ!$A397,0)="","",OFFSET(マスタ非採用削除!E$4,統合マスタ!$A397,0))</f>
        <v>1</v>
      </c>
      <c r="S397" s="55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5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5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6</v>
      </c>
      <c r="AA397" s="27"/>
    </row>
    <row r="398" spans="1:27">
      <c r="A398" s="42">
        <f>元データ!P395</f>
        <v>337</v>
      </c>
      <c r="B398" s="27">
        <f t="shared" si="6"/>
        <v>394</v>
      </c>
      <c r="C398" s="27" t="str">
        <f>DBCS(元データ!A395)</f>
        <v>ドネペジル塩酸塩ＯＤ錠３ｍｇ「トーワ」</v>
      </c>
      <c r="D398" s="55" t="str">
        <f>元データ!B395</f>
        <v>東和薬品</v>
      </c>
      <c r="E398" s="27" t="str">
        <f>元データ!C395</f>
        <v>バラ</v>
      </c>
      <c r="F398" s="27" t="str">
        <f>元データ!D395</f>
        <v>100T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5" t="str">
        <f ca="1">IF(OFFSET(マスタ非採用削除!A$4,統合マスタ!$A398,0)="","",OFFSET(マスタ非採用削除!A$4,統合マスタ!$A398,0))</f>
        <v>ﾄﾈﾍ008</v>
      </c>
      <c r="O398" s="55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5" t="str">
        <f ca="1">IF(OFFSET(マスタ非採用削除!D$4,統合マスタ!$A398,0)="","",OFFSET(マスタ非採用削除!D$4,統合マスタ!$A398,0))</f>
        <v/>
      </c>
      <c r="R398" s="27">
        <f ca="1">IF(OFFSET(マスタ非採用削除!E$4,統合マスタ!$A398,0)="","",OFFSET(マスタ非採用削除!E$4,統合マスタ!$A398,0))</f>
        <v>1</v>
      </c>
      <c r="S398" s="55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5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5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6</v>
      </c>
      <c r="AA398" s="27"/>
    </row>
    <row r="399" spans="1:27">
      <c r="A399" s="42">
        <f>元データ!P396</f>
        <v>338</v>
      </c>
      <c r="B399" s="27">
        <f t="shared" si="6"/>
        <v>395</v>
      </c>
      <c r="C399" s="27" t="str">
        <f>DBCS(元データ!A396)</f>
        <v>ドネペジル塩酸塩ＯＤ錠５ｍｇ「トーワ」</v>
      </c>
      <c r="D399" s="55" t="str">
        <f>元データ!B396</f>
        <v>東和薬品</v>
      </c>
      <c r="E399" s="27" t="str">
        <f>元データ!C396</f>
        <v>PTP</v>
      </c>
      <c r="F399" s="27" t="str">
        <f>元データ!D396</f>
        <v>140T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5" t="str">
        <f ca="1">IF(OFFSET(マスタ非採用削除!A$4,統合マスタ!$A399,0)="","",OFFSET(マスタ非採用削除!A$4,統合マスタ!$A399,0))</f>
        <v>ﾄﾈﾍ009</v>
      </c>
      <c r="O399" s="55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5" t="str">
        <f ca="1">IF(OFFSET(マスタ非採用削除!D$4,統合マスタ!$A399,0)="","",OFFSET(マスタ非採用削除!D$4,統合マスタ!$A399,0))</f>
        <v/>
      </c>
      <c r="R399" s="27">
        <f ca="1">IF(OFFSET(マスタ非採用削除!E$4,統合マスタ!$A399,0)="","",OFFSET(マスタ非採用削除!E$4,統合マスタ!$A399,0))</f>
        <v>1</v>
      </c>
      <c r="S399" s="55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5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5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6</v>
      </c>
      <c r="AA399" s="27"/>
    </row>
    <row r="400" spans="1:27">
      <c r="A400" s="42">
        <f>元データ!P397</f>
        <v>338</v>
      </c>
      <c r="B400" s="27">
        <f t="shared" si="6"/>
        <v>396</v>
      </c>
      <c r="C400" s="27" t="str">
        <f>DBCS(元データ!A397)</f>
        <v>ドネペジル塩酸塩ＯＤ錠５ｍｇ「トーワ」</v>
      </c>
      <c r="D400" s="55" t="str">
        <f>元データ!B397</f>
        <v>東和薬品</v>
      </c>
      <c r="E400" s="27" t="str">
        <f>元データ!C397</f>
        <v>バラ</v>
      </c>
      <c r="F400" s="27" t="str">
        <f>元データ!D397</f>
        <v>100T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5" t="str">
        <f ca="1">IF(OFFSET(マスタ非採用削除!A$4,統合マスタ!$A400,0)="","",OFFSET(マスタ非採用削除!A$4,統合マスタ!$A400,0))</f>
        <v>ﾄﾈﾍ009</v>
      </c>
      <c r="O400" s="55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5" t="str">
        <f ca="1">IF(OFFSET(マスタ非採用削除!D$4,統合マスタ!$A400,0)="","",OFFSET(マスタ非採用削除!D$4,統合マスタ!$A400,0))</f>
        <v/>
      </c>
      <c r="R400" s="27">
        <f ca="1">IF(OFFSET(マスタ非採用削除!E$4,統合マスタ!$A400,0)="","",OFFSET(マスタ非採用削除!E$4,統合マスタ!$A400,0))</f>
        <v>1</v>
      </c>
      <c r="S400" s="55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5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5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6</v>
      </c>
      <c r="AA400" s="27"/>
    </row>
    <row r="401" spans="1:27">
      <c r="A401" s="42">
        <f>元データ!P398</f>
        <v>340</v>
      </c>
      <c r="B401" s="27">
        <f t="shared" si="6"/>
        <v>397</v>
      </c>
      <c r="C401" s="27" t="str">
        <f>DBCS(元データ!A398)</f>
        <v>ドパストン静注５０ｍｇ</v>
      </c>
      <c r="D401" s="55" t="str">
        <f>元データ!B398</f>
        <v/>
      </c>
      <c r="E401" s="27" t="str">
        <f>元データ!C398</f>
        <v/>
      </c>
      <c r="F401" s="27" t="str">
        <f>元データ!D398</f>
        <v>20ｍｌｘ10A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5" t="str">
        <f ca="1">IF(OFFSET(マスタ非採用削除!A$4,統合マスタ!$A401,0)="","",OFFSET(マスタ非採用削除!A$4,統合マスタ!$A401,0))</f>
        <v>ﾄﾊｽ001</v>
      </c>
      <c r="O401" s="55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5" t="str">
        <f ca="1">IF(OFFSET(マスタ非採用削除!D$4,統合マスタ!$A401,0)="","",OFFSET(マスタ非採用削除!D$4,統合マスタ!$A401,0))</f>
        <v>ﾄﾞﾊﾟｽ</v>
      </c>
      <c r="R401" s="27">
        <f ca="1">IF(OFFSET(マスタ非採用削除!E$4,統合マスタ!$A401,0)="","",OFFSET(マスタ非採用削除!E$4,統合マスタ!$A401,0))</f>
        <v>2</v>
      </c>
      <c r="S401" s="55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5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5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/>
    </row>
    <row r="402" spans="1:27">
      <c r="A402" s="42">
        <f>元データ!P399</f>
        <v>341</v>
      </c>
      <c r="B402" s="27">
        <f t="shared" si="6"/>
        <v>398</v>
      </c>
      <c r="C402" s="27" t="str">
        <f>DBCS(元データ!A399)</f>
        <v>ドパミン塩酸塩点滴静注１００ｍｇ「ＮＰ」</v>
      </c>
      <c r="D402" s="55" t="str">
        <f>元データ!B399</f>
        <v/>
      </c>
      <c r="E402" s="27" t="str">
        <f>元データ!C399</f>
        <v/>
      </c>
      <c r="F402" s="27" t="str">
        <f>元データ!D399</f>
        <v>5ｍｌｘ10A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5" t="str">
        <f ca="1">IF(OFFSET(マスタ非採用削除!A$4,統合マスタ!$A402,0)="","",OFFSET(マスタ非採用削除!A$4,統合マスタ!$A402,0))</f>
        <v>ﾄﾊﾐ001</v>
      </c>
      <c r="O402" s="55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5" t="str">
        <f ca="1">IF(OFFSET(マスタ非採用削除!D$4,統合マスタ!$A402,0)="","",OFFSET(マスタ非採用削除!D$4,統合マスタ!$A402,0))</f>
        <v>ﾄﾞﾊﾟﾐ</v>
      </c>
      <c r="R402" s="27">
        <f ca="1">IF(OFFSET(マスタ非採用削除!E$4,統合マスタ!$A402,0)="","",OFFSET(マスタ非採用削除!E$4,統合マスタ!$A402,0))</f>
        <v>1</v>
      </c>
      <c r="S402" s="55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5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5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/>
    </row>
    <row r="403" spans="1:27">
      <c r="A403" s="42">
        <f>元データ!P400</f>
        <v>342</v>
      </c>
      <c r="B403" s="27">
        <f t="shared" si="6"/>
        <v>399</v>
      </c>
      <c r="C403" s="27" t="str">
        <f>DBCS(元データ!A400)</f>
        <v>トピロリック錠４０ｍｇ</v>
      </c>
      <c r="D403" s="55" t="str">
        <f>元データ!B400</f>
        <v>メディセオ</v>
      </c>
      <c r="E403" s="27" t="str">
        <f>元データ!C400</f>
        <v>PTP</v>
      </c>
      <c r="F403" s="27" t="str">
        <f>元データ!D400</f>
        <v>100Ｔ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5" t="str">
        <f ca="1">IF(OFFSET(マスタ非採用削除!A$4,統合マスタ!$A403,0)="","",OFFSET(マスタ非採用削除!A$4,統合マスタ!$A403,0))</f>
        <v>ﾄﾋﾛ001</v>
      </c>
      <c r="O403" s="55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5" t="str">
        <f ca="1">IF(OFFSET(マスタ非採用削除!D$4,統合マスタ!$A403,0)="","",OFFSET(マスタ非採用削除!D$4,統合マスタ!$A403,0))</f>
        <v>ﾄﾋﾟﾛ2</v>
      </c>
      <c r="R403" s="27">
        <f ca="1">IF(OFFSET(マスタ非採用削除!E$4,統合マスタ!$A403,0)="","",OFFSET(マスタ非採用削除!E$4,統合マスタ!$A403,0))</f>
        <v>1</v>
      </c>
      <c r="S403" s="55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5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5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5</v>
      </c>
      <c r="AA403" s="27"/>
    </row>
    <row r="404" spans="1:27">
      <c r="A404" s="42">
        <f>元データ!P401</f>
        <v>343</v>
      </c>
      <c r="B404" s="27">
        <f t="shared" si="6"/>
        <v>400</v>
      </c>
      <c r="C404" s="27" t="str">
        <f>DBCS(元データ!A401)</f>
        <v>ドプスＯＤ錠１００ｍｇ</v>
      </c>
      <c r="D404" s="55" t="str">
        <f>元データ!B401</f>
        <v>メディセオ</v>
      </c>
      <c r="E404" s="27" t="str">
        <f>元データ!C401</f>
        <v>PTP</v>
      </c>
      <c r="F404" s="27" t="str">
        <f>元データ!D401</f>
        <v>100T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5" t="str">
        <f ca="1">IF(OFFSET(マスタ非採用削除!A$4,統合マスタ!$A404,0)="","",OFFSET(マスタ非採用削除!A$4,統合マスタ!$A404,0))</f>
        <v>ﾄﾌｽ001</v>
      </c>
      <c r="O404" s="55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5" t="str">
        <f ca="1">IF(OFFSET(マスタ非採用削除!D$4,統合マスタ!$A404,0)="","",OFFSET(マスタ非採用削除!D$4,統合マスタ!$A404,0))</f>
        <v>ﾄﾞﾌﾟｽ</v>
      </c>
      <c r="R404" s="27">
        <f ca="1">IF(OFFSET(マスタ非採用削除!E$4,統合マスタ!$A404,0)="","",OFFSET(マスタ非採用削除!E$4,統合マスタ!$A404,0))</f>
        <v>1</v>
      </c>
      <c r="S404" s="55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5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5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/>
    </row>
    <row r="405" spans="1:27">
      <c r="A405" s="42">
        <f>元データ!P402</f>
        <v>344</v>
      </c>
      <c r="B405" s="27">
        <f t="shared" si="6"/>
        <v>401</v>
      </c>
      <c r="C405" s="27" t="str">
        <f>DBCS(元データ!A402)</f>
        <v>トフラニール錠１０ｍｇ</v>
      </c>
      <c r="D405" s="55" t="str">
        <f>元データ!B402</f>
        <v>アルフレッサ</v>
      </c>
      <c r="E405" s="27" t="str">
        <f>元データ!C402</f>
        <v>PTP</v>
      </c>
      <c r="F405" s="27" t="str">
        <f>元データ!D402</f>
        <v>300T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5" t="str">
        <f ca="1">IF(OFFSET(マスタ非採用削除!A$4,統合マスタ!$A405,0)="","",OFFSET(マスタ非採用削除!A$4,統合マスタ!$A405,0))</f>
        <v>ﾄﾌﾗ001</v>
      </c>
      <c r="O405" s="55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5" t="str">
        <f ca="1">IF(OFFSET(マスタ非採用削除!D$4,統合マスタ!$A405,0)="","",OFFSET(マスタ非採用削除!D$4,統合マスタ!$A405,0))</f>
        <v>ﾄﾌﾗ1**</v>
      </c>
      <c r="R405" s="27">
        <f ca="1">IF(OFFSET(マスタ非採用削除!E$4,統合マスタ!$A405,0)="","",OFFSET(マスタ非採用削除!E$4,統合マスタ!$A405,0))</f>
        <v>1</v>
      </c>
      <c r="S405" s="55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5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5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5</v>
      </c>
      <c r="AA405" s="27"/>
    </row>
    <row r="406" spans="1:27">
      <c r="A406" s="42">
        <f>元データ!P403</f>
        <v>346</v>
      </c>
      <c r="B406" s="27">
        <f t="shared" si="6"/>
        <v>402</v>
      </c>
      <c r="C406" s="27" t="str">
        <f>DBCS(元データ!A403)</f>
        <v>トラセミド錠４ｍｇ「ＫＯ」</v>
      </c>
      <c r="D406" s="55" t="str">
        <f>元データ!B403</f>
        <v/>
      </c>
      <c r="E406" s="27" t="str">
        <f>元データ!C403</f>
        <v>ＰＴＰ</v>
      </c>
      <c r="F406" s="27" t="str">
        <f>元データ!D403</f>
        <v>100Ｔ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5" t="str">
        <f ca="1">IF(OFFSET(マスタ非採用削除!A$4,統合マスタ!$A406,0)="","",OFFSET(マスタ非採用削除!A$4,統合マスタ!$A406,0))</f>
        <v>ﾄﾗｾ002</v>
      </c>
      <c r="O406" s="55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5" t="str">
        <f ca="1">IF(OFFSET(マスタ非採用削除!D$4,統合マスタ!$A406,0)="","",OFFSET(マスタ非採用削除!D$4,統合マスタ!$A406,0))</f>
        <v/>
      </c>
      <c r="R406" s="27">
        <f ca="1">IF(OFFSET(マスタ非採用削除!E$4,統合マスタ!$A406,0)="","",OFFSET(マスタ非採用削除!E$4,統合マスタ!$A406,0))</f>
        <v>2</v>
      </c>
      <c r="S406" s="55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5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5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/>
    </row>
    <row r="407" spans="1:27">
      <c r="A407" s="42">
        <f>元データ!P404</f>
        <v>345</v>
      </c>
      <c r="B407" s="27">
        <f t="shared" si="6"/>
        <v>403</v>
      </c>
      <c r="C407" s="27" t="str">
        <f>DBCS(元データ!A404)</f>
        <v>トラゼンタ錠５ｍｇ</v>
      </c>
      <c r="D407" s="55" t="str">
        <f>元データ!B404</f>
        <v>メディセオ</v>
      </c>
      <c r="E407" s="27" t="str">
        <f>元データ!C404</f>
        <v>PTP</v>
      </c>
      <c r="F407" s="27" t="str">
        <f>元データ!D404</f>
        <v>100Ｔ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5" t="str">
        <f ca="1">IF(OFFSET(マスタ非採用削除!A$4,統合マスタ!$A407,0)="","",OFFSET(マスタ非採用削除!A$4,統合マスタ!$A407,0))</f>
        <v>ﾄﾗｾ001</v>
      </c>
      <c r="O407" s="55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5" t="str">
        <f ca="1">IF(OFFSET(マスタ非採用削除!D$4,統合マスタ!$A407,0)="","",OFFSET(マスタ非採用削除!D$4,統合マスタ!$A407,0))</f>
        <v>ﾄﾗｾﾞ</v>
      </c>
      <c r="R407" s="27">
        <f ca="1">IF(OFFSET(マスタ非採用削除!E$4,統合マスタ!$A407,0)="","",OFFSET(マスタ非採用削除!E$4,統合マスタ!$A407,0))</f>
        <v>2</v>
      </c>
      <c r="S407" s="55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5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5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/>
    </row>
    <row r="408" spans="1:27">
      <c r="A408" s="42">
        <f>元データ!P405</f>
        <v>347</v>
      </c>
      <c r="B408" s="27">
        <f t="shared" si="6"/>
        <v>404</v>
      </c>
      <c r="C408" s="27" t="str">
        <f>DBCS(元データ!A405)</f>
        <v>トラゾドン塩酸塩錠２５ｍｇ「アメル」</v>
      </c>
      <c r="D408" s="55" t="str">
        <f>元データ!B405</f>
        <v>メディセオ</v>
      </c>
      <c r="E408" s="27" t="str">
        <f>元データ!C405</f>
        <v>PTP</v>
      </c>
      <c r="F408" s="27" t="str">
        <f>元データ!D405</f>
        <v>100Ｔ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5" t="str">
        <f ca="1">IF(OFFSET(マスタ非採用削除!A$4,統合マスタ!$A408,0)="","",OFFSET(マスタ非採用削除!A$4,統合マスタ!$A408,0))</f>
        <v>ﾄﾗｿ001</v>
      </c>
      <c r="O408" s="55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5" t="str">
        <f ca="1">IF(OFFSET(マスタ非採用削除!D$4,統合マスタ!$A408,0)="","",OFFSET(マスタ非採用削除!D$4,統合マスタ!$A408,0))</f>
        <v>ﾄﾗｿﾞ</v>
      </c>
      <c r="R408" s="27">
        <f ca="1">IF(OFFSET(マスタ非採用削除!E$4,統合マスタ!$A408,0)="","",OFFSET(マスタ非採用削除!E$4,統合マスタ!$A408,0))</f>
        <v>1</v>
      </c>
      <c r="S408" s="55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5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5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6</v>
      </c>
      <c r="AA408" s="27"/>
    </row>
    <row r="409" spans="1:27">
      <c r="A409" s="42">
        <f>元データ!P406</f>
        <v>347</v>
      </c>
      <c r="B409" s="27">
        <f t="shared" si="6"/>
        <v>405</v>
      </c>
      <c r="C409" s="27" t="str">
        <f>DBCS(元データ!A406)</f>
        <v>トラゾドン塩酸塩錠２５ｍｇ「アメル」</v>
      </c>
      <c r="D409" s="55" t="str">
        <f>元データ!B406</f>
        <v>メディセオ</v>
      </c>
      <c r="E409" s="27" t="str">
        <f>元データ!C406</f>
        <v>バラ</v>
      </c>
      <c r="F409" s="27" t="str">
        <f>元データ!D406</f>
        <v>1000Ｔ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5" t="str">
        <f ca="1">IF(OFFSET(マスタ非採用削除!A$4,統合マスタ!$A409,0)="","",OFFSET(マスタ非採用削除!A$4,統合マスタ!$A409,0))</f>
        <v>ﾄﾗｿ001</v>
      </c>
      <c r="O409" s="55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5" t="str">
        <f ca="1">IF(OFFSET(マスタ非採用削除!D$4,統合マスタ!$A409,0)="","",OFFSET(マスタ非採用削除!D$4,統合マスタ!$A409,0))</f>
        <v>ﾄﾗｿﾞ</v>
      </c>
      <c r="R409" s="27">
        <f ca="1">IF(OFFSET(マスタ非採用削除!E$4,統合マスタ!$A409,0)="","",OFFSET(マスタ非採用削除!E$4,統合マスタ!$A409,0))</f>
        <v>1</v>
      </c>
      <c r="S409" s="55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5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5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6</v>
      </c>
      <c r="AA409" s="27"/>
    </row>
    <row r="410" spans="1:27">
      <c r="A410" s="42">
        <f>元データ!P407</f>
        <v>348</v>
      </c>
      <c r="B410" s="27">
        <f t="shared" si="6"/>
        <v>406</v>
      </c>
      <c r="C410" s="27" t="str">
        <f>DBCS(元データ!A407)</f>
        <v>トラマールＯＤ錠２５ｍｇ</v>
      </c>
      <c r="D410" s="55" t="str">
        <f>元データ!B407</f>
        <v>メディセオ</v>
      </c>
      <c r="E410" s="27" t="str">
        <f>元データ!C407</f>
        <v>PTP</v>
      </c>
      <c r="F410" s="27" t="str">
        <f>元データ!D407</f>
        <v>100T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5" t="str">
        <f ca="1">IF(OFFSET(マスタ非採用削除!A$4,統合マスタ!$A410,0)="","",OFFSET(マスタ非採用削除!A$4,統合マスタ!$A410,0))</f>
        <v>ﾄﾗﾏ002</v>
      </c>
      <c r="O410" s="55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5" t="str">
        <f ca="1">IF(OFFSET(マスタ非採用削除!D$4,統合マスタ!$A410,0)="","",OFFSET(マスタ非採用削除!D$4,統合マスタ!$A410,0))</f>
        <v/>
      </c>
      <c r="R410" s="27">
        <f ca="1">IF(OFFSET(マスタ非採用削除!E$4,統合マスタ!$A410,0)="","",OFFSET(マスタ非採用削除!E$4,統合マスタ!$A410,0))</f>
        <v>2</v>
      </c>
      <c r="S410" s="55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5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5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/>
    </row>
    <row r="411" spans="1:27">
      <c r="A411" s="42">
        <f>元データ!P408</f>
        <v>349</v>
      </c>
      <c r="B411" s="27">
        <f t="shared" si="6"/>
        <v>407</v>
      </c>
      <c r="C411" s="27" t="str">
        <f>DBCS(元データ!A408)</f>
        <v>トランサミンカプセル２５０ｍｇ　　　　　　　　</v>
      </c>
      <c r="D411" s="55" t="str">
        <f>元データ!B408</f>
        <v>メディセオ</v>
      </c>
      <c r="E411" s="27" t="str">
        <f>元データ!C408</f>
        <v>PTP</v>
      </c>
      <c r="F411" s="27" t="str">
        <f>元データ!D408</f>
        <v>100Ｐ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5" t="str">
        <f ca="1">IF(OFFSET(マスタ非採用削除!A$4,統合マスタ!$A411,0)="","",OFFSET(マスタ非採用削除!A$4,統合マスタ!$A411,0))</f>
        <v>ﾄﾗﾝ001</v>
      </c>
      <c r="O411" s="55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5" t="str">
        <f ca="1">IF(OFFSET(マスタ非採用削除!D$4,統合マスタ!$A411,0)="","",OFFSET(マスタ非採用削除!D$4,統合マスタ!$A411,0))</f>
        <v>ﾄﾗﾝｻﾐ2</v>
      </c>
      <c r="R411" s="27">
        <f ca="1">IF(OFFSET(マスタ非採用削除!E$4,統合マスタ!$A411,0)="","",OFFSET(マスタ非採用削除!E$4,統合マスタ!$A411,0))</f>
        <v>1</v>
      </c>
      <c r="S411" s="55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5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5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/>
    </row>
    <row r="412" spans="1:27">
      <c r="A412" s="42">
        <f>元データ!P409</f>
        <v>350</v>
      </c>
      <c r="B412" s="27">
        <f t="shared" si="6"/>
        <v>408</v>
      </c>
      <c r="C412" s="27" t="str">
        <f>DBCS(元データ!A409)</f>
        <v>トランサミン注５％　　　　　　　　　　</v>
      </c>
      <c r="D412" s="55" t="str">
        <f>元データ!B409</f>
        <v>メディセオ</v>
      </c>
      <c r="E412" s="27" t="str">
        <f>元データ!C409</f>
        <v/>
      </c>
      <c r="F412" s="27" t="str">
        <f>元データ!D409</f>
        <v>5ml×10Ａ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5" t="str">
        <f ca="1">IF(OFFSET(マスタ非採用削除!A$4,統合マスタ!$A412,0)="","",OFFSET(マスタ非採用削除!A$4,統合マスタ!$A412,0))</f>
        <v>ﾄﾗﾝ002</v>
      </c>
      <c r="O412" s="55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5" t="str">
        <f ca="1">IF(OFFSET(マスタ非採用削除!D$4,統合マスタ!$A412,0)="","",OFFSET(マスタ非採用削除!D$4,統合マスタ!$A412,0))</f>
        <v>ﾄﾗﾝｻﾐﾝ</v>
      </c>
      <c r="R412" s="27">
        <f ca="1">IF(OFFSET(マスタ非採用削除!E$4,統合マスタ!$A412,0)="","",OFFSET(マスタ非採用削除!E$4,統合マスタ!$A412,0))</f>
        <v>1</v>
      </c>
      <c r="S412" s="55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5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5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/>
    </row>
    <row r="413" spans="1:27">
      <c r="A413" s="42">
        <f>元データ!P410</f>
        <v>0</v>
      </c>
      <c r="B413" s="27">
        <f t="shared" si="6"/>
        <v>409</v>
      </c>
      <c r="C413" s="27" t="str">
        <f>DBCS(元データ!A410)</f>
        <v>トリアゾラム錠０．１２５ｍｇ「ＣＨ」　　採用中止</v>
      </c>
      <c r="D413" s="55" t="str">
        <f>元データ!B410</f>
        <v>メディセオ</v>
      </c>
      <c r="E413" s="27" t="str">
        <f>元データ!C410</f>
        <v>PTP</v>
      </c>
      <c r="F413" s="27" t="str">
        <f>元データ!D410</f>
        <v>100T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5" t="str">
        <f ca="1">IF(OFFSET(マスタ非採用削除!A$4,統合マスタ!$A413,0)="","",OFFSET(マスタ非採用削除!A$4,統合マスタ!$A413,0))</f>
        <v>コード(区分値)</v>
      </c>
      <c r="O413" s="55" t="str">
        <f ca="1">IF(OFFSET(マスタ非採用削除!B$4,統合マスタ!$A413,0)="","",OFFSET(マスタ非採用削除!B$4,統合マスタ!$A413,0))</f>
        <v>コード</v>
      </c>
      <c r="P413" s="27" t="str">
        <f ca="1">IF(OFFSET(マスタ非採用削除!C$4,統合マスタ!$A413,0)="","",OFFSET(マスタ非採用削除!C$4,統合マスタ!$A413,0))</f>
        <v>名称</v>
      </c>
      <c r="Q413" s="55" t="str">
        <f ca="1">IF(OFFSET(マスタ非採用削除!D$4,統合マスタ!$A413,0)="","",OFFSET(マスタ非採用削除!D$4,統合マスタ!$A413,0))</f>
        <v>ホストコード</v>
      </c>
      <c r="R413" s="27" t="str">
        <f ca="1">IF(OFFSET(マスタ非採用削除!E$4,統合マスタ!$A413,0)="","",OFFSET(マスタ非採用削除!E$4,統合マスタ!$A413,0))</f>
        <v>採用区分（区分値）(区分値)</v>
      </c>
      <c r="S413" s="55" t="str">
        <f ca="1">IF(OFFSET(マスタ非採用削除!F$4,統合マスタ!$A413,0)="","",OFFSET(マスタ非採用削除!F$4,統合マスタ!$A413,0))</f>
        <v>採用区分（区分値）</v>
      </c>
      <c r="T413" s="27" t="str">
        <f ca="1">IF(OFFSET(マスタ非採用削除!G$4,統合マスタ!$A413,0)="","",OFFSET(マスタ非採用削除!G$4,統合マスタ!$A413,0))</f>
        <v>薬価</v>
      </c>
      <c r="U413" s="55" t="str">
        <f ca="1">IF(OFFSET(マスタ非採用削除!H$4,統合マスタ!$A413,0)="","",OFFSET(マスタ非採用削除!H$4,統合マスタ!$A413,0))</f>
        <v>カナ名称</v>
      </c>
      <c r="V413" s="27" t="str">
        <f ca="1">IF(OFFSET(マスタ非採用削除!I$4,統合マスタ!$A413,0)="","",OFFSET(マスタ非採用削除!I$4,統合マスタ!$A413,0))</f>
        <v>剤形(区分値)</v>
      </c>
      <c r="W413" s="27" t="str">
        <f ca="1">IF(OFFSET(マスタ非採用削除!J$4,統合マスタ!$A413,0)="","",OFFSET(マスタ非採用削除!J$4,統合マスタ!$A413,0))</f>
        <v>剤形</v>
      </c>
      <c r="X413" s="27" t="str">
        <f ca="1">IF(OFFSET(マスタ非採用削除!K$4,統合マスタ!$A413,0)="","",OFFSET(マスタ非採用削除!K$4,統合マスタ!$A413,0))</f>
        <v>毒劇薬（区分値）(区分値)</v>
      </c>
      <c r="Y413" s="55" t="str">
        <f ca="1">IF(OFFSET(マスタ非採用削除!L$4,統合マスタ!$A413,0)="","",OFFSET(マスタ非採用削除!L$4,統合マスタ!$A413,0))</f>
        <v>毒劇薬（区分値）</v>
      </c>
      <c r="Z413" s="27" t="str">
        <f ca="1">IF(OFFSET(マスタ非採用削除!M$4,統合マスタ!$A413,0)="","",OFFSET(マスタ非採用削除!M$4,統合マスタ!$A413,0))</f>
        <v>棚</v>
      </c>
      <c r="AA413" s="27"/>
    </row>
    <row r="414" spans="1:27">
      <c r="A414" s="42">
        <f>元データ!P411</f>
        <v>0</v>
      </c>
      <c r="B414" s="27">
        <f t="shared" si="6"/>
        <v>410</v>
      </c>
      <c r="C414" s="27" t="str">
        <f>DBCS(元データ!A411)</f>
        <v>トリアゾラム錠０．２５ｍｇ「ＣＨ」　　　採用中止</v>
      </c>
      <c r="D414" s="55" t="str">
        <f>元データ!B411</f>
        <v>メディセオ</v>
      </c>
      <c r="E414" s="27" t="str">
        <f>元データ!C411</f>
        <v>PTP</v>
      </c>
      <c r="F414" s="27" t="str">
        <f>元データ!D411</f>
        <v>100T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5" t="str">
        <f ca="1">IF(OFFSET(マスタ非採用削除!A$4,統合マスタ!$A414,0)="","",OFFSET(マスタ非採用削除!A$4,統合マスタ!$A414,0))</f>
        <v>コード(区分値)</v>
      </c>
      <c r="O414" s="55" t="str">
        <f ca="1">IF(OFFSET(マスタ非採用削除!B$4,統合マスタ!$A414,0)="","",OFFSET(マスタ非採用削除!B$4,統合マスタ!$A414,0))</f>
        <v>コード</v>
      </c>
      <c r="P414" s="27" t="str">
        <f ca="1">IF(OFFSET(マスタ非採用削除!C$4,統合マスタ!$A414,0)="","",OFFSET(マスタ非採用削除!C$4,統合マスタ!$A414,0))</f>
        <v>名称</v>
      </c>
      <c r="Q414" s="55" t="str">
        <f ca="1">IF(OFFSET(マスタ非採用削除!D$4,統合マスタ!$A414,0)="","",OFFSET(マスタ非採用削除!D$4,統合マスタ!$A414,0))</f>
        <v>ホストコード</v>
      </c>
      <c r="R414" s="27" t="str">
        <f ca="1">IF(OFFSET(マスタ非採用削除!E$4,統合マスタ!$A414,0)="","",OFFSET(マスタ非採用削除!E$4,統合マスタ!$A414,0))</f>
        <v>採用区分（区分値）(区分値)</v>
      </c>
      <c r="S414" s="55" t="str">
        <f ca="1">IF(OFFSET(マスタ非採用削除!F$4,統合マスタ!$A414,0)="","",OFFSET(マスタ非採用削除!F$4,統合マスタ!$A414,0))</f>
        <v>採用区分（区分値）</v>
      </c>
      <c r="T414" s="27" t="str">
        <f ca="1">IF(OFFSET(マスタ非採用削除!G$4,統合マスタ!$A414,0)="","",OFFSET(マスタ非採用削除!G$4,統合マスタ!$A414,0))</f>
        <v>薬価</v>
      </c>
      <c r="U414" s="55" t="str">
        <f ca="1">IF(OFFSET(マスタ非採用削除!H$4,統合マスタ!$A414,0)="","",OFFSET(マスタ非採用削除!H$4,統合マスタ!$A414,0))</f>
        <v>カナ名称</v>
      </c>
      <c r="V414" s="27" t="str">
        <f ca="1">IF(OFFSET(マスタ非採用削除!I$4,統合マスタ!$A414,0)="","",OFFSET(マスタ非採用削除!I$4,統合マスタ!$A414,0))</f>
        <v>剤形(区分値)</v>
      </c>
      <c r="W414" s="27" t="str">
        <f ca="1">IF(OFFSET(マスタ非採用削除!J$4,統合マスタ!$A414,0)="","",OFFSET(マスタ非採用削除!J$4,統合マスタ!$A414,0))</f>
        <v>剤形</v>
      </c>
      <c r="X414" s="27" t="str">
        <f ca="1">IF(OFFSET(マスタ非採用削除!K$4,統合マスタ!$A414,0)="","",OFFSET(マスタ非採用削除!K$4,統合マスタ!$A414,0))</f>
        <v>毒劇薬（区分値）(区分値)</v>
      </c>
      <c r="Y414" s="55" t="str">
        <f ca="1">IF(OFFSET(マスタ非採用削除!L$4,統合マスタ!$A414,0)="","",OFFSET(マスタ非採用削除!L$4,統合マスタ!$A414,0))</f>
        <v>毒劇薬（区分値）</v>
      </c>
      <c r="Z414" s="27" t="str">
        <f ca="1">IF(OFFSET(マスタ非採用削除!M$4,統合マスタ!$A414,0)="","",OFFSET(マスタ非採用削除!M$4,統合マスタ!$A414,0))</f>
        <v>棚</v>
      </c>
      <c r="AA414" s="27"/>
    </row>
    <row r="415" spans="1:27">
      <c r="A415" s="42">
        <f>元データ!P412</f>
        <v>351</v>
      </c>
      <c r="B415" s="27">
        <f t="shared" si="6"/>
        <v>411</v>
      </c>
      <c r="C415" s="27" t="str">
        <f>DBCS(元データ!A412)</f>
        <v>トリアゾラム錠０．２５ｍｇ「日医工」　　　　　　　　</v>
      </c>
      <c r="D415" s="55" t="str">
        <f>元データ!B412</f>
        <v>メディセオ</v>
      </c>
      <c r="E415" s="27" t="str">
        <f>元データ!C412</f>
        <v>PTP</v>
      </c>
      <c r="F415" s="27" t="str">
        <f>元データ!D412</f>
        <v>100T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5" t="str">
        <f ca="1">IF(OFFSET(マスタ非採用削除!A$4,統合マスタ!$A415,0)="","",OFFSET(マスタ非採用削除!A$4,統合マスタ!$A415,0))</f>
        <v>ﾄﾘｱ001</v>
      </c>
      <c r="O415" s="55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5" t="str">
        <f ca="1">IF(OFFSET(マスタ非採用削除!D$4,統合マスタ!$A415,0)="","",OFFSET(マスタ非採用削除!D$4,統合マスタ!$A415,0))</f>
        <v>ﾄﾘｱ</v>
      </c>
      <c r="R415" s="27">
        <f ca="1">IF(OFFSET(マスタ非採用削除!E$4,統合マスタ!$A415,0)="","",OFFSET(マスタ非採用削除!E$4,統合マスタ!$A415,0))</f>
        <v>1</v>
      </c>
      <c r="S415" s="55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5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5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5</v>
      </c>
      <c r="AA415" s="27"/>
    </row>
    <row r="416" spans="1:27">
      <c r="A416" s="42">
        <f>元データ!P413</f>
        <v>352</v>
      </c>
      <c r="B416" s="27">
        <f t="shared" si="6"/>
        <v>412</v>
      </c>
      <c r="C416" s="27" t="str">
        <f>DBCS(元データ!A413)</f>
        <v>トリプタノール錠２５</v>
      </c>
      <c r="D416" s="55" t="str">
        <f>元データ!B413</f>
        <v>メディセオ</v>
      </c>
      <c r="E416" s="27" t="str">
        <f>元データ!C413</f>
        <v>PTP</v>
      </c>
      <c r="F416" s="27" t="str">
        <f>元データ!D413</f>
        <v>100Ｔ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5" t="str">
        <f ca="1">IF(OFFSET(マスタ非採用削除!A$4,統合マスタ!$A416,0)="","",OFFSET(マスタ非採用削除!A$4,統合マスタ!$A416,0))</f>
        <v>ﾄﾘﾌ001</v>
      </c>
      <c r="O416" s="55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5" t="str">
        <f ca="1">IF(OFFSET(マスタ非採用削除!D$4,統合マスタ!$A416,0)="","",OFFSET(マスタ非採用削除!D$4,統合マスタ!$A416,0))</f>
        <v>ﾄﾘﾌﾟ2</v>
      </c>
      <c r="R416" s="27">
        <f ca="1">IF(OFFSET(マスタ非採用削除!E$4,統合マスタ!$A416,0)="","",OFFSET(マスタ非採用削除!E$4,統合マスタ!$A416,0))</f>
        <v>1</v>
      </c>
      <c r="S416" s="55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5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5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/>
    </row>
    <row r="417" spans="1:27">
      <c r="A417" s="42">
        <f>元データ!P414</f>
        <v>353</v>
      </c>
      <c r="B417" s="27">
        <f t="shared" si="6"/>
        <v>413</v>
      </c>
      <c r="C417" s="27" t="str">
        <f>DBCS(元データ!A414)</f>
        <v>トリフリード輸液（１）</v>
      </c>
      <c r="D417" s="55" t="str">
        <f>元データ!B414</f>
        <v>スズケン</v>
      </c>
      <c r="E417" s="27" t="str">
        <f>元データ!C414</f>
        <v/>
      </c>
      <c r="F417" s="27" t="str">
        <f>元データ!D414</f>
        <v>500ｍｌｘ20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5" t="str">
        <f ca="1">IF(OFFSET(マスタ非採用削除!A$4,統合マスタ!$A417,0)="","",OFFSET(マスタ非採用削除!A$4,統合マスタ!$A417,0))</f>
        <v>ﾄﾘﾌ002</v>
      </c>
      <c r="O417" s="55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5" t="str">
        <f ca="1">IF(OFFSET(マスタ非採用削除!D$4,統合マスタ!$A417,0)="","",OFFSET(マスタ非採用削除!D$4,統合マスタ!$A417,0))</f>
        <v>ﾄﾘﾌﾘｰﾄ</v>
      </c>
      <c r="R417" s="27">
        <f ca="1">IF(OFFSET(マスタ非採用削除!E$4,統合マスタ!$A417,0)="","",OFFSET(マスタ非採用削除!E$4,統合マスタ!$A417,0))</f>
        <v>1</v>
      </c>
      <c r="S417" s="55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5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5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/>
    </row>
    <row r="418" spans="1:27">
      <c r="A418" s="42">
        <f>元データ!P415</f>
        <v>354</v>
      </c>
      <c r="B418" s="27">
        <f t="shared" si="6"/>
        <v>414</v>
      </c>
      <c r="C418" s="27" t="str">
        <f>DBCS(元データ!A415)</f>
        <v>トリヘキシフェニジル塩酸塩錠２ｍｇ「ＮＩＧ」　</v>
      </c>
      <c r="D418" s="55" t="str">
        <f>元データ!B415</f>
        <v>メディセオ</v>
      </c>
      <c r="E418" s="27" t="str">
        <f>元データ!C415</f>
        <v>PTP</v>
      </c>
      <c r="F418" s="27" t="str">
        <f>元データ!D415</f>
        <v>100Ｔ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5" t="str">
        <f ca="1">IF(OFFSET(マスタ非採用削除!A$4,統合マスタ!$A418,0)="","",OFFSET(マスタ非採用削除!A$4,統合マスタ!$A418,0))</f>
        <v>ﾄﾘﾍ002</v>
      </c>
      <c r="O418" s="55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5" t="str">
        <f ca="1">IF(OFFSET(マスタ非採用削除!D$4,統合マスタ!$A418,0)="","",OFFSET(マスタ非採用削除!D$4,統合マスタ!$A418,0))</f>
        <v/>
      </c>
      <c r="R418" s="27">
        <f ca="1">IF(OFFSET(マスタ非採用削除!E$4,統合マスタ!$A418,0)="","",OFFSET(マスタ非採用削除!E$4,統合マスタ!$A418,0))</f>
        <v>1</v>
      </c>
      <c r="S418" s="55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5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5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5</v>
      </c>
      <c r="AA418" s="27"/>
    </row>
    <row r="419" spans="1:27">
      <c r="A419" s="42">
        <f>元データ!P416</f>
        <v>354</v>
      </c>
      <c r="B419" s="27">
        <f t="shared" si="6"/>
        <v>415</v>
      </c>
      <c r="C419" s="27" t="str">
        <f>DBCS(元データ!A416)</f>
        <v>トリヘキシフェニジル塩酸塩錠２ｍｇ「ＮＩＧ」　</v>
      </c>
      <c r="D419" s="55" t="str">
        <f>元データ!B416</f>
        <v>メディセオ</v>
      </c>
      <c r="E419" s="27" t="str">
        <f>元データ!C416</f>
        <v>バラ</v>
      </c>
      <c r="F419" s="27" t="str">
        <f>元データ!D416</f>
        <v>1200Ｔ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5" t="str">
        <f ca="1">IF(OFFSET(マスタ非採用削除!A$4,統合マスタ!$A419,0)="","",OFFSET(マスタ非採用削除!A$4,統合マスタ!$A419,0))</f>
        <v>ﾄﾘﾍ002</v>
      </c>
      <c r="O419" s="55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5" t="str">
        <f ca="1">IF(OFFSET(マスタ非採用削除!D$4,統合マスタ!$A419,0)="","",OFFSET(マスタ非採用削除!D$4,統合マスタ!$A419,0))</f>
        <v/>
      </c>
      <c r="R419" s="27">
        <f ca="1">IF(OFFSET(マスタ非採用削除!E$4,統合マスタ!$A419,0)="","",OFFSET(マスタ非採用削除!E$4,統合マスタ!$A419,0))</f>
        <v>1</v>
      </c>
      <c r="S419" s="55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5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5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5</v>
      </c>
      <c r="AA419" s="27"/>
    </row>
    <row r="420" spans="1:27">
      <c r="A420" s="42">
        <f>元データ!P417</f>
        <v>355</v>
      </c>
      <c r="B420" s="27">
        <f t="shared" si="6"/>
        <v>416</v>
      </c>
      <c r="C420" s="27" t="str">
        <f>DBCS(元データ!A417)</f>
        <v>トリメブチンマレイン酸塩錠１００ｍｇ「トーワ」</v>
      </c>
      <c r="D420" s="55" t="str">
        <f>元データ!B417</f>
        <v>東和薬品</v>
      </c>
      <c r="E420" s="27" t="str">
        <f>元データ!C417</f>
        <v>バラ</v>
      </c>
      <c r="F420" s="27" t="str">
        <f>元データ!D417</f>
        <v>1000Ｔ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5" t="str">
        <f ca="1">IF(OFFSET(マスタ非採用削除!A$4,統合マスタ!$A420,0)="","",OFFSET(マスタ非採用削除!A$4,統合マスタ!$A420,0))</f>
        <v>ﾄﾘﾒ001</v>
      </c>
      <c r="O420" s="55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5" t="str">
        <f ca="1">IF(OFFSET(マスタ非採用削除!D$4,統合マスタ!$A420,0)="","",OFFSET(マスタ非採用削除!D$4,統合マスタ!$A420,0))</f>
        <v>ﾄﾘﾒ</v>
      </c>
      <c r="R420" s="27">
        <f ca="1">IF(OFFSET(マスタ非採用削除!E$4,統合マスタ!$A420,0)="","",OFFSET(マスタ非採用削除!E$4,統合マスタ!$A420,0))</f>
        <v>1</v>
      </c>
      <c r="S420" s="55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5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5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5</v>
      </c>
      <c r="AA420" s="27"/>
    </row>
    <row r="421" spans="1:27">
      <c r="A421" s="42">
        <f>元データ!P418</f>
        <v>356</v>
      </c>
      <c r="B421" s="27">
        <f t="shared" si="6"/>
        <v>417</v>
      </c>
      <c r="C421" s="27" t="str">
        <f>DBCS(元データ!A418)</f>
        <v>トリンテリックス錠１０ｍｇ</v>
      </c>
      <c r="D421" s="55" t="str">
        <f>元データ!B418</f>
        <v>メディセオ</v>
      </c>
      <c r="E421" s="27" t="str">
        <f>元データ!C418</f>
        <v>ＰＴＰ</v>
      </c>
      <c r="F421" s="27" t="str">
        <f>元データ!D418</f>
        <v>100Ｔ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5" t="str">
        <f ca="1">IF(OFFSET(マスタ非採用削除!A$4,統合マスタ!$A421,0)="","",OFFSET(マスタ非採用削除!A$4,統合マスタ!$A421,0))</f>
        <v>ﾄﾘﾝ001</v>
      </c>
      <c r="O421" s="55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5" t="str">
        <f ca="1">IF(OFFSET(マスタ非採用削除!D$4,統合マスタ!$A421,0)="","",OFFSET(マスタ非採用削除!D$4,統合マスタ!$A421,0))</f>
        <v>ﾄﾘﾝ</v>
      </c>
      <c r="R421" s="27">
        <f ca="1">IF(OFFSET(マスタ非採用削除!E$4,統合マスタ!$A421,0)="","",OFFSET(マスタ非採用削除!E$4,統合マスタ!$A421,0))</f>
        <v>1</v>
      </c>
      <c r="S421" s="55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5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5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6</v>
      </c>
      <c r="AA421" s="27"/>
    </row>
    <row r="422" spans="1:27">
      <c r="A422" s="42">
        <f>元データ!P419</f>
        <v>358</v>
      </c>
      <c r="B422" s="27">
        <f t="shared" si="6"/>
        <v>418</v>
      </c>
      <c r="C422" s="27" t="str">
        <f>DBCS(元データ!A419)</f>
        <v>トルバプタンＯＤ錠７．５ｍｇ「ＴＥ」</v>
      </c>
      <c r="D422" s="55" t="str">
        <f>元データ!B419</f>
        <v>アルフレッサ</v>
      </c>
      <c r="E422" s="27" t="str">
        <f>元データ!C419</f>
        <v>PTP</v>
      </c>
      <c r="F422" s="27" t="str">
        <f>元データ!D419</f>
        <v>20T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5" t="str">
        <f ca="1">IF(OFFSET(マスタ非採用削除!A$4,統合マスタ!$A422,0)="","",OFFSET(マスタ非採用削除!A$4,統合マスタ!$A422,0))</f>
        <v>ﾄﾙﾊ001</v>
      </c>
      <c r="O422" s="55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5" t="str">
        <f ca="1">IF(OFFSET(マスタ非採用削除!D$4,統合マスタ!$A422,0)="","",OFFSET(マスタ非採用削除!D$4,統合マスタ!$A422,0))</f>
        <v>ﾄﾙﾊﾞ</v>
      </c>
      <c r="R422" s="27">
        <f ca="1">IF(OFFSET(マスタ非採用削除!E$4,統合マスタ!$A422,0)="","",OFFSET(マスタ非採用削除!E$4,統合マスタ!$A422,0))</f>
        <v>2</v>
      </c>
      <c r="S422" s="55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5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5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/>
    </row>
    <row r="423" spans="1:27">
      <c r="A423" s="42">
        <f>元データ!P420</f>
        <v>359</v>
      </c>
      <c r="B423" s="27">
        <f t="shared" si="6"/>
        <v>419</v>
      </c>
      <c r="C423" s="27" t="str">
        <f>DBCS(元データ!A420)</f>
        <v>ドルミカム注射液１０ｍｇ</v>
      </c>
      <c r="D423" s="55" t="str">
        <f>元データ!B420</f>
        <v/>
      </c>
      <c r="E423" s="27" t="str">
        <f>元データ!C420</f>
        <v/>
      </c>
      <c r="F423" s="27" t="str">
        <f>元データ!D420</f>
        <v>2ｍｌｘ10A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5" t="str">
        <f ca="1">IF(OFFSET(マスタ非採用削除!A$4,統合マスタ!$A423,0)="","",OFFSET(マスタ非採用削除!A$4,統合マスタ!$A423,0))</f>
        <v>ﾄﾙﾐ001</v>
      </c>
      <c r="O423" s="55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5" t="str">
        <f ca="1">IF(OFFSET(マスタ非採用削除!D$4,統合マスタ!$A423,0)="","",OFFSET(マスタ非採用削除!D$4,統合マスタ!$A423,0))</f>
        <v>ﾄﾞﾙﾐ</v>
      </c>
      <c r="R423" s="27">
        <f ca="1">IF(OFFSET(マスタ非採用削除!E$4,統合マスタ!$A423,0)="","",OFFSET(マスタ非採用削除!E$4,統合マスタ!$A423,0))</f>
        <v>2</v>
      </c>
      <c r="S423" s="55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5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5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/>
    </row>
    <row r="424" spans="1:27">
      <c r="A424" s="42">
        <f>元データ!P421</f>
        <v>360</v>
      </c>
      <c r="B424" s="27">
        <f t="shared" si="6"/>
        <v>420</v>
      </c>
      <c r="C424" s="27" t="str">
        <f>DBCS(元データ!A421)</f>
        <v>トルリシティ皮下注０．７５ｍｇアテオス</v>
      </c>
      <c r="D424" s="55" t="str">
        <f>元データ!B421</f>
        <v>メディセオ</v>
      </c>
      <c r="E424" s="27" t="str">
        <f>元データ!C421</f>
        <v/>
      </c>
      <c r="F424" s="27" t="str">
        <f>元データ!D421</f>
        <v>2kit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5" t="str">
        <f ca="1">IF(OFFSET(マスタ非採用削除!A$4,統合マスタ!$A424,0)="","",OFFSET(マスタ非採用削除!A$4,統合マスタ!$A424,0))</f>
        <v>ﾄﾙﾘ001</v>
      </c>
      <c r="O424" s="55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5" t="str">
        <f ca="1">IF(OFFSET(マスタ非採用削除!D$4,統合マスタ!$A424,0)="","",OFFSET(マスタ非採用削除!D$4,統合マスタ!$A424,0))</f>
        <v>ﾄﾙﾘ</v>
      </c>
      <c r="R424" s="27">
        <f ca="1">IF(OFFSET(マスタ非採用削除!E$4,統合マスタ!$A424,0)="","",OFFSET(マスタ非採用削除!E$4,統合マスタ!$A424,0))</f>
        <v>2</v>
      </c>
      <c r="S424" s="55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5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5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/>
    </row>
    <row r="425" spans="1:27">
      <c r="A425" s="42">
        <f>元データ!P422</f>
        <v>361</v>
      </c>
      <c r="B425" s="27">
        <f t="shared" si="6"/>
        <v>421</v>
      </c>
      <c r="C425" s="27" t="str">
        <f>DBCS(元データ!A422)</f>
        <v>トレシーバ注フレックスタッチ</v>
      </c>
      <c r="D425" s="55" t="str">
        <f>元データ!B422</f>
        <v>アルフレッサ</v>
      </c>
      <c r="E425" s="27" t="str">
        <f>元データ!C422</f>
        <v/>
      </c>
      <c r="F425" s="27" t="str">
        <f>元データ!D422</f>
        <v>3ｍｌｘ2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5" t="str">
        <f ca="1">IF(OFFSET(マスタ非採用削除!A$4,統合マスタ!$A425,0)="","",OFFSET(マスタ非採用削除!A$4,統合マスタ!$A425,0))</f>
        <v>ﾄﾚｼ001</v>
      </c>
      <c r="O425" s="55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5" t="str">
        <f ca="1">IF(OFFSET(マスタ非採用削除!D$4,統合マスタ!$A425,0)="","",OFFSET(マスタ非採用削除!D$4,統合マスタ!$A425,0))</f>
        <v>ﾄﾚｼ</v>
      </c>
      <c r="R425" s="27">
        <f ca="1">IF(OFFSET(マスタ非採用削除!E$4,統合マスタ!$A425,0)="","",OFFSET(マスタ非採用削除!E$4,統合マスタ!$A425,0))</f>
        <v>2</v>
      </c>
      <c r="S425" s="55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5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5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/>
    </row>
    <row r="426" spans="1:27">
      <c r="A426" s="42">
        <f>元データ!P423</f>
        <v>362</v>
      </c>
      <c r="B426" s="27">
        <f t="shared" si="6"/>
        <v>422</v>
      </c>
      <c r="C426" s="27" t="str">
        <f>DBCS(元データ!A423)</f>
        <v>トレドミン錠１５ｍｇ　　　　　　　</v>
      </c>
      <c r="D426" s="55" t="str">
        <f>元データ!B423</f>
        <v>アルフレッサ</v>
      </c>
      <c r="E426" s="27" t="str">
        <f>元データ!C423</f>
        <v>PTP</v>
      </c>
      <c r="F426" s="27" t="str">
        <f>元データ!D423</f>
        <v>100Ｔ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5" t="str">
        <f ca="1">IF(OFFSET(マスタ非採用削除!A$4,統合マスタ!$A426,0)="","",OFFSET(マスタ非採用削除!A$4,統合マスタ!$A426,0))</f>
        <v>ﾄﾚﾄ001</v>
      </c>
      <c r="O426" s="55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5" t="str">
        <f ca="1">IF(OFFSET(マスタ非採用削除!D$4,統合マスタ!$A426,0)="","",OFFSET(マスタ非採用削除!D$4,統合マスタ!$A426,0))</f>
        <v>ﾄﾚﾄﾞ15</v>
      </c>
      <c r="R426" s="27">
        <f ca="1">IF(OFFSET(マスタ非採用削除!E$4,統合マスタ!$A426,0)="","",OFFSET(マスタ非採用削除!E$4,統合マスタ!$A426,0))</f>
        <v>1</v>
      </c>
      <c r="S426" s="55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5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5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6</v>
      </c>
      <c r="AA426" s="27"/>
    </row>
    <row r="427" spans="1:27">
      <c r="A427" s="42">
        <f>元データ!P424</f>
        <v>363</v>
      </c>
      <c r="B427" s="27">
        <f t="shared" si="6"/>
        <v>423</v>
      </c>
      <c r="C427" s="27" t="str">
        <f>DBCS(元データ!A424)</f>
        <v>トレドミン錠２５ｍｇ　　　　　　　</v>
      </c>
      <c r="D427" s="55" t="str">
        <f>元データ!B424</f>
        <v>アルフレッサ</v>
      </c>
      <c r="E427" s="27" t="str">
        <f>元データ!C424</f>
        <v>PTP</v>
      </c>
      <c r="F427" s="27" t="str">
        <f>元データ!D424</f>
        <v>100Ｔ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5" t="str">
        <f ca="1">IF(OFFSET(マスタ非採用削除!A$4,統合マスタ!$A427,0)="","",OFFSET(マスタ非採用削除!A$4,統合マスタ!$A427,0))</f>
        <v>ﾄﾚﾄ002</v>
      </c>
      <c r="O427" s="55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5" t="str">
        <f ca="1">IF(OFFSET(マスタ非採用削除!D$4,統合マスタ!$A427,0)="","",OFFSET(マスタ非採用削除!D$4,統合マスタ!$A427,0))</f>
        <v>ﾄﾚﾄﾞ25</v>
      </c>
      <c r="R427" s="27">
        <f ca="1">IF(OFFSET(マスタ非採用削除!E$4,統合マスタ!$A427,0)="","",OFFSET(マスタ非採用削除!E$4,統合マスタ!$A427,0))</f>
        <v>1</v>
      </c>
      <c r="S427" s="55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5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5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6</v>
      </c>
      <c r="AA427" s="27"/>
    </row>
    <row r="428" spans="1:27">
      <c r="A428" s="42" t="str">
        <f>元データ!P425</f>
        <v>非採用</v>
      </c>
      <c r="B428" s="27">
        <f t="shared" si="6"/>
        <v>424</v>
      </c>
      <c r="C428" s="27" t="str">
        <f>DBCS(元データ!A425)</f>
        <v>ドロキシドパカプセル１００ｍｇ「アメル」</v>
      </c>
      <c r="D428" s="55" t="str">
        <f>元データ!B425</f>
        <v/>
      </c>
      <c r="E428" s="27" t="str">
        <f>元データ!C425</f>
        <v>ＰＴＰ</v>
      </c>
      <c r="F428" s="27" t="str">
        <f>元データ!D425</f>
        <v>100Ｔ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5" t="e">
        <f ca="1">IF(OFFSET(マスタ非採用削除!A$4,統合マスタ!$A428,0)="","",OFFSET(マスタ非採用削除!A$4,統合マスタ!$A428,0))</f>
        <v>#VALUE!</v>
      </c>
      <c r="O428" s="55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5" t="e">
        <f ca="1">IF(OFFSET(マスタ非採用削除!D$4,統合マスタ!$A428,0)="","",OFFSET(マスタ非採用削除!D$4,統合マスタ!$A428,0))</f>
        <v>#VALUE!</v>
      </c>
      <c r="R428" s="27" t="e">
        <f ca="1">IF(OFFSET(マスタ非採用削除!E$4,統合マスタ!$A428,0)="","",OFFSET(マスタ非採用削除!E$4,統合マスタ!$A428,0))</f>
        <v>#VALUE!</v>
      </c>
      <c r="S428" s="55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5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5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">
        <v>4076</v>
      </c>
    </row>
    <row r="429" spans="1:27">
      <c r="A429" s="42">
        <f>元データ!P426</f>
        <v>366</v>
      </c>
      <c r="B429" s="27">
        <f t="shared" si="6"/>
        <v>425</v>
      </c>
      <c r="C429" s="27" t="str">
        <f>DBCS(元データ!A426)</f>
        <v>ドンペリドン錠１０ｍｇ「ＪＧ」</v>
      </c>
      <c r="D429" s="55" t="str">
        <f>元データ!B426</f>
        <v>メディセオ</v>
      </c>
      <c r="E429" s="27" t="str">
        <f>元データ!C426</f>
        <v>PTP</v>
      </c>
      <c r="F429" s="27" t="str">
        <f>元データ!D426</f>
        <v>1000T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5" t="str">
        <f ca="1">IF(OFFSET(マスタ非採用削除!A$4,統合マスタ!$A429,0)="","",OFFSET(マスタ非採用削除!A$4,統合マスタ!$A429,0))</f>
        <v>ﾄﾝﾍ002</v>
      </c>
      <c r="O429" s="55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5" t="str">
        <f ca="1">IF(OFFSET(マスタ非採用削除!D$4,統合マスタ!$A429,0)="","",OFFSET(マスタ非採用削除!D$4,統合マスタ!$A429,0))</f>
        <v/>
      </c>
      <c r="R429" s="27">
        <f ca="1">IF(OFFSET(マスタ非採用削除!E$4,統合マスタ!$A429,0)="","",OFFSET(マスタ非採用削除!E$4,統合マスタ!$A429,0))</f>
        <v>1</v>
      </c>
      <c r="S429" s="55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5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5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5</v>
      </c>
      <c r="AA429" s="27"/>
    </row>
    <row r="430" spans="1:27">
      <c r="A430" s="42">
        <f>元データ!P427</f>
        <v>367</v>
      </c>
      <c r="B430" s="27">
        <f t="shared" si="6"/>
        <v>426</v>
      </c>
      <c r="C430" s="27" t="str">
        <f>DBCS(元データ!A427)</f>
        <v>ナウゼリン坐剤６０</v>
      </c>
      <c r="D430" s="55" t="str">
        <f>元データ!B427</f>
        <v>メディセオ</v>
      </c>
      <c r="E430" s="27" t="str">
        <f>元データ!C427</f>
        <v/>
      </c>
      <c r="F430" s="27" t="str">
        <f>元データ!D427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5" t="str">
        <f ca="1">IF(OFFSET(マスタ非採用削除!A$4,統合マスタ!$A430,0)="","",OFFSET(マスタ非採用削除!A$4,統合マスタ!$A430,0))</f>
        <v>ﾅｳｾ001</v>
      </c>
      <c r="O430" s="55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5" t="str">
        <f ca="1">IF(OFFSET(マスタ非採用削除!D$4,統合マスタ!$A430,0)="","",OFFSET(マスタ非採用削除!D$4,統合マスタ!$A430,0))</f>
        <v/>
      </c>
      <c r="R430" s="27">
        <f ca="1">IF(OFFSET(マスタ非採用削除!E$4,統合マスタ!$A430,0)="","",OFFSET(マスタ非採用削除!E$4,統合マスタ!$A430,0))</f>
        <v>1</v>
      </c>
      <c r="S430" s="55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5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5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/>
    </row>
    <row r="431" spans="1:27">
      <c r="A431" s="42">
        <f>元データ!P428</f>
        <v>368</v>
      </c>
      <c r="B431" s="27">
        <f t="shared" si="6"/>
        <v>427</v>
      </c>
      <c r="C431" s="27" t="str">
        <f>DBCS(元データ!A428)</f>
        <v>ナトリックス錠１</v>
      </c>
      <c r="D431" s="55" t="str">
        <f>元データ!B428</f>
        <v>スズケン</v>
      </c>
      <c r="E431" s="27" t="str">
        <f>元データ!C428</f>
        <v>PTP</v>
      </c>
      <c r="F431" s="27" t="str">
        <f>元データ!D428</f>
        <v>100Ｔ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5" t="str">
        <f ca="1">IF(OFFSET(マスタ非採用削除!A$4,統合マスタ!$A431,0)="","",OFFSET(マスタ非採用削除!A$4,統合マスタ!$A431,0))</f>
        <v>ﾅﾄﾘ001</v>
      </c>
      <c r="O431" s="55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5" t="str">
        <f ca="1">IF(OFFSET(マスタ非採用削除!D$4,統合マスタ!$A431,0)="","",OFFSET(マスタ非採用削除!D$4,統合マスタ!$A431,0))</f>
        <v>ﾅﾄﾘ</v>
      </c>
      <c r="R431" s="27">
        <f ca="1">IF(OFFSET(マスタ非採用削除!E$4,統合マスタ!$A431,0)="","",OFFSET(マスタ非採用削除!E$4,統合マスタ!$A431,0))</f>
        <v>1</v>
      </c>
      <c r="S431" s="55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5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5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/>
    </row>
    <row r="432" spans="1:27">
      <c r="A432" s="42">
        <f>元データ!P429</f>
        <v>370</v>
      </c>
      <c r="B432" s="27">
        <f t="shared" si="6"/>
        <v>428</v>
      </c>
      <c r="C432" s="27" t="str">
        <f>DBCS(元データ!A429)</f>
        <v>ニコランジル錠５ｍｇ「トーワ」　　　　　　　　　</v>
      </c>
      <c r="D432" s="55" t="str">
        <f>元データ!B429</f>
        <v/>
      </c>
      <c r="E432" s="27" t="str">
        <f>元データ!C429</f>
        <v>バラ</v>
      </c>
      <c r="F432" s="27" t="str">
        <f>元データ!D429</f>
        <v>1000Ｔ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5" t="str">
        <f ca="1">IF(OFFSET(マスタ非採用削除!A$4,統合マスタ!$A432,0)="","",OFFSET(マスタ非採用削除!A$4,統合マスタ!$A432,0))</f>
        <v>ﾆｺﾗ001</v>
      </c>
      <c r="O432" s="55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5" t="str">
        <f ca="1">IF(OFFSET(マスタ非採用削除!D$4,統合マスタ!$A432,0)="","",OFFSET(マスタ非採用削除!D$4,統合マスタ!$A432,0))</f>
        <v>ﾆｺﾗ2</v>
      </c>
      <c r="R432" s="27">
        <f ca="1">IF(OFFSET(マスタ非採用削除!E$4,統合マスタ!$A432,0)="","",OFFSET(マスタ非採用削除!E$4,統合マスタ!$A432,0))</f>
        <v>1</v>
      </c>
      <c r="S432" s="55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5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5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5</v>
      </c>
      <c r="AA432" s="27"/>
    </row>
    <row r="433" spans="1:27">
      <c r="A433" s="42">
        <f>元データ!P430</f>
        <v>371</v>
      </c>
      <c r="B433" s="27">
        <f t="shared" si="6"/>
        <v>429</v>
      </c>
      <c r="C433" s="27" t="str">
        <f>DBCS(元データ!A430)</f>
        <v>ニセルゴリン錠５ｍｇ「トーワ」</v>
      </c>
      <c r="D433" s="55" t="str">
        <f>元データ!B430</f>
        <v>東和薬品</v>
      </c>
      <c r="E433" s="27" t="str">
        <f>元データ!C430</f>
        <v>バラ</v>
      </c>
      <c r="F433" s="27" t="str">
        <f>元データ!D430</f>
        <v>1000Ｔ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5" t="str">
        <f ca="1">IF(OFFSET(マスタ非採用削除!A$4,統合マスタ!$A433,0)="","",OFFSET(マスタ非採用削除!A$4,統合マスタ!$A433,0))</f>
        <v>ﾆｾﾙ001</v>
      </c>
      <c r="O433" s="55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5" t="str">
        <f ca="1">IF(OFFSET(マスタ非採用削除!D$4,統合マスタ!$A433,0)="","",OFFSET(マスタ非採用削除!D$4,統合マスタ!$A433,0))</f>
        <v>ﾆｾﾙ</v>
      </c>
      <c r="R433" s="27">
        <f ca="1">IF(OFFSET(マスタ非採用削除!E$4,統合マスタ!$A433,0)="","",OFFSET(マスタ非採用削除!E$4,統合マスタ!$A433,0))</f>
        <v>1</v>
      </c>
      <c r="S433" s="55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5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5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5</v>
      </c>
      <c r="AA433" s="27"/>
    </row>
    <row r="434" spans="1:27">
      <c r="A434" s="42">
        <f>元データ!P431</f>
        <v>372</v>
      </c>
      <c r="B434" s="27">
        <f t="shared" si="6"/>
        <v>430</v>
      </c>
      <c r="C434" s="27" t="str">
        <f>DBCS(元データ!A431)</f>
        <v>ニゾラールクリーム２％　　　　　　　　　</v>
      </c>
      <c r="D434" s="55" t="str">
        <f>元データ!B431</f>
        <v>アルフレッサ</v>
      </c>
      <c r="E434" s="27" t="str">
        <f>元データ!C431</f>
        <v/>
      </c>
      <c r="F434" s="27" t="str">
        <f>元データ!D431</f>
        <v>１０gx20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5" t="str">
        <f ca="1">IF(OFFSET(マスタ非採用削除!A$4,統合マスタ!$A434,0)="","",OFFSET(マスタ非採用削除!A$4,統合マスタ!$A434,0))</f>
        <v>ﾆｿﾗ001</v>
      </c>
      <c r="O434" s="55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5" t="str">
        <f ca="1">IF(OFFSET(マスタ非採用削除!D$4,統合マスタ!$A434,0)="","",OFFSET(マスタ非採用削除!D$4,統合マスタ!$A434,0))</f>
        <v>ﾆｿﾞﾗｰ</v>
      </c>
      <c r="R434" s="27">
        <f ca="1">IF(OFFSET(マスタ非採用削除!E$4,統合マスタ!$A434,0)="","",OFFSET(マスタ非採用削除!E$4,統合マスタ!$A434,0))</f>
        <v>1</v>
      </c>
      <c r="S434" s="55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5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5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/>
    </row>
    <row r="435" spans="1:27">
      <c r="A435" s="42">
        <f>元データ!P432</f>
        <v>373</v>
      </c>
      <c r="B435" s="27">
        <f t="shared" si="6"/>
        <v>431</v>
      </c>
      <c r="C435" s="27" t="str">
        <f>DBCS(元データ!A432)</f>
        <v>ニゾラールローション２％</v>
      </c>
      <c r="D435" s="55" t="str">
        <f>元データ!B432</f>
        <v>メディセオ</v>
      </c>
      <c r="E435" s="27" t="str">
        <f>元データ!C432</f>
        <v/>
      </c>
      <c r="F435" s="27" t="str">
        <f>元データ!D432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5" t="str">
        <f ca="1">IF(OFFSET(マスタ非採用削除!A$4,統合マスタ!$A435,0)="","",OFFSET(マスタ非採用削除!A$4,統合マスタ!$A435,0))</f>
        <v>ﾆｿﾗ002</v>
      </c>
      <c r="O435" s="55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5" t="str">
        <f ca="1">IF(OFFSET(マスタ非採用削除!D$4,統合マスタ!$A435,0)="","",OFFSET(マスタ非採用削除!D$4,統合マスタ!$A435,0))</f>
        <v>ﾆｿﾞﾗｰﾙ</v>
      </c>
      <c r="R435" s="27">
        <f ca="1">IF(OFFSET(マスタ非採用削除!E$4,統合マスタ!$A435,0)="","",OFFSET(マスタ非採用削除!E$4,統合マスタ!$A435,0))</f>
        <v>1</v>
      </c>
      <c r="S435" s="55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5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5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/>
    </row>
    <row r="436" spans="1:27">
      <c r="A436" s="42">
        <f>元データ!P433</f>
        <v>374</v>
      </c>
      <c r="B436" s="27">
        <f t="shared" si="6"/>
        <v>432</v>
      </c>
      <c r="C436" s="27" t="str">
        <f>DBCS(元データ!A433)</f>
        <v>ニトロペン舌下錠０．３ｍｇ</v>
      </c>
      <c r="D436" s="55" t="str">
        <f>元データ!B433</f>
        <v>メディセオ</v>
      </c>
      <c r="E436" s="27" t="str">
        <f>元データ!C433</f>
        <v>PTP</v>
      </c>
      <c r="F436" s="27" t="str">
        <f>元データ!D433</f>
        <v>100Ｔ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5" t="str">
        <f ca="1">IF(OFFSET(マスタ非採用削除!A$4,統合マスタ!$A436,0)="","",OFFSET(マスタ非採用削除!A$4,統合マスタ!$A436,0))</f>
        <v>ﾆﾄﾛ001</v>
      </c>
      <c r="O436" s="55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5" t="str">
        <f ca="1">IF(OFFSET(マスタ非採用削除!D$4,統合マスタ!$A436,0)="","",OFFSET(マスタ非採用削除!D$4,統合マスタ!$A436,0))</f>
        <v>ﾆﾄﾛﾍﾟ</v>
      </c>
      <c r="R436" s="27">
        <f ca="1">IF(OFFSET(マスタ非採用削除!E$4,統合マスタ!$A436,0)="","",OFFSET(マスタ非採用削除!E$4,統合マスタ!$A436,0))</f>
        <v>1</v>
      </c>
      <c r="S436" s="55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5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5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/>
    </row>
    <row r="437" spans="1:27">
      <c r="A437" s="42">
        <f>元データ!P434</f>
        <v>375</v>
      </c>
      <c r="B437" s="27">
        <f t="shared" si="6"/>
        <v>433</v>
      </c>
      <c r="C437" s="27" t="str">
        <f>DBCS(元データ!A434)</f>
        <v>ニフェジピンカプセル１０ｍｇ「サワイ」</v>
      </c>
      <c r="D437" s="55" t="str">
        <f>元データ!B434</f>
        <v/>
      </c>
      <c r="E437" s="27" t="str">
        <f>元データ!C434</f>
        <v>PTP</v>
      </c>
      <c r="F437" s="27" t="str">
        <f>元データ!D434</f>
        <v>100cap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5" t="str">
        <f ca="1">IF(OFFSET(マスタ非採用削除!A$4,統合マスタ!$A437,0)="","",OFFSET(マスタ非採用削除!A$4,統合マスタ!$A437,0))</f>
        <v>ﾆﾌｴ001</v>
      </c>
      <c r="O437" s="55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5" t="str">
        <f ca="1">IF(OFFSET(マスタ非採用削除!D$4,統合マスタ!$A437,0)="","",OFFSET(マスタ非採用削除!D$4,統合マスタ!$A437,0))</f>
        <v>ﾆﾌｪ</v>
      </c>
      <c r="R437" s="27">
        <f ca="1">IF(OFFSET(マスタ非採用削除!E$4,統合マスタ!$A437,0)="","",OFFSET(マスタ非採用削除!E$4,統合マスタ!$A437,0))</f>
        <v>1</v>
      </c>
      <c r="S437" s="55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5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5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/>
    </row>
    <row r="438" spans="1:27">
      <c r="A438" s="42">
        <f>元データ!P435</f>
        <v>377</v>
      </c>
      <c r="B438" s="27">
        <f t="shared" si="6"/>
        <v>434</v>
      </c>
      <c r="C438" s="27" t="str">
        <f>DBCS(元データ!A435)</f>
        <v>ニュープロパッチ４．５ｍｇ</v>
      </c>
      <c r="D438" s="55" t="str">
        <f>元データ!B435</f>
        <v>メディセオ</v>
      </c>
      <c r="E438" s="27" t="str">
        <f>元データ!C435</f>
        <v/>
      </c>
      <c r="F438" s="27" t="str">
        <f>元データ!D435</f>
        <v>28枚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5" t="str">
        <f ca="1">IF(OFFSET(マスタ非採用削除!A$4,統合マスタ!$A438,0)="","",OFFSET(マスタ非採用削除!A$4,統合マスタ!$A438,0))</f>
        <v>ﾆﾕﾌ002</v>
      </c>
      <c r="O438" s="55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5" t="str">
        <f ca="1">IF(OFFSET(マスタ非採用削除!D$4,統合マスタ!$A438,0)="","",OFFSET(マスタ非採用削除!D$4,統合マスタ!$A438,0))</f>
        <v/>
      </c>
      <c r="R438" s="27">
        <f ca="1">IF(OFFSET(マスタ非採用削除!E$4,統合マスタ!$A438,0)="","",OFFSET(マスタ非採用削除!E$4,統合マスタ!$A438,0))</f>
        <v>2</v>
      </c>
      <c r="S438" s="55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5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5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/>
    </row>
    <row r="439" spans="1:27">
      <c r="A439" s="42">
        <f>元データ!P436</f>
        <v>378</v>
      </c>
      <c r="B439" s="27">
        <f t="shared" si="6"/>
        <v>435</v>
      </c>
      <c r="C439" s="27" t="str">
        <f>DBCS(元データ!A436)</f>
        <v>ニューモバックスＮＰシリンジ</v>
      </c>
      <c r="D439" s="55" t="str">
        <f>元データ!B436</f>
        <v/>
      </c>
      <c r="E439" s="27" t="str">
        <f>元データ!C436</f>
        <v/>
      </c>
      <c r="F439" s="27" t="str">
        <f>元データ!D436</f>
        <v>0.5ｍｌｘ１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5" t="str">
        <f ca="1">IF(OFFSET(マスタ非採用削除!A$4,統合マスタ!$A439,0)="","",OFFSET(マスタ非採用削除!A$4,統合マスタ!$A439,0))</f>
        <v>ﾆﾕﾓ001</v>
      </c>
      <c r="O439" s="55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5" t="str">
        <f ca="1">IF(OFFSET(マスタ非採用削除!D$4,統合マスタ!$A439,0)="","",OFFSET(マスタ非採用削除!D$4,統合マスタ!$A439,0))</f>
        <v>ﾆｭｰﾓ1</v>
      </c>
      <c r="R439" s="27">
        <f ca="1">IF(OFFSET(マスタ非採用削除!E$4,統合マスタ!$A439,0)="","",OFFSET(マスタ非採用削除!E$4,統合マスタ!$A439,0))</f>
        <v>2</v>
      </c>
      <c r="S439" s="55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5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5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/>
    </row>
    <row r="440" spans="1:27">
      <c r="A440" s="42">
        <f>元データ!P437</f>
        <v>380</v>
      </c>
      <c r="B440" s="27">
        <f t="shared" si="6"/>
        <v>436</v>
      </c>
      <c r="C440" s="27" t="str">
        <f>DBCS(元データ!A437)</f>
        <v>ニューレプチル錠１０ｍｇ</v>
      </c>
      <c r="D440" s="55" t="str">
        <f>元データ!B437</f>
        <v>メディセオ</v>
      </c>
      <c r="E440" s="27" t="str">
        <f>元データ!C437</f>
        <v>バラ</v>
      </c>
      <c r="F440" s="27" t="str">
        <f>元データ!D437</f>
        <v>1000Ｔ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5" t="str">
        <f ca="1">IF(OFFSET(マスタ非採用削除!A$4,統合マスタ!$A440,0)="","",OFFSET(マスタ非採用削除!A$4,統合マスタ!$A440,0))</f>
        <v>ﾆﾕﾚ002</v>
      </c>
      <c r="O440" s="55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5" t="str">
        <f ca="1">IF(OFFSET(マスタ非採用削除!D$4,統合マスタ!$A440,0)="","",OFFSET(マスタ非採用削除!D$4,統合マスタ!$A440,0))</f>
        <v>ﾆｭｰﾚ10</v>
      </c>
      <c r="R440" s="27">
        <f ca="1">IF(OFFSET(マスタ非採用削除!E$4,統合マスタ!$A440,0)="","",OFFSET(マスタ非採用削除!E$4,統合マスタ!$A440,0))</f>
        <v>1</v>
      </c>
      <c r="S440" s="55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5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5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5</v>
      </c>
      <c r="AA440" s="27"/>
    </row>
    <row r="441" spans="1:27">
      <c r="A441" s="42">
        <f>元データ!P438</f>
        <v>379</v>
      </c>
      <c r="B441" s="27">
        <f t="shared" si="6"/>
        <v>437</v>
      </c>
      <c r="C441" s="27" t="str">
        <f>DBCS(元データ!A438)</f>
        <v>ニューレプチル錠５ｍｇ</v>
      </c>
      <c r="D441" s="55" t="str">
        <f>元データ!B438</f>
        <v/>
      </c>
      <c r="E441" s="27" t="str">
        <f>元データ!C438</f>
        <v>バラ</v>
      </c>
      <c r="F441" s="27" t="str">
        <f>元データ!D438</f>
        <v>1000T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5" t="str">
        <f ca="1">IF(OFFSET(マスタ非採用削除!A$4,統合マスタ!$A441,0)="","",OFFSET(マスタ非採用削除!A$4,統合マスタ!$A441,0))</f>
        <v>ﾆﾕﾚ001</v>
      </c>
      <c r="O441" s="55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5" t="str">
        <f ca="1">IF(OFFSET(マスタ非採用削除!D$4,統合マスタ!$A441,0)="","",OFFSET(マスタ非採用削除!D$4,統合マスタ!$A441,0))</f>
        <v>ﾆｭｰﾚ5</v>
      </c>
      <c r="R441" s="27">
        <f ca="1">IF(OFFSET(マスタ非採用削除!E$4,統合マスタ!$A441,0)="","",OFFSET(マスタ非採用削除!E$4,統合マスタ!$A441,0))</f>
        <v>1</v>
      </c>
      <c r="S441" s="55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5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5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5</v>
      </c>
      <c r="AA441" s="27"/>
    </row>
    <row r="442" spans="1:27">
      <c r="A442" s="42">
        <f>元データ!P439</f>
        <v>0</v>
      </c>
      <c r="B442" s="27">
        <f t="shared" si="6"/>
        <v>438</v>
      </c>
      <c r="C442" s="27" t="str">
        <f>DBCS(元データ!A439)</f>
        <v>ニルバジピン錠２ｍｇ「サワイ」</v>
      </c>
      <c r="D442" s="55" t="str">
        <f>元データ!B439</f>
        <v/>
      </c>
      <c r="E442" s="27" t="str">
        <f>元データ!C439</f>
        <v>バラ</v>
      </c>
      <c r="F442" s="27" t="str">
        <f>元データ!D439</f>
        <v>500T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5" t="str">
        <f ca="1">IF(OFFSET(マスタ非採用削除!A$4,統合マスタ!$A442,0)="","",OFFSET(マスタ非採用削除!A$4,統合マスタ!$A442,0))</f>
        <v>コード(区分値)</v>
      </c>
      <c r="O442" s="55" t="str">
        <f ca="1">IF(OFFSET(マスタ非採用削除!B$4,統合マスタ!$A442,0)="","",OFFSET(マスタ非採用削除!B$4,統合マスタ!$A442,0))</f>
        <v>コード</v>
      </c>
      <c r="P442" s="27" t="str">
        <f ca="1">IF(OFFSET(マスタ非採用削除!C$4,統合マスタ!$A442,0)="","",OFFSET(マスタ非採用削除!C$4,統合マスタ!$A442,0))</f>
        <v>名称</v>
      </c>
      <c r="Q442" s="55" t="str">
        <f ca="1">IF(OFFSET(マスタ非採用削除!D$4,統合マスタ!$A442,0)="","",OFFSET(マスタ非採用削除!D$4,統合マスタ!$A442,0))</f>
        <v>ホストコード</v>
      </c>
      <c r="R442" s="27" t="str">
        <f ca="1">IF(OFFSET(マスタ非採用削除!E$4,統合マスタ!$A442,0)="","",OFFSET(マスタ非採用削除!E$4,統合マスタ!$A442,0))</f>
        <v>採用区分（区分値）(区分値)</v>
      </c>
      <c r="S442" s="55" t="str">
        <f ca="1">IF(OFFSET(マスタ非採用削除!F$4,統合マスタ!$A442,0)="","",OFFSET(マスタ非採用削除!F$4,統合マスタ!$A442,0))</f>
        <v>採用区分（区分値）</v>
      </c>
      <c r="T442" s="27" t="str">
        <f ca="1">IF(OFFSET(マスタ非採用削除!G$4,統合マスタ!$A442,0)="","",OFFSET(マスタ非採用削除!G$4,統合マスタ!$A442,0))</f>
        <v>薬価</v>
      </c>
      <c r="U442" s="55" t="str">
        <f ca="1">IF(OFFSET(マスタ非採用削除!H$4,統合マスタ!$A442,0)="","",OFFSET(マスタ非採用削除!H$4,統合マスタ!$A442,0))</f>
        <v>カナ名称</v>
      </c>
      <c r="V442" s="27" t="str">
        <f ca="1">IF(OFFSET(マスタ非採用削除!I$4,統合マスタ!$A442,0)="","",OFFSET(マスタ非採用削除!I$4,統合マスタ!$A442,0))</f>
        <v>剤形(区分値)</v>
      </c>
      <c r="W442" s="27" t="str">
        <f ca="1">IF(OFFSET(マスタ非採用削除!J$4,統合マスタ!$A442,0)="","",OFFSET(マスタ非採用削除!J$4,統合マスタ!$A442,0))</f>
        <v>剤形</v>
      </c>
      <c r="X442" s="27" t="str">
        <f ca="1">IF(OFFSET(マスタ非採用削除!K$4,統合マスタ!$A442,0)="","",OFFSET(マスタ非採用削除!K$4,統合マスタ!$A442,0))</f>
        <v>毒劇薬（区分値）(区分値)</v>
      </c>
      <c r="Y442" s="55" t="str">
        <f ca="1">IF(OFFSET(マスタ非採用削除!L$4,統合マスタ!$A442,0)="","",OFFSET(マスタ非採用削除!L$4,統合マスタ!$A442,0))</f>
        <v>毒劇薬（区分値）</v>
      </c>
      <c r="Z442" s="27" t="str">
        <f ca="1">IF(OFFSET(マスタ非採用削除!M$4,統合マスタ!$A442,0)="","",OFFSET(マスタ非採用削除!M$4,統合マスタ!$A442,0))</f>
        <v>棚</v>
      </c>
      <c r="AA442" s="27"/>
    </row>
    <row r="443" spans="1:27">
      <c r="A443" s="42">
        <f>元データ!P440</f>
        <v>382</v>
      </c>
      <c r="B443" s="27">
        <f t="shared" si="6"/>
        <v>439</v>
      </c>
      <c r="C443" s="27" t="str">
        <f>DBCS(元データ!A440)</f>
        <v>ニルバジピン錠４ｍｇ「サワイ」</v>
      </c>
      <c r="D443" s="55" t="str">
        <f>元データ!B440</f>
        <v>東邦</v>
      </c>
      <c r="E443" s="27" t="str">
        <f>元データ!C440</f>
        <v>PTP</v>
      </c>
      <c r="F443" s="27" t="str">
        <f>元データ!D440</f>
        <v>100T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5" t="str">
        <f ca="1">IF(OFFSET(マスタ非採用削除!A$4,統合マスタ!$A443,0)="","",OFFSET(マスタ非採用削除!A$4,統合マスタ!$A443,0))</f>
        <v>ﾆﾙﾊ002</v>
      </c>
      <c r="O443" s="55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5" t="str">
        <f ca="1">IF(OFFSET(マスタ非採用削除!D$4,統合マスタ!$A443,0)="","",OFFSET(マスタ非採用削除!D$4,統合マスタ!$A443,0))</f>
        <v/>
      </c>
      <c r="R443" s="27">
        <f ca="1">IF(OFFSET(マスタ非採用削除!E$4,統合マスタ!$A443,0)="","",OFFSET(マスタ非採用削除!E$4,統合マスタ!$A443,0))</f>
        <v>1</v>
      </c>
      <c r="S443" s="55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5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5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/>
    </row>
    <row r="444" spans="1:27">
      <c r="A444" s="42">
        <f>元データ!P441</f>
        <v>383</v>
      </c>
      <c r="B444" s="27">
        <f t="shared" si="6"/>
        <v>440</v>
      </c>
      <c r="C444" s="27" t="str">
        <f>DBCS(元データ!A441)</f>
        <v>ネイリンカプセル１００ｍｇ</v>
      </c>
      <c r="D444" s="55" t="str">
        <f>元データ!B441</f>
        <v>KSK</v>
      </c>
      <c r="E444" s="27" t="str">
        <f>元データ!C441</f>
        <v>PTP</v>
      </c>
      <c r="F444" s="27" t="str">
        <f>元データ!D441</f>
        <v>84T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5" t="str">
        <f ca="1">IF(OFFSET(マスタ非採用削除!A$4,統合マスタ!$A444,0)="","",OFFSET(マスタ非採用削除!A$4,統合マスタ!$A444,0))</f>
        <v>ﾈｲﾘ001</v>
      </c>
      <c r="O444" s="55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5" t="str">
        <f ca="1">IF(OFFSET(マスタ非採用削除!D$4,統合マスタ!$A444,0)="","",OFFSET(マスタ非採用削除!D$4,統合マスタ!$A444,0))</f>
        <v>ﾈｲﾘ</v>
      </c>
      <c r="R444" s="27">
        <f ca="1">IF(OFFSET(マスタ非採用削除!E$4,統合マスタ!$A444,0)="","",OFFSET(マスタ非採用削除!E$4,統合マスタ!$A444,0))</f>
        <v>2</v>
      </c>
      <c r="S444" s="55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5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5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/>
    </row>
    <row r="445" spans="1:27">
      <c r="A445" s="42">
        <f>元データ!P442</f>
        <v>384</v>
      </c>
      <c r="B445" s="27">
        <f t="shared" si="6"/>
        <v>441</v>
      </c>
      <c r="C445" s="27" t="str">
        <f>DBCS(元データ!A442)</f>
        <v>ネオドパストン配合錠Ｌ１００</v>
      </c>
      <c r="D445" s="55" t="str">
        <f>元データ!B442</f>
        <v>アルフレッサ</v>
      </c>
      <c r="E445" s="27" t="str">
        <f>元データ!C442</f>
        <v>バラ</v>
      </c>
      <c r="F445" s="27" t="str">
        <f>元データ!D442</f>
        <v>1000T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5" t="str">
        <f ca="1">IF(OFFSET(マスタ非採用削除!A$4,統合マスタ!$A445,0)="","",OFFSET(マスタ非採用削除!A$4,統合マスタ!$A445,0))</f>
        <v>ﾈｵﾄ001</v>
      </c>
      <c r="O445" s="55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5" t="str">
        <f ca="1">IF(OFFSET(マスタ非採用削除!D$4,統合マスタ!$A445,0)="","",OFFSET(マスタ非採用削除!D$4,統合マスタ!$A445,0))</f>
        <v>ﾈｵﾄﾞﾊﾟ</v>
      </c>
      <c r="R445" s="27">
        <f ca="1">IF(OFFSET(マスタ非採用削除!E$4,統合マスタ!$A445,0)="","",OFFSET(マスタ非採用削除!E$4,統合マスタ!$A445,0))</f>
        <v>1</v>
      </c>
      <c r="S445" s="55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5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5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5</v>
      </c>
      <c r="AA445" s="27"/>
    </row>
    <row r="446" spans="1:27">
      <c r="A446" s="42">
        <f>元データ!P443</f>
        <v>386</v>
      </c>
      <c r="B446" s="27">
        <f t="shared" si="6"/>
        <v>442</v>
      </c>
      <c r="C446" s="27" t="str">
        <f>DBCS(元データ!A443)</f>
        <v>ネオファーゲン静注２０ｍｌ</v>
      </c>
      <c r="D446" s="55" t="str">
        <f>元データ!B443</f>
        <v>メディセオ</v>
      </c>
      <c r="E446" s="27" t="str">
        <f>元データ!C443</f>
        <v/>
      </c>
      <c r="F446" s="27" t="str">
        <f>元データ!D443</f>
        <v>20ｍｌｘ50A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5" t="str">
        <f ca="1">IF(OFFSET(マスタ非採用削除!A$4,統合マスタ!$A446,0)="","",OFFSET(マスタ非採用削除!A$4,統合マスタ!$A446,0))</f>
        <v>ﾈｵﾌ002</v>
      </c>
      <c r="O446" s="55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5" t="str">
        <f ca="1">IF(OFFSET(マスタ非採用削除!D$4,統合マスタ!$A446,0)="","",OFFSET(マスタ非採用削除!D$4,統合マスタ!$A446,0))</f>
        <v>ﾈｵﾌｧ</v>
      </c>
      <c r="R446" s="27">
        <f ca="1">IF(OFFSET(マスタ非採用削除!E$4,統合マスタ!$A446,0)="","",OFFSET(マスタ非採用削除!E$4,統合マスタ!$A446,0))</f>
        <v>1</v>
      </c>
      <c r="S446" s="55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5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5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/>
    </row>
    <row r="447" spans="1:27">
      <c r="A447" s="42">
        <f>元データ!P444</f>
        <v>385</v>
      </c>
      <c r="B447" s="27">
        <f t="shared" si="6"/>
        <v>443</v>
      </c>
      <c r="C447" s="27" t="str">
        <f>DBCS(元データ!A444)</f>
        <v>ネオフィリン注２５０ｍｇ</v>
      </c>
      <c r="D447" s="55" t="str">
        <f>元データ!B444</f>
        <v/>
      </c>
      <c r="E447" s="27" t="str">
        <f>元データ!C444</f>
        <v/>
      </c>
      <c r="F447" s="27" t="str">
        <f>元データ!D444</f>
        <v>10ｍｌｘ10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5" t="str">
        <f ca="1">IF(OFFSET(マスタ非採用削除!A$4,統合マスタ!$A447,0)="","",OFFSET(マスタ非採用削除!A$4,統合マスタ!$A447,0))</f>
        <v>ﾈｵﾌ001</v>
      </c>
      <c r="O447" s="55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5" t="str">
        <f ca="1">IF(OFFSET(マスタ非採用削除!D$4,統合マスタ!$A447,0)="","",OFFSET(マスタ非採用削除!D$4,統合マスタ!$A447,0))</f>
        <v>ﾈｵﾌｨﾘﾝ</v>
      </c>
      <c r="R447" s="27">
        <f ca="1">IF(OFFSET(マスタ非採用削除!E$4,統合マスタ!$A447,0)="","",OFFSET(マスタ非採用削除!E$4,統合マスタ!$A447,0))</f>
        <v>1</v>
      </c>
      <c r="S447" s="55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5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5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/>
    </row>
    <row r="448" spans="1:27">
      <c r="A448" s="42">
        <f>元データ!P445</f>
        <v>387</v>
      </c>
      <c r="B448" s="27">
        <f t="shared" si="6"/>
        <v>444</v>
      </c>
      <c r="C448" s="27" t="str">
        <f>DBCS(元データ!A445)</f>
        <v>ネオメドロールＥＥ軟膏</v>
      </c>
      <c r="D448" s="55" t="str">
        <f>元データ!B445</f>
        <v>アルフレッサ</v>
      </c>
      <c r="E448" s="27" t="str">
        <f>元データ!C445</f>
        <v/>
      </c>
      <c r="F448" s="27" t="str">
        <f>元データ!D445</f>
        <v>3ｇｘ10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5" t="str">
        <f ca="1">IF(OFFSET(マスタ非採用削除!A$4,統合マスタ!$A448,0)="","",OFFSET(マスタ非採用削除!A$4,統合マスタ!$A448,0))</f>
        <v>ﾈｵﾒ001</v>
      </c>
      <c r="O448" s="55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5" t="str">
        <f ca="1">IF(OFFSET(マスタ非採用削除!D$4,統合マスタ!$A448,0)="","",OFFSET(マスタ非採用削除!D$4,統合マスタ!$A448,0))</f>
        <v/>
      </c>
      <c r="R448" s="27">
        <f ca="1">IF(OFFSET(マスタ非採用削除!E$4,統合マスタ!$A448,0)="","",OFFSET(マスタ非採用削除!E$4,統合マスタ!$A448,0))</f>
        <v>1</v>
      </c>
      <c r="S448" s="55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5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5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/>
    </row>
    <row r="449" spans="1:27">
      <c r="A449" s="42">
        <f>元データ!P446</f>
        <v>388</v>
      </c>
      <c r="B449" s="27">
        <f t="shared" si="6"/>
        <v>445</v>
      </c>
      <c r="C449" s="27" t="str">
        <f>DBCS(元データ!A446)</f>
        <v>ノイロトロピン錠４単位</v>
      </c>
      <c r="D449" s="55" t="str">
        <f>元データ!B446</f>
        <v>メディセオ</v>
      </c>
      <c r="E449" s="27" t="str">
        <f>元データ!C446</f>
        <v>PTP</v>
      </c>
      <c r="F449" s="27" t="str">
        <f>元データ!D446</f>
        <v>1000T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5" t="str">
        <f ca="1">IF(OFFSET(マスタ非採用削除!A$4,統合マスタ!$A449,0)="","",OFFSET(マスタ非採用削除!A$4,統合マスタ!$A449,0))</f>
        <v>ﾉｲﾛ001</v>
      </c>
      <c r="O449" s="55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5" t="str">
        <f ca="1">IF(OFFSET(マスタ非採用削除!D$4,統合マスタ!$A449,0)="","",OFFSET(マスタ非採用削除!D$4,統合マスタ!$A449,0))</f>
        <v>ﾉｲﾛﾄﾛﾋ</v>
      </c>
      <c r="R449" s="27">
        <f ca="1">IF(OFFSET(マスタ非採用削除!E$4,統合マスタ!$A449,0)="","",OFFSET(マスタ非採用削除!E$4,統合マスタ!$A449,0))</f>
        <v>1</v>
      </c>
      <c r="S449" s="55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5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5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5</v>
      </c>
      <c r="AA449" s="27"/>
    </row>
    <row r="450" spans="1:27">
      <c r="A450" s="42">
        <f>元データ!P447</f>
        <v>389</v>
      </c>
      <c r="B450" s="27">
        <f t="shared" si="6"/>
        <v>446</v>
      </c>
      <c r="C450" s="27" t="str">
        <f>DBCS(元データ!A447)</f>
        <v>ノイロビタン配合錠</v>
      </c>
      <c r="D450" s="55" t="str">
        <f>元データ!B447</f>
        <v>アルフレッサ</v>
      </c>
      <c r="E450" s="27" t="str">
        <f>元データ!C447</f>
        <v>PTP</v>
      </c>
      <c r="F450" s="27" t="str">
        <f>元データ!D447</f>
        <v>500T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5" t="str">
        <f ca="1">IF(OFFSET(マスタ非採用削除!A$4,統合マスタ!$A450,0)="","",OFFSET(マスタ非採用削除!A$4,統合マスタ!$A450,0))</f>
        <v>ﾉｲﾛ003</v>
      </c>
      <c r="O450" s="55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5" t="str">
        <f ca="1">IF(OFFSET(マスタ非採用削除!D$4,統合マスタ!$A450,0)="","",OFFSET(マスタ非採用削除!D$4,統合マスタ!$A450,0))</f>
        <v/>
      </c>
      <c r="R450" s="27">
        <f ca="1">IF(OFFSET(マスタ非採用削除!E$4,統合マスタ!$A450,0)="","",OFFSET(マスタ非採用削除!E$4,統合マスタ!$A450,0))</f>
        <v>1</v>
      </c>
      <c r="S450" s="55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5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5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5</v>
      </c>
      <c r="AA450" s="27"/>
    </row>
    <row r="451" spans="1:27">
      <c r="A451" s="42">
        <f>元データ!P448</f>
        <v>389</v>
      </c>
      <c r="B451" s="27">
        <f t="shared" si="6"/>
        <v>447</v>
      </c>
      <c r="C451" s="27" t="str">
        <f>DBCS(元データ!A448)</f>
        <v>ノイロビタン配合錠</v>
      </c>
      <c r="D451" s="55" t="str">
        <f>元データ!B448</f>
        <v>アルフレッサ</v>
      </c>
      <c r="E451" s="27" t="str">
        <f>元データ!C448</f>
        <v>バラ</v>
      </c>
      <c r="F451" s="27" t="str">
        <f>元データ!D448</f>
        <v>1000T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5" t="str">
        <f ca="1">IF(OFFSET(マスタ非採用削除!A$4,統合マスタ!$A451,0)="","",OFFSET(マスタ非採用削除!A$4,統合マスタ!$A451,0))</f>
        <v>ﾉｲﾛ003</v>
      </c>
      <c r="O451" s="55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5" t="str">
        <f ca="1">IF(OFFSET(マスタ非採用削除!D$4,統合マスタ!$A451,0)="","",OFFSET(マスタ非採用削除!D$4,統合マスタ!$A451,0))</f>
        <v/>
      </c>
      <c r="R451" s="27">
        <f ca="1">IF(OFFSET(マスタ非採用削除!E$4,統合マスタ!$A451,0)="","",OFFSET(マスタ非採用削除!E$4,統合マスタ!$A451,0))</f>
        <v>1</v>
      </c>
      <c r="S451" s="55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5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5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5</v>
      </c>
      <c r="AA451" s="27"/>
    </row>
    <row r="452" spans="1:27">
      <c r="A452" s="42" t="str">
        <f>元データ!P449</f>
        <v>非採用</v>
      </c>
      <c r="B452" s="27">
        <f t="shared" si="6"/>
        <v>448</v>
      </c>
      <c r="C452" s="27" t="str">
        <f>DBCS(元データ!A449)</f>
        <v>ノウリアスト錠２０ｍｇ</v>
      </c>
      <c r="D452" s="55" t="str">
        <f>元データ!B449</f>
        <v>メディセオ</v>
      </c>
      <c r="E452" s="27" t="str">
        <f>元データ!C449</f>
        <v>PTP</v>
      </c>
      <c r="F452" s="27" t="str">
        <f>元データ!D449</f>
        <v>100T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5" t="e">
        <f ca="1">IF(OFFSET(マスタ非採用削除!A$4,統合マスタ!$A452,0)="","",OFFSET(マスタ非採用削除!A$4,統合マスタ!$A452,0))</f>
        <v>#VALUE!</v>
      </c>
      <c r="O452" s="55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5" t="e">
        <f ca="1">IF(OFFSET(マスタ非採用削除!D$4,統合マスタ!$A452,0)="","",OFFSET(マスタ非採用削除!D$4,統合マスタ!$A452,0))</f>
        <v>#VALUE!</v>
      </c>
      <c r="R452" s="27" t="e">
        <f ca="1">IF(OFFSET(マスタ非採用削除!E$4,統合マスタ!$A452,0)="","",OFFSET(マスタ非採用削除!E$4,統合マスタ!$A452,0))</f>
        <v>#VALUE!</v>
      </c>
      <c r="S452" s="55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5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5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">
        <v>4076</v>
      </c>
    </row>
    <row r="453" spans="1:27">
      <c r="A453" s="42">
        <f>元データ!P450</f>
        <v>390</v>
      </c>
      <c r="B453" s="27">
        <f t="shared" si="6"/>
        <v>449</v>
      </c>
      <c r="C453" s="27" t="str">
        <f>DBCS(元データ!A450)</f>
        <v>ノベルジン錠２５ｍｇ</v>
      </c>
      <c r="D453" s="55" t="str">
        <f>元データ!B450</f>
        <v>メディセオ</v>
      </c>
      <c r="E453" s="27" t="str">
        <f>元データ!C450</f>
        <v>PTP</v>
      </c>
      <c r="F453" s="27" t="str">
        <f>元データ!D450</f>
        <v>100T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5" t="str">
        <f ca="1">IF(OFFSET(マスタ非採用削除!A$4,統合マスタ!$A453,0)="","",OFFSET(マスタ非採用削除!A$4,統合マスタ!$A453,0))</f>
        <v>ﾉﾍﾙ001</v>
      </c>
      <c r="O453" s="55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5" t="str">
        <f ca="1">IF(OFFSET(マスタ非採用削除!D$4,統合マスタ!$A453,0)="","",OFFSET(マスタ非採用削除!D$4,統合マスタ!$A453,0))</f>
        <v>ﾉﾍﾞﾙ</v>
      </c>
      <c r="R453" s="27">
        <f ca="1">IF(OFFSET(マスタ非採用削除!E$4,統合マスタ!$A453,0)="","",OFFSET(マスタ非採用削除!E$4,統合マスタ!$A453,0))</f>
        <v>2</v>
      </c>
      <c r="S453" s="55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5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5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/>
    </row>
    <row r="454" spans="1:27">
      <c r="A454" s="42">
        <f>元データ!P451</f>
        <v>391</v>
      </c>
      <c r="B454" s="27">
        <f t="shared" si="6"/>
        <v>450</v>
      </c>
      <c r="C454" s="27" t="str">
        <f>DBCS(元データ!A451)</f>
        <v>ノルアドリナリン注１ｍｇ</v>
      </c>
      <c r="D454" s="55" t="str">
        <f>元データ!B451</f>
        <v/>
      </c>
      <c r="E454" s="27" t="str">
        <f>元データ!C451</f>
        <v/>
      </c>
      <c r="F454" s="27" t="str">
        <f>元データ!D451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5" t="str">
        <f ca="1">IF(OFFSET(マスタ非採用削除!A$4,統合マスタ!$A454,0)="","",OFFSET(マスタ非採用削除!A$4,統合マスタ!$A454,0))</f>
        <v>ﾉﾙｱ001</v>
      </c>
      <c r="O454" s="55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5" t="str">
        <f ca="1">IF(OFFSET(マスタ非採用削除!D$4,統合マスタ!$A454,0)="","",OFFSET(マスタ非採用削除!D$4,統合マスタ!$A454,0))</f>
        <v>ﾉﾙｱﾄﾞﾚ</v>
      </c>
      <c r="R454" s="27">
        <f ca="1">IF(OFFSET(マスタ非採用削除!E$4,統合マスタ!$A454,0)="","",OFFSET(マスタ非採用削除!E$4,統合マスタ!$A454,0))</f>
        <v>1</v>
      </c>
      <c r="S454" s="55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5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5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/>
    </row>
    <row r="455" spans="1:27">
      <c r="A455" s="42">
        <f>元データ!P452</f>
        <v>399</v>
      </c>
      <c r="B455" s="27">
        <f t="shared" ref="B455:B518" si="7">B454+1</f>
        <v>451</v>
      </c>
      <c r="C455" s="27" t="str">
        <f>DBCS(元データ!A452)</f>
        <v>ハーフジゴキシンＫＹ錠０．１２５</v>
      </c>
      <c r="D455" s="55" t="str">
        <f>元データ!B452</f>
        <v/>
      </c>
      <c r="E455" s="27" t="str">
        <f>元データ!C452</f>
        <v>PTP</v>
      </c>
      <c r="F455" s="27" t="str">
        <f>元データ!D452</f>
        <v>100Ｔ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5" t="str">
        <f ca="1">IF(OFFSET(マスタ非採用削除!A$4,統合マスタ!$A455,0)="","",OFFSET(マスタ非採用削除!A$4,統合マスタ!$A455,0))</f>
        <v>ﾊﾌｼ001</v>
      </c>
      <c r="O455" s="55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5" t="str">
        <f ca="1">IF(OFFSET(マスタ非採用削除!D$4,統合マスタ!$A455,0)="","",OFFSET(マスタ非採用削除!D$4,統合マスタ!$A455,0))</f>
        <v>ﾊｰﾌ</v>
      </c>
      <c r="R455" s="27">
        <f ca="1">IF(OFFSET(マスタ非採用削除!E$4,統合マスタ!$A455,0)="","",OFFSET(マスタ非採用削除!E$4,統合マスタ!$A455,0))</f>
        <v>2</v>
      </c>
      <c r="S455" s="55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5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5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/>
    </row>
    <row r="456" spans="1:27">
      <c r="A456" s="42">
        <f>元データ!P453</f>
        <v>392</v>
      </c>
      <c r="B456" s="27">
        <f t="shared" si="7"/>
        <v>452</v>
      </c>
      <c r="C456" s="27" t="str">
        <f>DBCS(元データ!A453)</f>
        <v>ハイペン錠２００ｍｇ</v>
      </c>
      <c r="D456" s="55" t="str">
        <f>元データ!B453</f>
        <v>アルフレッサ</v>
      </c>
      <c r="E456" s="27" t="str">
        <f>元データ!C453</f>
        <v>PTP</v>
      </c>
      <c r="F456" s="27" t="str">
        <f>元データ!D453</f>
        <v>100T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5" t="str">
        <f ca="1">IF(OFFSET(マスタ非採用削除!A$4,統合マスタ!$A456,0)="","",OFFSET(マスタ非採用削除!A$4,統合マスタ!$A456,0))</f>
        <v>ﾊｲﾍ001</v>
      </c>
      <c r="O456" s="55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5" t="str">
        <f ca="1">IF(OFFSET(マスタ非採用削除!D$4,統合マスタ!$A456,0)="","",OFFSET(マスタ非採用削除!D$4,統合マスタ!$A456,0))</f>
        <v/>
      </c>
      <c r="R456" s="27">
        <f ca="1">IF(OFFSET(マスタ非採用削除!E$4,統合マスタ!$A456,0)="","",OFFSET(マスタ非採用削除!E$4,統合マスタ!$A456,0))</f>
        <v>1</v>
      </c>
      <c r="S456" s="55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5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5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6</v>
      </c>
      <c r="AA456" s="27"/>
    </row>
    <row r="457" spans="1:27">
      <c r="A457" s="42">
        <f>元データ!P454</f>
        <v>393</v>
      </c>
      <c r="B457" s="27">
        <f t="shared" si="7"/>
        <v>453</v>
      </c>
      <c r="C457" s="27" t="str">
        <f>DBCS(元データ!A454)</f>
        <v>パキシルＣＲ錠１２．５ｍｇ</v>
      </c>
      <c r="D457" s="55" t="str">
        <f>元データ!B454</f>
        <v>アルフレッサ</v>
      </c>
      <c r="E457" s="27" t="str">
        <f>元データ!C454</f>
        <v>PTP</v>
      </c>
      <c r="F457" s="27" t="str">
        <f>元データ!D454</f>
        <v>140Ｔ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5" t="str">
        <f ca="1">IF(OFFSET(マスタ非採用削除!A$4,統合マスタ!$A457,0)="","",OFFSET(マスタ非採用削除!A$4,統合マスタ!$A457,0))</f>
        <v>ﾊｷｼ002</v>
      </c>
      <c r="O457" s="55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5" t="str">
        <f ca="1">IF(OFFSET(マスタ非採用削除!D$4,統合マスタ!$A457,0)="","",OFFSET(マスタ非採用削除!D$4,統合マスタ!$A457,0))</f>
        <v>ﾊﾟｷｼ</v>
      </c>
      <c r="R457" s="27">
        <f ca="1">IF(OFFSET(マスタ非採用削除!E$4,統合マスタ!$A457,0)="","",OFFSET(マスタ非採用削除!E$4,統合マスタ!$A457,0))</f>
        <v>1</v>
      </c>
      <c r="S457" s="55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5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5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6</v>
      </c>
      <c r="AA457" s="27"/>
    </row>
    <row r="458" spans="1:27">
      <c r="A458" s="42">
        <f>元データ!P455</f>
        <v>393</v>
      </c>
      <c r="B458" s="27">
        <f t="shared" si="7"/>
        <v>454</v>
      </c>
      <c r="C458" s="27" t="str">
        <f>DBCS(元データ!A455)</f>
        <v>パキシルＣＲ錠１２．５ｍｇ</v>
      </c>
      <c r="D458" s="55" t="str">
        <f>元データ!B455</f>
        <v>アルフレッサ</v>
      </c>
      <c r="E458" s="27" t="str">
        <f>元データ!C455</f>
        <v>バラ</v>
      </c>
      <c r="F458" s="27" t="str">
        <f>元データ!D455</f>
        <v>500Ｔ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5" t="str">
        <f ca="1">IF(OFFSET(マスタ非採用削除!A$4,統合マスタ!$A458,0)="","",OFFSET(マスタ非採用削除!A$4,統合マスタ!$A458,0))</f>
        <v>ﾊｷｼ002</v>
      </c>
      <c r="O458" s="55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5" t="str">
        <f ca="1">IF(OFFSET(マスタ非採用削除!D$4,統合マスタ!$A458,0)="","",OFFSET(マスタ非採用削除!D$4,統合マスタ!$A458,0))</f>
        <v>ﾊﾟｷｼ</v>
      </c>
      <c r="R458" s="27">
        <f ca="1">IF(OFFSET(マスタ非採用削除!E$4,統合マスタ!$A458,0)="","",OFFSET(マスタ非採用削除!E$4,統合マスタ!$A458,0))</f>
        <v>1</v>
      </c>
      <c r="S458" s="55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5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5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6</v>
      </c>
      <c r="AA458" s="27"/>
    </row>
    <row r="459" spans="1:27">
      <c r="A459" s="42">
        <f>元データ!P456</f>
        <v>397</v>
      </c>
      <c r="B459" s="27">
        <f t="shared" si="7"/>
        <v>455</v>
      </c>
      <c r="C459" s="27" t="str">
        <f>DBCS(元データ!A456)</f>
        <v>バッサミン配合錠Ａ８１</v>
      </c>
      <c r="D459" s="55" t="str">
        <f>元データ!B456</f>
        <v>アルフレッサ</v>
      </c>
      <c r="E459" s="27" t="str">
        <f>元データ!C456</f>
        <v>PTP</v>
      </c>
      <c r="F459" s="27" t="str">
        <f>元データ!D456</f>
        <v>1000T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5" t="str">
        <f ca="1">IF(OFFSET(マスタ非採用削除!A$4,統合マスタ!$A459,0)="","",OFFSET(マスタ非採用削除!A$4,統合マスタ!$A459,0))</f>
        <v>ﾊﾂｻ001</v>
      </c>
      <c r="O459" s="55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5" t="str">
        <f ca="1">IF(OFFSET(マスタ非採用削除!D$4,統合マスタ!$A459,0)="","",OFFSET(マスタ非採用削除!D$4,統合マスタ!$A459,0))</f>
        <v>ﾊﾞｯｻﾐ</v>
      </c>
      <c r="R459" s="27">
        <f ca="1">IF(OFFSET(マスタ非採用削除!E$4,統合マスタ!$A459,0)="","",OFFSET(マスタ非採用削除!E$4,統合マスタ!$A459,0))</f>
        <v>1</v>
      </c>
      <c r="S459" s="55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5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5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5</v>
      </c>
      <c r="AA459" s="27"/>
    </row>
    <row r="460" spans="1:27">
      <c r="A460" s="42">
        <f>元データ!P457</f>
        <v>398</v>
      </c>
      <c r="B460" s="27">
        <f t="shared" si="7"/>
        <v>456</v>
      </c>
      <c r="C460" s="27" t="str">
        <f>DBCS(元データ!A457)</f>
        <v>バナン錠１００ｍｇ（第一三共）</v>
      </c>
      <c r="D460" s="55" t="str">
        <f>元データ!B457</f>
        <v>メディセオ</v>
      </c>
      <c r="E460" s="27" t="str">
        <f>元データ!C457</f>
        <v>PTP</v>
      </c>
      <c r="F460" s="27" t="str">
        <f>元データ!D457</f>
        <v>100Ｔ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5" t="str">
        <f ca="1">IF(OFFSET(マスタ非採用削除!A$4,統合マスタ!$A460,0)="","",OFFSET(マスタ非採用削除!A$4,統合マスタ!$A460,0))</f>
        <v>ﾊﾅﾝ001</v>
      </c>
      <c r="O460" s="55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5" t="str">
        <f ca="1">IF(OFFSET(マスタ非採用削除!D$4,統合マスタ!$A460,0)="","",OFFSET(マスタ非採用削除!D$4,統合マスタ!$A460,0))</f>
        <v>ﾊﾞﾅﾝ1*</v>
      </c>
      <c r="R460" s="27">
        <f ca="1">IF(OFFSET(マスタ非採用削除!E$4,統合マスタ!$A460,0)="","",OFFSET(マスタ非採用削除!E$4,統合マスタ!$A460,0))</f>
        <v>1</v>
      </c>
      <c r="S460" s="55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5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5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/>
    </row>
    <row r="461" spans="1:27">
      <c r="A461" s="42">
        <f>元データ!P458</f>
        <v>400</v>
      </c>
      <c r="B461" s="27">
        <f t="shared" si="7"/>
        <v>457</v>
      </c>
      <c r="C461" s="27" t="str">
        <f>DBCS(元データ!A458)</f>
        <v>ハベカシン注射液７５ｍｇ</v>
      </c>
      <c r="D461" s="55" t="str">
        <f>元データ!B458</f>
        <v>アルフレッサ</v>
      </c>
      <c r="E461" s="27" t="str">
        <f>元データ!C458</f>
        <v/>
      </c>
      <c r="F461" s="27" t="str">
        <f>元データ!D458</f>
        <v>1.5ｍｌｘ10A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5" t="str">
        <f ca="1">IF(OFFSET(マスタ非採用削除!A$4,統合マスタ!$A461,0)="","",OFFSET(マスタ非採用削除!A$4,統合マスタ!$A461,0))</f>
        <v>ﾊﾍｶ001</v>
      </c>
      <c r="O461" s="55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5" t="str">
        <f ca="1">IF(OFFSET(マスタ非採用削除!D$4,統合マスタ!$A461,0)="","",OFFSET(マスタ非採用削除!D$4,統合マスタ!$A461,0))</f>
        <v>ﾊﾍﾞｶｼﾝ</v>
      </c>
      <c r="R461" s="27">
        <f ca="1">IF(OFFSET(マスタ非採用削除!E$4,統合マスタ!$A461,0)="","",OFFSET(マスタ非採用削除!E$4,統合マスタ!$A461,0))</f>
        <v>1</v>
      </c>
      <c r="S461" s="55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5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5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/>
    </row>
    <row r="462" spans="1:27">
      <c r="A462" s="42">
        <f>元データ!P459</f>
        <v>401</v>
      </c>
      <c r="B462" s="27">
        <f t="shared" si="7"/>
        <v>458</v>
      </c>
      <c r="C462" s="27" t="str">
        <f>DBCS(元データ!A459)</f>
        <v>バラシクロビル錠５００ｍｇ「ＳＰＫＫ」</v>
      </c>
      <c r="D462" s="55" t="str">
        <f>元データ!B459</f>
        <v>アルフレッサ</v>
      </c>
      <c r="E462" s="27" t="str">
        <f>元データ!C459</f>
        <v>PTP</v>
      </c>
      <c r="F462" s="27" t="str">
        <f>元データ!D459</f>
        <v>42Ｔ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5" t="str">
        <f ca="1">IF(OFFSET(マスタ非採用削除!A$4,統合マスタ!$A462,0)="","",OFFSET(マスタ非採用削除!A$4,統合マスタ!$A462,0))</f>
        <v>ﾊﾗｼ002</v>
      </c>
      <c r="O462" s="55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5" t="str">
        <f ca="1">IF(OFFSET(マスタ非採用削除!D$4,統合マスタ!$A462,0)="","",OFFSET(マスタ非採用削除!D$4,統合マスタ!$A462,0))</f>
        <v/>
      </c>
      <c r="R462" s="27">
        <f ca="1">IF(OFFSET(マスタ非採用削除!E$4,統合マスタ!$A462,0)="","",OFFSET(マスタ非採用削除!E$4,統合マスタ!$A462,0))</f>
        <v>1</v>
      </c>
      <c r="S462" s="55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5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5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/>
    </row>
    <row r="463" spans="1:27">
      <c r="A463" s="42">
        <f>元データ!P460</f>
        <v>572</v>
      </c>
      <c r="B463" s="27">
        <f t="shared" si="7"/>
        <v>459</v>
      </c>
      <c r="C463" s="27" t="str">
        <f>DBCS(元データ!A460)</f>
        <v>バルプロ酸ＮＡ徐放顆粒４０％「フジナガ」</v>
      </c>
      <c r="D463" s="55" t="str">
        <f>元データ!B460</f>
        <v/>
      </c>
      <c r="E463" s="27" t="str">
        <f>元データ!C460</f>
        <v>粉</v>
      </c>
      <c r="F463" s="27" t="str">
        <f>元データ!D460</f>
        <v>500ｇ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5" t="str">
        <f ca="1">IF(OFFSET(マスタ非採用削除!A$4,統合マスタ!$A463,0)="","",OFFSET(マスタ非採用削除!A$4,統合マスタ!$A463,0))</f>
        <v>ﾓｷｼ001</v>
      </c>
      <c r="O463" s="55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5" t="str">
        <f ca="1">IF(OFFSET(マスタ非採用削除!D$4,統合マスタ!$A463,0)="","",OFFSET(マスタ非採用削除!D$4,統合マスタ!$A463,0))</f>
        <v/>
      </c>
      <c r="R463" s="27">
        <f ca="1">IF(OFFSET(マスタ非採用削除!E$4,統合マスタ!$A463,0)="","",OFFSET(マスタ非採用削除!E$4,統合マスタ!$A463,0))</f>
        <v>2</v>
      </c>
      <c r="S463" s="55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5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5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/>
    </row>
    <row r="464" spans="1:27">
      <c r="A464" s="42">
        <f>元データ!P461</f>
        <v>403</v>
      </c>
      <c r="B464" s="27">
        <f t="shared" si="7"/>
        <v>460</v>
      </c>
      <c r="C464" s="27" t="str">
        <f>DBCS(元データ!A461)</f>
        <v>バルプロ酸ナトリウムシロップ５％「ＤＳＰ」</v>
      </c>
      <c r="D464" s="55" t="str">
        <f>元データ!B461</f>
        <v/>
      </c>
      <c r="E464" s="27" t="str">
        <f>元データ!C461</f>
        <v/>
      </c>
      <c r="F464" s="27" t="str">
        <f>元データ!D461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5" t="str">
        <f ca="1">IF(OFFSET(マスタ非採用削除!A$4,統合マスタ!$A464,0)="","",OFFSET(マスタ非採用削除!A$4,統合マスタ!$A464,0))</f>
        <v>ﾊﾙﾌ003</v>
      </c>
      <c r="O464" s="55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5" t="str">
        <f ca="1">IF(OFFSET(マスタ非採用削除!D$4,統合マスタ!$A464,0)="","",OFFSET(マスタ非採用削除!D$4,統合マスタ!$A464,0))</f>
        <v/>
      </c>
      <c r="R464" s="27">
        <f ca="1">IF(OFFSET(マスタ非採用削除!E$4,統合マスタ!$A464,0)="","",OFFSET(マスタ非採用削除!E$4,統合マスタ!$A464,0))</f>
        <v>1</v>
      </c>
      <c r="S464" s="55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5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5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/>
    </row>
    <row r="465" spans="1:27">
      <c r="A465" s="42">
        <f>元データ!P462</f>
        <v>402</v>
      </c>
      <c r="B465" s="27">
        <f t="shared" si="7"/>
        <v>461</v>
      </c>
      <c r="C465" s="27" t="str">
        <f>DBCS(元データ!A462)</f>
        <v>バルプロ酸ナトリウム錠２００ｍｇ「ＤＳＰ」</v>
      </c>
      <c r="D465" s="55" t="str">
        <f>元データ!B462</f>
        <v>アルフレッサ</v>
      </c>
      <c r="E465" s="27" t="str">
        <f>元データ!C462</f>
        <v>バラ</v>
      </c>
      <c r="F465" s="27" t="str">
        <f>元データ!D462</f>
        <v>500Ｔ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5" t="str">
        <f ca="1">IF(OFFSET(マスタ非採用削除!A$4,統合マスタ!$A465,0)="","",OFFSET(マスタ非採用削除!A$4,統合マスタ!$A465,0))</f>
        <v>ﾊﾙﾌ001</v>
      </c>
      <c r="O465" s="55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5" t="str">
        <f ca="1">IF(OFFSET(マスタ非採用削除!D$4,統合マスタ!$A465,0)="","",OFFSET(マスタ非採用削除!D$4,統合マスタ!$A465,0))</f>
        <v>ﾊﾞﾙﾌﾟ2</v>
      </c>
      <c r="R465" s="27">
        <f ca="1">IF(OFFSET(マスタ非採用削除!E$4,統合マスタ!$A465,0)="","",OFFSET(マスタ非採用削除!E$4,統合マスタ!$A465,0))</f>
        <v>1</v>
      </c>
      <c r="S465" s="55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5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5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5</v>
      </c>
      <c r="AA465" s="27"/>
    </row>
    <row r="466" spans="1:27">
      <c r="A466" s="42">
        <f>元データ!P463</f>
        <v>404</v>
      </c>
      <c r="B466" s="27">
        <f t="shared" si="7"/>
        <v>462</v>
      </c>
      <c r="C466" s="27" t="str">
        <f>DBCS(元データ!A463)</f>
        <v>パレプラス輸液</v>
      </c>
      <c r="D466" s="55" t="str">
        <f>元データ!B463</f>
        <v>メディセオ</v>
      </c>
      <c r="E466" s="27" t="str">
        <f>元データ!C463</f>
        <v/>
      </c>
      <c r="F466" s="27" t="str">
        <f>元データ!D463</f>
        <v>500ｍｌｘ20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5" t="str">
        <f ca="1">IF(OFFSET(マスタ非採用削除!A$4,統合マスタ!$A466,0)="","",OFFSET(マスタ非採用削除!A$4,統合マスタ!$A466,0))</f>
        <v>ﾊﾚﾌ001</v>
      </c>
      <c r="O466" s="55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5" t="str">
        <f ca="1">IF(OFFSET(マスタ非採用削除!D$4,統合マスタ!$A466,0)="","",OFFSET(マスタ非採用削除!D$4,統合マスタ!$A466,0))</f>
        <v>ﾊﾟﾚﾌﾟ</v>
      </c>
      <c r="R466" s="27">
        <f ca="1">IF(OFFSET(マスタ非採用削除!E$4,統合マスタ!$A466,0)="","",OFFSET(マスタ非採用削除!E$4,統合マスタ!$A466,0))</f>
        <v>1</v>
      </c>
      <c r="S466" s="55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5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5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/>
    </row>
    <row r="467" spans="1:27">
      <c r="A467" s="42">
        <f>元データ!P464</f>
        <v>405</v>
      </c>
      <c r="B467" s="27">
        <f t="shared" si="7"/>
        <v>463</v>
      </c>
      <c r="C467" s="27" t="str">
        <f>DBCS(元データ!A464)</f>
        <v>パロキセチンＯＤ錠１０ｍｇ「トーワ」</v>
      </c>
      <c r="D467" s="55" t="str">
        <f>元データ!B464</f>
        <v>東和薬品</v>
      </c>
      <c r="E467" s="27" t="str">
        <f>元データ!C464</f>
        <v>ＰＴＰ</v>
      </c>
      <c r="F467" s="27" t="str">
        <f>元データ!D464</f>
        <v>100T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5" t="str">
        <f ca="1">IF(OFFSET(マスタ非採用削除!A$4,統合マスタ!$A467,0)="","",OFFSET(マスタ非採用削除!A$4,統合マスタ!$A467,0))</f>
        <v>ﾊﾛｷ001</v>
      </c>
      <c r="O467" s="55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5" t="str">
        <f ca="1">IF(OFFSET(マスタ非採用削除!D$4,統合マスタ!$A467,0)="","",OFFSET(マスタ非採用削除!D$4,統合マスタ!$A467,0))</f>
        <v/>
      </c>
      <c r="R467" s="27">
        <f ca="1">IF(OFFSET(マスタ非採用削除!E$4,統合マスタ!$A467,0)="","",OFFSET(マスタ非採用削除!E$4,統合マスタ!$A467,0))</f>
        <v>1</v>
      </c>
      <c r="S467" s="55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5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5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6</v>
      </c>
      <c r="AA467" s="27"/>
    </row>
    <row r="468" spans="1:27">
      <c r="A468" s="42">
        <f>元データ!P465</f>
        <v>405</v>
      </c>
      <c r="B468" s="27">
        <f t="shared" si="7"/>
        <v>464</v>
      </c>
      <c r="C468" s="27" t="str">
        <f>DBCS(元データ!A465)</f>
        <v>パロキセチンＯＤ錠１０ｍｇ「トーワ」</v>
      </c>
      <c r="D468" s="55" t="str">
        <f>元データ!B465</f>
        <v>東和薬品</v>
      </c>
      <c r="E468" s="27" t="str">
        <f>元データ!C465</f>
        <v>バラ</v>
      </c>
      <c r="F468" s="27" t="str">
        <f>元データ!D465</f>
        <v>300T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5" t="str">
        <f ca="1">IF(OFFSET(マスタ非採用削除!A$4,統合マスタ!$A468,0)="","",OFFSET(マスタ非採用削除!A$4,統合マスタ!$A468,0))</f>
        <v>ﾊﾛｷ001</v>
      </c>
      <c r="O468" s="55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5" t="str">
        <f ca="1">IF(OFFSET(マスタ非採用削除!D$4,統合マスタ!$A468,0)="","",OFFSET(マスタ非採用削除!D$4,統合マスタ!$A468,0))</f>
        <v/>
      </c>
      <c r="R468" s="27">
        <f ca="1">IF(OFFSET(マスタ非採用削除!E$4,統合マスタ!$A468,0)="","",OFFSET(マスタ非採用削除!E$4,統合マスタ!$A468,0))</f>
        <v>1</v>
      </c>
      <c r="S468" s="55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5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5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6</v>
      </c>
      <c r="AA468" s="27"/>
    </row>
    <row r="469" spans="1:27">
      <c r="A469" s="42">
        <f>元データ!P466</f>
        <v>410</v>
      </c>
      <c r="B469" s="27">
        <f t="shared" si="7"/>
        <v>465</v>
      </c>
      <c r="C469" s="27" t="str">
        <f>DBCS(元データ!A466)</f>
        <v>ハロペリドール細粒１％「ヨシトミ」　　　　　　　</v>
      </c>
      <c r="D469" s="55" t="str">
        <f>元データ!B466</f>
        <v>メディセオ</v>
      </c>
      <c r="E469" s="27" t="str">
        <f>元データ!C466</f>
        <v>粉</v>
      </c>
      <c r="F469" s="27" t="str">
        <f>元データ!D466</f>
        <v>100ｇ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5" t="str">
        <f ca="1">IF(OFFSET(マスタ非採用削除!A$4,統合マスタ!$A469,0)="","",OFFSET(マスタ非採用削除!A$4,統合マスタ!$A469,0))</f>
        <v>ﾊﾛﾍ007</v>
      </c>
      <c r="O469" s="55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5" t="str">
        <f ca="1">IF(OFFSET(マスタ非採用削除!D$4,統合マスタ!$A469,0)="","",OFFSET(マスタ非採用削除!D$4,統合マスタ!$A469,0))</f>
        <v>ﾊﾛﾍﾟﾖｼ</v>
      </c>
      <c r="R469" s="27">
        <f ca="1">IF(OFFSET(マスタ非採用削除!E$4,統合マスタ!$A469,0)="","",OFFSET(マスタ非採用削除!E$4,統合マスタ!$A469,0))</f>
        <v>1</v>
      </c>
      <c r="S469" s="55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5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5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/>
    </row>
    <row r="470" spans="1:27">
      <c r="A470" s="42">
        <f>元データ!P467</f>
        <v>406</v>
      </c>
      <c r="B470" s="27">
        <f t="shared" si="7"/>
        <v>466</v>
      </c>
      <c r="C470" s="27" t="str">
        <f>DBCS(元データ!A467)</f>
        <v>ハロペリドール錠０．７５ｍｇ「アメル」　　　　　　</v>
      </c>
      <c r="D470" s="55" t="str">
        <f>元データ!B467</f>
        <v/>
      </c>
      <c r="E470" s="27" t="str">
        <f>元データ!C467</f>
        <v>バラ</v>
      </c>
      <c r="F470" s="27" t="str">
        <f>元データ!D467</f>
        <v>1000T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5" t="str">
        <f ca="1">IF(OFFSET(マスタ非採用削除!A$4,統合マスタ!$A470,0)="","",OFFSET(マスタ非採用削除!A$4,統合マスタ!$A470,0))</f>
        <v>ﾊﾛﾍ001</v>
      </c>
      <c r="O470" s="55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5" t="str">
        <f ca="1">IF(OFFSET(マスタ非採用削除!D$4,統合マスタ!$A470,0)="","",OFFSET(マスタ非採用削除!D$4,統合マスタ!$A470,0))</f>
        <v>ﾊﾛﾍﾟ2</v>
      </c>
      <c r="R470" s="27">
        <f ca="1">IF(OFFSET(マスタ非採用削除!E$4,統合マスタ!$A470,0)="","",OFFSET(マスタ非採用削除!E$4,統合マスタ!$A470,0))</f>
        <v>1</v>
      </c>
      <c r="S470" s="55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5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5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6</v>
      </c>
      <c r="AA470" s="27"/>
    </row>
    <row r="471" spans="1:27">
      <c r="A471" s="42">
        <f>元データ!P468</f>
        <v>408</v>
      </c>
      <c r="B471" s="27">
        <f t="shared" si="7"/>
        <v>467</v>
      </c>
      <c r="C471" s="27" t="str">
        <f>DBCS(元データ!A468)</f>
        <v>ハロペリドール錠１．５ｍｇ「アメル」　　　　　　　</v>
      </c>
      <c r="D471" s="55" t="str">
        <f>元データ!B468</f>
        <v/>
      </c>
      <c r="E471" s="27" t="str">
        <f>元データ!C468</f>
        <v>バラ</v>
      </c>
      <c r="F471" s="27" t="str">
        <f>元データ!D468</f>
        <v>1000Ｔ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5" t="str">
        <f ca="1">IF(OFFSET(マスタ非採用削除!A$4,統合マスタ!$A471,0)="","",OFFSET(マスタ非採用削除!A$4,統合マスタ!$A471,0))</f>
        <v>ﾊﾛﾍ004</v>
      </c>
      <c r="O471" s="55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5" t="str">
        <f ca="1">IF(OFFSET(マスタ非採用削除!D$4,統合マスタ!$A471,0)="","",OFFSET(マスタ非採用削除!D$4,統合マスタ!$A471,0))</f>
        <v>ﾊﾛﾍﾟ4</v>
      </c>
      <c r="R471" s="27">
        <f ca="1">IF(OFFSET(マスタ非採用削除!E$4,統合マスタ!$A471,0)="","",OFFSET(マスタ非採用削除!E$4,統合マスタ!$A471,0))</f>
        <v>1</v>
      </c>
      <c r="S471" s="55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5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5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6</v>
      </c>
      <c r="AA471" s="27"/>
    </row>
    <row r="472" spans="1:27">
      <c r="A472" s="42">
        <f>元データ!P469</f>
        <v>407</v>
      </c>
      <c r="B472" s="27">
        <f t="shared" si="7"/>
        <v>468</v>
      </c>
      <c r="C472" s="27" t="str">
        <f>DBCS(元データ!A469)</f>
        <v>ハロペリドール錠１ｍｇ「アメル」</v>
      </c>
      <c r="D472" s="55" t="str">
        <f>元データ!B469</f>
        <v/>
      </c>
      <c r="E472" s="27" t="str">
        <f>元データ!C469</f>
        <v>PTP</v>
      </c>
      <c r="F472" s="27" t="str">
        <f>元データ!D469</f>
        <v>100Ｔ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5" t="str">
        <f ca="1">IF(OFFSET(マスタ非採用削除!A$4,統合マスタ!$A472,0)="","",OFFSET(マスタ非採用削除!A$4,統合マスタ!$A472,0))</f>
        <v>ﾊﾛﾍ002</v>
      </c>
      <c r="O472" s="55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5" t="str">
        <f ca="1">IF(OFFSET(マスタ非採用削除!D$4,統合マスタ!$A472,0)="","",OFFSET(マスタ非採用削除!D$4,統合マスタ!$A472,0))</f>
        <v>ﾊﾛﾍﾟ3</v>
      </c>
      <c r="R472" s="27">
        <f ca="1">IF(OFFSET(マスタ非採用削除!E$4,統合マスタ!$A472,0)="","",OFFSET(マスタ非採用削除!E$4,統合マスタ!$A472,0))</f>
        <v>1</v>
      </c>
      <c r="S472" s="55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5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5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6</v>
      </c>
      <c r="AA472" s="27"/>
    </row>
    <row r="473" spans="1:27">
      <c r="A473" s="42">
        <f>元データ!P470</f>
        <v>407</v>
      </c>
      <c r="B473" s="27">
        <f t="shared" si="7"/>
        <v>469</v>
      </c>
      <c r="C473" s="27" t="str">
        <f>DBCS(元データ!A470)</f>
        <v>ハロペリドール錠１ｍｇ「アメル」</v>
      </c>
      <c r="D473" s="55" t="str">
        <f>元データ!B470</f>
        <v>メディセオ</v>
      </c>
      <c r="E473" s="27" t="str">
        <f>元データ!C470</f>
        <v>バラ</v>
      </c>
      <c r="F473" s="27" t="str">
        <f>元データ!D470</f>
        <v>1000T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5" t="str">
        <f ca="1">IF(OFFSET(マスタ非採用削除!A$4,統合マスタ!$A473,0)="","",OFFSET(マスタ非採用削除!A$4,統合マスタ!$A473,0))</f>
        <v>ﾊﾛﾍ002</v>
      </c>
      <c r="O473" s="55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5" t="str">
        <f ca="1">IF(OFFSET(マスタ非採用削除!D$4,統合マスタ!$A473,0)="","",OFFSET(マスタ非採用削除!D$4,統合マスタ!$A473,0))</f>
        <v>ﾊﾛﾍﾟ3</v>
      </c>
      <c r="R473" s="27">
        <f ca="1">IF(OFFSET(マスタ非採用削除!E$4,統合マスタ!$A473,0)="","",OFFSET(マスタ非採用削除!E$4,統合マスタ!$A473,0))</f>
        <v>1</v>
      </c>
      <c r="S473" s="55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5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5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6</v>
      </c>
      <c r="AA473" s="27"/>
    </row>
    <row r="474" spans="1:27">
      <c r="A474" s="42">
        <f>元データ!P471</f>
        <v>409</v>
      </c>
      <c r="B474" s="27">
        <f t="shared" si="7"/>
        <v>470</v>
      </c>
      <c r="C474" s="27" t="str">
        <f>DBCS(元データ!A471)</f>
        <v>ハロペリドール錠３ｍｇ「アメル」</v>
      </c>
      <c r="D474" s="55" t="str">
        <f>元データ!B471</f>
        <v>メディセオ</v>
      </c>
      <c r="E474" s="27" t="str">
        <f>元データ!C471</f>
        <v>バラ</v>
      </c>
      <c r="F474" s="27" t="str">
        <f>元データ!D471</f>
        <v>1000Ｔ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5" t="str">
        <f ca="1">IF(OFFSET(マスタ非採用削除!A$4,統合マスタ!$A474,0)="","",OFFSET(マスタ非採用削除!A$4,統合マスタ!$A474,0))</f>
        <v>ﾊﾛﾍ005</v>
      </c>
      <c r="O474" s="55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5" t="str">
        <f ca="1">IF(OFFSET(マスタ非採用削除!D$4,統合マスタ!$A474,0)="","",OFFSET(マスタ非採用削除!D$4,統合マスタ!$A474,0))</f>
        <v>ﾊﾛﾍﾟ5</v>
      </c>
      <c r="R474" s="27">
        <f ca="1">IF(OFFSET(マスタ非採用削除!E$4,統合マスタ!$A474,0)="","",OFFSET(マスタ非採用削除!E$4,統合マスタ!$A474,0))</f>
        <v>1</v>
      </c>
      <c r="S474" s="55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5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5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6</v>
      </c>
      <c r="AA474" s="27"/>
    </row>
    <row r="475" spans="1:27">
      <c r="A475" s="42">
        <f>元データ!P472</f>
        <v>412</v>
      </c>
      <c r="B475" s="27">
        <f t="shared" si="7"/>
        <v>471</v>
      </c>
      <c r="C475" s="27" t="str">
        <f>DBCS(元データ!A472)</f>
        <v>ハロマンス注１００ｍｇ</v>
      </c>
      <c r="D475" s="55" t="str">
        <f>元データ!B472</f>
        <v>東邦</v>
      </c>
      <c r="E475" s="27" t="str">
        <f>元データ!C472</f>
        <v/>
      </c>
      <c r="F475" s="27" t="str">
        <f>元データ!D472</f>
        <v>1ｍｌｘ10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5" t="str">
        <f ca="1">IF(OFFSET(マスタ非採用削除!A$4,統合マスタ!$A475,0)="","",OFFSET(マスタ非採用削除!A$4,統合マスタ!$A475,0))</f>
        <v>ﾊﾛﾏ002</v>
      </c>
      <c r="O475" s="55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5" t="str">
        <f ca="1">IF(OFFSET(マスタ非採用削除!D$4,統合マスタ!$A475,0)="","",OFFSET(マスタ非採用削除!D$4,統合マスタ!$A475,0))</f>
        <v>ﾊﾛ100</v>
      </c>
      <c r="R475" s="27">
        <f ca="1">IF(OFFSET(マスタ非採用削除!E$4,統合マスタ!$A475,0)="","",OFFSET(マスタ非採用削除!E$4,統合マスタ!$A475,0))</f>
        <v>1</v>
      </c>
      <c r="S475" s="55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5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5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/>
    </row>
    <row r="476" spans="1:27">
      <c r="A476" s="42">
        <f>元データ!P473</f>
        <v>411</v>
      </c>
      <c r="B476" s="27">
        <f t="shared" si="7"/>
        <v>472</v>
      </c>
      <c r="C476" s="27" t="str">
        <f>DBCS(元データ!A473)</f>
        <v>ハロマンス注５０ｍｇ</v>
      </c>
      <c r="D476" s="55" t="str">
        <f>元データ!B473</f>
        <v/>
      </c>
      <c r="E476" s="27" t="str">
        <f>元データ!C473</f>
        <v/>
      </c>
      <c r="F476" s="27" t="str">
        <f>元データ!D473</f>
        <v>1ｍｌｘ10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5" t="str">
        <f ca="1">IF(OFFSET(マスタ非採用削除!A$4,統合マスタ!$A476,0)="","",OFFSET(マスタ非採用削除!A$4,統合マスタ!$A476,0))</f>
        <v>ﾊﾛﾏ001</v>
      </c>
      <c r="O476" s="55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5" t="str">
        <f ca="1">IF(OFFSET(マスタ非採用削除!D$4,統合マスタ!$A476,0)="","",OFFSET(マスタ非採用削除!D$4,統合マスタ!$A476,0))</f>
        <v>ﾊﾛ50</v>
      </c>
      <c r="R476" s="27">
        <f ca="1">IF(OFFSET(マスタ非採用削除!E$4,統合マスタ!$A476,0)="","",OFFSET(マスタ非採用削除!E$4,統合マスタ!$A476,0))</f>
        <v>1</v>
      </c>
      <c r="S476" s="55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5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5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/>
    </row>
    <row r="477" spans="1:27">
      <c r="A477" s="42">
        <f>元データ!P474</f>
        <v>413</v>
      </c>
      <c r="B477" s="27">
        <f t="shared" si="7"/>
        <v>473</v>
      </c>
      <c r="C477" s="27" t="str">
        <f>DBCS(元データ!A474)</f>
        <v>バンコマイシン塩酸塩点滴静注用０．５ｇ「ＶＴＲＳ」</v>
      </c>
      <c r="D477" s="55" t="str">
        <f>元データ!B474</f>
        <v/>
      </c>
      <c r="E477" s="27" t="str">
        <f>元データ!C474</f>
        <v/>
      </c>
      <c r="F477" s="27" t="str">
        <f>元データ!D474</f>
        <v>10V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5" t="str">
        <f ca="1">IF(OFFSET(マスタ非採用削除!A$4,統合マスタ!$A477,0)="","",OFFSET(マスタ非採用削除!A$4,統合マスタ!$A477,0))</f>
        <v>ﾊﾝｺ001</v>
      </c>
      <c r="O477" s="55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5" t="str">
        <f ca="1">IF(OFFSET(マスタ非採用削除!D$4,統合マスタ!$A477,0)="","",OFFSET(マスタ非採用削除!D$4,統合マスタ!$A477,0))</f>
        <v>ﾊﾞﾝｺ1</v>
      </c>
      <c r="R477" s="27">
        <f ca="1">IF(OFFSET(マスタ非採用削除!E$4,統合マスタ!$A477,0)="","",OFFSET(マスタ非採用削除!E$4,統合マスタ!$A477,0))</f>
        <v>1</v>
      </c>
      <c r="S477" s="55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5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5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/>
    </row>
    <row r="478" spans="1:27">
      <c r="A478" s="42">
        <f>元データ!P475</f>
        <v>416</v>
      </c>
      <c r="B478" s="27">
        <f t="shared" si="7"/>
        <v>474</v>
      </c>
      <c r="C478" s="27" t="str">
        <f>DBCS(元データ!A475)</f>
        <v>パントール注射液５００ＭＧ</v>
      </c>
      <c r="D478" s="55" t="str">
        <f>元データ!B475</f>
        <v/>
      </c>
      <c r="E478" s="27" t="str">
        <f>元データ!C475</f>
        <v/>
      </c>
      <c r="F478" s="27" t="str">
        <f>元データ!D475</f>
        <v>２ｍｌｘ50A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5" t="str">
        <f ca="1">IF(OFFSET(マスタ非採用削除!A$4,統合マスタ!$A478,0)="","",OFFSET(マスタ非採用削除!A$4,統合マスタ!$A478,0))</f>
        <v>ﾊﾝﾄ003</v>
      </c>
      <c r="O478" s="55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5" t="str">
        <f ca="1">IF(OFFSET(マスタ非採用削除!D$4,統合マスタ!$A478,0)="","",OFFSET(マスタ非採用削除!D$4,統合マスタ!$A478,0))</f>
        <v>ﾊﾟﾝﾄ</v>
      </c>
      <c r="R478" s="27">
        <f ca="1">IF(OFFSET(マスタ非採用削除!E$4,統合マスタ!$A478,0)="","",OFFSET(マスタ非採用削除!E$4,統合マスタ!$A478,0))</f>
        <v>1</v>
      </c>
      <c r="S478" s="55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5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5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/>
    </row>
    <row r="479" spans="1:27">
      <c r="A479" s="42">
        <f>元データ!P476</f>
        <v>414</v>
      </c>
      <c r="B479" s="27">
        <f t="shared" si="7"/>
        <v>475</v>
      </c>
      <c r="C479" s="27" t="str">
        <f>DBCS(元データ!A476)</f>
        <v>パントシン散２０％</v>
      </c>
      <c r="D479" s="55" t="str">
        <f>元データ!B476</f>
        <v>アルフレッサ</v>
      </c>
      <c r="E479" s="27" t="str">
        <f>元データ!C476</f>
        <v>粉</v>
      </c>
      <c r="F479" s="27" t="str">
        <f>元データ!D476</f>
        <v>100ｇ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5" t="str">
        <f ca="1">IF(OFFSET(マスタ非採用削除!A$4,統合マスタ!$A479,0)="","",OFFSET(マスタ非採用削除!A$4,統合マスタ!$A479,0))</f>
        <v>ﾊﾝﾄ001</v>
      </c>
      <c r="O479" s="55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5" t="str">
        <f ca="1">IF(OFFSET(マスタ非採用削除!D$4,統合マスタ!$A479,0)="","",OFFSET(マスタ非採用削除!D$4,統合マスタ!$A479,0))</f>
        <v>ﾊﾟﾝﾄ2</v>
      </c>
      <c r="R479" s="27">
        <f ca="1">IF(OFFSET(マスタ非採用削除!E$4,統合マスタ!$A479,0)="","",OFFSET(マスタ非採用削除!E$4,統合マスタ!$A479,0))</f>
        <v>1</v>
      </c>
      <c r="S479" s="55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5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5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/>
    </row>
    <row r="480" spans="1:27">
      <c r="A480" s="42">
        <f>元データ!P477</f>
        <v>415</v>
      </c>
      <c r="B480" s="27">
        <f t="shared" si="7"/>
        <v>476</v>
      </c>
      <c r="C480" s="27" t="str">
        <f>DBCS(元データ!A477)</f>
        <v>パントシン錠２００</v>
      </c>
      <c r="D480" s="55" t="str">
        <f>元データ!B477</f>
        <v>アルフレッサ</v>
      </c>
      <c r="E480" s="27" t="str">
        <f>元データ!C477</f>
        <v>PTP</v>
      </c>
      <c r="F480" s="27" t="str">
        <f>元データ!D477</f>
        <v>100T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5" t="str">
        <f ca="1">IF(OFFSET(マスタ非採用削除!A$4,統合マスタ!$A480,0)="","",OFFSET(マスタ非採用削除!A$4,統合マスタ!$A480,0))</f>
        <v>ﾊﾝﾄ002</v>
      </c>
      <c r="O480" s="55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5" t="str">
        <f ca="1">IF(OFFSET(マスタ非採用削除!D$4,統合マスタ!$A480,0)="","",OFFSET(マスタ非採用削除!D$4,統合マスタ!$A480,0))</f>
        <v>ﾊﾟﾝﾄｼ</v>
      </c>
      <c r="R480" s="27">
        <f ca="1">IF(OFFSET(マスタ非採用削除!E$4,統合マスタ!$A480,0)="","",OFFSET(マスタ非採用削除!E$4,統合マスタ!$A480,0))</f>
        <v>1</v>
      </c>
      <c r="S480" s="55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5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5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5</v>
      </c>
      <c r="AA480" s="27"/>
    </row>
    <row r="481" spans="1:27">
      <c r="A481" s="42">
        <f>元データ!P478</f>
        <v>415</v>
      </c>
      <c r="B481" s="27">
        <f t="shared" si="7"/>
        <v>477</v>
      </c>
      <c r="C481" s="27" t="str">
        <f>DBCS(元データ!A478)</f>
        <v>パントシン錠２００</v>
      </c>
      <c r="D481" s="55" t="str">
        <f>元データ!B478</f>
        <v>アルフレッサ</v>
      </c>
      <c r="E481" s="27" t="str">
        <f>元データ!C478</f>
        <v>バラ</v>
      </c>
      <c r="F481" s="27" t="str">
        <f>元データ!D478</f>
        <v>500T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5" t="str">
        <f ca="1">IF(OFFSET(マスタ非採用削除!A$4,統合マスタ!$A481,0)="","",OFFSET(マスタ非採用削除!A$4,統合マスタ!$A481,0))</f>
        <v>ﾊﾝﾄ002</v>
      </c>
      <c r="O481" s="55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5" t="str">
        <f ca="1">IF(OFFSET(マスタ非採用削除!D$4,統合マスタ!$A481,0)="","",OFFSET(マスタ非採用削除!D$4,統合マスタ!$A481,0))</f>
        <v>ﾊﾟﾝﾄｼ</v>
      </c>
      <c r="R481" s="27">
        <f ca="1">IF(OFFSET(マスタ非採用削除!E$4,統合マスタ!$A481,0)="","",OFFSET(マスタ非採用削除!E$4,統合マスタ!$A481,0))</f>
        <v>1</v>
      </c>
      <c r="S481" s="55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5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5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5</v>
      </c>
      <c r="AA481" s="27"/>
    </row>
    <row r="482" spans="1:27">
      <c r="A482" s="42">
        <f>元データ!P479</f>
        <v>423</v>
      </c>
      <c r="B482" s="27">
        <f t="shared" si="7"/>
        <v>478</v>
      </c>
      <c r="C482" s="27" t="str">
        <f>DBCS(元データ!A479)</f>
        <v>ビ・シフロール錠０．１２５ｍｇ</v>
      </c>
      <c r="D482" s="55" t="str">
        <f>元データ!B479</f>
        <v>メディセオ</v>
      </c>
      <c r="E482" s="27" t="str">
        <f>元データ!C479</f>
        <v>PTP</v>
      </c>
      <c r="F482" s="27" t="str">
        <f>元データ!D479</f>
        <v>100Ｔ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5" t="str">
        <f ca="1">IF(OFFSET(マスタ非採用削除!A$4,統合マスタ!$A482,0)="","",OFFSET(マスタ非採用削除!A$4,統合マスタ!$A482,0))</f>
        <v>ﾋｼﾌ001</v>
      </c>
      <c r="O482" s="55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5" t="str">
        <f ca="1">IF(OFFSET(マスタ非採用削除!D$4,統合マスタ!$A482,0)="","",OFFSET(マスタ非採用削除!D$4,統合マスタ!$A482,0))</f>
        <v>ﾋﾞｼ</v>
      </c>
      <c r="R482" s="27">
        <f ca="1">IF(OFFSET(マスタ非採用削除!E$4,統合マスタ!$A482,0)="","",OFFSET(マスタ非採用削除!E$4,統合マスタ!$A482,0))</f>
        <v>2</v>
      </c>
      <c r="S482" s="55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5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5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/>
    </row>
    <row r="483" spans="1:27">
      <c r="A483" s="42">
        <f>元データ!P480</f>
        <v>417</v>
      </c>
      <c r="B483" s="27">
        <f t="shared" si="7"/>
        <v>479</v>
      </c>
      <c r="C483" s="27" t="str">
        <f>DBCS(元データ!A480)</f>
        <v>ヒアルロン酸Ｎａ点眼液０．１％「ニットー」</v>
      </c>
      <c r="D483" s="55" t="str">
        <f>元データ!B480</f>
        <v>アルフレッサ</v>
      </c>
      <c r="E483" s="27" t="str">
        <f>元データ!C480</f>
        <v/>
      </c>
      <c r="F483" s="27" t="str">
        <f>元データ!D480</f>
        <v>5ｍｌｘ10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5" t="str">
        <f ca="1">IF(OFFSET(マスタ非採用削除!A$4,統合マスタ!$A483,0)="","",OFFSET(マスタ非採用削除!A$4,統合マスタ!$A483,0))</f>
        <v>ﾋｱﾙ001</v>
      </c>
      <c r="O483" s="55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5" t="str">
        <f ca="1">IF(OFFSET(マスタ非採用削除!D$4,統合マスタ!$A483,0)="","",OFFSET(マスタ非採用削除!D$4,統合マスタ!$A483,0))</f>
        <v>ﾋｱﾙ3</v>
      </c>
      <c r="R483" s="27">
        <f ca="1">IF(OFFSET(マスタ非採用削除!E$4,統合マスタ!$A483,0)="","",OFFSET(マスタ非採用削除!E$4,統合マスタ!$A483,0))</f>
        <v>1</v>
      </c>
      <c r="S483" s="55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5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5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/>
    </row>
    <row r="484" spans="1:27">
      <c r="A484" s="42">
        <f>元データ!P481</f>
        <v>424</v>
      </c>
      <c r="B484" s="27">
        <f t="shared" si="7"/>
        <v>480</v>
      </c>
      <c r="C484" s="27" t="str">
        <f>DBCS(元データ!A481)</f>
        <v>ピーゼットシー糖衣錠４ｍｇ</v>
      </c>
      <c r="D484" s="55" t="str">
        <f>元データ!B481</f>
        <v>メディセオ</v>
      </c>
      <c r="E484" s="27" t="str">
        <f>元データ!C481</f>
        <v>PTP</v>
      </c>
      <c r="F484" s="27" t="str">
        <f>元データ!D481</f>
        <v>100T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5" t="str">
        <f ca="1">IF(OFFSET(マスタ非採用削除!A$4,統合マスタ!$A484,0)="","",OFFSET(マスタ非採用削除!A$4,統合マスタ!$A484,0))</f>
        <v>ﾋｾﾂ001</v>
      </c>
      <c r="O484" s="55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5" t="str">
        <f ca="1">IF(OFFSET(マスタ非採用削除!D$4,統合マスタ!$A484,0)="","",OFFSET(マスタ非採用削除!D$4,統合マスタ!$A484,0))</f>
        <v>ﾋﾟｰｾﾞ*</v>
      </c>
      <c r="R484" s="27">
        <f ca="1">IF(OFFSET(マスタ非採用削除!E$4,統合マスタ!$A484,0)="","",OFFSET(マスタ非採用削除!E$4,統合マスタ!$A484,0))</f>
        <v>2</v>
      </c>
      <c r="S484" s="55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5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5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/>
    </row>
    <row r="485" spans="1:27">
      <c r="A485" s="42">
        <f>元データ!P482</f>
        <v>0</v>
      </c>
      <c r="B485" s="27">
        <f t="shared" si="7"/>
        <v>481</v>
      </c>
      <c r="C485" s="27" t="str">
        <f>DBCS(元データ!A482)</f>
        <v>ピオグリダゾンＯＤ錠１５ｍｇ「トーワ」</v>
      </c>
      <c r="D485" s="55" t="str">
        <f>元データ!B482</f>
        <v/>
      </c>
      <c r="E485" s="27" t="str">
        <f>元データ!C482</f>
        <v>PTP</v>
      </c>
      <c r="F485" s="27" t="str">
        <f>元データ!D482</f>
        <v>100T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5" t="str">
        <f ca="1">IF(OFFSET(マスタ非採用削除!A$4,統合マスタ!$A485,0)="","",OFFSET(マスタ非採用削除!A$4,統合マスタ!$A485,0))</f>
        <v>コード(区分値)</v>
      </c>
      <c r="O485" s="55" t="str">
        <f ca="1">IF(OFFSET(マスタ非採用削除!B$4,統合マスタ!$A485,0)="","",OFFSET(マスタ非採用削除!B$4,統合マスタ!$A485,0))</f>
        <v>コード</v>
      </c>
      <c r="P485" s="27" t="str">
        <f ca="1">IF(OFFSET(マスタ非採用削除!C$4,統合マスタ!$A485,0)="","",OFFSET(マスタ非採用削除!C$4,統合マスタ!$A485,0))</f>
        <v>名称</v>
      </c>
      <c r="Q485" s="55" t="str">
        <f ca="1">IF(OFFSET(マスタ非採用削除!D$4,統合マスタ!$A485,0)="","",OFFSET(マスタ非採用削除!D$4,統合マスタ!$A485,0))</f>
        <v>ホストコード</v>
      </c>
      <c r="R485" s="27" t="str">
        <f ca="1">IF(OFFSET(マスタ非採用削除!E$4,統合マスタ!$A485,0)="","",OFFSET(マスタ非採用削除!E$4,統合マスタ!$A485,0))</f>
        <v>採用区分（区分値）(区分値)</v>
      </c>
      <c r="S485" s="55" t="str">
        <f ca="1">IF(OFFSET(マスタ非採用削除!F$4,統合マスタ!$A485,0)="","",OFFSET(マスタ非採用削除!F$4,統合マスタ!$A485,0))</f>
        <v>採用区分（区分値）</v>
      </c>
      <c r="T485" s="27" t="str">
        <f ca="1">IF(OFFSET(マスタ非採用削除!G$4,統合マスタ!$A485,0)="","",OFFSET(マスタ非採用削除!G$4,統合マスタ!$A485,0))</f>
        <v>薬価</v>
      </c>
      <c r="U485" s="55" t="str">
        <f ca="1">IF(OFFSET(マスタ非採用削除!H$4,統合マスタ!$A485,0)="","",OFFSET(マスタ非採用削除!H$4,統合マスタ!$A485,0))</f>
        <v>カナ名称</v>
      </c>
      <c r="V485" s="27" t="str">
        <f ca="1">IF(OFFSET(マスタ非採用削除!I$4,統合マスタ!$A485,0)="","",OFFSET(マスタ非採用削除!I$4,統合マスタ!$A485,0))</f>
        <v>剤形(区分値)</v>
      </c>
      <c r="W485" s="27" t="str">
        <f ca="1">IF(OFFSET(マスタ非採用削除!J$4,統合マスタ!$A485,0)="","",OFFSET(マスタ非採用削除!J$4,統合マスタ!$A485,0))</f>
        <v>剤形</v>
      </c>
      <c r="X485" s="27" t="str">
        <f ca="1">IF(OFFSET(マスタ非採用削除!K$4,統合マスタ!$A485,0)="","",OFFSET(マスタ非採用削除!K$4,統合マスタ!$A485,0))</f>
        <v>毒劇薬（区分値）(区分値)</v>
      </c>
      <c r="Y485" s="55" t="str">
        <f ca="1">IF(OFFSET(マスタ非採用削除!L$4,統合マスタ!$A485,0)="","",OFFSET(マスタ非採用削除!L$4,統合マスタ!$A485,0))</f>
        <v>毒劇薬（区分値）</v>
      </c>
      <c r="Z485" s="27" t="str">
        <f ca="1">IF(OFFSET(マスタ非採用削除!M$4,統合マスタ!$A485,0)="","",OFFSET(マスタ非採用削除!M$4,統合マスタ!$A485,0))</f>
        <v>棚</v>
      </c>
      <c r="AA485" s="27"/>
    </row>
    <row r="486" spans="1:27">
      <c r="A486" s="42">
        <f>元データ!P483</f>
        <v>419</v>
      </c>
      <c r="B486" s="27">
        <f t="shared" si="7"/>
        <v>482</v>
      </c>
      <c r="C486" s="27" t="str">
        <f>DBCS(元データ!A483)</f>
        <v>ビオフェルミン錠剤</v>
      </c>
      <c r="D486" s="55" t="str">
        <f>元データ!B483</f>
        <v>メディセオ</v>
      </c>
      <c r="E486" s="27" t="str">
        <f>元データ!C483</f>
        <v>PTP</v>
      </c>
      <c r="F486" s="27" t="str">
        <f>元データ!D483</f>
        <v>630T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5" t="str">
        <f ca="1">IF(OFFSET(マスタ非採用削除!A$4,統合マスタ!$A486,0)="","",OFFSET(マスタ非採用削除!A$4,統合マスタ!$A486,0))</f>
        <v>ﾋｵﾌ002</v>
      </c>
      <c r="O486" s="55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5" t="str">
        <f ca="1">IF(OFFSET(マスタ非採用削除!D$4,統合マスタ!$A486,0)="","",OFFSET(マスタ非採用削除!D$4,統合マスタ!$A486,0))</f>
        <v>ﾋﾞｵﾌｪ1</v>
      </c>
      <c r="R486" s="27">
        <f ca="1">IF(OFFSET(マスタ非採用削除!E$4,統合マスタ!$A486,0)="","",OFFSET(マスタ非採用削除!E$4,統合マスタ!$A486,0))</f>
        <v>1</v>
      </c>
      <c r="S486" s="55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5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5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5</v>
      </c>
      <c r="AA486" s="27"/>
    </row>
    <row r="487" spans="1:27">
      <c r="A487" s="42">
        <f>元データ!P484</f>
        <v>419</v>
      </c>
      <c r="B487" s="27">
        <f t="shared" si="7"/>
        <v>483</v>
      </c>
      <c r="C487" s="27" t="str">
        <f>DBCS(元データ!A484)</f>
        <v>ビオフェルミン錠剤</v>
      </c>
      <c r="D487" s="55" t="str">
        <f>元データ!B484</f>
        <v>メディセオ</v>
      </c>
      <c r="E487" s="27" t="str">
        <f>元データ!C484</f>
        <v>バラ</v>
      </c>
      <c r="F487" s="27" t="str">
        <f>元データ!D484</f>
        <v>1000T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5" t="str">
        <f ca="1">IF(OFFSET(マスタ非採用削除!A$4,統合マスタ!$A487,0)="","",OFFSET(マスタ非採用削除!A$4,統合マスタ!$A487,0))</f>
        <v>ﾋｵﾌ002</v>
      </c>
      <c r="O487" s="55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5" t="str">
        <f ca="1">IF(OFFSET(マスタ非採用削除!D$4,統合マスタ!$A487,0)="","",OFFSET(マスタ非採用削除!D$4,統合マスタ!$A487,0))</f>
        <v>ﾋﾞｵﾌｪ1</v>
      </c>
      <c r="R487" s="27">
        <f ca="1">IF(OFFSET(マスタ非採用削除!E$4,統合マスタ!$A487,0)="","",OFFSET(マスタ非採用削除!E$4,統合マスタ!$A487,0))</f>
        <v>1</v>
      </c>
      <c r="S487" s="55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5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5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5</v>
      </c>
      <c r="AA487" s="27"/>
    </row>
    <row r="488" spans="1:27">
      <c r="A488" s="42">
        <f>元データ!P485</f>
        <v>418</v>
      </c>
      <c r="B488" s="27">
        <f t="shared" si="7"/>
        <v>484</v>
      </c>
      <c r="C488" s="27" t="str">
        <f>DBCS(元データ!A485)</f>
        <v>ビオフェルミン配合散</v>
      </c>
      <c r="D488" s="55" t="str">
        <f>元データ!B485</f>
        <v>メディセオ</v>
      </c>
      <c r="E488" s="27" t="str">
        <f>元データ!C485</f>
        <v>粉</v>
      </c>
      <c r="F488" s="27" t="str">
        <f>元データ!D485</f>
        <v>1ｇｘ120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5" t="str">
        <f ca="1">IF(OFFSET(マスタ非採用削除!A$4,統合マスタ!$A488,0)="","",OFFSET(マスタ非採用削除!A$4,統合マスタ!$A488,0))</f>
        <v>ﾋｵﾌ001</v>
      </c>
      <c r="O488" s="55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5" t="str">
        <f ca="1">IF(OFFSET(マスタ非採用削除!D$4,統合マスタ!$A488,0)="","",OFFSET(マスタ非採用削除!D$4,統合マスタ!$A488,0))</f>
        <v>ﾋﾞｵﾌｪ2</v>
      </c>
      <c r="R488" s="27">
        <f ca="1">IF(OFFSET(マスタ非採用削除!E$4,統合マスタ!$A488,0)="","",OFFSET(マスタ非採用削除!E$4,統合マスタ!$A488,0))</f>
        <v>1</v>
      </c>
      <c r="S488" s="55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5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5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/>
    </row>
    <row r="489" spans="1:27">
      <c r="A489" s="42">
        <f>元データ!P486</f>
        <v>418</v>
      </c>
      <c r="B489" s="27">
        <f t="shared" si="7"/>
        <v>485</v>
      </c>
      <c r="C489" s="27" t="str">
        <f>DBCS(元データ!A486)</f>
        <v>ビオフェルミン配合散</v>
      </c>
      <c r="D489" s="55" t="str">
        <f>元データ!B486</f>
        <v>メディセオ</v>
      </c>
      <c r="E489" s="27" t="str">
        <f>元データ!C486</f>
        <v>粉</v>
      </c>
      <c r="F489" s="27" t="str">
        <f>元データ!D486</f>
        <v>1ｇｘ600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5" t="str">
        <f ca="1">IF(OFFSET(マスタ非採用削除!A$4,統合マスタ!$A489,0)="","",OFFSET(マスタ非採用削除!A$4,統合マスタ!$A489,0))</f>
        <v>ﾋｵﾌ001</v>
      </c>
      <c r="O489" s="55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5" t="str">
        <f ca="1">IF(OFFSET(マスタ非採用削除!D$4,統合マスタ!$A489,0)="","",OFFSET(マスタ非採用削除!D$4,統合マスタ!$A489,0))</f>
        <v>ﾋﾞｵﾌｪ2</v>
      </c>
      <c r="R489" s="27">
        <f ca="1">IF(OFFSET(マスタ非採用削除!E$4,統合マスタ!$A489,0)="","",OFFSET(マスタ非採用削除!E$4,統合マスタ!$A489,0))</f>
        <v>1</v>
      </c>
      <c r="S489" s="55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5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5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/>
    </row>
    <row r="490" spans="1:27">
      <c r="A490" s="42">
        <f>元データ!P487</f>
        <v>418</v>
      </c>
      <c r="B490" s="27">
        <f t="shared" si="7"/>
        <v>486</v>
      </c>
      <c r="C490" s="27" t="str">
        <f>DBCS(元データ!A487)</f>
        <v>ビオフェルミン配合散</v>
      </c>
      <c r="D490" s="55" t="str">
        <f>元データ!B487</f>
        <v>メディセオ</v>
      </c>
      <c r="E490" s="27" t="str">
        <f>元データ!C487</f>
        <v>粉</v>
      </c>
      <c r="F490" s="27" t="str">
        <f>元データ!D487</f>
        <v>1ｋｇ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5" t="str">
        <f ca="1">IF(OFFSET(マスタ非採用削除!A$4,統合マスタ!$A490,0)="","",OFFSET(マスタ非採用削除!A$4,統合マスタ!$A490,0))</f>
        <v>ﾋｵﾌ001</v>
      </c>
      <c r="O490" s="55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5" t="str">
        <f ca="1">IF(OFFSET(マスタ非採用削除!D$4,統合マスタ!$A490,0)="","",OFFSET(マスタ非採用削除!D$4,統合マスタ!$A490,0))</f>
        <v>ﾋﾞｵﾌｪ2</v>
      </c>
      <c r="R490" s="27">
        <f ca="1">IF(OFFSET(マスタ非採用削除!E$4,統合マスタ!$A490,0)="","",OFFSET(マスタ非採用削除!E$4,統合マスタ!$A490,0))</f>
        <v>1</v>
      </c>
      <c r="S490" s="55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5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5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/>
    </row>
    <row r="491" spans="1:27">
      <c r="A491" s="42">
        <f>元データ!P488</f>
        <v>420</v>
      </c>
      <c r="B491" s="27">
        <f t="shared" si="7"/>
        <v>487</v>
      </c>
      <c r="C491" s="27" t="str">
        <f>DBCS(元データ!A488)</f>
        <v>ビカルタミド錠８０ｍｇ「オーハラ」</v>
      </c>
      <c r="D491" s="55" t="str">
        <f>元データ!B488</f>
        <v>メディセオ</v>
      </c>
      <c r="E491" s="27" t="str">
        <f>元データ!C488</f>
        <v>PTP</v>
      </c>
      <c r="F491" s="27" t="str">
        <f>元データ!D488</f>
        <v>30T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5" t="str">
        <f ca="1">IF(OFFSET(マスタ非採用削除!A$4,統合マスタ!$A491,0)="","",OFFSET(マスタ非採用削除!A$4,統合マスタ!$A491,0))</f>
        <v>ﾋｶﾙ002</v>
      </c>
      <c r="O491" s="55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5" t="str">
        <f ca="1">IF(OFFSET(マスタ非採用削除!D$4,統合マスタ!$A491,0)="","",OFFSET(マスタ非採用削除!D$4,統合マスタ!$A491,0))</f>
        <v/>
      </c>
      <c r="R491" s="27">
        <f ca="1">IF(OFFSET(マスタ非採用削除!E$4,統合マスタ!$A491,0)="","",OFFSET(マスタ非採用削除!E$4,統合マスタ!$A491,0))</f>
        <v>2</v>
      </c>
      <c r="S491" s="55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5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5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/>
    </row>
    <row r="492" spans="1:27">
      <c r="A492" s="42">
        <f>元データ!P489</f>
        <v>421</v>
      </c>
      <c r="B492" s="27">
        <f t="shared" si="7"/>
        <v>488</v>
      </c>
      <c r="C492" s="27" t="str">
        <f>DBCS(元データ!A489)</f>
        <v>ピコスルファートナトリウム錠２．５ｍｇ「イワキ」</v>
      </c>
      <c r="D492" s="55" t="str">
        <f>元データ!B489</f>
        <v>メディセオ</v>
      </c>
      <c r="E492" s="27" t="str">
        <f>元データ!C489</f>
        <v>ＰＴＰ</v>
      </c>
      <c r="F492" s="27" t="str">
        <f>元データ!D489</f>
        <v>1000T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5" t="str">
        <f ca="1">IF(OFFSET(マスタ非採用削除!A$4,統合マスタ!$A492,0)="","",OFFSET(マスタ非採用削除!A$4,統合マスタ!$A492,0))</f>
        <v>ﾋｺｽ001</v>
      </c>
      <c r="O492" s="55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5" t="str">
        <f ca="1">IF(OFFSET(マスタ非採用削除!D$4,統合マスタ!$A492,0)="","",OFFSET(マスタ非採用削除!D$4,統合マスタ!$A492,0))</f>
        <v>ﾋﾟｺｽ1</v>
      </c>
      <c r="R492" s="27">
        <f ca="1">IF(OFFSET(マスタ非採用削除!E$4,統合マスタ!$A492,0)="","",OFFSET(マスタ非採用削除!E$4,統合マスタ!$A492,0))</f>
        <v>1</v>
      </c>
      <c r="S492" s="55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5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5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5</v>
      </c>
      <c r="AA492" s="27"/>
    </row>
    <row r="493" spans="1:27">
      <c r="A493" s="42">
        <f>元データ!P490</f>
        <v>421</v>
      </c>
      <c r="B493" s="27">
        <f t="shared" si="7"/>
        <v>489</v>
      </c>
      <c r="C493" s="27" t="str">
        <f>DBCS(元データ!A490)</f>
        <v>ピコスルファートナトリウム錠２．５ｍｇ「イワキ」</v>
      </c>
      <c r="D493" s="55" t="str">
        <f>元データ!B490</f>
        <v>メディセオ</v>
      </c>
      <c r="E493" s="27" t="str">
        <f>元データ!C490</f>
        <v>バラ</v>
      </c>
      <c r="F493" s="27" t="str">
        <f>元データ!D490</f>
        <v>1000T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5" t="str">
        <f ca="1">IF(OFFSET(マスタ非採用削除!A$4,統合マスタ!$A493,0)="","",OFFSET(マスタ非採用削除!A$4,統合マスタ!$A493,0))</f>
        <v>ﾋｺｽ001</v>
      </c>
      <c r="O493" s="55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5" t="str">
        <f ca="1">IF(OFFSET(マスタ非採用削除!D$4,統合マスタ!$A493,0)="","",OFFSET(マスタ非採用削除!D$4,統合マスタ!$A493,0))</f>
        <v>ﾋﾟｺｽ1</v>
      </c>
      <c r="R493" s="27">
        <f ca="1">IF(OFFSET(マスタ非採用削除!E$4,統合マスタ!$A493,0)="","",OFFSET(マスタ非採用削除!E$4,統合マスタ!$A493,0))</f>
        <v>1</v>
      </c>
      <c r="S493" s="55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5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5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5</v>
      </c>
      <c r="AA493" s="27"/>
    </row>
    <row r="494" spans="1:27">
      <c r="A494" s="42">
        <f>元データ!P491</f>
        <v>422</v>
      </c>
      <c r="B494" s="27">
        <f t="shared" si="7"/>
        <v>490</v>
      </c>
      <c r="C494" s="27" t="str">
        <f>DBCS(元データ!A491)</f>
        <v>ピコスルファートナトリウム内用液０．７５％「イワキ」</v>
      </c>
      <c r="D494" s="55" t="str">
        <f>元データ!B491</f>
        <v>メディセオ</v>
      </c>
      <c r="E494" s="27" t="str">
        <f>元データ!C491</f>
        <v/>
      </c>
      <c r="F494" s="27" t="str">
        <f>元データ!D491</f>
        <v>10ｍｌｘ10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5" t="str">
        <f ca="1">IF(OFFSET(マスタ非採用削除!A$4,統合マスタ!$A494,0)="","",OFFSET(マスタ非採用削除!A$4,統合マスタ!$A494,0))</f>
        <v>ﾋｺｽ002</v>
      </c>
      <c r="O494" s="55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5" t="str">
        <f ca="1">IF(OFFSET(マスタ非採用削除!D$4,統合マスタ!$A494,0)="","",OFFSET(マスタ非採用削除!D$4,統合マスタ!$A494,0))</f>
        <v>ﾋﾟｺｽ</v>
      </c>
      <c r="R494" s="27">
        <f ca="1">IF(OFFSET(マスタ非採用削除!E$4,統合マスタ!$A494,0)="","",OFFSET(マスタ非採用削除!E$4,統合マスタ!$A494,0))</f>
        <v>1</v>
      </c>
      <c r="S494" s="55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5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5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/>
    </row>
    <row r="495" spans="1:27">
      <c r="A495" s="42">
        <f>元データ!P492</f>
        <v>426</v>
      </c>
      <c r="B495" s="27">
        <f t="shared" si="7"/>
        <v>491</v>
      </c>
      <c r="C495" s="27" t="str">
        <f>DBCS(元データ!A492)</f>
        <v>ビソノテープ２ｍｇ</v>
      </c>
      <c r="D495" s="55" t="str">
        <f>元データ!B492</f>
        <v>アルフレッサ</v>
      </c>
      <c r="E495" s="27" t="str">
        <f>元データ!C492</f>
        <v/>
      </c>
      <c r="F495" s="27" t="str">
        <f>元データ!D492</f>
        <v>70枚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5" t="str">
        <f ca="1">IF(OFFSET(マスタ非採用削除!A$4,統合マスタ!$A495,0)="","",OFFSET(マスタ非採用削除!A$4,統合マスタ!$A495,0))</f>
        <v>ﾋｿﾉ002</v>
      </c>
      <c r="O495" s="55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5" t="str">
        <f ca="1">IF(OFFSET(マスタ非採用削除!D$4,統合マスタ!$A495,0)="","",OFFSET(マスタ非採用削除!D$4,統合マスタ!$A495,0))</f>
        <v/>
      </c>
      <c r="R495" s="27">
        <f ca="1">IF(OFFSET(マスタ非採用削除!E$4,統合マスタ!$A495,0)="","",OFFSET(マスタ非採用削除!E$4,統合マスタ!$A495,0))</f>
        <v>2</v>
      </c>
      <c r="S495" s="55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5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5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/>
    </row>
    <row r="496" spans="1:27">
      <c r="A496" s="42">
        <f>元データ!P493</f>
        <v>425</v>
      </c>
      <c r="B496" s="27">
        <f t="shared" si="7"/>
        <v>492</v>
      </c>
      <c r="C496" s="27" t="str">
        <f>DBCS(元データ!A493)</f>
        <v>ビソノテープ４ｍｇ</v>
      </c>
      <c r="D496" s="55" t="str">
        <f>元データ!B493</f>
        <v>アルフレッサ</v>
      </c>
      <c r="E496" s="27" t="str">
        <f>元データ!C493</f>
        <v/>
      </c>
      <c r="F496" s="27" t="str">
        <f>元データ!D493</f>
        <v>70枚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5" t="str">
        <f ca="1">IF(OFFSET(マスタ非採用削除!A$4,統合マスタ!$A496,0)="","",OFFSET(マスタ非採用削除!A$4,統合マスタ!$A496,0))</f>
        <v>ﾋｿﾉ001</v>
      </c>
      <c r="O496" s="55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5" t="str">
        <f ca="1">IF(OFFSET(マスタ非採用削除!D$4,統合マスタ!$A496,0)="","",OFFSET(マスタ非採用削除!D$4,統合マスタ!$A496,0))</f>
        <v>ﾋﾞｿﾉ</v>
      </c>
      <c r="R496" s="27">
        <f ca="1">IF(OFFSET(マスタ非採用削除!E$4,統合マスタ!$A496,0)="","",OFFSET(マスタ非採用削除!E$4,統合マスタ!$A496,0))</f>
        <v>2</v>
      </c>
      <c r="S496" s="55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5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5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/>
    </row>
    <row r="497" spans="1:27">
      <c r="A497" s="42">
        <f>元データ!P494</f>
        <v>428</v>
      </c>
      <c r="B497" s="27">
        <f t="shared" si="7"/>
        <v>493</v>
      </c>
      <c r="C497" s="27" t="str">
        <f>DBCS(元データ!A494)</f>
        <v>ビソプロロールフマル酸塩錠０．６２５ｍｇ「トーワ」</v>
      </c>
      <c r="D497" s="55" t="str">
        <f>元データ!B494</f>
        <v>東和薬品</v>
      </c>
      <c r="E497" s="27" t="str">
        <f>元データ!C494</f>
        <v>PTP</v>
      </c>
      <c r="F497" s="27" t="str">
        <f>元データ!D494</f>
        <v>100T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5" t="str">
        <f ca="1">IF(OFFSET(マスタ非採用削除!A$4,統合マスタ!$A497,0)="","",OFFSET(マスタ非採用削除!A$4,統合マスタ!$A497,0))</f>
        <v>ﾋｿﾌ004</v>
      </c>
      <c r="O497" s="55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5" t="str">
        <f ca="1">IF(OFFSET(マスタ非採用削除!D$4,統合マスタ!$A497,0)="","",OFFSET(マスタ非採用削除!D$4,統合マスタ!$A497,0))</f>
        <v/>
      </c>
      <c r="R497" s="27">
        <f ca="1">IF(OFFSET(マスタ非採用削除!E$4,統合マスタ!$A497,0)="","",OFFSET(マスタ非採用削除!E$4,統合マスタ!$A497,0))</f>
        <v>1</v>
      </c>
      <c r="S497" s="55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5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5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5</v>
      </c>
      <c r="AA497" s="27"/>
    </row>
    <row r="498" spans="1:27">
      <c r="A498" s="42">
        <f>元データ!P495</f>
        <v>427</v>
      </c>
      <c r="B498" s="27">
        <f t="shared" si="7"/>
        <v>494</v>
      </c>
      <c r="C498" s="27" t="str">
        <f>DBCS(元データ!A495)</f>
        <v>ビソプロロールフマル酸塩錠２．５ｍｇ「トーワ」</v>
      </c>
      <c r="D498" s="55" t="str">
        <f>元データ!B495</f>
        <v>東和薬品</v>
      </c>
      <c r="E498" s="27" t="str">
        <f>元データ!C495</f>
        <v>PTP</v>
      </c>
      <c r="F498" s="27" t="str">
        <f>元データ!D495</f>
        <v>100T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5" t="str">
        <f ca="1">IF(OFFSET(マスタ非採用削除!A$4,統合マスタ!$A498,0)="","",OFFSET(マスタ非採用削除!A$4,統合マスタ!$A498,0))</f>
        <v>ﾋｿﾌ003</v>
      </c>
      <c r="O498" s="55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5" t="str">
        <f ca="1">IF(OFFSET(マスタ非採用削除!D$4,統合マスタ!$A498,0)="","",OFFSET(マスタ非採用削除!D$4,統合マスタ!$A498,0))</f>
        <v/>
      </c>
      <c r="R498" s="27">
        <f ca="1">IF(OFFSET(マスタ非採用削除!E$4,統合マスタ!$A498,0)="","",OFFSET(マスタ非採用削除!E$4,統合マスタ!$A498,0))</f>
        <v>1</v>
      </c>
      <c r="S498" s="55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5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5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/>
    </row>
    <row r="499" spans="1:27">
      <c r="A499" s="42">
        <f>元データ!P496</f>
        <v>429</v>
      </c>
      <c r="B499" s="27">
        <f t="shared" si="7"/>
        <v>495</v>
      </c>
      <c r="C499" s="27" t="str">
        <f>DBCS(元データ!A496)</f>
        <v>ビダラビン軟膏３％「ＳＷ」</v>
      </c>
      <c r="D499" s="55" t="str">
        <f>元データ!B496</f>
        <v>東邦</v>
      </c>
      <c r="E499" s="27" t="str">
        <f>元データ!C496</f>
        <v/>
      </c>
      <c r="F499" s="27" t="str">
        <f>元データ!D496</f>
        <v>５ｇX5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5" t="str">
        <f ca="1">IF(OFFSET(マスタ非採用削除!A$4,統合マスタ!$A499,0)="","",OFFSET(マスタ非採用削除!A$4,統合マスタ!$A499,0))</f>
        <v>ﾋﾀﾗ001</v>
      </c>
      <c r="O499" s="55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5" t="str">
        <f ca="1">IF(OFFSET(マスタ非採用削除!D$4,統合マスタ!$A499,0)="","",OFFSET(マスタ非採用削除!D$4,統合マスタ!$A499,0))</f>
        <v>ﾋﾞﾀﾞﾗ1</v>
      </c>
      <c r="R499" s="27">
        <f ca="1">IF(OFFSET(マスタ非採用削除!E$4,統合マスタ!$A499,0)="","",OFFSET(マスタ非採用削除!E$4,統合マスタ!$A499,0))</f>
        <v>1</v>
      </c>
      <c r="S499" s="55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5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5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/>
    </row>
    <row r="500" spans="1:27">
      <c r="A500" s="42">
        <f>元データ!P497</f>
        <v>430</v>
      </c>
      <c r="B500" s="27">
        <f t="shared" si="7"/>
        <v>496</v>
      </c>
      <c r="C500" s="27" t="str">
        <f>DBCS(元データ!A497)</f>
        <v>ビブラマイシン錠５０ｍｇ</v>
      </c>
      <c r="D500" s="55" t="str">
        <f>元データ!B497</f>
        <v>メディセオ</v>
      </c>
      <c r="E500" s="27" t="str">
        <f>元データ!C497</f>
        <v>PTP</v>
      </c>
      <c r="F500" s="27" t="str">
        <f>元データ!D497</f>
        <v>100T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5" t="str">
        <f ca="1">IF(OFFSET(マスタ非採用削除!A$4,統合マスタ!$A500,0)="","",OFFSET(マスタ非採用削除!A$4,統合マスタ!$A500,0))</f>
        <v>ﾋﾌﾗ001</v>
      </c>
      <c r="O500" s="55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5" t="str">
        <f ca="1">IF(OFFSET(マスタ非採用削除!D$4,統合マスタ!$A500,0)="","",OFFSET(マスタ非採用削除!D$4,統合マスタ!$A500,0))</f>
        <v/>
      </c>
      <c r="R500" s="27">
        <f ca="1">IF(OFFSET(マスタ非採用削除!E$4,統合マスタ!$A500,0)="","",OFFSET(マスタ非採用削除!E$4,統合マスタ!$A500,0))</f>
        <v>1</v>
      </c>
      <c r="S500" s="55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5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5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/>
    </row>
    <row r="501" spans="1:27">
      <c r="A501" s="42">
        <f>元データ!P498</f>
        <v>432</v>
      </c>
      <c r="B501" s="27">
        <f t="shared" si="7"/>
        <v>497</v>
      </c>
      <c r="C501" s="27" t="str">
        <f>DBCS(元データ!A498)</f>
        <v>ビプレッソ徐放錠１５０ｍｇ</v>
      </c>
      <c r="D501" s="55" t="str">
        <f>元データ!B498</f>
        <v>アルフレッサ</v>
      </c>
      <c r="E501" s="27" t="str">
        <f>元データ!C498</f>
        <v>PTP</v>
      </c>
      <c r="F501" s="27" t="str">
        <f>元データ!D498</f>
        <v>100Ｔ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5" t="str">
        <f ca="1">IF(OFFSET(マスタ非採用削除!A$4,統合マスタ!$A501,0)="","",OFFSET(マスタ非採用削除!A$4,統合マスタ!$A501,0))</f>
        <v>ﾋﾌﾚ002</v>
      </c>
      <c r="O501" s="55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5" t="str">
        <f ca="1">IF(OFFSET(マスタ非採用削除!D$4,統合マスタ!$A501,0)="","",OFFSET(マスタ非採用削除!D$4,統合マスタ!$A501,0))</f>
        <v>ﾋﾞﾌﾟﾚ2</v>
      </c>
      <c r="R501" s="27">
        <f ca="1">IF(OFFSET(マスタ非採用削除!E$4,統合マスタ!$A501,0)="","",OFFSET(マスタ非採用削除!E$4,統合マスタ!$A501,0))</f>
        <v>2</v>
      </c>
      <c r="S501" s="55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5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5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/>
    </row>
    <row r="502" spans="1:27">
      <c r="A502" s="42">
        <f>元データ!P499</f>
        <v>432</v>
      </c>
      <c r="B502" s="27">
        <f t="shared" si="7"/>
        <v>498</v>
      </c>
      <c r="C502" s="27" t="str">
        <f>DBCS(元データ!A499)</f>
        <v>ビプレッソ徐放錠１５０ｍｇ</v>
      </c>
      <c r="D502" s="55" t="str">
        <f>元データ!B499</f>
        <v/>
      </c>
      <c r="E502" s="27" t="str">
        <f>元データ!C499</f>
        <v>バラ</v>
      </c>
      <c r="F502" s="27" t="str">
        <f>元データ!D499</f>
        <v>100Ｔ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5" t="str">
        <f ca="1">IF(OFFSET(マスタ非採用削除!A$4,統合マスタ!$A502,0)="","",OFFSET(マスタ非採用削除!A$4,統合マスタ!$A502,0))</f>
        <v>ﾋﾌﾚ002</v>
      </c>
      <c r="O502" s="55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5" t="str">
        <f ca="1">IF(OFFSET(マスタ非採用削除!D$4,統合マスタ!$A502,0)="","",OFFSET(マスタ非採用削除!D$4,統合マスタ!$A502,0))</f>
        <v>ﾋﾞﾌﾟﾚ2</v>
      </c>
      <c r="R502" s="27">
        <f ca="1">IF(OFFSET(マスタ非採用削除!E$4,統合マスタ!$A502,0)="","",OFFSET(マスタ非採用削除!E$4,統合マスタ!$A502,0))</f>
        <v>2</v>
      </c>
      <c r="S502" s="55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5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5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/>
    </row>
    <row r="503" spans="1:27">
      <c r="A503" s="42">
        <f>元データ!P500</f>
        <v>431</v>
      </c>
      <c r="B503" s="27">
        <f t="shared" si="7"/>
        <v>499</v>
      </c>
      <c r="C503" s="27" t="str">
        <f>DBCS(元データ!A500)</f>
        <v>ビプレッソ徐放錠５０ｍｇ</v>
      </c>
      <c r="D503" s="55" t="str">
        <f>元データ!B500</f>
        <v>アルフレッサ</v>
      </c>
      <c r="E503" s="27" t="str">
        <f>元データ!C500</f>
        <v>PTP</v>
      </c>
      <c r="F503" s="27" t="str">
        <f>元データ!D500</f>
        <v>100Ｔ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5" t="str">
        <f ca="1">IF(OFFSET(マスタ非採用削除!A$4,統合マスタ!$A503,0)="","",OFFSET(マスタ非採用削除!A$4,統合マスタ!$A503,0))</f>
        <v>ﾋﾌﾚ001</v>
      </c>
      <c r="O503" s="55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5" t="str">
        <f ca="1">IF(OFFSET(マスタ非採用削除!D$4,統合マスタ!$A503,0)="","",OFFSET(マスタ非採用削除!D$4,統合マスタ!$A503,0))</f>
        <v>ﾋﾞﾌﾟﾚ</v>
      </c>
      <c r="R503" s="27">
        <f ca="1">IF(OFFSET(マスタ非採用削除!E$4,統合マスタ!$A503,0)="","",OFFSET(マスタ非採用削除!E$4,統合マスタ!$A503,0))</f>
        <v>2</v>
      </c>
      <c r="S503" s="55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5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5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/>
    </row>
    <row r="504" spans="1:27">
      <c r="A504" s="42">
        <f>元データ!P501</f>
        <v>431</v>
      </c>
      <c r="B504" s="27">
        <f t="shared" si="7"/>
        <v>500</v>
      </c>
      <c r="C504" s="27" t="str">
        <f>DBCS(元データ!A501)</f>
        <v>ビプレッソ徐放錠５０ｍｇ</v>
      </c>
      <c r="D504" s="55" t="str">
        <f>元データ!B501</f>
        <v>アルフレッサ</v>
      </c>
      <c r="E504" s="27" t="str">
        <f>元データ!C501</f>
        <v>バラ</v>
      </c>
      <c r="F504" s="27" t="str">
        <f>元データ!D501</f>
        <v>100Ｔ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5" t="str">
        <f ca="1">IF(OFFSET(マスタ非採用削除!A$4,統合マスタ!$A504,0)="","",OFFSET(マスタ非採用削除!A$4,統合マスタ!$A504,0))</f>
        <v>ﾋﾌﾚ001</v>
      </c>
      <c r="O504" s="55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5" t="str">
        <f ca="1">IF(OFFSET(マスタ非採用削除!D$4,統合マスタ!$A504,0)="","",OFFSET(マスタ非採用削除!D$4,統合マスタ!$A504,0))</f>
        <v>ﾋﾞﾌﾟﾚ</v>
      </c>
      <c r="R504" s="27">
        <f ca="1">IF(OFFSET(マスタ非採用削除!E$4,統合マスタ!$A504,0)="","",OFFSET(マスタ非採用削除!E$4,統合マスタ!$A504,0))</f>
        <v>2</v>
      </c>
      <c r="S504" s="55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5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5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/>
    </row>
    <row r="505" spans="1:27">
      <c r="A505" s="42">
        <f>元データ!P502</f>
        <v>433</v>
      </c>
      <c r="B505" s="27">
        <f t="shared" si="7"/>
        <v>501</v>
      </c>
      <c r="C505" s="27" t="str">
        <f>DBCS(元データ!A502)</f>
        <v>ビペリデン塩酸塩錠１ｍｇ「アメル」</v>
      </c>
      <c r="D505" s="55" t="str">
        <f>元データ!B502</f>
        <v>アルフレッサ</v>
      </c>
      <c r="E505" s="27" t="str">
        <f>元データ!C502</f>
        <v>PTP</v>
      </c>
      <c r="F505" s="27" t="str">
        <f>元データ!D502</f>
        <v>1000Ｔ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5" t="str">
        <f ca="1">IF(OFFSET(マスタ非採用削除!A$4,統合マスタ!$A505,0)="","",OFFSET(マスタ非採用削除!A$4,統合マスタ!$A505,0))</f>
        <v>ﾋﾍﾘ001</v>
      </c>
      <c r="O505" s="55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5" t="str">
        <f ca="1">IF(OFFSET(マスタ非採用削除!D$4,統合マスタ!$A505,0)="","",OFFSET(マスタ非採用削除!D$4,統合マスタ!$A505,0))</f>
        <v>ﾋﾞﾍﾟﾘ1</v>
      </c>
      <c r="R505" s="27">
        <f ca="1">IF(OFFSET(マスタ非採用削除!E$4,統合マスタ!$A505,0)="","",OFFSET(マスタ非採用削除!E$4,統合マスタ!$A505,0))</f>
        <v>1</v>
      </c>
      <c r="S505" s="55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5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5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5</v>
      </c>
      <c r="AA505" s="27"/>
    </row>
    <row r="506" spans="1:27">
      <c r="A506" s="42">
        <f>元データ!P503</f>
        <v>433</v>
      </c>
      <c r="B506" s="27">
        <f t="shared" si="7"/>
        <v>502</v>
      </c>
      <c r="C506" s="27" t="str">
        <f>DBCS(元データ!A503)</f>
        <v>ビペリデン塩酸塩錠１ｍｇ「アメル」</v>
      </c>
      <c r="D506" s="55" t="str">
        <f>元データ!B503</f>
        <v>アルフレッサ</v>
      </c>
      <c r="E506" s="27" t="str">
        <f>元データ!C503</f>
        <v>バラ</v>
      </c>
      <c r="F506" s="27" t="str">
        <f>元データ!D503</f>
        <v>1000Ｔ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5" t="str">
        <f ca="1">IF(OFFSET(マスタ非採用削除!A$4,統合マスタ!$A506,0)="","",OFFSET(マスタ非採用削除!A$4,統合マスタ!$A506,0))</f>
        <v>ﾋﾍﾘ001</v>
      </c>
      <c r="O506" s="55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5" t="str">
        <f ca="1">IF(OFFSET(マスタ非採用削除!D$4,統合マスタ!$A506,0)="","",OFFSET(マスタ非採用削除!D$4,統合マスタ!$A506,0))</f>
        <v>ﾋﾞﾍﾟﾘ1</v>
      </c>
      <c r="R506" s="27">
        <f ca="1">IF(OFFSET(マスタ非採用削除!E$4,統合マスタ!$A506,0)="","",OFFSET(マスタ非採用削除!E$4,統合マスタ!$A506,0))</f>
        <v>1</v>
      </c>
      <c r="S506" s="55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5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5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5</v>
      </c>
      <c r="AA506" s="27"/>
    </row>
    <row r="507" spans="1:27">
      <c r="A507" s="42">
        <f>元データ!P504</f>
        <v>0</v>
      </c>
      <c r="B507" s="27">
        <f t="shared" si="7"/>
        <v>503</v>
      </c>
      <c r="C507" s="27" t="str">
        <f>DBCS(元データ!A504)</f>
        <v>ヒベルナ注２５ｍｇ</v>
      </c>
      <c r="D507" s="55" t="str">
        <f>元データ!B504</f>
        <v/>
      </c>
      <c r="E507" s="27" t="str">
        <f>元データ!C504</f>
        <v/>
      </c>
      <c r="F507" s="27" t="str">
        <f>元データ!D504</f>
        <v>1ｍｌｘ50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5" t="str">
        <f ca="1">IF(OFFSET(マスタ非採用削除!A$4,統合マスタ!$A507,0)="","",OFFSET(マスタ非採用削除!A$4,統合マスタ!$A507,0))</f>
        <v>コード(区分値)</v>
      </c>
      <c r="O507" s="55" t="str">
        <f ca="1">IF(OFFSET(マスタ非採用削除!B$4,統合マスタ!$A507,0)="","",OFFSET(マスタ非採用削除!B$4,統合マスタ!$A507,0))</f>
        <v>コード</v>
      </c>
      <c r="P507" s="27" t="str">
        <f ca="1">IF(OFFSET(マスタ非採用削除!C$4,統合マスタ!$A507,0)="","",OFFSET(マスタ非採用削除!C$4,統合マスタ!$A507,0))</f>
        <v>名称</v>
      </c>
      <c r="Q507" s="55" t="str">
        <f ca="1">IF(OFFSET(マスタ非採用削除!D$4,統合マスタ!$A507,0)="","",OFFSET(マスタ非採用削除!D$4,統合マスタ!$A507,0))</f>
        <v>ホストコード</v>
      </c>
      <c r="R507" s="27" t="str">
        <f ca="1">IF(OFFSET(マスタ非採用削除!E$4,統合マスタ!$A507,0)="","",OFFSET(マスタ非採用削除!E$4,統合マスタ!$A507,0))</f>
        <v>採用区分（区分値）(区分値)</v>
      </c>
      <c r="S507" s="55" t="str">
        <f ca="1">IF(OFFSET(マスタ非採用削除!F$4,統合マスタ!$A507,0)="","",OFFSET(マスタ非採用削除!F$4,統合マスタ!$A507,0))</f>
        <v>採用区分（区分値）</v>
      </c>
      <c r="T507" s="27" t="str">
        <f ca="1">IF(OFFSET(マスタ非採用削除!G$4,統合マスタ!$A507,0)="","",OFFSET(マスタ非採用削除!G$4,統合マスタ!$A507,0))</f>
        <v>薬価</v>
      </c>
      <c r="U507" s="55" t="str">
        <f ca="1">IF(OFFSET(マスタ非採用削除!H$4,統合マスタ!$A507,0)="","",OFFSET(マスタ非採用削除!H$4,統合マスタ!$A507,0))</f>
        <v>カナ名称</v>
      </c>
      <c r="V507" s="27" t="str">
        <f ca="1">IF(OFFSET(マスタ非採用削除!I$4,統合マスタ!$A507,0)="","",OFFSET(マスタ非採用削除!I$4,統合マスタ!$A507,0))</f>
        <v>剤形(区分値)</v>
      </c>
      <c r="W507" s="27" t="str">
        <f ca="1">IF(OFFSET(マスタ非採用削除!J$4,統合マスタ!$A507,0)="","",OFFSET(マスタ非採用削除!J$4,統合マスタ!$A507,0))</f>
        <v>剤形</v>
      </c>
      <c r="X507" s="27" t="str">
        <f ca="1">IF(OFFSET(マスタ非採用削除!K$4,統合マスタ!$A507,0)="","",OFFSET(マスタ非採用削除!K$4,統合マスタ!$A507,0))</f>
        <v>毒劇薬（区分値）(区分値)</v>
      </c>
      <c r="Y507" s="55" t="str">
        <f ca="1">IF(OFFSET(マスタ非採用削除!L$4,統合マスタ!$A507,0)="","",OFFSET(マスタ非採用削除!L$4,統合マスタ!$A507,0))</f>
        <v>毒劇薬（区分値）</v>
      </c>
      <c r="Z507" s="27" t="str">
        <f ca="1">IF(OFFSET(マスタ非採用削除!M$4,統合マスタ!$A507,0)="","",OFFSET(マスタ非採用削除!M$4,統合マスタ!$A507,0))</f>
        <v>棚</v>
      </c>
      <c r="AA507" s="27"/>
    </row>
    <row r="508" spans="1:27">
      <c r="A508" s="42">
        <f>元データ!P505</f>
        <v>435</v>
      </c>
      <c r="B508" s="27">
        <f t="shared" si="7"/>
        <v>504</v>
      </c>
      <c r="C508" s="27" t="str">
        <f>DBCS(元データ!A505)</f>
        <v>ヒベルナ糖衣錠２５ｍｇ</v>
      </c>
      <c r="D508" s="55" t="str">
        <f>元データ!B505</f>
        <v/>
      </c>
      <c r="E508" s="27" t="str">
        <f>元データ!C505</f>
        <v>PTP</v>
      </c>
      <c r="F508" s="27" t="str">
        <f>元データ!D505</f>
        <v>100Ｔ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5" t="str">
        <f ca="1">IF(OFFSET(マスタ非採用削除!A$4,統合マスタ!$A508,0)="","",OFFSET(マスタ非採用削除!A$4,統合マスタ!$A508,0))</f>
        <v>ﾋﾍﾙ002</v>
      </c>
      <c r="O508" s="55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5" t="str">
        <f ca="1">IF(OFFSET(マスタ非採用削除!D$4,統合マスタ!$A508,0)="","",OFFSET(マスタ非採用削除!D$4,統合マスタ!$A508,0))</f>
        <v>ﾋﾍﾞﾙﾅ1</v>
      </c>
      <c r="R508" s="27">
        <f ca="1">IF(OFFSET(マスタ非採用削除!E$4,統合マスタ!$A508,0)="","",OFFSET(マスタ非採用削除!E$4,統合マスタ!$A508,0))</f>
        <v>1</v>
      </c>
      <c r="S508" s="55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5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5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5</v>
      </c>
      <c r="AA508" s="27"/>
    </row>
    <row r="509" spans="1:27">
      <c r="A509" s="42">
        <f>元データ!P506</f>
        <v>435</v>
      </c>
      <c r="B509" s="27">
        <f t="shared" si="7"/>
        <v>505</v>
      </c>
      <c r="C509" s="27" t="str">
        <f>DBCS(元データ!A506)</f>
        <v>ヒベルナ糖衣錠２５ｍｇ</v>
      </c>
      <c r="D509" s="55" t="str">
        <f>元データ!B506</f>
        <v>アルフレッサ</v>
      </c>
      <c r="E509" s="27" t="str">
        <f>元データ!C506</f>
        <v>バラ</v>
      </c>
      <c r="F509" s="27" t="str">
        <f>元データ!D506</f>
        <v>1000Ｔ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5" t="str">
        <f ca="1">IF(OFFSET(マスタ非採用削除!A$4,統合マスタ!$A509,0)="","",OFFSET(マスタ非採用削除!A$4,統合マスタ!$A509,0))</f>
        <v>ﾋﾍﾙ002</v>
      </c>
      <c r="O509" s="55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5" t="str">
        <f ca="1">IF(OFFSET(マスタ非採用削除!D$4,統合マスタ!$A509,0)="","",OFFSET(マスタ非採用削除!D$4,統合マスタ!$A509,0))</f>
        <v>ﾋﾍﾞﾙﾅ1</v>
      </c>
      <c r="R509" s="27">
        <f ca="1">IF(OFFSET(マスタ非採用削除!E$4,統合マスタ!$A509,0)="","",OFFSET(マスタ非採用削除!E$4,統合マスタ!$A509,0))</f>
        <v>1</v>
      </c>
      <c r="S509" s="55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5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5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5</v>
      </c>
      <c r="AA509" s="27"/>
    </row>
    <row r="510" spans="1:27">
      <c r="A510" s="42" t="str">
        <f>元データ!P507</f>
        <v>非採用</v>
      </c>
      <c r="B510" s="27">
        <f t="shared" si="7"/>
        <v>506</v>
      </c>
      <c r="C510" s="27" t="str">
        <f>DBCS(元データ!A507)</f>
        <v>ビムパット錠１００ｍｇ</v>
      </c>
      <c r="D510" s="55" t="str">
        <f>元データ!B507</f>
        <v/>
      </c>
      <c r="E510" s="27" t="str">
        <f>元データ!C507</f>
        <v>ＰＴＰ</v>
      </c>
      <c r="F510" s="27" t="str">
        <f>元データ!D507</f>
        <v>100Ｔ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5" t="e">
        <f ca="1">IF(OFFSET(マスタ非採用削除!A$4,統合マスタ!$A510,0)="","",OFFSET(マスタ非採用削除!A$4,統合マスタ!$A510,0))</f>
        <v>#VALUE!</v>
      </c>
      <c r="O510" s="55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5" t="e">
        <f ca="1">IF(OFFSET(マスタ非採用削除!D$4,統合マスタ!$A510,0)="","",OFFSET(マスタ非採用削除!D$4,統合マスタ!$A510,0))</f>
        <v>#VALUE!</v>
      </c>
      <c r="R510" s="27" t="e">
        <f ca="1">IF(OFFSET(マスタ非採用削除!E$4,統合マスタ!$A510,0)="","",OFFSET(マスタ非採用削除!E$4,統合マスタ!$A510,0))</f>
        <v>#VALUE!</v>
      </c>
      <c r="S510" s="55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5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5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">
        <v>4076</v>
      </c>
    </row>
    <row r="511" spans="1:27">
      <c r="A511" s="42" t="str">
        <f>元データ!P508</f>
        <v>非採用</v>
      </c>
      <c r="B511" s="27">
        <f t="shared" si="7"/>
        <v>507</v>
      </c>
      <c r="C511" s="27" t="str">
        <f>DBCS(元データ!A508)</f>
        <v>ビムパット錠５０ｍｇ　採用中止</v>
      </c>
      <c r="D511" s="55" t="str">
        <f>元データ!B508</f>
        <v>メディセオ</v>
      </c>
      <c r="E511" s="27" t="str">
        <f>元データ!C508</f>
        <v>ＰＴＰ</v>
      </c>
      <c r="F511" s="27" t="str">
        <f>元データ!D508</f>
        <v>100Ｔ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5" t="e">
        <f ca="1">IF(OFFSET(マスタ非採用削除!A$4,統合マスタ!$A511,0)="","",OFFSET(マスタ非採用削除!A$4,統合マスタ!$A511,0))</f>
        <v>#VALUE!</v>
      </c>
      <c r="O511" s="55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5" t="e">
        <f ca="1">IF(OFFSET(マスタ非採用削除!D$4,統合マスタ!$A511,0)="","",OFFSET(マスタ非採用削除!D$4,統合マスタ!$A511,0))</f>
        <v>#VALUE!</v>
      </c>
      <c r="R511" s="27" t="e">
        <f ca="1">IF(OFFSET(マスタ非採用削除!E$4,統合マスタ!$A511,0)="","",OFFSET(マスタ非採用削除!E$4,統合マスタ!$A511,0))</f>
        <v>#VALUE!</v>
      </c>
      <c r="S511" s="55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5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5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">
        <v>4076</v>
      </c>
    </row>
    <row r="512" spans="1:27">
      <c r="A512" s="42">
        <f>元データ!P509</f>
        <v>436</v>
      </c>
      <c r="B512" s="27">
        <f t="shared" si="7"/>
        <v>508</v>
      </c>
      <c r="C512" s="27" t="str">
        <f>DBCS(元データ!A509)</f>
        <v>ピメノールカプセル５０ｍｇ</v>
      </c>
      <c r="D512" s="55" t="str">
        <f>元データ!B509</f>
        <v>アルフレッサ</v>
      </c>
      <c r="E512" s="27" t="str">
        <f>元データ!C509</f>
        <v>PTP</v>
      </c>
      <c r="F512" s="27" t="str">
        <f>元データ!D509</f>
        <v>100T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5" t="str">
        <f ca="1">IF(OFFSET(マスタ非採用削除!A$4,統合マスタ!$A512,0)="","",OFFSET(マスタ非採用削除!A$4,統合マスタ!$A512,0))</f>
        <v>ﾋﾒﾉ001</v>
      </c>
      <c r="O512" s="55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5" t="str">
        <f ca="1">IF(OFFSET(マスタ非採用削除!D$4,統合マスタ!$A512,0)="","",OFFSET(マスタ非採用削除!D$4,統合マスタ!$A512,0))</f>
        <v>ﾋﾟﾒﾉ</v>
      </c>
      <c r="R512" s="27">
        <f ca="1">IF(OFFSET(マスタ非採用削除!E$4,統合マスタ!$A512,0)="","",OFFSET(マスタ非採用削除!E$4,統合マスタ!$A512,0))</f>
        <v>2</v>
      </c>
      <c r="S512" s="55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5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5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/>
    </row>
    <row r="513" spans="1:27">
      <c r="A513" s="42">
        <f>元データ!P510</f>
        <v>437</v>
      </c>
      <c r="B513" s="27">
        <f t="shared" si="7"/>
        <v>509</v>
      </c>
      <c r="C513" s="27" t="str">
        <f>DBCS(元データ!A510)</f>
        <v>ピモベンダン錠１．２５ｍｇ「ＴＥ」</v>
      </c>
      <c r="D513" s="55" t="str">
        <f>元データ!B510</f>
        <v/>
      </c>
      <c r="E513" s="27" t="str">
        <f>元データ!C510</f>
        <v>PTP</v>
      </c>
      <c r="F513" s="27" t="str">
        <f>元データ!D510</f>
        <v>100T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5" t="str">
        <f ca="1">IF(OFFSET(マスタ非採用削除!A$4,統合マスタ!$A513,0)="","",OFFSET(マスタ非採用削除!A$4,統合マスタ!$A513,0))</f>
        <v>ﾋﾓﾍ001</v>
      </c>
      <c r="O513" s="55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5" t="str">
        <f ca="1">IF(OFFSET(マスタ非採用削除!D$4,統合マスタ!$A513,0)="","",OFFSET(マスタ非採用削除!D$4,統合マスタ!$A513,0))</f>
        <v>ﾋﾟﾓﾍﾞ</v>
      </c>
      <c r="R513" s="27">
        <f ca="1">IF(OFFSET(マスタ非採用削除!E$4,統合マスタ!$A513,0)="","",OFFSET(マスタ非採用削除!E$4,統合マスタ!$A513,0))</f>
        <v>2</v>
      </c>
      <c r="S513" s="55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5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5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/>
    </row>
    <row r="514" spans="1:27">
      <c r="A514" s="42">
        <f>元データ!P511</f>
        <v>438</v>
      </c>
      <c r="B514" s="27">
        <f t="shared" si="7"/>
        <v>510</v>
      </c>
      <c r="C514" s="27" t="str">
        <f>DBCS(元データ!A511)</f>
        <v>ヒューマリンＲ注Ｕ１００単位／ｍｌ　１０ｍｌ</v>
      </c>
      <c r="D514" s="55" t="str">
        <f>元データ!B511</f>
        <v>メディセオ</v>
      </c>
      <c r="E514" s="27" t="str">
        <f>元データ!C511</f>
        <v/>
      </c>
      <c r="F514" s="27" t="str">
        <f>元データ!D511</f>
        <v>10MLX1V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5" t="str">
        <f ca="1">IF(OFFSET(マスタ非採用削除!A$4,統合マスタ!$A514,0)="","",OFFSET(マスタ非採用削除!A$4,統合マスタ!$A514,0))</f>
        <v>ﾋﾕﾏ001</v>
      </c>
      <c r="O514" s="55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5" t="str">
        <f ca="1">IF(OFFSET(マスタ非採用削除!D$4,統合マスタ!$A514,0)="","",OFFSET(マスタ非採用削除!D$4,統合マスタ!$A514,0))</f>
        <v>ﾋｭｰﾏR</v>
      </c>
      <c r="R514" s="27">
        <f ca="1">IF(OFFSET(マスタ非採用削除!E$4,統合マスタ!$A514,0)="","",OFFSET(マスタ非採用削除!E$4,統合マスタ!$A514,0))</f>
        <v>1</v>
      </c>
      <c r="S514" s="55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5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5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/>
    </row>
    <row r="515" spans="1:27">
      <c r="A515" s="42" t="str">
        <f>元データ!P512</f>
        <v>非採用</v>
      </c>
      <c r="B515" s="27">
        <f t="shared" si="7"/>
        <v>511</v>
      </c>
      <c r="C515" s="27" t="str">
        <f>DBCS(元データ!A512)</f>
        <v>ヒューマリンＲ注ミリオペン　３００単位</v>
      </c>
      <c r="D515" s="55" t="str">
        <f>元データ!B512</f>
        <v/>
      </c>
      <c r="E515" s="27" t="str">
        <f>元データ!C512</f>
        <v/>
      </c>
      <c r="F515" s="27" t="str">
        <f>元データ!D512</f>
        <v>3ｍｌｘ2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5" t="e">
        <f ca="1">IF(OFFSET(マスタ非採用削除!A$4,統合マスタ!$A515,0)="","",OFFSET(マスタ非採用削除!A$4,統合マスタ!$A515,0))</f>
        <v>#VALUE!</v>
      </c>
      <c r="O515" s="55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5" t="e">
        <f ca="1">IF(OFFSET(マスタ非採用削除!D$4,統合マスタ!$A515,0)="","",OFFSET(マスタ非採用削除!D$4,統合マスタ!$A515,0))</f>
        <v>#VALUE!</v>
      </c>
      <c r="R515" s="27" t="e">
        <f ca="1">IF(OFFSET(マスタ非採用削除!E$4,統合マスタ!$A515,0)="","",OFFSET(マスタ非採用削除!E$4,統合マスタ!$A515,0))</f>
        <v>#VALUE!</v>
      </c>
      <c r="S515" s="55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5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5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">
        <v>4076</v>
      </c>
    </row>
    <row r="516" spans="1:27">
      <c r="A516" s="42">
        <f>元データ!P513</f>
        <v>439</v>
      </c>
      <c r="B516" s="27">
        <f t="shared" si="7"/>
        <v>512</v>
      </c>
      <c r="C516" s="27" t="str">
        <f>DBCS(元データ!A513)</f>
        <v>ヒューマログミックス５０注ミリオペン　３００単位</v>
      </c>
      <c r="D516" s="55" t="str">
        <f>元データ!B513</f>
        <v/>
      </c>
      <c r="E516" s="27" t="str">
        <f>元データ!C513</f>
        <v/>
      </c>
      <c r="F516" s="27" t="str">
        <f>元データ!D513</f>
        <v>3ｍｌｘ2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5" t="str">
        <f ca="1">IF(OFFSET(マスタ非採用削除!A$4,統合マスタ!$A516,0)="","",OFFSET(マスタ非採用削除!A$4,統合マスタ!$A516,0))</f>
        <v>ﾋﾕﾏ004</v>
      </c>
      <c r="O516" s="55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5" t="str">
        <f ca="1">IF(OFFSET(マスタ非採用削除!D$4,統合マスタ!$A516,0)="","",OFFSET(マスタ非採用削除!D$4,統合マスタ!$A516,0))</f>
        <v/>
      </c>
      <c r="R516" s="27">
        <f ca="1">IF(OFFSET(マスタ非採用削除!E$4,統合マスタ!$A516,0)="","",OFFSET(マスタ非採用削除!E$4,統合マスタ!$A516,0))</f>
        <v>2</v>
      </c>
      <c r="S516" s="55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5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5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/>
    </row>
    <row r="517" spans="1:27">
      <c r="A517" s="42">
        <f>元データ!P514</f>
        <v>0</v>
      </c>
      <c r="B517" s="27">
        <f t="shared" si="7"/>
        <v>513</v>
      </c>
      <c r="C517" s="27" t="str">
        <f>DBCS(元データ!A514)</f>
        <v>ピューラックス６％</v>
      </c>
      <c r="D517" s="55" t="str">
        <f>元データ!B514</f>
        <v>スズケン</v>
      </c>
      <c r="E517" s="27" t="str">
        <f>元データ!C514</f>
        <v/>
      </c>
      <c r="F517" s="27" t="str">
        <f>元データ!D514</f>
        <v>600ｍｌ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5" t="str">
        <f ca="1">IF(OFFSET(マスタ非採用削除!A$4,統合マスタ!$A517,0)="","",OFFSET(マスタ非採用削除!A$4,統合マスタ!$A517,0))</f>
        <v>コード(区分値)</v>
      </c>
      <c r="O517" s="55" t="str">
        <f ca="1">IF(OFFSET(マスタ非採用削除!B$4,統合マスタ!$A517,0)="","",OFFSET(マスタ非採用削除!B$4,統合マスタ!$A517,0))</f>
        <v>コード</v>
      </c>
      <c r="P517" s="27" t="str">
        <f ca="1">IF(OFFSET(マスタ非採用削除!C$4,統合マスタ!$A517,0)="","",OFFSET(マスタ非採用削除!C$4,統合マスタ!$A517,0))</f>
        <v>名称</v>
      </c>
      <c r="Q517" s="55" t="str">
        <f ca="1">IF(OFFSET(マスタ非採用削除!D$4,統合マスタ!$A517,0)="","",OFFSET(マスタ非採用削除!D$4,統合マスタ!$A517,0))</f>
        <v>ホストコード</v>
      </c>
      <c r="R517" s="27" t="str">
        <f ca="1">IF(OFFSET(マスタ非採用削除!E$4,統合マスタ!$A517,0)="","",OFFSET(マスタ非採用削除!E$4,統合マスタ!$A517,0))</f>
        <v>採用区分（区分値）(区分値)</v>
      </c>
      <c r="S517" s="55" t="str">
        <f ca="1">IF(OFFSET(マスタ非採用削除!F$4,統合マスタ!$A517,0)="","",OFFSET(マスタ非採用削除!F$4,統合マスタ!$A517,0))</f>
        <v>採用区分（区分値）</v>
      </c>
      <c r="T517" s="27" t="str">
        <f ca="1">IF(OFFSET(マスタ非採用削除!G$4,統合マスタ!$A517,0)="","",OFFSET(マスタ非採用削除!G$4,統合マスタ!$A517,0))</f>
        <v>薬価</v>
      </c>
      <c r="U517" s="55" t="str">
        <f ca="1">IF(OFFSET(マスタ非採用削除!H$4,統合マスタ!$A517,0)="","",OFFSET(マスタ非採用削除!H$4,統合マスタ!$A517,0))</f>
        <v>カナ名称</v>
      </c>
      <c r="V517" s="27" t="str">
        <f ca="1">IF(OFFSET(マスタ非採用削除!I$4,統合マスタ!$A517,0)="","",OFFSET(マスタ非採用削除!I$4,統合マスタ!$A517,0))</f>
        <v>剤形(区分値)</v>
      </c>
      <c r="W517" s="27" t="str">
        <f ca="1">IF(OFFSET(マスタ非採用削除!J$4,統合マスタ!$A517,0)="","",OFFSET(マスタ非採用削除!J$4,統合マスタ!$A517,0))</f>
        <v>剤形</v>
      </c>
      <c r="X517" s="27" t="str">
        <f ca="1">IF(OFFSET(マスタ非採用削除!K$4,統合マスタ!$A517,0)="","",OFFSET(マスタ非採用削除!K$4,統合マスタ!$A517,0))</f>
        <v>毒劇薬（区分値）(区分値)</v>
      </c>
      <c r="Y517" s="55" t="str">
        <f ca="1">IF(OFFSET(マスタ非採用削除!L$4,統合マスタ!$A517,0)="","",OFFSET(マスタ非採用削除!L$4,統合マスタ!$A517,0))</f>
        <v>毒劇薬（区分値）</v>
      </c>
      <c r="Z517" s="27" t="str">
        <f ca="1">IF(OFFSET(マスタ非採用削除!M$4,統合マスタ!$A517,0)="","",OFFSET(マスタ非採用削除!M$4,統合マスタ!$A517,0))</f>
        <v>棚</v>
      </c>
      <c r="AA517" s="27"/>
    </row>
    <row r="518" spans="1:27">
      <c r="A518" s="42">
        <f>元データ!P515</f>
        <v>440</v>
      </c>
      <c r="B518" s="27">
        <f t="shared" si="7"/>
        <v>514</v>
      </c>
      <c r="C518" s="27" t="str">
        <f>DBCS(元データ!A515)</f>
        <v>ビラノアＯＤ錠２０ｍｇ</v>
      </c>
      <c r="D518" s="55" t="str">
        <f>元データ!B515</f>
        <v>スズケン</v>
      </c>
      <c r="E518" s="27" t="str">
        <f>元データ!C515</f>
        <v>ＰＴＰ</v>
      </c>
      <c r="F518" s="27" t="str">
        <f>元データ!D515</f>
        <v>100T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5" t="str">
        <f ca="1">IF(OFFSET(マスタ非採用削除!A$4,統合マスタ!$A518,0)="","",OFFSET(マスタ非採用削除!A$4,統合マスタ!$A518,0))</f>
        <v>ﾋﾗﾉ002</v>
      </c>
      <c r="O518" s="55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5" t="str">
        <f ca="1">IF(OFFSET(マスタ非採用削除!D$4,統合マスタ!$A518,0)="","",OFFSET(マスタ非採用削除!D$4,統合マスタ!$A518,0))</f>
        <v/>
      </c>
      <c r="R518" s="27">
        <f ca="1">IF(OFFSET(マスタ非採用削除!E$4,統合マスタ!$A518,0)="","",OFFSET(マスタ非採用削除!E$4,統合マスタ!$A518,0))</f>
        <v>1</v>
      </c>
      <c r="S518" s="55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5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5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5</v>
      </c>
      <c r="AA518" s="27"/>
    </row>
    <row r="519" spans="1:27">
      <c r="A519" s="42">
        <f>元データ!P516</f>
        <v>440</v>
      </c>
      <c r="B519" s="27">
        <f t="shared" ref="B519:B582" si="8">B518+1</f>
        <v>515</v>
      </c>
      <c r="C519" s="27" t="str">
        <f>DBCS(元データ!A516)</f>
        <v>ビラノアＯＤ錠２０ｍｇ</v>
      </c>
      <c r="D519" s="55" t="str">
        <f>元データ!B516</f>
        <v>スズケン</v>
      </c>
      <c r="E519" s="27" t="str">
        <f>元データ!C516</f>
        <v>ＰＴＰ</v>
      </c>
      <c r="F519" s="27" t="str">
        <f>元データ!D516</f>
        <v>500T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5" t="str">
        <f ca="1">IF(OFFSET(マスタ非採用削除!A$4,統合マスタ!$A519,0)="","",OFFSET(マスタ非採用削除!A$4,統合マスタ!$A519,0))</f>
        <v>ﾋﾗﾉ002</v>
      </c>
      <c r="O519" s="55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5" t="str">
        <f ca="1">IF(OFFSET(マスタ非採用削除!D$4,統合マスタ!$A519,0)="","",OFFSET(マスタ非採用削除!D$4,統合マスタ!$A519,0))</f>
        <v/>
      </c>
      <c r="R519" s="27">
        <f ca="1">IF(OFFSET(マスタ非採用削除!E$4,統合マスタ!$A519,0)="","",OFFSET(マスタ非採用削除!E$4,統合マスタ!$A519,0))</f>
        <v>1</v>
      </c>
      <c r="S519" s="55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5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5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5</v>
      </c>
      <c r="AA519" s="27"/>
    </row>
    <row r="520" spans="1:27">
      <c r="A520" s="42">
        <f>元データ!P517</f>
        <v>441</v>
      </c>
      <c r="B520" s="27">
        <f t="shared" si="8"/>
        <v>516</v>
      </c>
      <c r="C520" s="27" t="str">
        <f>DBCS(元データ!A517)</f>
        <v>ヒルドイドソフト軟膏　０．３％</v>
      </c>
      <c r="D520" s="55" t="str">
        <f>元データ!B517</f>
        <v>東邦</v>
      </c>
      <c r="E520" s="27" t="str">
        <f>元データ!C517</f>
        <v/>
      </c>
      <c r="F520" s="27" t="str">
        <f>元データ!D517</f>
        <v>25ｇｘ10本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5" t="str">
        <f ca="1">IF(OFFSET(マスタ非採用削除!A$4,統合マスタ!$A520,0)="","",OFFSET(マスタ非採用削除!A$4,統合マスタ!$A520,0))</f>
        <v>ﾋﾙﾄ001</v>
      </c>
      <c r="O520" s="55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5" t="str">
        <f ca="1">IF(OFFSET(マスタ非採用削除!D$4,統合マスタ!$A520,0)="","",OFFSET(マスタ非採用削除!D$4,統合マスタ!$A520,0))</f>
        <v>ﾋﾙﾄﾞｲ3</v>
      </c>
      <c r="R520" s="27">
        <f ca="1">IF(OFFSET(マスタ非採用削除!E$4,統合マスタ!$A520,0)="","",OFFSET(マスタ非採用削除!E$4,統合マスタ!$A520,0))</f>
        <v>1</v>
      </c>
      <c r="S520" s="55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5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5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/>
    </row>
    <row r="521" spans="1:27">
      <c r="A521" s="42">
        <f>元データ!P518</f>
        <v>445</v>
      </c>
      <c r="B521" s="27">
        <f t="shared" si="8"/>
        <v>517</v>
      </c>
      <c r="C521" s="27" t="str">
        <f>DBCS(元データ!A518)</f>
        <v>ヒルナミン細粒１０％</v>
      </c>
      <c r="D521" s="55" t="str">
        <f>元データ!B518</f>
        <v>メディセオ</v>
      </c>
      <c r="E521" s="27" t="str">
        <f>元データ!C518</f>
        <v>粉</v>
      </c>
      <c r="F521" s="27" t="str">
        <f>元データ!D518</f>
        <v>500ｇ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5" t="str">
        <f ca="1">IF(OFFSET(マスタ非採用削除!A$4,統合マスタ!$A521,0)="","",OFFSET(マスタ非採用削除!A$4,統合マスタ!$A521,0))</f>
        <v>ﾋﾙﾅ004</v>
      </c>
      <c r="O521" s="55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5" t="str">
        <f ca="1">IF(OFFSET(マスタ非採用削除!D$4,統合マスタ!$A521,0)="","",OFFSET(マスタ非採用削除!D$4,統合マスタ!$A521,0))</f>
        <v/>
      </c>
      <c r="R521" s="27">
        <f ca="1">IF(OFFSET(マスタ非採用削除!E$4,統合マスタ!$A521,0)="","",OFFSET(マスタ非採用削除!E$4,統合マスタ!$A521,0))</f>
        <v>1</v>
      </c>
      <c r="S521" s="55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5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5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/>
    </row>
    <row r="522" spans="1:27">
      <c r="A522" s="42">
        <f>元データ!P519</f>
        <v>443</v>
      </c>
      <c r="B522" s="27">
        <f t="shared" si="8"/>
        <v>518</v>
      </c>
      <c r="C522" s="27" t="str">
        <f>DBCS(元データ!A519)</f>
        <v>ヒルナミン錠（２５ｍｇ）</v>
      </c>
      <c r="D522" s="55" t="str">
        <f>元データ!B519</f>
        <v>メディセオ</v>
      </c>
      <c r="E522" s="27" t="str">
        <f>元データ!C519</f>
        <v>PTP</v>
      </c>
      <c r="F522" s="27" t="str">
        <f>元データ!D519</f>
        <v>100T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5" t="str">
        <f ca="1">IF(OFFSET(マスタ非採用削除!A$4,統合マスタ!$A522,0)="","",OFFSET(マスタ非採用削除!A$4,統合マスタ!$A522,0))</f>
        <v>ﾋﾙﾅ002</v>
      </c>
      <c r="O522" s="55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5" t="str">
        <f ca="1">IF(OFFSET(マスタ非採用削除!D$4,統合マスタ!$A522,0)="","",OFFSET(マスタ非採用削除!D$4,統合マスタ!$A522,0))</f>
        <v/>
      </c>
      <c r="R522" s="27">
        <f ca="1">IF(OFFSET(マスタ非採用削除!E$4,統合マスタ!$A522,0)="","",OFFSET(マスタ非採用削除!E$4,統合マスタ!$A522,0))</f>
        <v>1</v>
      </c>
      <c r="S522" s="55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5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5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5</v>
      </c>
      <c r="AA522" s="27"/>
    </row>
    <row r="523" spans="1:27">
      <c r="A523" s="42">
        <f>元データ!P520</f>
        <v>443</v>
      </c>
      <c r="B523" s="27">
        <f t="shared" si="8"/>
        <v>519</v>
      </c>
      <c r="C523" s="27" t="str">
        <f>DBCS(元データ!A520)</f>
        <v>ヒルナミン錠（２５ｍｇ）</v>
      </c>
      <c r="D523" s="55" t="str">
        <f>元データ!B520</f>
        <v>メディセオ</v>
      </c>
      <c r="E523" s="27" t="str">
        <f>元データ!C520</f>
        <v>バラ</v>
      </c>
      <c r="F523" s="27" t="str">
        <f>元データ!D520</f>
        <v>1000T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5" t="str">
        <f ca="1">IF(OFFSET(マスタ非採用削除!A$4,統合マスタ!$A523,0)="","",OFFSET(マスタ非採用削除!A$4,統合マスタ!$A523,0))</f>
        <v>ﾋﾙﾅ002</v>
      </c>
      <c r="O523" s="55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5" t="str">
        <f ca="1">IF(OFFSET(マスタ非採用削除!D$4,統合マスタ!$A523,0)="","",OFFSET(マスタ非採用削除!D$4,統合マスタ!$A523,0))</f>
        <v/>
      </c>
      <c r="R523" s="27">
        <f ca="1">IF(OFFSET(マスタ非採用削除!E$4,統合マスタ!$A523,0)="","",OFFSET(マスタ非採用削除!E$4,統合マスタ!$A523,0))</f>
        <v>1</v>
      </c>
      <c r="S523" s="55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5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5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5</v>
      </c>
      <c r="AA523" s="27"/>
    </row>
    <row r="524" spans="1:27">
      <c r="A524" s="42">
        <f>元データ!P521</f>
        <v>444</v>
      </c>
      <c r="B524" s="27">
        <f t="shared" si="8"/>
        <v>520</v>
      </c>
      <c r="C524" s="27" t="str">
        <f>DBCS(元データ!A521)</f>
        <v>ヒルナミン錠（５０ｍｇ）</v>
      </c>
      <c r="D524" s="55" t="str">
        <f>元データ!B521</f>
        <v>メディセオ</v>
      </c>
      <c r="E524" s="27" t="str">
        <f>元データ!C521</f>
        <v>バラ</v>
      </c>
      <c r="F524" s="27" t="str">
        <f>元データ!D521</f>
        <v>1000T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5" t="str">
        <f ca="1">IF(OFFSET(マスタ非採用削除!A$4,統合マスタ!$A524,0)="","",OFFSET(マスタ非採用削除!A$4,統合マスタ!$A524,0))</f>
        <v>ﾋﾙﾅ003</v>
      </c>
      <c r="O524" s="55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5" t="str">
        <f ca="1">IF(OFFSET(マスタ非採用削除!D$4,統合マスタ!$A524,0)="","",OFFSET(マスタ非採用削除!D$4,統合マスタ!$A524,0))</f>
        <v/>
      </c>
      <c r="R524" s="27">
        <f ca="1">IF(OFFSET(マスタ非採用削除!E$4,統合マスタ!$A524,0)="","",OFFSET(マスタ非採用削除!E$4,統合マスタ!$A524,0))</f>
        <v>1</v>
      </c>
      <c r="S524" s="55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5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5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6</v>
      </c>
      <c r="AA524" s="27"/>
    </row>
    <row r="525" spans="1:27">
      <c r="A525" s="42">
        <f>元データ!P522</f>
        <v>442</v>
      </c>
      <c r="B525" s="27">
        <f t="shared" si="8"/>
        <v>521</v>
      </c>
      <c r="C525" s="27" t="str">
        <f>DBCS(元データ!A522)</f>
        <v>ヒルナミン錠（５ｍｇ）</v>
      </c>
      <c r="D525" s="55" t="str">
        <f>元データ!B522</f>
        <v>メディセオ</v>
      </c>
      <c r="E525" s="27" t="str">
        <f>元データ!C522</f>
        <v>PTP</v>
      </c>
      <c r="F525" s="27" t="str">
        <f>元データ!D522</f>
        <v>1000T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5" t="str">
        <f ca="1">IF(OFFSET(マスタ非採用削除!A$4,統合マスタ!$A525,0)="","",OFFSET(マスタ非採用削除!A$4,統合マスタ!$A525,0))</f>
        <v>ﾋﾙﾅ001</v>
      </c>
      <c r="O525" s="55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5" t="str">
        <f ca="1">IF(OFFSET(マスタ非採用削除!D$4,統合マスタ!$A525,0)="","",OFFSET(マスタ非採用削除!D$4,統合マスタ!$A525,0))</f>
        <v/>
      </c>
      <c r="R525" s="27">
        <f ca="1">IF(OFFSET(マスタ非採用削除!E$4,統合マスタ!$A525,0)="","",OFFSET(マスタ非採用削除!E$4,統合マスタ!$A525,0))</f>
        <v>1</v>
      </c>
      <c r="S525" s="55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5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5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5</v>
      </c>
      <c r="AA525" s="27"/>
    </row>
    <row r="526" spans="1:27">
      <c r="A526" s="42">
        <f>元データ!P523</f>
        <v>442</v>
      </c>
      <c r="B526" s="27">
        <f t="shared" si="8"/>
        <v>522</v>
      </c>
      <c r="C526" s="27" t="str">
        <f>DBCS(元データ!A523)</f>
        <v>ヒルナミン錠（５ｍｇ）</v>
      </c>
      <c r="D526" s="55" t="str">
        <f>元データ!B523</f>
        <v>メディセオ</v>
      </c>
      <c r="E526" s="27" t="str">
        <f>元データ!C523</f>
        <v>バラ</v>
      </c>
      <c r="F526" s="27" t="str">
        <f>元データ!D523</f>
        <v>1000T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5" t="str">
        <f ca="1">IF(OFFSET(マスタ非採用削除!A$4,統合マスタ!$A526,0)="","",OFFSET(マスタ非採用削除!A$4,統合マスタ!$A526,0))</f>
        <v>ﾋﾙﾅ001</v>
      </c>
      <c r="O526" s="55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5" t="str">
        <f ca="1">IF(OFFSET(マスタ非採用削除!D$4,統合マスタ!$A526,0)="","",OFFSET(マスタ非採用削除!D$4,統合マスタ!$A526,0))</f>
        <v/>
      </c>
      <c r="R526" s="27">
        <f ca="1">IF(OFFSET(マスタ非採用削除!E$4,統合マスタ!$A526,0)="","",OFFSET(マスタ非採用削除!E$4,統合マスタ!$A526,0))</f>
        <v>1</v>
      </c>
      <c r="S526" s="55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5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5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5</v>
      </c>
      <c r="AA526" s="27"/>
    </row>
    <row r="527" spans="1:27">
      <c r="A527" s="42">
        <f>元データ!P524</f>
        <v>446</v>
      </c>
      <c r="B527" s="27">
        <f t="shared" si="8"/>
        <v>523</v>
      </c>
      <c r="C527" s="27" t="str">
        <f>DBCS(元データ!A524)</f>
        <v>ピレノキシン懸濁性点眼液０．００５％「参天」</v>
      </c>
      <c r="D527" s="55" t="str">
        <f>元データ!B524</f>
        <v>東邦</v>
      </c>
      <c r="E527" s="27" t="str">
        <f>元データ!C524</f>
        <v/>
      </c>
      <c r="F527" s="27" t="str">
        <f>元データ!D524</f>
        <v>5ｍｌｘ10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5" t="str">
        <f ca="1">IF(OFFSET(マスタ非採用削除!A$4,統合マスタ!$A527,0)="","",OFFSET(マスタ非採用削除!A$4,統合マスタ!$A527,0))</f>
        <v>ﾋﾚﾉ001</v>
      </c>
      <c r="O527" s="55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5" t="str">
        <f ca="1">IF(OFFSET(マスタ非採用削除!D$4,統合マスタ!$A527,0)="","",OFFSET(マスタ非採用削除!D$4,統合マスタ!$A527,0))</f>
        <v>ﾋﾟﾚﾉ</v>
      </c>
      <c r="R527" s="27">
        <f ca="1">IF(OFFSET(マスタ非採用削除!E$4,統合マスタ!$A527,0)="","",OFFSET(マスタ非採用削除!E$4,統合マスタ!$A527,0))</f>
        <v>2</v>
      </c>
      <c r="S527" s="55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5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5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/>
    </row>
    <row r="528" spans="1:27">
      <c r="A528" s="42">
        <f>元データ!P525</f>
        <v>447</v>
      </c>
      <c r="B528" s="27">
        <f t="shared" si="8"/>
        <v>524</v>
      </c>
      <c r="C528" s="27" t="str">
        <f>DBCS(元データ!A525)</f>
        <v>ファモチジンＤ錠２０ｍｇ「サワイ」</v>
      </c>
      <c r="D528" s="55" t="str">
        <f>元データ!B525</f>
        <v>メディセオ</v>
      </c>
      <c r="E528" s="27" t="str">
        <f>元データ!C525</f>
        <v>PTP</v>
      </c>
      <c r="F528" s="27" t="str">
        <f>元データ!D525</f>
        <v>100Ｔ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5" t="str">
        <f ca="1">IF(OFFSET(マスタ非採用削除!A$4,統合マスタ!$A528,0)="","",OFFSET(マスタ非採用削除!A$4,統合マスタ!$A528,0))</f>
        <v>ﾌｱﾓ001</v>
      </c>
      <c r="O528" s="55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5" t="str">
        <f ca="1">IF(OFFSET(マスタ非採用削除!D$4,統合マスタ!$A528,0)="","",OFFSET(マスタ非採用削除!D$4,統合マスタ!$A528,0))</f>
        <v>ﾌｧﾓｻﾜ</v>
      </c>
      <c r="R528" s="27">
        <f ca="1">IF(OFFSET(マスタ非採用削除!E$4,統合マスタ!$A528,0)="","",OFFSET(マスタ非採用削除!E$4,統合マスタ!$A528,0))</f>
        <v>1</v>
      </c>
      <c r="S528" s="55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5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5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5</v>
      </c>
      <c r="AA528" s="27"/>
    </row>
    <row r="529" spans="1:27">
      <c r="A529" s="42">
        <f>元データ!P526</f>
        <v>447</v>
      </c>
      <c r="B529" s="27">
        <f t="shared" si="8"/>
        <v>525</v>
      </c>
      <c r="C529" s="27" t="str">
        <f>DBCS(元データ!A526)</f>
        <v>ファモチジンＤ錠２０ｍｇ「サワイ」</v>
      </c>
      <c r="D529" s="55" t="str">
        <f>元データ!B526</f>
        <v>メディセオ</v>
      </c>
      <c r="E529" s="27" t="str">
        <f>元データ!C526</f>
        <v>バラ</v>
      </c>
      <c r="F529" s="27" t="str">
        <f>元データ!D526</f>
        <v>500Ｔ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5" t="str">
        <f ca="1">IF(OFFSET(マスタ非採用削除!A$4,統合マスタ!$A529,0)="","",OFFSET(マスタ非採用削除!A$4,統合マスタ!$A529,0))</f>
        <v>ﾌｱﾓ001</v>
      </c>
      <c r="O529" s="55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5" t="str">
        <f ca="1">IF(OFFSET(マスタ非採用削除!D$4,統合マスタ!$A529,0)="","",OFFSET(マスタ非採用削除!D$4,統合マスタ!$A529,0))</f>
        <v>ﾌｧﾓｻﾜ</v>
      </c>
      <c r="R529" s="27">
        <f ca="1">IF(OFFSET(マスタ非採用削除!E$4,統合マスタ!$A529,0)="","",OFFSET(マスタ非採用削除!E$4,統合マスタ!$A529,0))</f>
        <v>1</v>
      </c>
      <c r="S529" s="55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5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5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5</v>
      </c>
      <c r="AA529" s="27"/>
    </row>
    <row r="530" spans="1:27">
      <c r="A530" s="42">
        <f>元データ!P527</f>
        <v>448</v>
      </c>
      <c r="B530" s="27">
        <f t="shared" si="8"/>
        <v>526</v>
      </c>
      <c r="C530" s="27" t="str">
        <f>DBCS(元データ!A527)</f>
        <v>ファモチジン静注液２０ｍｇ「サワイ」</v>
      </c>
      <c r="D530" s="55" t="str">
        <f>元データ!B527</f>
        <v/>
      </c>
      <c r="E530" s="27" t="str">
        <f>元データ!C527</f>
        <v/>
      </c>
      <c r="F530" s="27" t="str">
        <f>元データ!D527</f>
        <v>20mgx10A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5" t="str">
        <f ca="1">IF(OFFSET(マスタ非採用削除!A$4,統合マスタ!$A530,0)="","",OFFSET(マスタ非採用削除!A$4,統合マスタ!$A530,0))</f>
        <v>ﾌｱﾓ004</v>
      </c>
      <c r="O530" s="55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5" t="str">
        <f ca="1">IF(OFFSET(マスタ非採用削除!D$4,統合マスタ!$A530,0)="","",OFFSET(マスタ非採用削除!D$4,統合マスタ!$A530,0))</f>
        <v/>
      </c>
      <c r="R530" s="27">
        <f ca="1">IF(OFFSET(マスタ非採用削除!E$4,統合マスタ!$A530,0)="","",OFFSET(マスタ非採用削除!E$4,統合マスタ!$A530,0))</f>
        <v>1</v>
      </c>
      <c r="S530" s="55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5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5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/>
    </row>
    <row r="531" spans="1:27">
      <c r="A531" s="42">
        <f>元データ!P528</f>
        <v>449</v>
      </c>
      <c r="B531" s="27">
        <f t="shared" si="8"/>
        <v>527</v>
      </c>
      <c r="C531" s="27" t="str">
        <f>DBCS(元データ!A528)</f>
        <v>ファロム錠２００ｍｇ</v>
      </c>
      <c r="D531" s="55" t="str">
        <f>元データ!B528</f>
        <v>メディセオ</v>
      </c>
      <c r="E531" s="27" t="str">
        <f>元データ!C528</f>
        <v>PTP</v>
      </c>
      <c r="F531" s="27" t="str">
        <f>元データ!D528</f>
        <v>100T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5" t="str">
        <f ca="1">IF(OFFSET(マスタ非採用削除!A$4,統合マスタ!$A531,0)="","",OFFSET(マスタ非採用削除!A$4,統合マスタ!$A531,0))</f>
        <v>ﾌｱﾛ001</v>
      </c>
      <c r="O531" s="55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5" t="str">
        <f ca="1">IF(OFFSET(マスタ非採用削除!D$4,統合マスタ!$A531,0)="","",OFFSET(マスタ非採用削除!D$4,統合マスタ!$A531,0))</f>
        <v>ﾌｧﾛﾑ</v>
      </c>
      <c r="R531" s="27">
        <f ca="1">IF(OFFSET(マスタ非採用削除!E$4,統合マスタ!$A531,0)="","",OFFSET(マスタ非採用削除!E$4,統合マスタ!$A531,0))</f>
        <v>1</v>
      </c>
      <c r="S531" s="55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5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5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/>
    </row>
    <row r="532" spans="1:27">
      <c r="A532" s="42">
        <f>元データ!P529</f>
        <v>451</v>
      </c>
      <c r="B532" s="27">
        <f t="shared" si="8"/>
        <v>528</v>
      </c>
      <c r="C532" s="27" t="str">
        <f>DBCS(元データ!A529)</f>
        <v>フィコンパ錠２ｍｇ</v>
      </c>
      <c r="D532" s="55" t="str">
        <f>元データ!B529</f>
        <v>アルフレッサ</v>
      </c>
      <c r="E532" s="27" t="str">
        <f>元データ!C529</f>
        <v>PTP</v>
      </c>
      <c r="F532" s="27" t="str">
        <f>元データ!D529</f>
        <v>56T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5" t="str">
        <f ca="1">IF(OFFSET(マスタ非採用削除!A$4,統合マスタ!$A532,0)="","",OFFSET(マスタ非採用削除!A$4,統合マスタ!$A532,0))</f>
        <v>ﾌｲｺ001</v>
      </c>
      <c r="O532" s="55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5" t="str">
        <f ca="1">IF(OFFSET(マスタ非採用削除!D$4,統合マスタ!$A532,0)="","",OFFSET(マスタ非採用削除!D$4,統合マスタ!$A532,0))</f>
        <v>ﾌｨｺ</v>
      </c>
      <c r="R532" s="27">
        <f ca="1">IF(OFFSET(マスタ非採用削除!E$4,統合マスタ!$A532,0)="","",OFFSET(マスタ非採用削除!E$4,統合マスタ!$A532,0))</f>
        <v>1</v>
      </c>
      <c r="S532" s="55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5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5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/>
    </row>
    <row r="533" spans="1:27">
      <c r="A533" s="42">
        <f>元データ!P530</f>
        <v>452</v>
      </c>
      <c r="B533" s="27">
        <f t="shared" si="8"/>
        <v>529</v>
      </c>
      <c r="C533" s="27" t="str">
        <f>DBCS(元データ!A530)</f>
        <v>フェジン静注４０ｍｇ</v>
      </c>
      <c r="D533" s="55" t="str">
        <f>元データ!B530</f>
        <v>メディセオ</v>
      </c>
      <c r="E533" s="27" t="str">
        <f>元データ!C530</f>
        <v/>
      </c>
      <c r="F533" s="27" t="str">
        <f>元データ!D530</f>
        <v xml:space="preserve"> 2MLX10A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5" t="str">
        <f ca="1">IF(OFFSET(マスタ非採用削除!A$4,統合マスタ!$A533,0)="","",OFFSET(マスタ非採用削除!A$4,統合マスタ!$A533,0))</f>
        <v>ﾌｴｼ001</v>
      </c>
      <c r="O533" s="55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5" t="str">
        <f ca="1">IF(OFFSET(マスタ非採用削除!D$4,統合マスタ!$A533,0)="","",OFFSET(マスタ非採用削除!D$4,統合マスタ!$A533,0))</f>
        <v>ﾌｪｼﾞﾝ</v>
      </c>
      <c r="R533" s="27">
        <f ca="1">IF(OFFSET(マスタ非採用削除!E$4,統合マスタ!$A533,0)="","",OFFSET(マスタ非採用削除!E$4,統合マスタ!$A533,0))</f>
        <v>1</v>
      </c>
      <c r="S533" s="55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5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5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/>
    </row>
    <row r="534" spans="1:27">
      <c r="A534" s="42">
        <f>元データ!P531</f>
        <v>454</v>
      </c>
      <c r="B534" s="27">
        <f t="shared" si="8"/>
        <v>530</v>
      </c>
      <c r="C534" s="27" t="str">
        <f>DBCS(元データ!A531)</f>
        <v>フェノバール錠３０ｍｇ</v>
      </c>
      <c r="D534" s="55" t="str">
        <f>元データ!B531</f>
        <v>スズケン</v>
      </c>
      <c r="E534" s="27" t="str">
        <f>元データ!C531</f>
        <v>PTP</v>
      </c>
      <c r="F534" s="27" t="str">
        <f>元データ!D531</f>
        <v>100T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5" t="str">
        <f ca="1">IF(OFFSET(マスタ非採用削除!A$4,統合マスタ!$A534,0)="","",OFFSET(マスタ非採用削除!A$4,統合マスタ!$A534,0))</f>
        <v>ﾌｴﾉ002</v>
      </c>
      <c r="O534" s="55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5" t="str">
        <f ca="1">IF(OFFSET(マスタ非採用削除!D$4,統合マスタ!$A534,0)="","",OFFSET(マスタ非採用削除!D$4,統合マスタ!$A534,0))</f>
        <v>ﾌｪﾉﾊﾞ3</v>
      </c>
      <c r="R534" s="27">
        <f ca="1">IF(OFFSET(マスタ非採用削除!E$4,統合マスタ!$A534,0)="","",OFFSET(マスタ非採用削除!E$4,統合マスタ!$A534,0))</f>
        <v>2</v>
      </c>
      <c r="S534" s="55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5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5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/>
    </row>
    <row r="535" spans="1:27">
      <c r="A535" s="42">
        <f>元データ!P532</f>
        <v>455</v>
      </c>
      <c r="B535" s="27">
        <f t="shared" si="8"/>
        <v>531</v>
      </c>
      <c r="C535" s="27" t="str">
        <f>DBCS(元データ!A532)</f>
        <v>フェノバール注射液１００ｍｇ</v>
      </c>
      <c r="D535" s="55" t="str">
        <f>元データ!B532</f>
        <v/>
      </c>
      <c r="E535" s="27" t="str">
        <f>元データ!C532</f>
        <v/>
      </c>
      <c r="F535" s="27" t="str">
        <f>元データ!D532</f>
        <v>1ｍｌｘ10A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5" t="str">
        <f ca="1">IF(OFFSET(マスタ非採用削除!A$4,統合マスタ!$A535,0)="","",OFFSET(マスタ非採用削除!A$4,統合マスタ!$A535,0))</f>
        <v>ﾌｴﾉ003</v>
      </c>
      <c r="O535" s="55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5" t="str">
        <f ca="1">IF(OFFSET(マスタ非採用削除!D$4,統合マスタ!$A535,0)="","",OFFSET(マスタ非採用削除!D$4,統合マスタ!$A535,0))</f>
        <v>ﾌｪﾉﾊﾞ</v>
      </c>
      <c r="R535" s="27">
        <f ca="1">IF(OFFSET(マスタ非採用削除!E$4,統合マスタ!$A535,0)="","",OFFSET(マスタ非採用削除!E$4,統合マスタ!$A535,0))</f>
        <v>1</v>
      </c>
      <c r="S535" s="55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5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5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/>
    </row>
    <row r="536" spans="1:27">
      <c r="A536" s="42">
        <f>元データ!P533</f>
        <v>0</v>
      </c>
      <c r="B536" s="27">
        <f t="shared" si="8"/>
        <v>532</v>
      </c>
      <c r="C536" s="27" t="str">
        <f>DBCS(元データ!A533)</f>
        <v>フェノバルビタール散１０％
「ホエイ」</v>
      </c>
      <c r="D536" s="55" t="str">
        <f>元データ!B533</f>
        <v>スズケン</v>
      </c>
      <c r="E536" s="27" t="str">
        <f>元データ!C533</f>
        <v>粉</v>
      </c>
      <c r="F536" s="27" t="str">
        <f>元データ!D533</f>
        <v>500ｇ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5" t="str">
        <f ca="1">IF(OFFSET(マスタ非採用削除!A$4,統合マスタ!$A536,0)="","",OFFSET(マスタ非採用削除!A$4,統合マスタ!$A536,0))</f>
        <v>コード(区分値)</v>
      </c>
      <c r="O536" s="55" t="str">
        <f ca="1">IF(OFFSET(マスタ非採用削除!B$4,統合マスタ!$A536,0)="","",OFFSET(マスタ非採用削除!B$4,統合マスタ!$A536,0))</f>
        <v>コード</v>
      </c>
      <c r="P536" s="27" t="str">
        <f ca="1">IF(OFFSET(マスタ非採用削除!C$4,統合マスタ!$A536,0)="","",OFFSET(マスタ非採用削除!C$4,統合マスタ!$A536,0))</f>
        <v>名称</v>
      </c>
      <c r="Q536" s="55" t="str">
        <f ca="1">IF(OFFSET(マスタ非採用削除!D$4,統合マスタ!$A536,0)="","",OFFSET(マスタ非採用削除!D$4,統合マスタ!$A536,0))</f>
        <v>ホストコード</v>
      </c>
      <c r="R536" s="27" t="str">
        <f ca="1">IF(OFFSET(マスタ非採用削除!E$4,統合マスタ!$A536,0)="","",OFFSET(マスタ非採用削除!E$4,統合マスタ!$A536,0))</f>
        <v>採用区分（区分値）(区分値)</v>
      </c>
      <c r="S536" s="55" t="str">
        <f ca="1">IF(OFFSET(マスタ非採用削除!F$4,統合マスタ!$A536,0)="","",OFFSET(マスタ非採用削除!F$4,統合マスタ!$A536,0))</f>
        <v>採用区分（区分値）</v>
      </c>
      <c r="T536" s="27" t="str">
        <f ca="1">IF(OFFSET(マスタ非採用削除!G$4,統合マスタ!$A536,0)="","",OFFSET(マスタ非採用削除!G$4,統合マスタ!$A536,0))</f>
        <v>薬価</v>
      </c>
      <c r="U536" s="55" t="str">
        <f ca="1">IF(OFFSET(マスタ非採用削除!H$4,統合マスタ!$A536,0)="","",OFFSET(マスタ非採用削除!H$4,統合マスタ!$A536,0))</f>
        <v>カナ名称</v>
      </c>
      <c r="V536" s="27" t="str">
        <f ca="1">IF(OFFSET(マスタ非採用削除!I$4,統合マスタ!$A536,0)="","",OFFSET(マスタ非採用削除!I$4,統合マスタ!$A536,0))</f>
        <v>剤形(区分値)</v>
      </c>
      <c r="W536" s="27" t="str">
        <f ca="1">IF(OFFSET(マスタ非採用削除!J$4,統合マスタ!$A536,0)="","",OFFSET(マスタ非採用削除!J$4,統合マスタ!$A536,0))</f>
        <v>剤形</v>
      </c>
      <c r="X536" s="27" t="str">
        <f ca="1">IF(OFFSET(マスタ非採用削除!K$4,統合マスタ!$A536,0)="","",OFFSET(マスタ非採用削除!K$4,統合マスタ!$A536,0))</f>
        <v>毒劇薬（区分値）(区分値)</v>
      </c>
      <c r="Y536" s="55" t="str">
        <f ca="1">IF(OFFSET(マスタ非採用削除!L$4,統合マスタ!$A536,0)="","",OFFSET(マスタ非採用削除!L$4,統合マスタ!$A536,0))</f>
        <v>毒劇薬（区分値）</v>
      </c>
      <c r="Z536" s="27" t="str">
        <f ca="1">IF(OFFSET(マスタ非採用削除!M$4,統合マスタ!$A536,0)="","",OFFSET(マスタ非採用削除!M$4,統合マスタ!$A536,0))</f>
        <v>棚</v>
      </c>
      <c r="AA536" s="27"/>
    </row>
    <row r="537" spans="1:27">
      <c r="A537" s="42">
        <f>元データ!P534</f>
        <v>456</v>
      </c>
      <c r="B537" s="27">
        <f t="shared" si="8"/>
        <v>533</v>
      </c>
      <c r="C537" s="27" t="str">
        <f>DBCS(元データ!A534)</f>
        <v>フェブキソスタット錠１０ｍｇ「サワイ」　</v>
      </c>
      <c r="D537" s="55" t="str">
        <f>元データ!B534</f>
        <v>メディセオ</v>
      </c>
      <c r="E537" s="27" t="str">
        <f>元データ!C534</f>
        <v>PTP</v>
      </c>
      <c r="F537" s="27" t="str">
        <f>元データ!D534</f>
        <v>100T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5" t="str">
        <f ca="1">IF(OFFSET(マスタ非採用削除!A$4,統合マスタ!$A537,0)="","",OFFSET(マスタ非採用削除!A$4,統合マスタ!$A537,0))</f>
        <v>ﾌｴﾌ002</v>
      </c>
      <c r="O537" s="55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5" t="str">
        <f ca="1">IF(OFFSET(マスタ非採用削除!D$4,統合マスタ!$A537,0)="","",OFFSET(マスタ非採用削除!D$4,統合マスタ!$A537,0))</f>
        <v/>
      </c>
      <c r="R537" s="27">
        <f ca="1">IF(OFFSET(マスタ非採用削除!E$4,統合マスタ!$A537,0)="","",OFFSET(マスタ非採用削除!E$4,統合マスタ!$A537,0))</f>
        <v>1</v>
      </c>
      <c r="S537" s="55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5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5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5</v>
      </c>
      <c r="AA537" s="27"/>
    </row>
    <row r="538" spans="1:27">
      <c r="A538" s="42">
        <f>元データ!P535</f>
        <v>458</v>
      </c>
      <c r="B538" s="27">
        <f t="shared" si="8"/>
        <v>534</v>
      </c>
      <c r="C538" s="27" t="str">
        <f>DBCS(元データ!A535)</f>
        <v>フェロジピン錠５ｍｇ「ＮＩＧ」</v>
      </c>
      <c r="D538" s="55" t="str">
        <f>元データ!B535</f>
        <v>アルフレッサ</v>
      </c>
      <c r="E538" s="27" t="str">
        <f>元データ!C535</f>
        <v>PTP</v>
      </c>
      <c r="F538" s="27" t="str">
        <f>元データ!D535</f>
        <v>100T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5" t="str">
        <f ca="1">IF(OFFSET(マスタ非採用削除!A$4,統合マスタ!$A538,0)="","",OFFSET(マスタ非採用削除!A$4,統合マスタ!$A538,0))</f>
        <v>ﾌｴﾛ005</v>
      </c>
      <c r="O538" s="55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5" t="str">
        <f ca="1">IF(OFFSET(マスタ非採用削除!D$4,統合マスタ!$A538,0)="","",OFFSET(マスタ非採用削除!D$4,統合マスタ!$A538,0))</f>
        <v/>
      </c>
      <c r="R538" s="27">
        <f ca="1">IF(OFFSET(マスタ非採用削除!E$4,統合マスタ!$A538,0)="","",OFFSET(マスタ非採用削除!E$4,統合マスタ!$A538,0))</f>
        <v>1</v>
      </c>
      <c r="S538" s="55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5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5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/>
    </row>
    <row r="539" spans="1:27">
      <c r="A539" s="42">
        <f>元データ!P536</f>
        <v>457</v>
      </c>
      <c r="B539" s="27">
        <f t="shared" si="8"/>
        <v>535</v>
      </c>
      <c r="C539" s="27" t="str">
        <f>DBCS(元データ!A536)</f>
        <v>フェロミア錠５０ｍｇ</v>
      </c>
      <c r="D539" s="55" t="str">
        <f>元データ!B536</f>
        <v>アルフレッサ</v>
      </c>
      <c r="E539" s="27" t="str">
        <f>元データ!C536</f>
        <v>PTP</v>
      </c>
      <c r="F539" s="27" t="str">
        <f>元データ!D536</f>
        <v>500T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5" t="str">
        <f ca="1">IF(OFFSET(マスタ非採用削除!A$4,統合マスタ!$A539,0)="","",OFFSET(マスタ非採用削除!A$4,統合マスタ!$A539,0))</f>
        <v>ﾌｴﾛ004</v>
      </c>
      <c r="O539" s="55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5" t="str">
        <f ca="1">IF(OFFSET(マスタ非採用削除!D$4,統合マスタ!$A539,0)="","",OFFSET(マスタ非採用削除!D$4,統合マスタ!$A539,0))</f>
        <v/>
      </c>
      <c r="R539" s="27">
        <f ca="1">IF(OFFSET(マスタ非採用削除!E$4,統合マスタ!$A539,0)="","",OFFSET(マスタ非採用削除!E$4,統合マスタ!$A539,0))</f>
        <v>1</v>
      </c>
      <c r="S539" s="55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5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5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5</v>
      </c>
      <c r="AA539" s="27"/>
    </row>
    <row r="540" spans="1:27">
      <c r="A540" s="42">
        <f>元データ!P537</f>
        <v>457</v>
      </c>
      <c r="B540" s="27">
        <f t="shared" si="8"/>
        <v>536</v>
      </c>
      <c r="C540" s="27" t="str">
        <f>DBCS(元データ!A537)</f>
        <v>フェロミア錠５０ｍｇ</v>
      </c>
      <c r="D540" s="55" t="str">
        <f>元データ!B537</f>
        <v>アルフレッサ</v>
      </c>
      <c r="E540" s="27" t="str">
        <f>元データ!C537</f>
        <v>バラ</v>
      </c>
      <c r="F540" s="27" t="str">
        <f>元データ!D537</f>
        <v>500T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5" t="str">
        <f ca="1">IF(OFFSET(マスタ非採用削除!A$4,統合マスタ!$A540,0)="","",OFFSET(マスタ非採用削除!A$4,統合マスタ!$A540,0))</f>
        <v>ﾌｴﾛ004</v>
      </c>
      <c r="O540" s="55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5" t="str">
        <f ca="1">IF(OFFSET(マスタ非採用削除!D$4,統合マスタ!$A540,0)="","",OFFSET(マスタ非採用削除!D$4,統合マスタ!$A540,0))</f>
        <v/>
      </c>
      <c r="R540" s="27">
        <f ca="1">IF(OFFSET(マスタ非採用削除!E$4,統合マスタ!$A540,0)="","",OFFSET(マスタ非採用削除!E$4,統合マスタ!$A540,0))</f>
        <v>1</v>
      </c>
      <c r="S540" s="55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5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5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5</v>
      </c>
      <c r="AA540" s="27"/>
    </row>
    <row r="541" spans="1:27">
      <c r="A541" s="42">
        <f>元データ!P538</f>
        <v>0</v>
      </c>
      <c r="B541" s="27">
        <f t="shared" si="8"/>
        <v>537</v>
      </c>
      <c r="C541" s="27" t="str">
        <f>DBCS(元データ!A538)</f>
        <v>フェロミア顆粒８．３％　</v>
      </c>
      <c r="D541" s="55" t="str">
        <f>元データ!B538</f>
        <v/>
      </c>
      <c r="E541" s="27" t="str">
        <f>元データ!C538</f>
        <v>粉</v>
      </c>
      <c r="F541" s="27" t="str">
        <f>元データ!D538</f>
        <v>500ｇ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5" t="str">
        <f ca="1">IF(OFFSET(マスタ非採用削除!A$4,統合マスタ!$A541,0)="","",OFFSET(マスタ非採用削除!A$4,統合マスタ!$A541,0))</f>
        <v>コード(区分値)</v>
      </c>
      <c r="O541" s="55" t="str">
        <f ca="1">IF(OFFSET(マスタ非採用削除!B$4,統合マスタ!$A541,0)="","",OFFSET(マスタ非採用削除!B$4,統合マスタ!$A541,0))</f>
        <v>コード</v>
      </c>
      <c r="P541" s="27" t="str">
        <f ca="1">IF(OFFSET(マスタ非採用削除!C$4,統合マスタ!$A541,0)="","",OFFSET(マスタ非採用削除!C$4,統合マスタ!$A541,0))</f>
        <v>名称</v>
      </c>
      <c r="Q541" s="55" t="str">
        <f ca="1">IF(OFFSET(マスタ非採用削除!D$4,統合マスタ!$A541,0)="","",OFFSET(マスタ非採用削除!D$4,統合マスタ!$A541,0))</f>
        <v>ホストコード</v>
      </c>
      <c r="R541" s="27" t="str">
        <f ca="1">IF(OFFSET(マスタ非採用削除!E$4,統合マスタ!$A541,0)="","",OFFSET(マスタ非採用削除!E$4,統合マスタ!$A541,0))</f>
        <v>採用区分（区分値）(区分値)</v>
      </c>
      <c r="S541" s="55" t="str">
        <f ca="1">IF(OFFSET(マスタ非採用削除!F$4,統合マスタ!$A541,0)="","",OFFSET(マスタ非採用削除!F$4,統合マスタ!$A541,0))</f>
        <v>採用区分（区分値）</v>
      </c>
      <c r="T541" s="27" t="str">
        <f ca="1">IF(OFFSET(マスタ非採用削除!G$4,統合マスタ!$A541,0)="","",OFFSET(マスタ非採用削除!G$4,統合マスタ!$A541,0))</f>
        <v>薬価</v>
      </c>
      <c r="U541" s="55" t="str">
        <f ca="1">IF(OFFSET(マスタ非採用削除!H$4,統合マスタ!$A541,0)="","",OFFSET(マスタ非採用削除!H$4,統合マスタ!$A541,0))</f>
        <v>カナ名称</v>
      </c>
      <c r="V541" s="27" t="str">
        <f ca="1">IF(OFFSET(マスタ非採用削除!I$4,統合マスタ!$A541,0)="","",OFFSET(マスタ非採用削除!I$4,統合マスタ!$A541,0))</f>
        <v>剤形(区分値)</v>
      </c>
      <c r="W541" s="27" t="str">
        <f ca="1">IF(OFFSET(マスタ非採用削除!J$4,統合マスタ!$A541,0)="","",OFFSET(マスタ非採用削除!J$4,統合マスタ!$A541,0))</f>
        <v>剤形</v>
      </c>
      <c r="X541" s="27" t="str">
        <f ca="1">IF(OFFSET(マスタ非採用削除!K$4,統合マスタ!$A541,0)="","",OFFSET(マスタ非採用削除!K$4,統合マスタ!$A541,0))</f>
        <v>毒劇薬（区分値）(区分値)</v>
      </c>
      <c r="Y541" s="55" t="str">
        <f ca="1">IF(OFFSET(マスタ非採用削除!L$4,統合マスタ!$A541,0)="","",OFFSET(マスタ非採用削除!L$4,統合マスタ!$A541,0))</f>
        <v>毒劇薬（区分値）</v>
      </c>
      <c r="Z541" s="27" t="str">
        <f ca="1">IF(OFFSET(マスタ非採用削除!M$4,統合マスタ!$A541,0)="","",OFFSET(マスタ非採用削除!M$4,統合マスタ!$A541,0))</f>
        <v>棚</v>
      </c>
      <c r="AA541" s="27"/>
    </row>
    <row r="542" spans="1:27">
      <c r="A542" s="42">
        <f>元データ!P539</f>
        <v>459</v>
      </c>
      <c r="B542" s="27">
        <f t="shared" si="8"/>
        <v>538</v>
      </c>
      <c r="C542" s="27" t="str">
        <f>DBCS(元データ!A539)</f>
        <v>フォシーガ錠５ｍｇ</v>
      </c>
      <c r="D542" s="55" t="str">
        <f>元データ!B539</f>
        <v>アルフレッサ</v>
      </c>
      <c r="E542" s="27" t="str">
        <f>元データ!C539</f>
        <v>PTP</v>
      </c>
      <c r="F542" s="27" t="str">
        <f>元データ!D539</f>
        <v>100T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5" t="str">
        <f ca="1">IF(OFFSET(マスタ非採用削除!A$4,統合マスタ!$A542,0)="","",OFFSET(マスタ非採用削除!A$4,統合マスタ!$A542,0))</f>
        <v>ﾌｵｼ001</v>
      </c>
      <c r="O542" s="55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5" t="str">
        <f ca="1">IF(OFFSET(マスタ非採用削除!D$4,統合マスタ!$A542,0)="","",OFFSET(マスタ非採用削除!D$4,統合マスタ!$A542,0))</f>
        <v>ﾌｫｼ</v>
      </c>
      <c r="R542" s="27">
        <f ca="1">IF(OFFSET(マスタ非採用削除!E$4,統合マスタ!$A542,0)="","",OFFSET(マスタ非採用削除!E$4,統合マスタ!$A542,0))</f>
        <v>1</v>
      </c>
      <c r="S542" s="55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5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5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5</v>
      </c>
      <c r="AA542" s="27"/>
    </row>
    <row r="543" spans="1:27">
      <c r="A543" s="42">
        <f>元データ!P540</f>
        <v>0</v>
      </c>
      <c r="B543" s="27">
        <f t="shared" si="8"/>
        <v>539</v>
      </c>
      <c r="C543" s="27" t="str">
        <f>DBCS(元データ!A540)</f>
        <v>フォリアミン錠５ｍｇ</v>
      </c>
      <c r="D543" s="55" t="str">
        <f>元データ!B540</f>
        <v>メディセオ</v>
      </c>
      <c r="E543" s="27" t="str">
        <f>元データ!C540</f>
        <v>バラ</v>
      </c>
      <c r="F543" s="27" t="str">
        <f>元データ!D540</f>
        <v>100Ｔ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5" t="str">
        <f ca="1">IF(OFFSET(マスタ非採用削除!A$4,統合マスタ!$A543,0)="","",OFFSET(マスタ非採用削除!A$4,統合マスタ!$A543,0))</f>
        <v>コード(区分値)</v>
      </c>
      <c r="O543" s="55" t="str">
        <f ca="1">IF(OFFSET(マスタ非採用削除!B$4,統合マスタ!$A543,0)="","",OFFSET(マスタ非採用削除!B$4,統合マスタ!$A543,0))</f>
        <v>コード</v>
      </c>
      <c r="P543" s="27" t="str">
        <f ca="1">IF(OFFSET(マスタ非採用削除!C$4,統合マスタ!$A543,0)="","",OFFSET(マスタ非採用削除!C$4,統合マスタ!$A543,0))</f>
        <v>名称</v>
      </c>
      <c r="Q543" s="55" t="str">
        <f ca="1">IF(OFFSET(マスタ非採用削除!D$4,統合マスタ!$A543,0)="","",OFFSET(マスタ非採用削除!D$4,統合マスタ!$A543,0))</f>
        <v>ホストコード</v>
      </c>
      <c r="R543" s="27" t="str">
        <f ca="1">IF(OFFSET(マスタ非採用削除!E$4,統合マスタ!$A543,0)="","",OFFSET(マスタ非採用削除!E$4,統合マスタ!$A543,0))</f>
        <v>採用区分（区分値）(区分値)</v>
      </c>
      <c r="S543" s="55" t="str">
        <f ca="1">IF(OFFSET(マスタ非採用削除!F$4,統合マスタ!$A543,0)="","",OFFSET(マスタ非採用削除!F$4,統合マスタ!$A543,0))</f>
        <v>採用区分（区分値）</v>
      </c>
      <c r="T543" s="27" t="str">
        <f ca="1">IF(OFFSET(マスタ非採用削除!G$4,統合マスタ!$A543,0)="","",OFFSET(マスタ非採用削除!G$4,統合マスタ!$A543,0))</f>
        <v>薬価</v>
      </c>
      <c r="U543" s="55" t="str">
        <f ca="1">IF(OFFSET(マスタ非採用削除!H$4,統合マスタ!$A543,0)="","",OFFSET(マスタ非採用削除!H$4,統合マスタ!$A543,0))</f>
        <v>カナ名称</v>
      </c>
      <c r="V543" s="27" t="str">
        <f ca="1">IF(OFFSET(マスタ非採用削除!I$4,統合マスタ!$A543,0)="","",OFFSET(マスタ非採用削除!I$4,統合マスタ!$A543,0))</f>
        <v>剤形(区分値)</v>
      </c>
      <c r="W543" s="27" t="str">
        <f ca="1">IF(OFFSET(マスタ非採用削除!J$4,統合マスタ!$A543,0)="","",OFFSET(マスタ非採用削除!J$4,統合マスタ!$A543,0))</f>
        <v>剤形</v>
      </c>
      <c r="X543" s="27" t="str">
        <f ca="1">IF(OFFSET(マスタ非採用削除!K$4,統合マスタ!$A543,0)="","",OFFSET(マスタ非採用削除!K$4,統合マスタ!$A543,0))</f>
        <v>毒劇薬（区分値）(区分値)</v>
      </c>
      <c r="Y543" s="55" t="str">
        <f ca="1">IF(OFFSET(マスタ非採用削除!L$4,統合マスタ!$A543,0)="","",OFFSET(マスタ非採用削除!L$4,統合マスタ!$A543,0))</f>
        <v>毒劇薬（区分値）</v>
      </c>
      <c r="Z543" s="27" t="str">
        <f ca="1">IF(OFFSET(マスタ非採用削除!M$4,統合マスタ!$A543,0)="","",OFFSET(マスタ非採用削除!M$4,統合マスタ!$A543,0))</f>
        <v>棚</v>
      </c>
      <c r="AA543" s="27"/>
    </row>
    <row r="544" spans="1:27">
      <c r="A544" s="42">
        <f>元データ!P541</f>
        <v>0</v>
      </c>
      <c r="B544" s="27">
        <f t="shared" si="8"/>
        <v>540</v>
      </c>
      <c r="C544" s="27" t="str">
        <f>DBCS(元データ!A541)</f>
        <v>ブスコパン注２０ｍｇ　２％</v>
      </c>
      <c r="D544" s="55" t="str">
        <f>元データ!B541</f>
        <v/>
      </c>
      <c r="E544" s="27" t="str">
        <f>元データ!C541</f>
        <v/>
      </c>
      <c r="F544" s="27" t="str">
        <f>元データ!D541</f>
        <v>1ｍｌｘ10A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5" t="str">
        <f ca="1">IF(OFFSET(マスタ非採用削除!A$4,統合マスタ!$A544,0)="","",OFFSET(マスタ非採用削除!A$4,統合マスタ!$A544,0))</f>
        <v>コード(区分値)</v>
      </c>
      <c r="O544" s="55" t="str">
        <f ca="1">IF(OFFSET(マスタ非採用削除!B$4,統合マスタ!$A544,0)="","",OFFSET(マスタ非採用削除!B$4,統合マスタ!$A544,0))</f>
        <v>コード</v>
      </c>
      <c r="P544" s="27" t="str">
        <f ca="1">IF(OFFSET(マスタ非採用削除!C$4,統合マスタ!$A544,0)="","",OFFSET(マスタ非採用削除!C$4,統合マスタ!$A544,0))</f>
        <v>名称</v>
      </c>
      <c r="Q544" s="55" t="str">
        <f ca="1">IF(OFFSET(マスタ非採用削除!D$4,統合マスタ!$A544,0)="","",OFFSET(マスタ非採用削除!D$4,統合マスタ!$A544,0))</f>
        <v>ホストコード</v>
      </c>
      <c r="R544" s="27" t="str">
        <f ca="1">IF(OFFSET(マスタ非採用削除!E$4,統合マスタ!$A544,0)="","",OFFSET(マスタ非採用削除!E$4,統合マスタ!$A544,0))</f>
        <v>採用区分（区分値）(区分値)</v>
      </c>
      <c r="S544" s="55" t="str">
        <f ca="1">IF(OFFSET(マスタ非採用削除!F$4,統合マスタ!$A544,0)="","",OFFSET(マスタ非採用削除!F$4,統合マスタ!$A544,0))</f>
        <v>採用区分（区分値）</v>
      </c>
      <c r="T544" s="27" t="str">
        <f ca="1">IF(OFFSET(マスタ非採用削除!G$4,統合マスタ!$A544,0)="","",OFFSET(マスタ非採用削除!G$4,統合マスタ!$A544,0))</f>
        <v>薬価</v>
      </c>
      <c r="U544" s="55" t="str">
        <f ca="1">IF(OFFSET(マスタ非採用削除!H$4,統合マスタ!$A544,0)="","",OFFSET(マスタ非採用削除!H$4,統合マスタ!$A544,0))</f>
        <v>カナ名称</v>
      </c>
      <c r="V544" s="27" t="str">
        <f ca="1">IF(OFFSET(マスタ非採用削除!I$4,統合マスタ!$A544,0)="","",OFFSET(マスタ非採用削除!I$4,統合マスタ!$A544,0))</f>
        <v>剤形(区分値)</v>
      </c>
      <c r="W544" s="27" t="str">
        <f ca="1">IF(OFFSET(マスタ非採用削除!J$4,統合マスタ!$A544,0)="","",OFFSET(マスタ非採用削除!J$4,統合マスタ!$A544,0))</f>
        <v>剤形</v>
      </c>
      <c r="X544" s="27" t="str">
        <f ca="1">IF(OFFSET(マスタ非採用削除!K$4,統合マスタ!$A544,0)="","",OFFSET(マスタ非採用削除!K$4,統合マスタ!$A544,0))</f>
        <v>毒劇薬（区分値）(区分値)</v>
      </c>
      <c r="Y544" s="55" t="str">
        <f ca="1">IF(OFFSET(マスタ非採用削除!L$4,統合マスタ!$A544,0)="","",OFFSET(マスタ非採用削除!L$4,統合マスタ!$A544,0))</f>
        <v>毒劇薬（区分値）</v>
      </c>
      <c r="Z544" s="27" t="str">
        <f ca="1">IF(OFFSET(マスタ非採用削除!M$4,統合マスタ!$A544,0)="","",OFFSET(マスタ非採用削除!M$4,統合マスタ!$A544,0))</f>
        <v>棚</v>
      </c>
      <c r="AA544" s="27"/>
    </row>
    <row r="545" spans="1:27">
      <c r="A545" s="42">
        <f>元データ!P542</f>
        <v>0</v>
      </c>
      <c r="B545" s="27">
        <f t="shared" si="8"/>
        <v>541</v>
      </c>
      <c r="C545" s="27" t="str">
        <f>DBCS(元データ!A542)</f>
        <v>ブドウ糖</v>
      </c>
      <c r="D545" s="55" t="str">
        <f>元データ!B542</f>
        <v>メディセオ</v>
      </c>
      <c r="E545" s="27" t="str">
        <f>元データ!C542</f>
        <v>粉</v>
      </c>
      <c r="F545" s="27" t="str">
        <f>元データ!D542</f>
        <v>500ｇ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5" t="str">
        <f ca="1">IF(OFFSET(マスタ非採用削除!A$4,統合マスタ!$A545,0)="","",OFFSET(マスタ非採用削除!A$4,統合マスタ!$A545,0))</f>
        <v>コード(区分値)</v>
      </c>
      <c r="O545" s="55" t="str">
        <f ca="1">IF(OFFSET(マスタ非採用削除!B$4,統合マスタ!$A545,0)="","",OFFSET(マスタ非採用削除!B$4,統合マスタ!$A545,0))</f>
        <v>コード</v>
      </c>
      <c r="P545" s="27" t="str">
        <f ca="1">IF(OFFSET(マスタ非採用削除!C$4,統合マスタ!$A545,0)="","",OFFSET(マスタ非採用削除!C$4,統合マスタ!$A545,0))</f>
        <v>名称</v>
      </c>
      <c r="Q545" s="55" t="str">
        <f ca="1">IF(OFFSET(マスタ非採用削除!D$4,統合マスタ!$A545,0)="","",OFFSET(マスタ非採用削除!D$4,統合マスタ!$A545,0))</f>
        <v>ホストコード</v>
      </c>
      <c r="R545" s="27" t="str">
        <f ca="1">IF(OFFSET(マスタ非採用削除!E$4,統合マスタ!$A545,0)="","",OFFSET(マスタ非採用削除!E$4,統合マスタ!$A545,0))</f>
        <v>採用区分（区分値）(区分値)</v>
      </c>
      <c r="S545" s="55" t="str">
        <f ca="1">IF(OFFSET(マスタ非採用削除!F$4,統合マスタ!$A545,0)="","",OFFSET(マスタ非採用削除!F$4,統合マスタ!$A545,0))</f>
        <v>採用区分（区分値）</v>
      </c>
      <c r="T545" s="27" t="str">
        <f ca="1">IF(OFFSET(マスタ非採用削除!G$4,統合マスタ!$A545,0)="","",OFFSET(マスタ非採用削除!G$4,統合マスタ!$A545,0))</f>
        <v>薬価</v>
      </c>
      <c r="U545" s="55" t="str">
        <f ca="1">IF(OFFSET(マスタ非採用削除!H$4,統合マスタ!$A545,0)="","",OFFSET(マスタ非採用削除!H$4,統合マスタ!$A545,0))</f>
        <v>カナ名称</v>
      </c>
      <c r="V545" s="27" t="str">
        <f ca="1">IF(OFFSET(マスタ非採用削除!I$4,統合マスタ!$A545,0)="","",OFFSET(マスタ非採用削除!I$4,統合マスタ!$A545,0))</f>
        <v>剤形(区分値)</v>
      </c>
      <c r="W545" s="27" t="str">
        <f ca="1">IF(OFFSET(マスタ非採用削除!J$4,統合マスタ!$A545,0)="","",OFFSET(マスタ非採用削除!J$4,統合マスタ!$A545,0))</f>
        <v>剤形</v>
      </c>
      <c r="X545" s="27" t="str">
        <f ca="1">IF(OFFSET(マスタ非採用削除!K$4,統合マスタ!$A545,0)="","",OFFSET(マスタ非採用削除!K$4,統合マスタ!$A545,0))</f>
        <v>毒劇薬（区分値）(区分値)</v>
      </c>
      <c r="Y545" s="55" t="str">
        <f ca="1">IF(OFFSET(マスタ非採用削除!L$4,統合マスタ!$A545,0)="","",OFFSET(マスタ非採用削除!L$4,統合マスタ!$A545,0))</f>
        <v>毒劇薬（区分値）</v>
      </c>
      <c r="Z545" s="27" t="str">
        <f ca="1">IF(OFFSET(マスタ非採用削除!M$4,統合マスタ!$A545,0)="","",OFFSET(マスタ非採用削除!M$4,統合マスタ!$A545,0))</f>
        <v>棚</v>
      </c>
      <c r="AA545" s="27"/>
    </row>
    <row r="546" spans="1:27">
      <c r="A546" s="42">
        <f>元データ!P543</f>
        <v>0</v>
      </c>
      <c r="B546" s="27">
        <f t="shared" si="8"/>
        <v>542</v>
      </c>
      <c r="C546" s="27" t="str">
        <f>DBCS(元データ!A543)</f>
        <v>ブドウ糖注２０％ＰＬ「フソー」　　</v>
      </c>
      <c r="D546" s="55" t="str">
        <f>元データ!B543</f>
        <v>メディセオ</v>
      </c>
      <c r="E546" s="27" t="str">
        <f>元データ!C543</f>
        <v/>
      </c>
      <c r="F546" s="27" t="str">
        <f>元データ!D543</f>
        <v>20ｍｌ×10Ｐ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5" t="str">
        <f ca="1">IF(OFFSET(マスタ非採用削除!A$4,統合マスタ!$A546,0)="","",OFFSET(マスタ非採用削除!A$4,統合マスタ!$A546,0))</f>
        <v>コード(区分値)</v>
      </c>
      <c r="O546" s="55" t="str">
        <f ca="1">IF(OFFSET(マスタ非採用削除!B$4,統合マスタ!$A546,0)="","",OFFSET(マスタ非採用削除!B$4,統合マスタ!$A546,0))</f>
        <v>コード</v>
      </c>
      <c r="P546" s="27" t="str">
        <f ca="1">IF(OFFSET(マスタ非採用削除!C$4,統合マスタ!$A546,0)="","",OFFSET(マスタ非採用削除!C$4,統合マスタ!$A546,0))</f>
        <v>名称</v>
      </c>
      <c r="Q546" s="55" t="str">
        <f ca="1">IF(OFFSET(マスタ非採用削除!D$4,統合マスタ!$A546,0)="","",OFFSET(マスタ非採用削除!D$4,統合マスタ!$A546,0))</f>
        <v>ホストコード</v>
      </c>
      <c r="R546" s="27" t="str">
        <f ca="1">IF(OFFSET(マスタ非採用削除!E$4,統合マスタ!$A546,0)="","",OFFSET(マスタ非採用削除!E$4,統合マスタ!$A546,0))</f>
        <v>採用区分（区分値）(区分値)</v>
      </c>
      <c r="S546" s="55" t="str">
        <f ca="1">IF(OFFSET(マスタ非採用削除!F$4,統合マスタ!$A546,0)="","",OFFSET(マスタ非採用削除!F$4,統合マスタ!$A546,0))</f>
        <v>採用区分（区分値）</v>
      </c>
      <c r="T546" s="27" t="str">
        <f ca="1">IF(OFFSET(マスタ非採用削除!G$4,統合マスタ!$A546,0)="","",OFFSET(マスタ非採用削除!G$4,統合マスタ!$A546,0))</f>
        <v>薬価</v>
      </c>
      <c r="U546" s="55" t="str">
        <f ca="1">IF(OFFSET(マスタ非採用削除!H$4,統合マスタ!$A546,0)="","",OFFSET(マスタ非採用削除!H$4,統合マスタ!$A546,0))</f>
        <v>カナ名称</v>
      </c>
      <c r="V546" s="27" t="str">
        <f ca="1">IF(OFFSET(マスタ非採用削除!I$4,統合マスタ!$A546,0)="","",OFFSET(マスタ非採用削除!I$4,統合マスタ!$A546,0))</f>
        <v>剤形(区分値)</v>
      </c>
      <c r="W546" s="27" t="str">
        <f ca="1">IF(OFFSET(マスタ非採用削除!J$4,統合マスタ!$A546,0)="","",OFFSET(マスタ非採用削除!J$4,統合マスタ!$A546,0))</f>
        <v>剤形</v>
      </c>
      <c r="X546" s="27" t="str">
        <f ca="1">IF(OFFSET(マスタ非採用削除!K$4,統合マスタ!$A546,0)="","",OFFSET(マスタ非採用削除!K$4,統合マスタ!$A546,0))</f>
        <v>毒劇薬（区分値）(区分値)</v>
      </c>
      <c r="Y546" s="55" t="str">
        <f ca="1">IF(OFFSET(マスタ非採用削除!L$4,統合マスタ!$A546,0)="","",OFFSET(マスタ非採用削除!L$4,統合マスタ!$A546,0))</f>
        <v>毒劇薬（区分値）</v>
      </c>
      <c r="Z546" s="27" t="str">
        <f ca="1">IF(OFFSET(マスタ非採用削除!M$4,統合マスタ!$A546,0)="","",OFFSET(マスタ非採用削除!M$4,統合マスタ!$A546,0))</f>
        <v>棚</v>
      </c>
      <c r="AA546" s="27"/>
    </row>
    <row r="547" spans="1:27">
      <c r="A547" s="42">
        <f>元データ!P544</f>
        <v>466</v>
      </c>
      <c r="B547" s="27">
        <f t="shared" si="8"/>
        <v>543</v>
      </c>
      <c r="C547" s="27" t="str">
        <f>DBCS(元データ!A544)</f>
        <v>ブドウ糖注５％ＰＬ「フソー」　　　　　　</v>
      </c>
      <c r="D547" s="55" t="str">
        <f>元データ!B544</f>
        <v>メディセオ</v>
      </c>
      <c r="E547" s="27" t="str">
        <f>元データ!C544</f>
        <v/>
      </c>
      <c r="F547" s="27" t="str">
        <f>元データ!D544</f>
        <v>100ｍｌ×10Ｐ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5" t="str">
        <f ca="1">IF(OFFSET(マスタ非採用削除!A$4,統合マスタ!$A547,0)="","",OFFSET(マスタ非採用削除!A$4,統合マスタ!$A547,0))</f>
        <v>ﾌﾄｳ005</v>
      </c>
      <c r="O547" s="55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5" t="str">
        <f ca="1">IF(OFFSET(マスタ非採用削除!D$4,統合マスタ!$A547,0)="","",OFFSET(マスタ非採用削除!D$4,統合マスタ!$A547,0))</f>
        <v/>
      </c>
      <c r="R547" s="27">
        <f ca="1">IF(OFFSET(マスタ非採用削除!E$4,統合マスタ!$A547,0)="","",OFFSET(マスタ非採用削除!E$4,統合マスタ!$A547,0))</f>
        <v>1</v>
      </c>
      <c r="S547" s="55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5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5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/>
    </row>
    <row r="548" spans="1:27">
      <c r="A548" s="42">
        <f>元データ!P545</f>
        <v>0</v>
      </c>
      <c r="B548" s="27">
        <f t="shared" si="8"/>
        <v>544</v>
      </c>
      <c r="C548" s="27" t="str">
        <f>DBCS(元データ!A545)</f>
        <v>ブドウ糖注５％ＰＬ「フソー」２０ｍｌ</v>
      </c>
      <c r="D548" s="55" t="str">
        <f>元データ!B545</f>
        <v>メディセオ</v>
      </c>
      <c r="E548" s="27" t="str">
        <f>元データ!C545</f>
        <v/>
      </c>
      <c r="F548" s="27" t="str">
        <f>元データ!D545</f>
        <v>20ｍｌｘ10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5" t="str">
        <f ca="1">IF(OFFSET(マスタ非採用削除!A$4,統合マスタ!$A548,0)="","",OFFSET(マスタ非採用削除!A$4,統合マスタ!$A548,0))</f>
        <v>コード(区分値)</v>
      </c>
      <c r="O548" s="55" t="str">
        <f ca="1">IF(OFFSET(マスタ非採用削除!B$4,統合マスタ!$A548,0)="","",OFFSET(マスタ非採用削除!B$4,統合マスタ!$A548,0))</f>
        <v>コード</v>
      </c>
      <c r="P548" s="27" t="str">
        <f ca="1">IF(OFFSET(マスタ非採用削除!C$4,統合マスタ!$A548,0)="","",OFFSET(マスタ非採用削除!C$4,統合マスタ!$A548,0))</f>
        <v>名称</v>
      </c>
      <c r="Q548" s="55" t="str">
        <f ca="1">IF(OFFSET(マスタ非採用削除!D$4,統合マスタ!$A548,0)="","",OFFSET(マスタ非採用削除!D$4,統合マスタ!$A548,0))</f>
        <v>ホストコード</v>
      </c>
      <c r="R548" s="27" t="str">
        <f ca="1">IF(OFFSET(マスタ非採用削除!E$4,統合マスタ!$A548,0)="","",OFFSET(マスタ非採用削除!E$4,統合マスタ!$A548,0))</f>
        <v>採用区分（区分値）(区分値)</v>
      </c>
      <c r="S548" s="55" t="str">
        <f ca="1">IF(OFFSET(マスタ非採用削除!F$4,統合マスタ!$A548,0)="","",OFFSET(マスタ非採用削除!F$4,統合マスタ!$A548,0))</f>
        <v>採用区分（区分値）</v>
      </c>
      <c r="T548" s="27" t="str">
        <f ca="1">IF(OFFSET(マスタ非採用削除!G$4,統合マスタ!$A548,0)="","",OFFSET(マスタ非採用削除!G$4,統合マスタ!$A548,0))</f>
        <v>薬価</v>
      </c>
      <c r="U548" s="55" t="str">
        <f ca="1">IF(OFFSET(マスタ非採用削除!H$4,統合マスタ!$A548,0)="","",OFFSET(マスタ非採用削除!H$4,統合マスタ!$A548,0))</f>
        <v>カナ名称</v>
      </c>
      <c r="V548" s="27" t="str">
        <f ca="1">IF(OFFSET(マスタ非採用削除!I$4,統合マスタ!$A548,0)="","",OFFSET(マスタ非採用削除!I$4,統合マスタ!$A548,0))</f>
        <v>剤形(区分値)</v>
      </c>
      <c r="W548" s="27" t="str">
        <f ca="1">IF(OFFSET(マスタ非採用削除!J$4,統合マスタ!$A548,0)="","",OFFSET(マスタ非採用削除!J$4,統合マスタ!$A548,0))</f>
        <v>剤形</v>
      </c>
      <c r="X548" s="27" t="str">
        <f ca="1">IF(OFFSET(マスタ非採用削除!K$4,統合マスタ!$A548,0)="","",OFFSET(マスタ非採用削除!K$4,統合マスタ!$A548,0))</f>
        <v>毒劇薬（区分値）(区分値)</v>
      </c>
      <c r="Y548" s="55" t="str">
        <f ca="1">IF(OFFSET(マスタ非採用削除!L$4,統合マスタ!$A548,0)="","",OFFSET(マスタ非採用削除!L$4,統合マスタ!$A548,0))</f>
        <v>毒劇薬（区分値）</v>
      </c>
      <c r="Z548" s="27" t="str">
        <f ca="1">IF(OFFSET(マスタ非採用削除!M$4,統合マスタ!$A548,0)="","",OFFSET(マスタ非採用削除!M$4,統合マスタ!$A548,0))</f>
        <v>棚</v>
      </c>
      <c r="AA548" s="27"/>
    </row>
    <row r="549" spans="1:27">
      <c r="A549" s="42">
        <f>元データ!P546</f>
        <v>468</v>
      </c>
      <c r="B549" s="27">
        <f t="shared" si="8"/>
        <v>545</v>
      </c>
      <c r="C549" s="27" t="str">
        <f>DBCS(元データ!A546)</f>
        <v>フラジール内服錠２５０ｍｇ</v>
      </c>
      <c r="D549" s="55" t="str">
        <f>元データ!B546</f>
        <v>スズケン</v>
      </c>
      <c r="E549" s="27" t="str">
        <f>元データ!C546</f>
        <v>PTP</v>
      </c>
      <c r="F549" s="27" t="str">
        <f>元データ!D546</f>
        <v>100錠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5" t="str">
        <f ca="1">IF(OFFSET(マスタ非採用削除!A$4,統合マスタ!$A549,0)="","",OFFSET(マスタ非採用削除!A$4,統合マスタ!$A549,0))</f>
        <v>ﾌﾗｼ002</v>
      </c>
      <c r="O549" s="55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5" t="str">
        <f ca="1">IF(OFFSET(マスタ非採用削除!D$4,統合マスタ!$A549,0)="","",OFFSET(マスタ非採用削除!D$4,統合マスタ!$A549,0))</f>
        <v>ﾌﾗｼﾞ</v>
      </c>
      <c r="R549" s="27">
        <f ca="1">IF(OFFSET(マスタ非採用削除!E$4,統合マスタ!$A549,0)="","",OFFSET(マスタ非採用削除!E$4,統合マスタ!$A549,0))</f>
        <v>2</v>
      </c>
      <c r="S549" s="55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5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5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/>
    </row>
    <row r="550" spans="1:27">
      <c r="A550" s="42">
        <f>元データ!P547</f>
        <v>467</v>
      </c>
      <c r="B550" s="27">
        <f t="shared" si="8"/>
        <v>546</v>
      </c>
      <c r="C550" s="27" t="str">
        <f>DBCS(元データ!A547)</f>
        <v>フラジール腟錠２５０ｍｇ</v>
      </c>
      <c r="D550" s="55" t="str">
        <f>元データ!B547</f>
        <v>KSK</v>
      </c>
      <c r="E550" s="27" t="str">
        <f>元データ!C547</f>
        <v>PTP</v>
      </c>
      <c r="F550" s="27" t="str">
        <f>元データ!D547</f>
        <v>60T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5" t="str">
        <f ca="1">IF(OFFSET(マスタ非採用削除!A$4,統合マスタ!$A550,0)="","",OFFSET(マスタ非採用削除!A$4,統合マスタ!$A550,0))</f>
        <v>ﾌﾗｼ001</v>
      </c>
      <c r="O550" s="55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5" t="str">
        <f ca="1">IF(OFFSET(マスタ非採用削除!D$4,統合マスタ!$A550,0)="","",OFFSET(マスタ非採用削除!D$4,統合マスタ!$A550,0))</f>
        <v>ﾌﾗｼﾞｰﾙ</v>
      </c>
      <c r="R550" s="27">
        <f ca="1">IF(OFFSET(マスタ非採用削除!E$4,統合マスタ!$A550,0)="","",OFFSET(マスタ非採用削除!E$4,統合マスタ!$A550,0))</f>
        <v>2</v>
      </c>
      <c r="S550" s="55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5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5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/>
    </row>
    <row r="551" spans="1:27">
      <c r="A551" s="42">
        <f>元データ!P548</f>
        <v>471</v>
      </c>
      <c r="B551" s="27">
        <f t="shared" si="8"/>
        <v>547</v>
      </c>
      <c r="C551" s="27" t="str">
        <f>DBCS(元データ!A548)</f>
        <v>プラバスタチンＮａ錠５ｍｇ「サワイ」</v>
      </c>
      <c r="D551" s="55" t="str">
        <f>元データ!B548</f>
        <v>メディセオ</v>
      </c>
      <c r="E551" s="27" t="str">
        <f>元データ!C548</f>
        <v>PTP</v>
      </c>
      <c r="F551" s="27" t="str">
        <f>元データ!D548</f>
        <v>100T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5" t="str">
        <f ca="1">IF(OFFSET(マスタ非採用削除!A$4,統合マスタ!$A551,0)="","",OFFSET(マスタ非採用削除!A$4,統合マスタ!$A551,0))</f>
        <v>ﾌﾗﾊ001</v>
      </c>
      <c r="O551" s="55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5" t="str">
        <f ca="1">IF(OFFSET(マスタ非採用削除!D$4,統合マスタ!$A551,0)="","",OFFSET(マスタ非採用削除!D$4,統合マスタ!$A551,0))</f>
        <v>ﾌﾟﾗﾊﾞ</v>
      </c>
      <c r="R551" s="27">
        <f ca="1">IF(OFFSET(マスタ非採用削除!E$4,統合マスタ!$A551,0)="","",OFFSET(マスタ非採用削除!E$4,統合マスタ!$A551,0))</f>
        <v>1</v>
      </c>
      <c r="S551" s="55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5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5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5</v>
      </c>
      <c r="AA551" s="27"/>
    </row>
    <row r="552" spans="1:27">
      <c r="A552" s="42">
        <f>元データ!P549</f>
        <v>471</v>
      </c>
      <c r="B552" s="27">
        <f t="shared" si="8"/>
        <v>548</v>
      </c>
      <c r="C552" s="27" t="str">
        <f>DBCS(元データ!A549)</f>
        <v>プラバスタチンＮａ錠５ｍｇ「サワイ」</v>
      </c>
      <c r="D552" s="55" t="str">
        <f>元データ!B549</f>
        <v>メディセオ</v>
      </c>
      <c r="E552" s="27" t="str">
        <f>元データ!C549</f>
        <v>バラ</v>
      </c>
      <c r="F552" s="27" t="str">
        <f>元データ!D549</f>
        <v>1000T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5" t="str">
        <f ca="1">IF(OFFSET(マスタ非採用削除!A$4,統合マスタ!$A552,0)="","",OFFSET(マスタ非採用削除!A$4,統合マスタ!$A552,0))</f>
        <v>ﾌﾗﾊ001</v>
      </c>
      <c r="O552" s="55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5" t="str">
        <f ca="1">IF(OFFSET(マスタ非採用削除!D$4,統合マスタ!$A552,0)="","",OFFSET(マスタ非採用削除!D$4,統合マスタ!$A552,0))</f>
        <v>ﾌﾟﾗﾊﾞ</v>
      </c>
      <c r="R552" s="27">
        <f ca="1">IF(OFFSET(マスタ非採用削除!E$4,統合マスタ!$A552,0)="","",OFFSET(マスタ非採用削除!E$4,統合マスタ!$A552,0))</f>
        <v>1</v>
      </c>
      <c r="S552" s="55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5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5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5</v>
      </c>
      <c r="AA552" s="27"/>
    </row>
    <row r="553" spans="1:27">
      <c r="A553" s="42">
        <f>元データ!P550</f>
        <v>472</v>
      </c>
      <c r="B553" s="27">
        <f t="shared" si="8"/>
        <v>549</v>
      </c>
      <c r="C553" s="27" t="str">
        <f>DBCS(元データ!A550)</f>
        <v>プラリア皮下注６０ｍｇシリンジ</v>
      </c>
      <c r="D553" s="55" t="str">
        <f>元データ!B550</f>
        <v>メディセオ</v>
      </c>
      <c r="E553" s="27" t="str">
        <f>元データ!C550</f>
        <v/>
      </c>
      <c r="F553" s="27" t="str">
        <f>元データ!D550</f>
        <v>1ｍｌｘ1本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5" t="str">
        <f ca="1">IF(OFFSET(マスタ非採用削除!A$4,統合マスタ!$A553,0)="","",OFFSET(マスタ非採用削除!A$4,統合マスタ!$A553,0))</f>
        <v>ﾌﾗﾘ002</v>
      </c>
      <c r="O553" s="55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5" t="str">
        <f ca="1">IF(OFFSET(マスタ非採用削除!D$4,統合マスタ!$A553,0)="","",OFFSET(マスタ非採用削除!D$4,統合マスタ!$A553,0))</f>
        <v/>
      </c>
      <c r="R553" s="27">
        <f ca="1">IF(OFFSET(マスタ非採用削除!E$4,統合マスタ!$A553,0)="","",OFFSET(マスタ非採用削除!E$4,統合マスタ!$A553,0))</f>
        <v>2</v>
      </c>
      <c r="S553" s="55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5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5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/>
    </row>
    <row r="554" spans="1:27">
      <c r="A554" s="42">
        <f>元データ!P551</f>
        <v>473</v>
      </c>
      <c r="B554" s="27">
        <f t="shared" si="8"/>
        <v>550</v>
      </c>
      <c r="C554" s="27" t="str">
        <f>DBCS(元データ!A551)</f>
        <v>フランドルテープ４０ｍｇ</v>
      </c>
      <c r="D554" s="55" t="str">
        <f>元データ!B551</f>
        <v>アルフレッサ</v>
      </c>
      <c r="E554" s="27" t="str">
        <f>元データ!C551</f>
        <v/>
      </c>
      <c r="F554" s="27" t="str">
        <f>元データ!D551</f>
        <v>70ﾏｲ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5" t="str">
        <f ca="1">IF(OFFSET(マスタ非採用削除!A$4,統合マスタ!$A554,0)="","",OFFSET(マスタ非採用削除!A$4,統合マスタ!$A554,0))</f>
        <v>ﾌﾗﾝ001</v>
      </c>
      <c r="O554" s="55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5" t="str">
        <f ca="1">IF(OFFSET(マスタ非採用削除!D$4,統合マスタ!$A554,0)="","",OFFSET(マスタ非採用削除!D$4,統合マスタ!$A554,0))</f>
        <v>ﾌﾗﾝﾄﾞ*</v>
      </c>
      <c r="R554" s="27">
        <f ca="1">IF(OFFSET(マスタ非採用削除!E$4,統合マスタ!$A554,0)="","",OFFSET(マスタ非採用削除!E$4,統合マスタ!$A554,0))</f>
        <v>1</v>
      </c>
      <c r="S554" s="55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5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5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/>
    </row>
    <row r="555" spans="1:27">
      <c r="A555" s="42">
        <f>元データ!P552</f>
        <v>475</v>
      </c>
      <c r="B555" s="27">
        <f t="shared" si="8"/>
        <v>551</v>
      </c>
      <c r="C555" s="27" t="str">
        <f>DBCS(元データ!A552)</f>
        <v>プリンペラン注射液１０ｍｇ</v>
      </c>
      <c r="D555" s="55" t="str">
        <f>元データ!B552</f>
        <v>メディセオ</v>
      </c>
      <c r="E555" s="27" t="str">
        <f>元データ!C552</f>
        <v/>
      </c>
      <c r="F555" s="27" t="str">
        <f>元データ!D552</f>
        <v>2ｍｌｘ10A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5" t="str">
        <f ca="1">IF(OFFSET(マスタ非採用削除!A$4,統合マスタ!$A555,0)="","",OFFSET(マスタ非採用削除!A$4,統合マスタ!$A555,0))</f>
        <v>ﾌﾘﾝ001</v>
      </c>
      <c r="O555" s="55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5" t="str">
        <f ca="1">IF(OFFSET(マスタ非採用削除!D$4,統合マスタ!$A555,0)="","",OFFSET(マスタ非採用削除!D$4,統合マスタ!$A555,0))</f>
        <v/>
      </c>
      <c r="R555" s="27">
        <f ca="1">IF(OFFSET(マスタ非採用削除!E$4,統合マスタ!$A555,0)="","",OFFSET(マスタ非採用削除!E$4,統合マスタ!$A555,0))</f>
        <v>1</v>
      </c>
      <c r="S555" s="55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5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5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/>
    </row>
    <row r="556" spans="1:27">
      <c r="A556" s="42">
        <f>元データ!P553</f>
        <v>476</v>
      </c>
      <c r="B556" s="27">
        <f t="shared" si="8"/>
        <v>552</v>
      </c>
      <c r="C556" s="27" t="str">
        <f>DBCS(元データ!A553)</f>
        <v>フルイトラン錠２ｍｇ</v>
      </c>
      <c r="D556" s="55" t="str">
        <f>元データ!B553</f>
        <v>KSK</v>
      </c>
      <c r="E556" s="27" t="str">
        <f>元データ!C553</f>
        <v>PTP</v>
      </c>
      <c r="F556" s="27" t="str">
        <f>元データ!D553</f>
        <v>100T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5" t="str">
        <f ca="1">IF(OFFSET(マスタ非採用削除!A$4,統合マスタ!$A556,0)="","",OFFSET(マスタ非採用削除!A$4,統合マスタ!$A556,0))</f>
        <v>ﾌﾙｲ001</v>
      </c>
      <c r="O556" s="55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5" t="str">
        <f ca="1">IF(OFFSET(マスタ非採用削除!D$4,統合マスタ!$A556,0)="","",OFFSET(マスタ非採用削除!D$4,統合マスタ!$A556,0))</f>
        <v>ﾌﾙｲ02</v>
      </c>
      <c r="R556" s="27">
        <f ca="1">IF(OFFSET(マスタ非採用削除!E$4,統合マスタ!$A556,0)="","",OFFSET(マスタ非採用削除!E$4,統合マスタ!$A556,0))</f>
        <v>2</v>
      </c>
      <c r="S556" s="55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5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5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/>
    </row>
    <row r="557" spans="1:27">
      <c r="A557" s="42">
        <f>元データ!P554</f>
        <v>477</v>
      </c>
      <c r="B557" s="27">
        <f t="shared" si="8"/>
        <v>553</v>
      </c>
      <c r="C557" s="27" t="str">
        <f>DBCS(元データ!A554)</f>
        <v>フルオロメトロン点眼液０．１％「ＮＩＴ」</v>
      </c>
      <c r="D557" s="55" t="str">
        <f>元データ!B554</f>
        <v/>
      </c>
      <c r="E557" s="27" t="str">
        <f>元データ!C554</f>
        <v/>
      </c>
      <c r="F557" s="27" t="str">
        <f>元データ!D554</f>
        <v>5ｍｌｘ10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5" t="str">
        <f ca="1">IF(OFFSET(マスタ非採用削除!A$4,統合マスタ!$A557,0)="","",OFFSET(マスタ非採用削除!A$4,統合マスタ!$A557,0))</f>
        <v>ﾌﾙｵ002</v>
      </c>
      <c r="O557" s="55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5" t="str">
        <f ca="1">IF(OFFSET(マスタ非採用削除!D$4,統合マスタ!$A557,0)="","",OFFSET(マスタ非採用削除!D$4,統合マスタ!$A557,0))</f>
        <v/>
      </c>
      <c r="R557" s="27">
        <f ca="1">IF(OFFSET(マスタ非採用削除!E$4,統合マスタ!$A557,0)="","",OFFSET(マスタ非採用削除!E$4,統合マスタ!$A557,0))</f>
        <v>2</v>
      </c>
      <c r="S557" s="55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5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5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/>
    </row>
    <row r="558" spans="1:27">
      <c r="A558" s="42">
        <f>元データ!P555</f>
        <v>479</v>
      </c>
      <c r="B558" s="27">
        <f t="shared" si="8"/>
        <v>554</v>
      </c>
      <c r="C558" s="27" t="str">
        <f>DBCS(元データ!A555)</f>
        <v>フルデカシン筋注２５ｍｇ</v>
      </c>
      <c r="D558" s="55" t="str">
        <f>元データ!B555</f>
        <v/>
      </c>
      <c r="E558" s="27" t="str">
        <f>元データ!C555</f>
        <v/>
      </c>
      <c r="F558" s="27" t="str">
        <f>元データ!D555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5" t="str">
        <f ca="1">IF(OFFSET(マスタ非採用削除!A$4,統合マスタ!$A558,0)="","",OFFSET(マスタ非採用削除!A$4,統合マスタ!$A558,0))</f>
        <v>ﾌﾙﾃ001</v>
      </c>
      <c r="O558" s="55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5" t="str">
        <f ca="1">IF(OFFSET(マスタ非採用削除!D$4,統合マスタ!$A558,0)="","",OFFSET(マスタ非採用削除!D$4,統合マスタ!$A558,0))</f>
        <v>ﾌﾙﾃﾞｶｼ</v>
      </c>
      <c r="R558" s="27">
        <f ca="1">IF(OFFSET(マスタ非採用削除!E$4,統合マスタ!$A558,0)="","",OFFSET(マスタ非採用削除!E$4,統合マスタ!$A558,0))</f>
        <v>1</v>
      </c>
      <c r="S558" s="55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5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5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/>
    </row>
    <row r="559" spans="1:27">
      <c r="A559" s="42">
        <f>元データ!P556</f>
        <v>480</v>
      </c>
      <c r="B559" s="27">
        <f t="shared" si="8"/>
        <v>555</v>
      </c>
      <c r="C559" s="27" t="str">
        <f>DBCS(元データ!A556)</f>
        <v>フルニトラゼパム錠１ｍｇ「アメル」</v>
      </c>
      <c r="D559" s="55" t="str">
        <f>元データ!B556</f>
        <v>アルフレッサ</v>
      </c>
      <c r="E559" s="27" t="str">
        <f>元データ!C556</f>
        <v>PTP</v>
      </c>
      <c r="F559" s="27" t="str">
        <f>元データ!D556</f>
        <v>1000Ｔ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5" t="str">
        <f ca="1">IF(OFFSET(マスタ非採用削除!A$4,統合マスタ!$A559,0)="","",OFFSET(マスタ非採用削除!A$4,統合マスタ!$A559,0))</f>
        <v>ﾌﾙﾆ001</v>
      </c>
      <c r="O559" s="55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5" t="str">
        <f ca="1">IF(OFFSET(マスタ非採用削除!D$4,統合マスタ!$A559,0)="","",OFFSET(マスタ非採用削除!D$4,統合マスタ!$A559,0))</f>
        <v>ﾌﾙﾆ1*</v>
      </c>
      <c r="R559" s="27">
        <f ca="1">IF(OFFSET(マスタ非採用削除!E$4,統合マスタ!$A559,0)="","",OFFSET(マスタ非採用削除!E$4,統合マスタ!$A559,0))</f>
        <v>1</v>
      </c>
      <c r="S559" s="55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5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5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/>
    </row>
    <row r="560" spans="1:27">
      <c r="A560" s="42">
        <f>元データ!P557</f>
        <v>480</v>
      </c>
      <c r="B560" s="27">
        <f t="shared" si="8"/>
        <v>556</v>
      </c>
      <c r="C560" s="27" t="str">
        <f>DBCS(元データ!A557)</f>
        <v>フルニトラゼパム錠１ｍｇ「アメル」</v>
      </c>
      <c r="D560" s="55" t="str">
        <f>元データ!B557</f>
        <v>アルフレッサ</v>
      </c>
      <c r="E560" s="27" t="str">
        <f>元データ!C557</f>
        <v>バラ</v>
      </c>
      <c r="F560" s="27" t="str">
        <f>元データ!D557</f>
        <v>1000Ｔ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5" t="str">
        <f ca="1">IF(OFFSET(マスタ非採用削除!A$4,統合マスタ!$A560,0)="","",OFFSET(マスタ非採用削除!A$4,統合マスタ!$A560,0))</f>
        <v>ﾌﾙﾆ001</v>
      </c>
      <c r="O560" s="55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5" t="str">
        <f ca="1">IF(OFFSET(マスタ非採用削除!D$4,統合マスタ!$A560,0)="","",OFFSET(マスタ非採用削除!D$4,統合マスタ!$A560,0))</f>
        <v>ﾌﾙﾆ1*</v>
      </c>
      <c r="R560" s="27">
        <f ca="1">IF(OFFSET(マスタ非採用削除!E$4,統合マスタ!$A560,0)="","",OFFSET(マスタ非採用削除!E$4,統合マスタ!$A560,0))</f>
        <v>1</v>
      </c>
      <c r="S560" s="55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5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5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/>
    </row>
    <row r="561" spans="1:27">
      <c r="A561" s="42">
        <f>元データ!P558</f>
        <v>481</v>
      </c>
      <c r="B561" s="27">
        <f t="shared" si="8"/>
        <v>557</v>
      </c>
      <c r="C561" s="27" t="str">
        <f>DBCS(元データ!A558)</f>
        <v>フルニトラゼパム錠２ｍｇ「アメル」</v>
      </c>
      <c r="D561" s="55" t="str">
        <f>元データ!B558</f>
        <v>アルフレッサ</v>
      </c>
      <c r="E561" s="27" t="str">
        <f>元データ!C558</f>
        <v>PTP</v>
      </c>
      <c r="F561" s="27" t="str">
        <f>元データ!D558</f>
        <v>1000Ｔ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5" t="str">
        <f ca="1">IF(OFFSET(マスタ非採用削除!A$4,統合マスタ!$A561,0)="","",OFFSET(マスタ非採用削除!A$4,統合マスタ!$A561,0))</f>
        <v>ﾌﾙﾆ002</v>
      </c>
      <c r="O561" s="55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5" t="str">
        <f ca="1">IF(OFFSET(マスタ非採用削除!D$4,統合マスタ!$A561,0)="","",OFFSET(マスタ非採用削除!D$4,統合マスタ!$A561,0))</f>
        <v>ﾌﾙﾆ2*</v>
      </c>
      <c r="R561" s="27">
        <f ca="1">IF(OFFSET(マスタ非採用削除!E$4,統合マスタ!$A561,0)="","",OFFSET(マスタ非採用削除!E$4,統合マスタ!$A561,0))</f>
        <v>1</v>
      </c>
      <c r="S561" s="55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5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5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/>
    </row>
    <row r="562" spans="1:27">
      <c r="A562" s="42">
        <f>元データ!P559</f>
        <v>481</v>
      </c>
      <c r="B562" s="27">
        <f t="shared" si="8"/>
        <v>558</v>
      </c>
      <c r="C562" s="27" t="str">
        <f>DBCS(元データ!A559)</f>
        <v>フルニトラゼパム錠２ｍｇ「アメル」</v>
      </c>
      <c r="D562" s="55" t="str">
        <f>元データ!B559</f>
        <v>アルフレッサ</v>
      </c>
      <c r="E562" s="27" t="str">
        <f>元データ!C559</f>
        <v>バラ</v>
      </c>
      <c r="F562" s="27" t="str">
        <f>元データ!D559</f>
        <v>1000Ｔ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5" t="str">
        <f ca="1">IF(OFFSET(マスタ非採用削除!A$4,統合マスタ!$A562,0)="","",OFFSET(マスタ非採用削除!A$4,統合マスタ!$A562,0))</f>
        <v>ﾌﾙﾆ002</v>
      </c>
      <c r="O562" s="55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5" t="str">
        <f ca="1">IF(OFFSET(マスタ非採用削除!D$4,統合マスタ!$A562,0)="","",OFFSET(マスタ非採用削除!D$4,統合マスタ!$A562,0))</f>
        <v>ﾌﾙﾆ2*</v>
      </c>
      <c r="R562" s="27">
        <f ca="1">IF(OFFSET(マスタ非採用削除!E$4,統合マスタ!$A562,0)="","",OFFSET(マスタ非採用削除!E$4,統合マスタ!$A562,0))</f>
        <v>1</v>
      </c>
      <c r="S562" s="55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5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5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/>
    </row>
    <row r="563" spans="1:27">
      <c r="A563" s="42">
        <f>元データ!P560</f>
        <v>482</v>
      </c>
      <c r="B563" s="27">
        <f t="shared" si="8"/>
        <v>559</v>
      </c>
      <c r="C563" s="27" t="str">
        <f>DBCS(元データ!A560)</f>
        <v>プレガバリンＯＤ錠２５ｍｇ「サワイ」</v>
      </c>
      <c r="D563" s="55" t="str">
        <f>元データ!B560</f>
        <v>アルフレッサ</v>
      </c>
      <c r="E563" s="27" t="str">
        <f>元データ!C560</f>
        <v>ＰＴＰ</v>
      </c>
      <c r="F563" s="27" t="str">
        <f>元データ!D560</f>
        <v>100Ｔ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5" t="str">
        <f ca="1">IF(OFFSET(マスタ非採用削除!A$4,統合マスタ!$A563,0)="","",OFFSET(マスタ非採用削除!A$4,統合マスタ!$A563,0))</f>
        <v>ﾌﾚｶ001</v>
      </c>
      <c r="O563" s="55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5" t="str">
        <f ca="1">IF(OFFSET(マスタ非採用削除!D$4,統合マスタ!$A563,0)="","",OFFSET(マスタ非採用削除!D$4,統合マスタ!$A563,0))</f>
        <v>ﾌﾟﾚｶﾞ</v>
      </c>
      <c r="R563" s="27">
        <f ca="1">IF(OFFSET(マスタ非採用削除!E$4,統合マスタ!$A563,0)="","",OFFSET(マスタ非採用削除!E$4,統合マスタ!$A563,0))</f>
        <v>2</v>
      </c>
      <c r="S563" s="55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5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5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/>
    </row>
    <row r="564" spans="1:27">
      <c r="A564" s="42">
        <f>元データ!P561</f>
        <v>483</v>
      </c>
      <c r="B564" s="27">
        <f t="shared" si="8"/>
        <v>560</v>
      </c>
      <c r="C564" s="27" t="str">
        <f>DBCS(元データ!A561)</f>
        <v>プレガバリンＯＤ錠７５ｍｇ「サワイ」</v>
      </c>
      <c r="D564" s="55" t="str">
        <f>元データ!B561</f>
        <v>アルフレッサ</v>
      </c>
      <c r="E564" s="27" t="str">
        <f>元データ!C561</f>
        <v>PTP</v>
      </c>
      <c r="F564" s="27" t="str">
        <f>元データ!D561</f>
        <v>100T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5" t="str">
        <f ca="1">IF(OFFSET(マスタ非採用削除!A$4,統合マスタ!$A564,0)="","",OFFSET(マスタ非採用削除!A$4,統合マスタ!$A564,0))</f>
        <v>ﾌﾚｶ002</v>
      </c>
      <c r="O564" s="55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5" t="str">
        <f ca="1">IF(OFFSET(マスタ非採用削除!D$4,統合マスタ!$A564,0)="","",OFFSET(マスタ非採用削除!D$4,統合マスタ!$A564,0))</f>
        <v>ﾌﾟﾚ75</v>
      </c>
      <c r="R564" s="27">
        <f ca="1">IF(OFFSET(マスタ非採用削除!E$4,統合マスタ!$A564,0)="","",OFFSET(マスタ非採用削除!E$4,統合マスタ!$A564,0))</f>
        <v>2</v>
      </c>
      <c r="S564" s="55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5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5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/>
    </row>
    <row r="565" spans="1:27">
      <c r="A565" s="42">
        <f>元データ!P562</f>
        <v>484</v>
      </c>
      <c r="B565" s="27">
        <f t="shared" si="8"/>
        <v>561</v>
      </c>
      <c r="C565" s="27" t="str">
        <f>DBCS(元データ!A562)</f>
        <v>プレドニゾロン錠１ｍｇ「ＶＴＲＳ」</v>
      </c>
      <c r="D565" s="55" t="str">
        <f>元データ!B562</f>
        <v>メディセオ</v>
      </c>
      <c r="E565" s="27" t="str">
        <f>元データ!C562</f>
        <v>PTP</v>
      </c>
      <c r="F565" s="27" t="str">
        <f>元データ!D562</f>
        <v>100T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5" t="str">
        <f ca="1">IF(OFFSET(マスタ非採用削除!A$4,統合マスタ!$A565,0)="","",OFFSET(マスタ非採用削除!A$4,統合マスタ!$A565,0))</f>
        <v>ﾌﾚﾄ001</v>
      </c>
      <c r="O565" s="55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5" t="str">
        <f ca="1">IF(OFFSET(マスタ非採用削除!D$4,統合マスタ!$A565,0)="","",OFFSET(マスタ非採用削除!D$4,統合マスタ!$A565,0))</f>
        <v>ﾌﾟﾚﾄﾞ1</v>
      </c>
      <c r="R565" s="27">
        <f ca="1">IF(OFFSET(マスタ非採用削除!E$4,統合マスタ!$A565,0)="","",OFFSET(マスタ非採用削除!E$4,統合マスタ!$A565,0))</f>
        <v>2</v>
      </c>
      <c r="S565" s="55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5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5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/>
    </row>
    <row r="566" spans="1:27">
      <c r="A566" s="42">
        <f>元データ!P563</f>
        <v>485</v>
      </c>
      <c r="B566" s="27">
        <f t="shared" si="8"/>
        <v>562</v>
      </c>
      <c r="C566" s="27" t="str">
        <f>DBCS(元データ!A563)</f>
        <v>プレドニゾロン錠５ｍｇ「ＶＴＲＳ」　　　　　</v>
      </c>
      <c r="D566" s="55" t="str">
        <f>元データ!B563</f>
        <v>メディセオ</v>
      </c>
      <c r="E566" s="27" t="str">
        <f>元データ!C563</f>
        <v>PTP</v>
      </c>
      <c r="F566" s="27" t="str">
        <f>元データ!D563</f>
        <v>100T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5" t="str">
        <f ca="1">IF(OFFSET(マスタ非採用削除!A$4,統合マスタ!$A566,0)="","",OFFSET(マスタ非採用削除!A$4,統合マスタ!$A566,0))</f>
        <v>ﾌﾚﾄ002</v>
      </c>
      <c r="O566" s="55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5" t="str">
        <f ca="1">IF(OFFSET(マスタ非採用削除!D$4,統合マスタ!$A566,0)="","",OFFSET(マスタ非採用削除!D$4,統合マスタ!$A566,0))</f>
        <v>ﾌﾟﾚﾄﾞﾆ</v>
      </c>
      <c r="R566" s="27">
        <f ca="1">IF(OFFSET(マスタ非採用削除!E$4,統合マスタ!$A566,0)="","",OFFSET(マスタ非採用削除!E$4,統合マスタ!$A566,0))</f>
        <v>1</v>
      </c>
      <c r="S566" s="55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5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5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5</v>
      </c>
      <c r="AA566" s="27"/>
    </row>
    <row r="567" spans="1:27">
      <c r="A567" s="42">
        <f>元データ!P564</f>
        <v>487</v>
      </c>
      <c r="B567" s="27">
        <f t="shared" si="8"/>
        <v>563</v>
      </c>
      <c r="C567" s="27" t="str">
        <f>DBCS(元データ!A564)</f>
        <v>プロスタンディン軟膏０．００３％</v>
      </c>
      <c r="D567" s="55" t="str">
        <f>元データ!B564</f>
        <v>アルフレッサ</v>
      </c>
      <c r="E567" s="27" t="str">
        <f>元データ!C564</f>
        <v/>
      </c>
      <c r="F567" s="27" t="str">
        <f>元データ!D564</f>
        <v>30ｇｘ1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5" t="str">
        <f ca="1">IF(OFFSET(マスタ非採用削除!A$4,統合マスタ!$A567,0)="","",OFFSET(マスタ非採用削除!A$4,統合マスタ!$A567,0))</f>
        <v>ﾌﾛｽ001</v>
      </c>
      <c r="O567" s="55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5" t="str">
        <f ca="1">IF(OFFSET(マスタ非採用削除!D$4,統合マスタ!$A567,0)="","",OFFSET(マスタ非採用削除!D$4,統合マスタ!$A567,0))</f>
        <v>ﾌﾟﾛｽ</v>
      </c>
      <c r="R567" s="27">
        <f ca="1">IF(OFFSET(マスタ非採用削除!E$4,統合マスタ!$A567,0)="","",OFFSET(マスタ非採用削除!E$4,統合マスタ!$A567,0))</f>
        <v>1</v>
      </c>
      <c r="S567" s="55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5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5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/>
    </row>
    <row r="568" spans="1:27">
      <c r="A568" s="42">
        <f>元データ!P565</f>
        <v>489</v>
      </c>
      <c r="B568" s="27">
        <f t="shared" si="8"/>
        <v>564</v>
      </c>
      <c r="C568" s="27" t="str">
        <f>DBCS(元データ!A565)</f>
        <v>フロセミド細粒４％「ＥＭＥＣ」</v>
      </c>
      <c r="D568" s="55" t="str">
        <f>元データ!B565</f>
        <v>KSK</v>
      </c>
      <c r="E568" s="27" t="str">
        <f>元データ!C565</f>
        <v>粉</v>
      </c>
      <c r="F568" s="27" t="str">
        <f>元データ!D565</f>
        <v>100ｇ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5" t="str">
        <f ca="1">IF(OFFSET(マスタ非採用削除!A$4,統合マスタ!$A568,0)="","",OFFSET(マスタ非採用削除!A$4,統合マスタ!$A568,0))</f>
        <v>ﾌﾛｾ002</v>
      </c>
      <c r="O568" s="55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5" t="str">
        <f ca="1">IF(OFFSET(マスタ非採用削除!D$4,統合マスタ!$A568,0)="","",OFFSET(マスタ非採用削除!D$4,統合マスタ!$A568,0))</f>
        <v>ﾌﾛｾ2</v>
      </c>
      <c r="R568" s="27">
        <f ca="1">IF(OFFSET(マスタ非採用削除!E$4,統合マスタ!$A568,0)="","",OFFSET(マスタ非採用削除!E$4,統合マスタ!$A568,0))</f>
        <v>1</v>
      </c>
      <c r="S568" s="55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5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5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/>
    </row>
    <row r="569" spans="1:27">
      <c r="A569" s="42">
        <f>元データ!P566</f>
        <v>488</v>
      </c>
      <c r="B569" s="27">
        <f t="shared" si="8"/>
        <v>565</v>
      </c>
      <c r="C569" s="27" t="str">
        <f>DBCS(元データ!A566)</f>
        <v>フロセミド錠２０ｍｇ「ＮＩＧ」</v>
      </c>
      <c r="D569" s="55" t="str">
        <f>元データ!B566</f>
        <v>メディセオ</v>
      </c>
      <c r="E569" s="27" t="str">
        <f>元データ!C566</f>
        <v>バラ</v>
      </c>
      <c r="F569" s="27" t="str">
        <f>元データ!D566</f>
        <v>1200錠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5" t="str">
        <f ca="1">IF(OFFSET(マスタ非採用削除!A$4,統合マスタ!$A569,0)="","",OFFSET(マスタ非採用削除!A$4,統合マスタ!$A569,0))</f>
        <v>ﾌﾛｾ001</v>
      </c>
      <c r="O569" s="55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5" t="str">
        <f ca="1">IF(OFFSET(マスタ非採用削除!D$4,統合マスタ!$A569,0)="","",OFFSET(マスタ非採用削除!D$4,統合マスタ!$A569,0))</f>
        <v>ﾌﾛｾﾐ</v>
      </c>
      <c r="R569" s="27">
        <f ca="1">IF(OFFSET(マスタ非採用削除!E$4,統合マスタ!$A569,0)="","",OFFSET(マスタ非採用削除!E$4,統合マスタ!$A569,0))</f>
        <v>1</v>
      </c>
      <c r="S569" s="55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5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5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5</v>
      </c>
      <c r="AA569" s="27"/>
    </row>
    <row r="570" spans="1:27">
      <c r="A570" s="42">
        <f>元データ!P567</f>
        <v>0</v>
      </c>
      <c r="B570" s="27">
        <f t="shared" si="8"/>
        <v>566</v>
      </c>
      <c r="C570" s="27" t="str">
        <f>DBCS(元データ!A567)</f>
        <v>フロセミド注２０ｍｇ「ＮＩＧ」</v>
      </c>
      <c r="D570" s="55" t="str">
        <f>元データ!B567</f>
        <v>メディセオ</v>
      </c>
      <c r="E570" s="27" t="str">
        <f>元データ!C567</f>
        <v/>
      </c>
      <c r="F570" s="27" t="str">
        <f>元データ!D567</f>
        <v>2ｍｌｘ50管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5" t="str">
        <f ca="1">IF(OFFSET(マスタ非採用削除!A$4,統合マスタ!$A570,0)="","",OFFSET(マスタ非採用削除!A$4,統合マスタ!$A570,0))</f>
        <v>コード(区分値)</v>
      </c>
      <c r="O570" s="55" t="str">
        <f ca="1">IF(OFFSET(マスタ非採用削除!B$4,統合マスタ!$A570,0)="","",OFFSET(マスタ非採用削除!B$4,統合マスタ!$A570,0))</f>
        <v>コード</v>
      </c>
      <c r="P570" s="27" t="str">
        <f ca="1">IF(OFFSET(マスタ非採用削除!C$4,統合マスタ!$A570,0)="","",OFFSET(マスタ非採用削除!C$4,統合マスタ!$A570,0))</f>
        <v>名称</v>
      </c>
      <c r="Q570" s="55" t="str">
        <f ca="1">IF(OFFSET(マスタ非採用削除!D$4,統合マスタ!$A570,0)="","",OFFSET(マスタ非採用削除!D$4,統合マスタ!$A570,0))</f>
        <v>ホストコード</v>
      </c>
      <c r="R570" s="27" t="str">
        <f ca="1">IF(OFFSET(マスタ非採用削除!E$4,統合マスタ!$A570,0)="","",OFFSET(マスタ非採用削除!E$4,統合マスタ!$A570,0))</f>
        <v>採用区分（区分値）(区分値)</v>
      </c>
      <c r="S570" s="55" t="str">
        <f ca="1">IF(OFFSET(マスタ非採用削除!F$4,統合マスタ!$A570,0)="","",OFFSET(マスタ非採用削除!F$4,統合マスタ!$A570,0))</f>
        <v>採用区分（区分値）</v>
      </c>
      <c r="T570" s="27" t="str">
        <f ca="1">IF(OFFSET(マスタ非採用削除!G$4,統合マスタ!$A570,0)="","",OFFSET(マスタ非採用削除!G$4,統合マスタ!$A570,0))</f>
        <v>薬価</v>
      </c>
      <c r="U570" s="55" t="str">
        <f ca="1">IF(OFFSET(マスタ非採用削除!H$4,統合マスタ!$A570,0)="","",OFFSET(マスタ非採用削除!H$4,統合マスタ!$A570,0))</f>
        <v>カナ名称</v>
      </c>
      <c r="V570" s="27" t="str">
        <f ca="1">IF(OFFSET(マスタ非採用削除!I$4,統合マスタ!$A570,0)="","",OFFSET(マスタ非採用削除!I$4,統合マスタ!$A570,0))</f>
        <v>剤形(区分値)</v>
      </c>
      <c r="W570" s="27" t="str">
        <f ca="1">IF(OFFSET(マスタ非採用削除!J$4,統合マスタ!$A570,0)="","",OFFSET(マスタ非採用削除!J$4,統合マスタ!$A570,0))</f>
        <v>剤形</v>
      </c>
      <c r="X570" s="27" t="str">
        <f ca="1">IF(OFFSET(マスタ非採用削除!K$4,統合マスタ!$A570,0)="","",OFFSET(マスタ非採用削除!K$4,統合マスタ!$A570,0))</f>
        <v>毒劇薬（区分値）(区分値)</v>
      </c>
      <c r="Y570" s="55" t="str">
        <f ca="1">IF(OFFSET(マスタ非採用削除!L$4,統合マスタ!$A570,0)="","",OFFSET(マスタ非採用削除!L$4,統合マスタ!$A570,0))</f>
        <v>毒劇薬（区分値）</v>
      </c>
      <c r="Z570" s="27" t="str">
        <f ca="1">IF(OFFSET(マスタ非採用削除!M$4,統合マスタ!$A570,0)="","",OFFSET(マスタ非採用削除!M$4,統合マスタ!$A570,0))</f>
        <v>棚</v>
      </c>
      <c r="AA570" s="27"/>
    </row>
    <row r="571" spans="1:27">
      <c r="A571" s="42">
        <f>元データ!P568</f>
        <v>490</v>
      </c>
      <c r="B571" s="27">
        <f t="shared" si="8"/>
        <v>567</v>
      </c>
      <c r="C571" s="27" t="str">
        <f>DBCS(元データ!A568)</f>
        <v>フロセミド注２０ｍｇ「トーワ」</v>
      </c>
      <c r="D571" s="55" t="str">
        <f>元データ!B568</f>
        <v>東和薬品</v>
      </c>
      <c r="E571" s="27" t="str">
        <f>元データ!C568</f>
        <v/>
      </c>
      <c r="F571" s="27" t="str">
        <f>元データ!D568</f>
        <v>2ｍｌｘ50管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5" t="str">
        <f ca="1">IF(OFFSET(マスタ非採用削除!A$4,統合マスタ!$A571,0)="","",OFFSET(マスタ非採用削除!A$4,統合マスタ!$A571,0))</f>
        <v>ﾌﾛｾ003</v>
      </c>
      <c r="O571" s="55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5" t="str">
        <f ca="1">IF(OFFSET(マスタ非採用削除!D$4,統合マスタ!$A571,0)="","",OFFSET(マスタ非採用削除!D$4,統合マスタ!$A571,0))</f>
        <v>ﾌﾛｾ*</v>
      </c>
      <c r="R571" s="27">
        <f ca="1">IF(OFFSET(マスタ非採用削除!E$4,統合マスタ!$A571,0)="","",OFFSET(マスタ非採用削除!E$4,統合マスタ!$A571,0))</f>
        <v>1</v>
      </c>
      <c r="S571" s="55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5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5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/>
    </row>
    <row r="572" spans="1:27">
      <c r="A572" s="42">
        <f>元データ!P569</f>
        <v>491</v>
      </c>
      <c r="B572" s="27">
        <f t="shared" si="8"/>
        <v>568</v>
      </c>
      <c r="C572" s="27" t="str">
        <f>DBCS(元データ!A569)</f>
        <v>ブロチゾラム錠０．２５ｍｇ「ヨシトミ」</v>
      </c>
      <c r="D572" s="55" t="str">
        <f>元データ!B569</f>
        <v>スズケン</v>
      </c>
      <c r="E572" s="27" t="str">
        <f>元データ!C569</f>
        <v>PTP</v>
      </c>
      <c r="F572" s="27" t="str">
        <f>元データ!D569</f>
        <v>1000T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5" t="str">
        <f ca="1">IF(OFFSET(マスタ非採用削除!A$4,統合マスタ!$A572,0)="","",OFFSET(マスタ非採用削除!A$4,統合マスタ!$A572,0))</f>
        <v>ﾌﾛﾁ002</v>
      </c>
      <c r="O572" s="55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5" t="str">
        <f ca="1">IF(OFFSET(マスタ非採用削除!D$4,統合マスタ!$A572,0)="","",OFFSET(マスタ非採用削除!D$4,統合マスタ!$A572,0))</f>
        <v/>
      </c>
      <c r="R572" s="27">
        <f ca="1">IF(OFFSET(マスタ非採用削除!E$4,統合マスタ!$A572,0)="","",OFFSET(マスタ非採用削除!E$4,統合マスタ!$A572,0))</f>
        <v>1</v>
      </c>
      <c r="S572" s="55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5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5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5</v>
      </c>
      <c r="AA572" s="27"/>
    </row>
    <row r="573" spans="1:27">
      <c r="A573" s="42">
        <f>元データ!P570</f>
        <v>491</v>
      </c>
      <c r="B573" s="27">
        <f t="shared" si="8"/>
        <v>569</v>
      </c>
      <c r="C573" s="27" t="str">
        <f>DBCS(元データ!A570)</f>
        <v>ブロチゾラム錠０．２５ｍｇ「ヨシトミ」</v>
      </c>
      <c r="D573" s="55" t="str">
        <f>元データ!B570</f>
        <v>スズケン</v>
      </c>
      <c r="E573" s="27" t="str">
        <f>元データ!C570</f>
        <v>バラ</v>
      </c>
      <c r="F573" s="27" t="str">
        <f>元データ!D570</f>
        <v>500T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5" t="str">
        <f ca="1">IF(OFFSET(マスタ非採用削除!A$4,統合マスタ!$A573,0)="","",OFFSET(マスタ非採用削除!A$4,統合マスタ!$A573,0))</f>
        <v>ﾌﾛﾁ002</v>
      </c>
      <c r="O573" s="55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5" t="str">
        <f ca="1">IF(OFFSET(マスタ非採用削除!D$4,統合マスタ!$A573,0)="","",OFFSET(マスタ非採用削除!D$4,統合マスタ!$A573,0))</f>
        <v/>
      </c>
      <c r="R573" s="27">
        <f ca="1">IF(OFFSET(マスタ非採用削除!E$4,統合マスタ!$A573,0)="","",OFFSET(マスタ非採用削除!E$4,統合マスタ!$A573,0))</f>
        <v>1</v>
      </c>
      <c r="S573" s="55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5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5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5</v>
      </c>
      <c r="AA573" s="27"/>
    </row>
    <row r="574" spans="1:27">
      <c r="A574" s="42">
        <f>元データ!P571</f>
        <v>496</v>
      </c>
      <c r="B574" s="27">
        <f t="shared" si="8"/>
        <v>570</v>
      </c>
      <c r="C574" s="27" t="str">
        <f>DBCS(元データ!A571)</f>
        <v>ブロナック点眼液０．１％</v>
      </c>
      <c r="D574" s="55" t="str">
        <f>元データ!B571</f>
        <v/>
      </c>
      <c r="E574" s="27" t="str">
        <f>元データ!C571</f>
        <v/>
      </c>
      <c r="F574" s="27" t="str">
        <f>元データ!D571</f>
        <v>5ｍｌｘ10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5" t="str">
        <f ca="1">IF(OFFSET(マスタ非採用削除!A$4,統合マスタ!$A574,0)="","",OFFSET(マスタ非採用削除!A$4,統合マスタ!$A574,0))</f>
        <v>ﾌﾛﾅ005</v>
      </c>
      <c r="O574" s="55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5" t="str">
        <f ca="1">IF(OFFSET(マスタ非採用削除!D$4,統合マスタ!$A574,0)="","",OFFSET(マスタ非採用削除!D$4,統合マスタ!$A574,0))</f>
        <v>ﾌﾞﾛﾅ</v>
      </c>
      <c r="R574" s="27">
        <f ca="1">IF(OFFSET(マスタ非採用削除!E$4,統合マスタ!$A574,0)="","",OFFSET(マスタ非採用削除!E$4,統合マスタ!$A574,0))</f>
        <v>2</v>
      </c>
      <c r="S574" s="55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5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5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/>
    </row>
    <row r="575" spans="1:27">
      <c r="A575" s="42">
        <f>元データ!P572</f>
        <v>495</v>
      </c>
      <c r="B575" s="27">
        <f t="shared" si="8"/>
        <v>571</v>
      </c>
      <c r="C575" s="27" t="str">
        <f>DBCS(元データ!A572)</f>
        <v>ブロナンセリン散２％「ＤＳＰＢ」</v>
      </c>
      <c r="D575" s="55" t="str">
        <f>元データ!B572</f>
        <v>アルフレッサ</v>
      </c>
      <c r="E575" s="27" t="str">
        <f>元データ!C572</f>
        <v>粉</v>
      </c>
      <c r="F575" s="27" t="str">
        <f>元データ!D572</f>
        <v>100ｇ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5" t="str">
        <f ca="1">IF(OFFSET(マスタ非採用削除!A$4,統合マスタ!$A575,0)="","",OFFSET(マスタ非採用削除!A$4,統合マスタ!$A575,0))</f>
        <v>ﾌﾛﾅ004</v>
      </c>
      <c r="O575" s="55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5" t="str">
        <f ca="1">IF(OFFSET(マスタ非採用削除!D$4,統合マスタ!$A575,0)="","",OFFSET(マスタ非採用削除!D$4,統合マスタ!$A575,0))</f>
        <v>ﾌﾞﾛﾅﾝ</v>
      </c>
      <c r="R575" s="27">
        <f ca="1">IF(OFFSET(マスタ非採用削除!E$4,統合マスタ!$A575,0)="","",OFFSET(マスタ非採用削除!E$4,統合マスタ!$A575,0))</f>
        <v>1</v>
      </c>
      <c r="S575" s="55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5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5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/>
    </row>
    <row r="576" spans="1:27">
      <c r="A576" s="42">
        <f>元データ!P573</f>
        <v>492</v>
      </c>
      <c r="B576" s="27">
        <f t="shared" si="8"/>
        <v>572</v>
      </c>
      <c r="C576" s="27" t="str">
        <f>DBCS(元データ!A573)</f>
        <v>ブロナンセリン錠２ｍｇ「ＤＳＰＢ」</v>
      </c>
      <c r="D576" s="55" t="str">
        <f>元データ!B573</f>
        <v>メディセオ</v>
      </c>
      <c r="E576" s="27" t="str">
        <f>元データ!C573</f>
        <v>ＰＴＰ</v>
      </c>
      <c r="F576" s="27" t="str">
        <f>元データ!D573</f>
        <v>100T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5" t="str">
        <f ca="1">IF(OFFSET(マスタ非採用削除!A$4,統合マスタ!$A576,0)="","",OFFSET(マスタ非採用削除!A$4,統合マスタ!$A576,0))</f>
        <v>ﾌﾛﾅ001</v>
      </c>
      <c r="O576" s="55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5" t="str">
        <f ca="1">IF(OFFSET(マスタ非採用削除!D$4,統合マスタ!$A576,0)="","",OFFSET(マスタ非採用削除!D$4,統合マスタ!$A576,0))</f>
        <v>ﾌﾞﾛ2</v>
      </c>
      <c r="R576" s="27">
        <f ca="1">IF(OFFSET(マスタ非採用削除!E$4,統合マスタ!$A576,0)="","",OFFSET(マスタ非採用削除!E$4,統合マスタ!$A576,0))</f>
        <v>1</v>
      </c>
      <c r="S576" s="55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5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5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6</v>
      </c>
      <c r="AA576" s="27"/>
    </row>
    <row r="577" spans="1:27">
      <c r="A577" s="42">
        <f>元データ!P574</f>
        <v>493</v>
      </c>
      <c r="B577" s="27">
        <f t="shared" si="8"/>
        <v>573</v>
      </c>
      <c r="C577" s="27" t="str">
        <f>DBCS(元データ!A574)</f>
        <v>ブロナンセリン錠４ｍｇ「ＤＳＰＢ」</v>
      </c>
      <c r="D577" s="55" t="str">
        <f>元データ!B574</f>
        <v>メディセオ</v>
      </c>
      <c r="E577" s="27" t="str">
        <f>元データ!C574</f>
        <v>ＰＴＰ</v>
      </c>
      <c r="F577" s="27" t="str">
        <f>元データ!D574</f>
        <v>100T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5" t="str">
        <f ca="1">IF(OFFSET(マスタ非採用削除!A$4,統合マスタ!$A577,0)="","",OFFSET(マスタ非採用削除!A$4,統合マスタ!$A577,0))</f>
        <v>ﾌﾛﾅ002</v>
      </c>
      <c r="O577" s="55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5" t="str">
        <f ca="1">IF(OFFSET(マスタ非採用削除!D$4,統合マスタ!$A577,0)="","",OFFSET(マスタ非採用削除!D$4,統合マスタ!$A577,0))</f>
        <v>ﾌﾞﾛ4</v>
      </c>
      <c r="R577" s="27">
        <f ca="1">IF(OFFSET(マスタ非採用削除!E$4,統合マスタ!$A577,0)="","",OFFSET(マスタ非採用削除!E$4,統合マスタ!$A577,0))</f>
        <v>1</v>
      </c>
      <c r="S577" s="55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5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5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6</v>
      </c>
      <c r="AA577" s="27"/>
    </row>
    <row r="578" spans="1:27">
      <c r="A578" s="42">
        <f>元データ!P575</f>
        <v>493</v>
      </c>
      <c r="B578" s="27">
        <f t="shared" si="8"/>
        <v>574</v>
      </c>
      <c r="C578" s="27" t="str">
        <f>DBCS(元データ!A575)</f>
        <v>ブロナンセリン錠４ｍｇ「ＤＳＰＢ」</v>
      </c>
      <c r="D578" s="55" t="str">
        <f>元データ!B575</f>
        <v>メディセオ</v>
      </c>
      <c r="E578" s="27" t="str">
        <f>元データ!C575</f>
        <v>バラ</v>
      </c>
      <c r="F578" s="27" t="str">
        <f>元データ!D575</f>
        <v>1000T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5" t="str">
        <f ca="1">IF(OFFSET(マスタ非採用削除!A$4,統合マスタ!$A578,0)="","",OFFSET(マスタ非採用削除!A$4,統合マスタ!$A578,0))</f>
        <v>ﾌﾛﾅ002</v>
      </c>
      <c r="O578" s="55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5" t="str">
        <f ca="1">IF(OFFSET(マスタ非採用削除!D$4,統合マスタ!$A578,0)="","",OFFSET(マスタ非採用削除!D$4,統合マスタ!$A578,0))</f>
        <v>ﾌﾞﾛ4</v>
      </c>
      <c r="R578" s="27">
        <f ca="1">IF(OFFSET(マスタ非採用削除!E$4,統合マスタ!$A578,0)="","",OFFSET(マスタ非採用削除!E$4,統合マスタ!$A578,0))</f>
        <v>1</v>
      </c>
      <c r="S578" s="55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5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5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6</v>
      </c>
      <c r="AA578" s="27"/>
    </row>
    <row r="579" spans="1:27">
      <c r="A579" s="42">
        <f>元データ!P576</f>
        <v>494</v>
      </c>
      <c r="B579" s="27">
        <f t="shared" si="8"/>
        <v>575</v>
      </c>
      <c r="C579" s="27" t="str">
        <f>DBCS(元データ!A576)</f>
        <v>ブロナンセリン錠８ｍｇ「ＤＳＰＢ」</v>
      </c>
      <c r="D579" s="55" t="str">
        <f>元データ!B576</f>
        <v>メディセオ</v>
      </c>
      <c r="E579" s="27" t="str">
        <f>元データ!C576</f>
        <v>ＰＴＰ</v>
      </c>
      <c r="F579" s="27" t="str">
        <f>元データ!D576</f>
        <v>100T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5" t="str">
        <f ca="1">IF(OFFSET(マスタ非採用削除!A$4,統合マスタ!$A579,0)="","",OFFSET(マスタ非採用削除!A$4,統合マスタ!$A579,0))</f>
        <v>ﾌﾛﾅ003</v>
      </c>
      <c r="O579" s="55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5" t="str">
        <f ca="1">IF(OFFSET(マスタ非採用削除!D$4,統合マスタ!$A579,0)="","",OFFSET(マスタ非採用削除!D$4,統合マスタ!$A579,0))</f>
        <v>ﾌﾞﾛ8</v>
      </c>
      <c r="R579" s="27">
        <f ca="1">IF(OFFSET(マスタ非採用削除!E$4,統合マスタ!$A579,0)="","",OFFSET(マスタ非採用削除!E$4,統合マスタ!$A579,0))</f>
        <v>1</v>
      </c>
      <c r="S579" s="55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5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5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6</v>
      </c>
      <c r="AA579" s="27"/>
    </row>
    <row r="580" spans="1:27">
      <c r="A580" s="42">
        <f>元データ!P577</f>
        <v>494</v>
      </c>
      <c r="B580" s="27">
        <f t="shared" si="8"/>
        <v>576</v>
      </c>
      <c r="C580" s="27" t="str">
        <f>DBCS(元データ!A577)</f>
        <v>ブロナンセリン錠８ｍｇ「ＤＳＰＢ」</v>
      </c>
      <c r="D580" s="55" t="str">
        <f>元データ!B577</f>
        <v>メディセオ</v>
      </c>
      <c r="E580" s="27" t="str">
        <f>元データ!C577</f>
        <v>バラ</v>
      </c>
      <c r="F580" s="27" t="str">
        <f>元データ!D577</f>
        <v>1000T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5" t="str">
        <f ca="1">IF(OFFSET(マスタ非採用削除!A$4,統合マスタ!$A580,0)="","",OFFSET(マスタ非採用削除!A$4,統合マスタ!$A580,0))</f>
        <v>ﾌﾛﾅ003</v>
      </c>
      <c r="O580" s="55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5" t="str">
        <f ca="1">IF(OFFSET(マスタ非採用削除!D$4,統合マスタ!$A580,0)="","",OFFSET(マスタ非採用削除!D$4,統合マスタ!$A580,0))</f>
        <v>ﾌﾞﾛ8</v>
      </c>
      <c r="R580" s="27">
        <f ca="1">IF(OFFSET(マスタ非採用削除!E$4,統合マスタ!$A580,0)="","",OFFSET(マスタ非採用削除!E$4,統合マスタ!$A580,0))</f>
        <v>1</v>
      </c>
      <c r="S580" s="55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5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5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6</v>
      </c>
      <c r="AA580" s="27"/>
    </row>
    <row r="581" spans="1:27">
      <c r="A581" s="42">
        <f>元データ!P578</f>
        <v>497</v>
      </c>
      <c r="B581" s="27">
        <f t="shared" si="8"/>
        <v>577</v>
      </c>
      <c r="C581" s="27" t="str">
        <f>DBCS(元データ!A578)</f>
        <v>プロピベリン塩酸塩錠１０ｍｇ「ＮＩＧ」　</v>
      </c>
      <c r="D581" s="55" t="str">
        <f>元データ!B578</f>
        <v>メディセオ</v>
      </c>
      <c r="E581" s="27" t="str">
        <f>元データ!C578</f>
        <v>PTP</v>
      </c>
      <c r="F581" s="27" t="str">
        <f>元データ!D578</f>
        <v>100Ｔ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5" t="str">
        <f ca="1">IF(OFFSET(マスタ非採用削除!A$4,統合マスタ!$A581,0)="","",OFFSET(マスタ非採用削除!A$4,統合マスタ!$A581,0))</f>
        <v>ﾌﾛﾋ001</v>
      </c>
      <c r="O581" s="55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5" t="str">
        <f ca="1">IF(OFFSET(マスタ非採用削除!D$4,統合マスタ!$A581,0)="","",OFFSET(マスタ非採用削除!D$4,統合マスタ!$A581,0))</f>
        <v>ﾌﾟﾛﾋﾟ2</v>
      </c>
      <c r="R581" s="27">
        <f ca="1">IF(OFFSET(マスタ非採用削除!E$4,統合マスタ!$A581,0)="","",OFFSET(マスタ非採用削除!E$4,統合マスタ!$A581,0))</f>
        <v>1</v>
      </c>
      <c r="S581" s="55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5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5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/>
    </row>
    <row r="582" spans="1:27">
      <c r="A582" s="42">
        <f>元データ!P579</f>
        <v>497</v>
      </c>
      <c r="B582" s="27">
        <f t="shared" si="8"/>
        <v>578</v>
      </c>
      <c r="C582" s="27" t="str">
        <f>DBCS(元データ!A579)</f>
        <v>プロピベリン塩酸塩錠１０ｍｇ「ＮＩＧ」　</v>
      </c>
      <c r="D582" s="55" t="str">
        <f>元データ!B579</f>
        <v/>
      </c>
      <c r="E582" s="27" t="str">
        <f>元データ!C579</f>
        <v>バラ</v>
      </c>
      <c r="F582" s="27" t="str">
        <f>元データ!D579</f>
        <v>500Ｔ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5" t="str">
        <f ca="1">IF(OFFSET(マスタ非採用削除!A$4,統合マスタ!$A582,0)="","",OFFSET(マスタ非採用削除!A$4,統合マスタ!$A582,0))</f>
        <v>ﾌﾛﾋ001</v>
      </c>
      <c r="O582" s="55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5" t="str">
        <f ca="1">IF(OFFSET(マスタ非採用削除!D$4,統合マスタ!$A582,0)="","",OFFSET(マスタ非採用削除!D$4,統合マスタ!$A582,0))</f>
        <v>ﾌﾟﾛﾋﾟ2</v>
      </c>
      <c r="R582" s="27">
        <f ca="1">IF(OFFSET(マスタ非採用削除!E$4,統合マスタ!$A582,0)="","",OFFSET(マスタ非採用削除!E$4,統合マスタ!$A582,0))</f>
        <v>1</v>
      </c>
      <c r="S582" s="55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5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5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/>
    </row>
    <row r="583" spans="1:27">
      <c r="A583" s="42">
        <f>元データ!P580</f>
        <v>498</v>
      </c>
      <c r="B583" s="27">
        <f t="shared" ref="B583:B646" si="9">B582+1</f>
        <v>579</v>
      </c>
      <c r="C583" s="27" t="str">
        <f>DBCS(元データ!A580)</f>
        <v>プロマックＤ錠７５</v>
      </c>
      <c r="D583" s="55" t="str">
        <f>元データ!B580</f>
        <v>アルフレッサ</v>
      </c>
      <c r="E583" s="27" t="str">
        <f>元データ!C580</f>
        <v>PTP</v>
      </c>
      <c r="F583" s="27" t="str">
        <f>元データ!D580</f>
        <v>140T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5" t="str">
        <f ca="1">IF(OFFSET(マスタ非採用削除!A$4,統合マスタ!$A583,0)="","",OFFSET(マスタ非採用削除!A$4,統合マスタ!$A583,0))</f>
        <v>ﾌﾛﾏ001</v>
      </c>
      <c r="O583" s="55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5" t="str">
        <f ca="1">IF(OFFSET(マスタ非採用削除!D$4,統合マスタ!$A583,0)="","",OFFSET(マスタ非採用削除!D$4,統合マスタ!$A583,0))</f>
        <v>ﾌﾟﾛﾏ</v>
      </c>
      <c r="R583" s="27">
        <f ca="1">IF(OFFSET(マスタ非採用削除!E$4,統合マスタ!$A583,0)="","",OFFSET(マスタ非採用削除!E$4,統合マスタ!$A583,0))</f>
        <v>1</v>
      </c>
      <c r="S583" s="55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5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5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/>
    </row>
    <row r="584" spans="1:27">
      <c r="A584" s="42">
        <f>元データ!P581</f>
        <v>502</v>
      </c>
      <c r="B584" s="27">
        <f t="shared" si="9"/>
        <v>580</v>
      </c>
      <c r="C584" s="27" t="str">
        <f>DBCS(元データ!A581)</f>
        <v>ブロムヘキシン塩酸塩吸入液０．２％「タイヨー」</v>
      </c>
      <c r="D584" s="55" t="str">
        <f>元データ!B581</f>
        <v>メディセオ</v>
      </c>
      <c r="E584" s="27" t="str">
        <f>元データ!C581</f>
        <v/>
      </c>
      <c r="F584" s="27" t="str">
        <f>元データ!D581</f>
        <v>45ｍｌ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5" t="str">
        <f ca="1">IF(OFFSET(マスタ非採用削除!A$4,統合マスタ!$A584,0)="","",OFFSET(マスタ非採用削除!A$4,統合マスタ!$A584,0))</f>
        <v>ﾌﾛﾑ004</v>
      </c>
      <c r="O584" s="55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5" t="str">
        <f ca="1">IF(OFFSET(マスタ非採用削除!D$4,統合マスタ!$A584,0)="","",OFFSET(マスタ非採用削除!D$4,統合マスタ!$A584,0))</f>
        <v/>
      </c>
      <c r="R584" s="27">
        <f ca="1">IF(OFFSET(マスタ非採用削除!E$4,統合マスタ!$A584,0)="","",OFFSET(マスタ非採用削除!E$4,統合マスタ!$A584,0))</f>
        <v>1</v>
      </c>
      <c r="S584" s="55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5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5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/>
    </row>
    <row r="585" spans="1:27">
      <c r="A585" s="42">
        <f>元データ!P582</f>
        <v>500</v>
      </c>
      <c r="B585" s="27">
        <f t="shared" si="9"/>
        <v>581</v>
      </c>
      <c r="C585" s="27" t="str">
        <f>DBCS(元データ!A582)</f>
        <v>ブロムヘキシン塩酸塩錠４ｍｇ「トーワ」</v>
      </c>
      <c r="D585" s="55" t="str">
        <f>元データ!B582</f>
        <v>東和薬品</v>
      </c>
      <c r="E585" s="27" t="str">
        <f>元データ!C582</f>
        <v>ＰＴＰ</v>
      </c>
      <c r="F585" s="27" t="str">
        <f>元データ!D582</f>
        <v>1000Ｔ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5" t="str">
        <f ca="1">IF(OFFSET(マスタ非採用削除!A$4,統合マスタ!$A585,0)="","",OFFSET(マスタ非採用削除!A$4,統合マスタ!$A585,0))</f>
        <v>ﾌﾛﾑ002</v>
      </c>
      <c r="O585" s="55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5" t="str">
        <f ca="1">IF(OFFSET(マスタ非採用削除!D$4,統合マスタ!$A585,0)="","",OFFSET(マスタ非採用削除!D$4,統合マスタ!$A585,0))</f>
        <v>ﾌﾞﾛﾑﾍ</v>
      </c>
      <c r="R585" s="27">
        <f ca="1">IF(OFFSET(マスタ非採用削除!E$4,統合マスタ!$A585,0)="","",OFFSET(マスタ非採用削除!E$4,統合マスタ!$A585,0))</f>
        <v>1</v>
      </c>
      <c r="S585" s="55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5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5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/>
    </row>
    <row r="586" spans="1:27">
      <c r="A586" s="42">
        <f>元データ!P583</f>
        <v>503</v>
      </c>
      <c r="B586" s="27">
        <f t="shared" si="9"/>
        <v>582</v>
      </c>
      <c r="C586" s="27" t="str">
        <f>DBCS(元データ!A583)</f>
        <v>ブロムヘキシン塩酸塩注射液４ｍｇ「タイヨー」</v>
      </c>
      <c r="D586" s="55" t="str">
        <f>元データ!B583</f>
        <v>メディセオ</v>
      </c>
      <c r="E586" s="27" t="str">
        <f>元データ!C583</f>
        <v/>
      </c>
      <c r="F586" s="27" t="str">
        <f>元データ!D583</f>
        <v>2ｍｌｘ50A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5" t="str">
        <f ca="1">IF(OFFSET(マスタ非採用削除!A$4,統合マスタ!$A586,0)="","",OFFSET(マスタ非採用削除!A$4,統合マスタ!$A586,0))</f>
        <v>ﾌﾛﾑ005</v>
      </c>
      <c r="O586" s="55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5" t="str">
        <f ca="1">IF(OFFSET(マスタ非採用削除!D$4,統合マスタ!$A586,0)="","",OFFSET(マスタ非採用削除!D$4,統合マスタ!$A586,0))</f>
        <v/>
      </c>
      <c r="R586" s="27">
        <f ca="1">IF(OFFSET(マスタ非採用削除!E$4,統合マスタ!$A586,0)="","",OFFSET(マスタ非採用削除!E$4,統合マスタ!$A586,0))</f>
        <v>1</v>
      </c>
      <c r="S586" s="55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5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5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/>
    </row>
    <row r="587" spans="1:27">
      <c r="A587" s="42">
        <f>元データ!P584</f>
        <v>499</v>
      </c>
      <c r="B587" s="27">
        <f t="shared" si="9"/>
        <v>583</v>
      </c>
      <c r="C587" s="27" t="str">
        <f>DBCS(元データ!A584)</f>
        <v>ブロムペリドール錠３ｍｇ「アメル」</v>
      </c>
      <c r="D587" s="55" t="str">
        <f>元データ!B584</f>
        <v>メディセオ</v>
      </c>
      <c r="E587" s="27" t="str">
        <f>元データ!C584</f>
        <v>PTP</v>
      </c>
      <c r="F587" s="27" t="str">
        <f>元データ!D584</f>
        <v>100T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5" t="str">
        <f ca="1">IF(OFFSET(マスタ非採用削除!A$4,統合マスタ!$A587,0)="","",OFFSET(マスタ非採用削除!A$4,統合マスタ!$A587,0))</f>
        <v>ﾌﾛﾑ001</v>
      </c>
      <c r="O587" s="55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5" t="str">
        <f ca="1">IF(OFFSET(マスタ非採用削除!D$4,統合マスタ!$A587,0)="","",OFFSET(マスタ非採用削除!D$4,統合マスタ!$A587,0))</f>
        <v>ﾌﾞﾛﾑ3</v>
      </c>
      <c r="R587" s="27">
        <f ca="1">IF(OFFSET(マスタ非採用削除!E$4,統合マスタ!$A587,0)="","",OFFSET(マスタ非採用削除!E$4,統合マスタ!$A587,0))</f>
        <v>1</v>
      </c>
      <c r="S587" s="55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5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5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/>
    </row>
    <row r="588" spans="1:27">
      <c r="A588" s="42">
        <f>元データ!P585</f>
        <v>505</v>
      </c>
      <c r="B588" s="27">
        <f t="shared" si="9"/>
        <v>584</v>
      </c>
      <c r="C588" s="27" t="str">
        <f>DBCS(元データ!A585)</f>
        <v>ベオーパ錠５０ｍｇ</v>
      </c>
      <c r="D588" s="55" t="str">
        <f>元データ!B585</f>
        <v>スズケン</v>
      </c>
      <c r="E588" s="27" t="str">
        <f>元データ!C585</f>
        <v>ＰＴＰ</v>
      </c>
      <c r="F588" s="27" t="str">
        <f>元データ!D585</f>
        <v>100Ｔ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5" t="str">
        <f ca="1">IF(OFFSET(マスタ非採用削除!A$4,統合マスタ!$A588,0)="","",OFFSET(マスタ非採用削除!A$4,統合マスタ!$A588,0))</f>
        <v>ﾍｵﾊ001</v>
      </c>
      <c r="O588" s="55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5" t="str">
        <f ca="1">IF(OFFSET(マスタ非採用削除!D$4,統合マスタ!$A588,0)="","",OFFSET(マスタ非採用削除!D$4,統合マスタ!$A588,0))</f>
        <v/>
      </c>
      <c r="R588" s="27">
        <f ca="1">IF(OFFSET(マスタ非採用削除!E$4,統合マスタ!$A588,0)="","",OFFSET(マスタ非採用削除!E$4,統合マスタ!$A588,0))</f>
        <v>1</v>
      </c>
      <c r="S588" s="55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5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5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5</v>
      </c>
      <c r="AA588" s="27"/>
    </row>
    <row r="589" spans="1:27">
      <c r="A589" s="42">
        <f>元データ!P586</f>
        <v>506</v>
      </c>
      <c r="B589" s="27">
        <f t="shared" si="9"/>
        <v>585</v>
      </c>
      <c r="C589" s="27" t="str">
        <f>DBCS(元データ!A586)</f>
        <v>ベクルリー点滴静注用１００ｍｇ</v>
      </c>
      <c r="D589" s="55" t="str">
        <f>元データ!B586</f>
        <v>スズケン</v>
      </c>
      <c r="E589" s="27" t="str">
        <f>元データ!C586</f>
        <v/>
      </c>
      <c r="F589" s="27" t="str">
        <f>元データ!D586</f>
        <v>1Ｖ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5" t="str">
        <f ca="1">IF(OFFSET(マスタ非採用削除!A$4,統合マスタ!$A589,0)="","",OFFSET(マスタ非採用削除!A$4,統合マスタ!$A589,0))</f>
        <v>ﾍｸﾙ001</v>
      </c>
      <c r="O589" s="55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5" t="str">
        <f ca="1">IF(OFFSET(マスタ非採用削除!D$4,統合マスタ!$A589,0)="","",OFFSET(マスタ非採用削除!D$4,統合マスタ!$A589,0))</f>
        <v>ﾍﾞｸﾙ</v>
      </c>
      <c r="R589" s="27">
        <f ca="1">IF(OFFSET(マスタ非採用削除!E$4,統合マスタ!$A589,0)="","",OFFSET(マスタ非採用削除!E$4,統合マスタ!$A589,0))</f>
        <v>1</v>
      </c>
      <c r="S589" s="55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5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5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/>
    </row>
    <row r="590" spans="1:27">
      <c r="A590" s="42">
        <f>元データ!P587</f>
        <v>507</v>
      </c>
      <c r="B590" s="27">
        <f t="shared" si="9"/>
        <v>586</v>
      </c>
      <c r="C590" s="27" t="str">
        <f>DBCS(元データ!A587)</f>
        <v>ベサコリン散５％</v>
      </c>
      <c r="D590" s="55" t="str">
        <f>元データ!B587</f>
        <v>スズケン</v>
      </c>
      <c r="E590" s="27" t="str">
        <f>元データ!C587</f>
        <v>粉</v>
      </c>
      <c r="F590" s="27" t="str">
        <f>元データ!D587</f>
        <v>100ｇ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5" t="str">
        <f ca="1">IF(OFFSET(マスタ非採用削除!A$4,統合マスタ!$A590,0)="","",OFFSET(マスタ非採用削除!A$4,統合マスタ!$A590,0))</f>
        <v>ﾍｻｺ001</v>
      </c>
      <c r="O590" s="55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5" t="str">
        <f ca="1">IF(OFFSET(マスタ非採用削除!D$4,統合マスタ!$A590,0)="","",OFFSET(マスタ非採用削除!D$4,統合マスタ!$A590,0))</f>
        <v>ﾍﾞｻｺ</v>
      </c>
      <c r="R590" s="27">
        <f ca="1">IF(OFFSET(マスタ非採用削除!E$4,統合マスタ!$A590,0)="","",OFFSET(マスタ非採用削除!E$4,統合マスタ!$A590,0))</f>
        <v>2</v>
      </c>
      <c r="S590" s="55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5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5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/>
    </row>
    <row r="591" spans="1:27">
      <c r="A591" s="42">
        <f>元データ!P588</f>
        <v>508</v>
      </c>
      <c r="B591" s="27">
        <f t="shared" si="9"/>
        <v>587</v>
      </c>
      <c r="C591" s="27" t="str">
        <f>DBCS(元データ!A588)</f>
        <v>ベザフィブラートＳＲ錠２００ｍｇ「日医工」　　　</v>
      </c>
      <c r="D591" s="55" t="str">
        <f>元データ!B588</f>
        <v>メディセオ</v>
      </c>
      <c r="E591" s="27" t="str">
        <f>元データ!C588</f>
        <v>PTP</v>
      </c>
      <c r="F591" s="27" t="str">
        <f>元データ!D588</f>
        <v>100Ｔ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5" t="str">
        <f ca="1">IF(OFFSET(マスタ非採用削除!A$4,統合マスタ!$A591,0)="","",OFFSET(マスタ非採用削除!A$4,統合マスタ!$A591,0))</f>
        <v>ﾍｻﾌ001</v>
      </c>
      <c r="O591" s="55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5" t="str">
        <f ca="1">IF(OFFSET(マスタ非採用削除!D$4,統合マスタ!$A591,0)="","",OFFSET(マスタ非採用削除!D$4,統合マスタ!$A591,0))</f>
        <v>ﾍﾞｻﾞﾌｨ</v>
      </c>
      <c r="R591" s="27">
        <f ca="1">IF(OFFSET(マスタ非採用削除!E$4,統合マスタ!$A591,0)="","",OFFSET(マスタ非採用削除!E$4,統合マスタ!$A591,0))</f>
        <v>1</v>
      </c>
      <c r="S591" s="55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5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5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5</v>
      </c>
      <c r="AA591" s="27"/>
    </row>
    <row r="592" spans="1:27">
      <c r="A592" s="42">
        <f>元データ!P589</f>
        <v>509</v>
      </c>
      <c r="B592" s="27">
        <f t="shared" si="9"/>
        <v>588</v>
      </c>
      <c r="C592" s="27" t="str">
        <f>DBCS(元データ!A589)</f>
        <v>ベタナミン錠１０ｍｇ</v>
      </c>
      <c r="D592" s="55" t="str">
        <f>元データ!B589</f>
        <v/>
      </c>
      <c r="E592" s="27" t="str">
        <f>元データ!C589</f>
        <v>PTP</v>
      </c>
      <c r="F592" s="27" t="str">
        <f>元データ!D589</f>
        <v>100T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5" t="str">
        <f ca="1">IF(OFFSET(マスタ非採用削除!A$4,統合マスタ!$A592,0)="","",OFFSET(マスタ非採用削除!A$4,統合マスタ!$A592,0))</f>
        <v>ﾍﾀﾅ001</v>
      </c>
      <c r="O592" s="55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5" t="str">
        <f ca="1">IF(OFFSET(マスタ非採用削除!D$4,統合マスタ!$A592,0)="","",OFFSET(マスタ非採用削除!D$4,統合マスタ!$A592,0))</f>
        <v/>
      </c>
      <c r="R592" s="27">
        <f ca="1">IF(OFFSET(マスタ非採用削除!E$4,統合マスタ!$A592,0)="","",OFFSET(マスタ非採用削除!E$4,統合マスタ!$A592,0))</f>
        <v>2</v>
      </c>
      <c r="S592" s="55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5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5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/>
    </row>
    <row r="593" spans="1:27">
      <c r="A593" s="42" t="str">
        <f>元データ!P590</f>
        <v>非採用</v>
      </c>
      <c r="B593" s="27">
        <f t="shared" si="9"/>
        <v>589</v>
      </c>
      <c r="C593" s="27" t="str">
        <f>DBCS(元データ!A590)</f>
        <v>ベタニス錠５０ｍｇ</v>
      </c>
      <c r="D593" s="55" t="str">
        <f>元データ!B590</f>
        <v>スズケン</v>
      </c>
      <c r="E593" s="27" t="str">
        <f>元データ!C590</f>
        <v>PTP</v>
      </c>
      <c r="F593" s="27" t="str">
        <f>元データ!D590</f>
        <v>100T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5" t="e">
        <f ca="1">IF(OFFSET(マスタ非採用削除!A$4,統合マスタ!$A593,0)="","",OFFSET(マスタ非採用削除!A$4,統合マスタ!$A593,0))</f>
        <v>#VALUE!</v>
      </c>
      <c r="O593" s="55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5" t="e">
        <f ca="1">IF(OFFSET(マスタ非採用削除!D$4,統合マスタ!$A593,0)="","",OFFSET(マスタ非採用削除!D$4,統合マスタ!$A593,0))</f>
        <v>#VALUE!</v>
      </c>
      <c r="R593" s="27" t="e">
        <f ca="1">IF(OFFSET(マスタ非採用削除!E$4,統合マスタ!$A593,0)="","",OFFSET(マスタ非採用削除!E$4,統合マスタ!$A593,0))</f>
        <v>#VALUE!</v>
      </c>
      <c r="S593" s="55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5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5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">
        <v>4076</v>
      </c>
    </row>
    <row r="594" spans="1:27">
      <c r="A594" s="42">
        <f>元データ!P591</f>
        <v>510</v>
      </c>
      <c r="B594" s="27">
        <f t="shared" si="9"/>
        <v>590</v>
      </c>
      <c r="C594" s="27" t="str">
        <f>DBCS(元データ!A591)</f>
        <v>ベタメタゾン吉草酸エステルロ－ション０．１２％「イワキ」</v>
      </c>
      <c r="D594" s="55" t="str">
        <f>元データ!B591</f>
        <v>メディセオ</v>
      </c>
      <c r="E594" s="27" t="str">
        <f>元データ!C591</f>
        <v/>
      </c>
      <c r="F594" s="27" t="str">
        <f>元データ!D591</f>
        <v>10MLX10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5" t="str">
        <f ca="1">IF(OFFSET(マスタ非採用削除!A$4,統合マスタ!$A594,0)="","",OFFSET(マスタ非採用削除!A$4,統合マスタ!$A594,0))</f>
        <v>ﾍﾀﾒ001</v>
      </c>
      <c r="O594" s="55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5" t="str">
        <f ca="1">IF(OFFSET(マスタ非採用削除!D$4,統合マスタ!$A594,0)="","",OFFSET(マスタ非採用削除!D$4,統合マスタ!$A594,0))</f>
        <v>ﾍﾞﾀﾒ</v>
      </c>
      <c r="R594" s="27">
        <f ca="1">IF(OFFSET(マスタ非採用削除!E$4,統合マスタ!$A594,0)="","",OFFSET(マスタ非採用削除!E$4,統合マスタ!$A594,0))</f>
        <v>1</v>
      </c>
      <c r="S594" s="55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5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5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/>
    </row>
    <row r="595" spans="1:27">
      <c r="A595" s="42">
        <f>元データ!P592</f>
        <v>513</v>
      </c>
      <c r="B595" s="27">
        <f t="shared" si="9"/>
        <v>591</v>
      </c>
      <c r="C595" s="27" t="str">
        <f>DBCS(元データ!A592)</f>
        <v>ヘパリンＮＡロック用１０単位／ｍｌ「オーツカ」　１００単位</v>
      </c>
      <c r="D595" s="55" t="str">
        <f>元データ!B592</f>
        <v>メディセオ</v>
      </c>
      <c r="E595" s="27" t="str">
        <f>元データ!C592</f>
        <v/>
      </c>
      <c r="F595" s="27" t="str">
        <f>元データ!D592</f>
        <v>10ｍｌｘ10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5" t="str">
        <f ca="1">IF(OFFSET(マスタ非採用削除!A$4,統合マスタ!$A595,0)="","",OFFSET(マスタ非採用削除!A$4,統合マスタ!$A595,0))</f>
        <v>ﾍﾊﾘ002</v>
      </c>
      <c r="O595" s="55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5" t="str">
        <f ca="1">IF(OFFSET(マスタ非採用削除!D$4,統合マスタ!$A595,0)="","",OFFSET(マスタ非採用削除!D$4,統合マスタ!$A595,0))</f>
        <v>ﾍﾊﾟﾘﾝ</v>
      </c>
      <c r="R595" s="27">
        <f ca="1">IF(OFFSET(マスタ非採用削除!E$4,統合マスタ!$A595,0)="","",OFFSET(マスタ非採用削除!E$4,統合マスタ!$A595,0))</f>
        <v>1</v>
      </c>
      <c r="S595" s="55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5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5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/>
    </row>
    <row r="596" spans="1:27">
      <c r="A596" s="42">
        <f>元データ!P593</f>
        <v>512</v>
      </c>
      <c r="B596" s="27">
        <f t="shared" si="9"/>
        <v>592</v>
      </c>
      <c r="C596" s="27" t="str">
        <f>DBCS(元データ!A593)</f>
        <v>ヘパリンＮａ注５千単位／５ｍｌ「モチダ」</v>
      </c>
      <c r="D596" s="55" t="str">
        <f>元データ!B593</f>
        <v/>
      </c>
      <c r="E596" s="27" t="str">
        <f>元データ!C593</f>
        <v/>
      </c>
      <c r="F596" s="27" t="str">
        <f>元データ!D593</f>
        <v>5ｍｌｘ5Ｖ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5" t="str">
        <f ca="1">IF(OFFSET(マスタ非採用削除!A$4,統合マスタ!$A596,0)="","",OFFSET(マスタ非採用削除!A$4,統合マスタ!$A596,0))</f>
        <v>ﾍﾊﾘ001</v>
      </c>
      <c r="O596" s="55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5" t="str">
        <f ca="1">IF(OFFSET(マスタ非採用削除!D$4,統合マスタ!$A596,0)="","",OFFSET(マスタ非採用削除!D$4,統合マスタ!$A596,0))</f>
        <v>ﾍﾊﾟﾘ</v>
      </c>
      <c r="R596" s="27">
        <f ca="1">IF(OFFSET(マスタ非採用削除!E$4,統合マスタ!$A596,0)="","",OFFSET(マスタ非採用削除!E$4,統合マスタ!$A596,0))</f>
        <v>1</v>
      </c>
      <c r="S596" s="55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5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5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/>
    </row>
    <row r="597" spans="1:27">
      <c r="A597" s="42">
        <f>元データ!P594</f>
        <v>515</v>
      </c>
      <c r="B597" s="27">
        <f t="shared" si="9"/>
        <v>593</v>
      </c>
      <c r="C597" s="27" t="str">
        <f>DBCS(元データ!A594)</f>
        <v>ヘパリン類似物質外用スプレー０．３％「サトウ」</v>
      </c>
      <c r="D597" s="55" t="str">
        <f>元データ!B594</f>
        <v>アルフレッサ</v>
      </c>
      <c r="E597" s="27" t="str">
        <f>元データ!C594</f>
        <v/>
      </c>
      <c r="F597" s="27" t="str">
        <f>元データ!D594</f>
        <v>100ｇｘ10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5" t="str">
        <f ca="1">IF(OFFSET(マスタ非採用削除!A$4,統合マスタ!$A597,0)="","",OFFSET(マスタ非採用削除!A$4,統合マスタ!$A597,0))</f>
        <v>ﾍﾊﾘ004</v>
      </c>
      <c r="O597" s="55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5" t="str">
        <f ca="1">IF(OFFSET(マスタ非採用削除!D$4,統合マスタ!$A597,0)="","",OFFSET(マスタ非採用削除!D$4,統合マスタ!$A597,0))</f>
        <v>ﾍﾊﾟﾘ1</v>
      </c>
      <c r="R597" s="27">
        <f ca="1">IF(OFFSET(マスタ非採用削除!E$4,統合マスタ!$A597,0)="","",OFFSET(マスタ非採用削除!E$4,統合マスタ!$A597,0))</f>
        <v>1</v>
      </c>
      <c r="S597" s="55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5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5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/>
    </row>
    <row r="598" spans="1:27">
      <c r="A598" s="42">
        <f>元データ!P595</f>
        <v>514</v>
      </c>
      <c r="B598" s="27">
        <f t="shared" si="9"/>
        <v>594</v>
      </c>
      <c r="C598" s="27" t="str">
        <f>DBCS(元データ!A595)</f>
        <v>ヘパリン類似物質外用泡状スプレー０．３％「日本臓器」　販売中止</v>
      </c>
      <c r="D598" s="55" t="str">
        <f>元データ!B595</f>
        <v>アルフレッサ</v>
      </c>
      <c r="E598" s="27" t="str">
        <f>元データ!C595</f>
        <v/>
      </c>
      <c r="F598" s="27" t="str">
        <f>元データ!D595</f>
        <v>100ｇｘ10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5" t="str">
        <f ca="1">IF(OFFSET(マスタ非採用削除!A$4,統合マスタ!$A598,0)="","",OFFSET(マスタ非採用削除!A$4,統合マスタ!$A598,0))</f>
        <v>ﾍﾊﾘ003</v>
      </c>
      <c r="O598" s="55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5" t="str">
        <f ca="1">IF(OFFSET(マスタ非採用削除!D$4,統合マスタ!$A598,0)="","",OFFSET(マスタ非採用削除!D$4,統合マスタ!$A598,0))</f>
        <v>ﾍﾊﾟｱﾜ</v>
      </c>
      <c r="R598" s="27">
        <f ca="1">IF(OFFSET(マスタ非採用削除!E$4,統合マスタ!$A598,0)="","",OFFSET(マスタ非採用削除!E$4,統合マスタ!$A598,0))</f>
        <v>1</v>
      </c>
      <c r="S598" s="55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5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5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/>
    </row>
    <row r="599" spans="1:27">
      <c r="A599" s="42">
        <f>元データ!P596</f>
        <v>516</v>
      </c>
      <c r="B599" s="27">
        <f t="shared" si="9"/>
        <v>595</v>
      </c>
      <c r="C599" s="27" t="str">
        <f>DBCS(元データ!A596)</f>
        <v>ヘパリン類似物質油性クリーム０．３％「ニチイコウ」</v>
      </c>
      <c r="D599" s="55" t="str">
        <f>元データ!B596</f>
        <v>メディセオ</v>
      </c>
      <c r="E599" s="27" t="str">
        <f>元データ!C596</f>
        <v/>
      </c>
      <c r="F599" s="27" t="str">
        <f>元データ!D596</f>
        <v>100ｇ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5" t="str">
        <f ca="1">IF(OFFSET(マスタ非採用削除!A$4,統合マスタ!$A599,0)="","",OFFSET(マスタ非採用削除!A$4,統合マスタ!$A599,0))</f>
        <v>ﾍﾊﾟﾘ005</v>
      </c>
      <c r="O599" s="55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5" t="str">
        <f ca="1">IF(OFFSET(マスタ非採用削除!D$4,統合マスタ!$A599,0)="","",OFFSET(マスタ非採用削除!D$4,統合マスタ!$A599,0))</f>
        <v/>
      </c>
      <c r="R599" s="27">
        <f ca="1">IF(OFFSET(マスタ非採用削除!E$4,統合マスタ!$A599,0)="","",OFFSET(マスタ非採用削除!E$4,統合マスタ!$A599,0))</f>
        <v>1</v>
      </c>
      <c r="S599" s="55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5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5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/>
    </row>
    <row r="600" spans="1:27">
      <c r="A600" s="42">
        <f>元データ!P597</f>
        <v>517</v>
      </c>
      <c r="B600" s="27">
        <f t="shared" si="9"/>
        <v>596</v>
      </c>
      <c r="C600" s="27" t="str">
        <f>DBCS(元データ!A597)</f>
        <v>ヘブスブリンＩＨ静注１０００単位</v>
      </c>
      <c r="D600" s="55" t="str">
        <f>元データ!B597</f>
        <v/>
      </c>
      <c r="E600" s="27" t="str">
        <f>元データ!C597</f>
        <v/>
      </c>
      <c r="F600" s="27" t="str">
        <f>元データ!D597</f>
        <v>5ｍｌｘ1Ｖ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5" t="str">
        <f ca="1">IF(OFFSET(マスタ非採用削除!A$4,統合マスタ!$A600,0)="","",OFFSET(マスタ非採用削除!A$4,統合マスタ!$A600,0))</f>
        <v>ﾍﾌｽ001</v>
      </c>
      <c r="O600" s="55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5" t="str">
        <f ca="1">IF(OFFSET(マスタ非採用削除!D$4,統合マスタ!$A600,0)="","",OFFSET(マスタ非採用削除!D$4,統合マスタ!$A600,0))</f>
        <v>ﾍﾌﾞｽﾌﾞ</v>
      </c>
      <c r="R600" s="27">
        <f ca="1">IF(OFFSET(マスタ非採用削除!E$4,統合マスタ!$A600,0)="","",OFFSET(マスタ非採用削除!E$4,統合マスタ!$A600,0))</f>
        <v>1</v>
      </c>
      <c r="S600" s="55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5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5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/>
    </row>
    <row r="601" spans="1:27">
      <c r="A601" s="42">
        <f>元データ!P598</f>
        <v>518</v>
      </c>
      <c r="B601" s="27">
        <f t="shared" si="9"/>
        <v>597</v>
      </c>
      <c r="C601" s="27" t="str">
        <f>DBCS(元データ!A598)</f>
        <v>ベプリコール錠５０ｍｇ</v>
      </c>
      <c r="D601" s="55" t="str">
        <f>元データ!B598</f>
        <v>アルフレッサ</v>
      </c>
      <c r="E601" s="27" t="str">
        <f>元データ!C598</f>
        <v>PTP</v>
      </c>
      <c r="F601" s="27" t="str">
        <f>元データ!D598</f>
        <v>100T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5" t="str">
        <f ca="1">IF(OFFSET(マスタ非採用削除!A$4,統合マスタ!$A601,0)="","",OFFSET(マスタ非採用削除!A$4,統合マスタ!$A601,0))</f>
        <v>ﾍﾌﾘ001</v>
      </c>
      <c r="O601" s="55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5" t="str">
        <f ca="1">IF(OFFSET(マスタ非採用削除!D$4,統合マスタ!$A601,0)="","",OFFSET(マスタ非採用削除!D$4,統合マスタ!$A601,0))</f>
        <v>ﾍﾞﾌﾟﾘ</v>
      </c>
      <c r="R601" s="27">
        <f ca="1">IF(OFFSET(マスタ非採用削除!E$4,統合マスタ!$A601,0)="","",OFFSET(マスタ非採用削除!E$4,統合マスタ!$A601,0))</f>
        <v>2</v>
      </c>
      <c r="S601" s="55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5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5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/>
    </row>
    <row r="602" spans="1:27">
      <c r="A602" s="42">
        <f>元データ!P599</f>
        <v>519</v>
      </c>
      <c r="B602" s="27">
        <f t="shared" si="9"/>
        <v>598</v>
      </c>
      <c r="C602" s="27" t="str">
        <f>DBCS(元データ!A599)</f>
        <v>ペミロラストＫ点眼液０．１％「ＴＳ」</v>
      </c>
      <c r="D602" s="55" t="str">
        <f>元データ!B599</f>
        <v>スズケン</v>
      </c>
      <c r="E602" s="27" t="str">
        <f>元データ!C599</f>
        <v/>
      </c>
      <c r="F602" s="27" t="str">
        <f>元データ!D599</f>
        <v>5ｍｌｘ10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5" t="str">
        <f ca="1">IF(OFFSET(マスタ非採用削除!A$4,統合マスタ!$A602,0)="","",OFFSET(マスタ非採用削除!A$4,統合マスタ!$A602,0))</f>
        <v>ﾍﾐﾛ001</v>
      </c>
      <c r="O602" s="55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5" t="str">
        <f ca="1">IF(OFFSET(マスタ非採用削除!D$4,統合マスタ!$A602,0)="","",OFFSET(マスタ非採用削除!D$4,統合マスタ!$A602,0))</f>
        <v/>
      </c>
      <c r="R602" s="27">
        <f ca="1">IF(OFFSET(マスタ非採用削除!E$4,統合マスタ!$A602,0)="","",OFFSET(マスタ非採用削除!E$4,統合マスタ!$A602,0))</f>
        <v>1</v>
      </c>
      <c r="S602" s="55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5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5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/>
    </row>
    <row r="603" spans="1:27">
      <c r="A603" s="42">
        <f>元データ!P600</f>
        <v>520</v>
      </c>
      <c r="B603" s="27">
        <f t="shared" si="9"/>
        <v>599</v>
      </c>
      <c r="C603" s="27" t="str">
        <f>DBCS(元データ!A600)</f>
        <v>ヘモレックス軟膏</v>
      </c>
      <c r="D603" s="55" t="str">
        <f>元データ!B600</f>
        <v>アルフレッサ</v>
      </c>
      <c r="E603" s="27" t="str">
        <f>元データ!C600</f>
        <v/>
      </c>
      <c r="F603" s="27" t="str">
        <f>元データ!D600</f>
        <v>２ｇｘ70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5" t="str">
        <f ca="1">IF(OFFSET(マスタ非採用削除!A$4,統合マスタ!$A603,0)="","",OFFSET(マスタ非採用削除!A$4,統合マスタ!$A603,0))</f>
        <v>ﾍﾓﾚ001</v>
      </c>
      <c r="O603" s="55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5" t="str">
        <f ca="1">IF(OFFSET(マスタ非採用削除!D$4,統合マスタ!$A603,0)="","",OFFSET(マスタ非採用削除!D$4,統合マスタ!$A603,0))</f>
        <v>ﾍﾓﾚ</v>
      </c>
      <c r="R603" s="27">
        <f ca="1">IF(OFFSET(マスタ非採用削除!E$4,統合マスタ!$A603,0)="","",OFFSET(マスタ非採用削除!E$4,統合マスタ!$A603,0))</f>
        <v>1</v>
      </c>
      <c r="S603" s="55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5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5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/>
    </row>
    <row r="604" spans="1:27">
      <c r="A604" s="42">
        <f>元データ!P601</f>
        <v>521</v>
      </c>
      <c r="B604" s="27">
        <f t="shared" si="9"/>
        <v>600</v>
      </c>
      <c r="C604" s="27" t="str">
        <f>DBCS(元データ!A601)</f>
        <v>ベルソムラ錠１５ｍｇ</v>
      </c>
      <c r="D604" s="55" t="str">
        <f>元データ!B601</f>
        <v>アルフレッサ</v>
      </c>
      <c r="E604" s="27" t="str">
        <f>元データ!C601</f>
        <v>ＰＴＰ</v>
      </c>
      <c r="F604" s="27" t="str">
        <f>元データ!D601</f>
        <v>500T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5" t="str">
        <f ca="1">IF(OFFSET(マスタ非採用削除!A$4,統合マスタ!$A604,0)="","",OFFSET(マスタ非採用削除!A$4,統合マスタ!$A604,0))</f>
        <v>ﾍﾙｿ001</v>
      </c>
      <c r="O604" s="55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5" t="str">
        <f ca="1">IF(OFFSET(マスタ非採用削除!D$4,統合マスタ!$A604,0)="","",OFFSET(マスタ非採用削除!D$4,統合マスタ!$A604,0))</f>
        <v>ﾍﾞﾙｿ15</v>
      </c>
      <c r="R604" s="27">
        <f ca="1">IF(OFFSET(マスタ非採用削除!E$4,統合マスタ!$A604,0)="","",OFFSET(マスタ非採用削除!E$4,統合マスタ!$A604,0))</f>
        <v>1</v>
      </c>
      <c r="S604" s="55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5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5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/>
    </row>
    <row r="605" spans="1:27">
      <c r="A605" s="42">
        <f>元データ!P602</f>
        <v>522</v>
      </c>
      <c r="B605" s="27">
        <f t="shared" si="9"/>
        <v>601</v>
      </c>
      <c r="C605" s="27" t="str">
        <f>DBCS(元データ!A602)</f>
        <v>ベルソムラ錠２０ｍｇ</v>
      </c>
      <c r="D605" s="55" t="str">
        <f>元データ!B602</f>
        <v>アルフレッサ</v>
      </c>
      <c r="E605" s="27" t="str">
        <f>元データ!C602</f>
        <v>PTP</v>
      </c>
      <c r="F605" s="27" t="str">
        <f>元データ!D602</f>
        <v>100T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5" t="str">
        <f ca="1">IF(OFFSET(マスタ非採用削除!A$4,統合マスタ!$A605,0)="","",OFFSET(マスタ非採用削除!A$4,統合マスタ!$A605,0))</f>
        <v>ﾍﾙｿ002</v>
      </c>
      <c r="O605" s="55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5" t="str">
        <f ca="1">IF(OFFSET(マスタ非採用削除!D$4,統合マスタ!$A605,0)="","",OFFSET(マスタ非採用削除!D$4,統合マスタ!$A605,0))</f>
        <v>ﾍﾞﾙｿ20</v>
      </c>
      <c r="R605" s="27">
        <f ca="1">IF(OFFSET(マスタ非採用削除!E$4,統合マスタ!$A605,0)="","",OFFSET(マスタ非採用削除!E$4,統合マスタ!$A605,0))</f>
        <v>1</v>
      </c>
      <c r="S605" s="55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5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5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/>
    </row>
    <row r="606" spans="1:27">
      <c r="A606" s="42">
        <f>元データ!P603</f>
        <v>523</v>
      </c>
      <c r="B606" s="27">
        <f t="shared" si="9"/>
        <v>602</v>
      </c>
      <c r="C606" s="27" t="str">
        <f>DBCS(元データ!A603)</f>
        <v>ヘルベッサー錠３０　　　　　</v>
      </c>
      <c r="D606" s="55" t="str">
        <f>元データ!B603</f>
        <v>アルフレッサ</v>
      </c>
      <c r="E606" s="27" t="str">
        <f>元データ!C603</f>
        <v>PTP</v>
      </c>
      <c r="F606" s="27" t="str">
        <f>元データ!D603</f>
        <v>100Ｔ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5" t="str">
        <f ca="1">IF(OFFSET(マスタ非採用削除!A$4,統合マスタ!$A606,0)="","",OFFSET(マスタ非採用削除!A$4,統合マスタ!$A606,0))</f>
        <v>ﾍﾙﾍ001</v>
      </c>
      <c r="O606" s="55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5" t="str">
        <f ca="1">IF(OFFSET(マスタ非採用削除!D$4,統合マスタ!$A606,0)="","",OFFSET(マスタ非採用削除!D$4,統合マスタ!$A606,0))</f>
        <v>ﾍﾙﾍﾞ1</v>
      </c>
      <c r="R606" s="27">
        <f ca="1">IF(OFFSET(マスタ非採用削除!E$4,統合マスタ!$A606,0)="","",OFFSET(マスタ非採用削除!E$4,統合マスタ!$A606,0))</f>
        <v>1</v>
      </c>
      <c r="S606" s="55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5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5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/>
    </row>
    <row r="607" spans="1:27">
      <c r="A607" s="42">
        <f>元データ!P604</f>
        <v>524</v>
      </c>
      <c r="B607" s="27">
        <f t="shared" si="9"/>
        <v>603</v>
      </c>
      <c r="C607" s="27" t="str">
        <f>DBCS(元データ!A604)</f>
        <v>ヘルベッサー注射用５０</v>
      </c>
      <c r="D607" s="55" t="str">
        <f>元データ!B604</f>
        <v>アルフレッサ</v>
      </c>
      <c r="E607" s="27" t="str">
        <f>元データ!C604</f>
        <v/>
      </c>
      <c r="F607" s="27" t="str">
        <f>元データ!D604</f>
        <v>10瓶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5" t="str">
        <f ca="1">IF(OFFSET(マスタ非採用削除!A$4,統合マスタ!$A607,0)="","",OFFSET(マスタ非採用削除!A$4,統合マスタ!$A607,0))</f>
        <v>ﾍﾙﾍ002</v>
      </c>
      <c r="O607" s="55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5" t="str">
        <f ca="1">IF(OFFSET(マスタ非採用削除!D$4,統合マスタ!$A607,0)="","",OFFSET(マスタ非採用削除!D$4,統合マスタ!$A607,0))</f>
        <v/>
      </c>
      <c r="R607" s="27">
        <f ca="1">IF(OFFSET(マスタ非採用削除!E$4,統合マスタ!$A607,0)="","",OFFSET(マスタ非採用削除!E$4,統合マスタ!$A607,0))</f>
        <v>1</v>
      </c>
      <c r="S607" s="55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5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5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/>
    </row>
    <row r="608" spans="1:27">
      <c r="A608" s="42">
        <f>元データ!P605</f>
        <v>526</v>
      </c>
      <c r="B608" s="27">
        <f t="shared" si="9"/>
        <v>604</v>
      </c>
      <c r="C608" s="27" t="str">
        <f>DBCS(元データ!A605)</f>
        <v>ベンザリン細粒１％</v>
      </c>
      <c r="D608" s="55" t="str">
        <f>元データ!B605</f>
        <v>アルフレッサ</v>
      </c>
      <c r="E608" s="27" t="str">
        <f>元データ!C605</f>
        <v>粉</v>
      </c>
      <c r="F608" s="27" t="str">
        <f>元データ!D605</f>
        <v>100g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5" t="str">
        <f ca="1">IF(OFFSET(マスタ非採用削除!A$4,統合マスタ!$A608,0)="","",OFFSET(マスタ非採用削除!A$4,統合マスタ!$A608,0))</f>
        <v>ﾍﾝｻ002</v>
      </c>
      <c r="O608" s="55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5" t="str">
        <f ca="1">IF(OFFSET(マスタ非採用削除!D$4,統合マスタ!$A608,0)="","",OFFSET(マスタ非採用削除!D$4,統合マスタ!$A608,0))</f>
        <v/>
      </c>
      <c r="R608" s="27">
        <f ca="1">IF(OFFSET(マスタ非採用削除!E$4,統合マスタ!$A608,0)="","",OFFSET(マスタ非採用削除!E$4,統合マスタ!$A608,0))</f>
        <v>1</v>
      </c>
      <c r="S608" s="55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5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5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/>
    </row>
    <row r="609" spans="1:27">
      <c r="A609" s="42">
        <f>元データ!P606</f>
        <v>525</v>
      </c>
      <c r="B609" s="27">
        <f t="shared" si="9"/>
        <v>605</v>
      </c>
      <c r="C609" s="27" t="str">
        <f>DBCS(元データ!A606)</f>
        <v>ベンザリン錠５</v>
      </c>
      <c r="D609" s="55" t="str">
        <f>元データ!B606</f>
        <v>アルフレッサ</v>
      </c>
      <c r="E609" s="27" t="str">
        <f>元データ!C606</f>
        <v>PTP</v>
      </c>
      <c r="F609" s="27" t="str">
        <f>元データ!D606</f>
        <v>100T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5" t="str">
        <f ca="1">IF(OFFSET(マスタ非採用削除!A$4,統合マスタ!$A609,0)="","",OFFSET(マスタ非採用削除!A$4,統合マスタ!$A609,0))</f>
        <v>ﾍﾝｻ001</v>
      </c>
      <c r="O609" s="55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5" t="str">
        <f ca="1">IF(OFFSET(マスタ非採用削除!D$4,統合マスタ!$A609,0)="","",OFFSET(マスタ非採用削除!D$4,統合マスタ!$A609,0))</f>
        <v>ﾍﾞﾝｻﾞ</v>
      </c>
      <c r="R609" s="27">
        <f ca="1">IF(OFFSET(マスタ非採用削除!E$4,統合マスタ!$A609,0)="","",OFFSET(マスタ非採用削除!E$4,統合マスタ!$A609,0))</f>
        <v>1</v>
      </c>
      <c r="S609" s="55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5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5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5</v>
      </c>
      <c r="AA609" s="27"/>
    </row>
    <row r="610" spans="1:27">
      <c r="A610" s="42">
        <f>元データ!P607</f>
        <v>525</v>
      </c>
      <c r="B610" s="27">
        <f t="shared" si="9"/>
        <v>606</v>
      </c>
      <c r="C610" s="27" t="str">
        <f>DBCS(元データ!A607)</f>
        <v>ベンザリン錠５</v>
      </c>
      <c r="D610" s="55" t="str">
        <f>元データ!B607</f>
        <v>アルフレッサ</v>
      </c>
      <c r="E610" s="27" t="str">
        <f>元データ!C607</f>
        <v>バラ</v>
      </c>
      <c r="F610" s="27" t="str">
        <f>元データ!D607</f>
        <v>1000T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5" t="str">
        <f ca="1">IF(OFFSET(マスタ非採用削除!A$4,統合マスタ!$A610,0)="","",OFFSET(マスタ非採用削除!A$4,統合マスタ!$A610,0))</f>
        <v>ﾍﾝｻ001</v>
      </c>
      <c r="O610" s="55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5" t="str">
        <f ca="1">IF(OFFSET(マスタ非採用削除!D$4,統合マスタ!$A610,0)="","",OFFSET(マスタ非採用削除!D$4,統合マスタ!$A610,0))</f>
        <v>ﾍﾞﾝｻﾞ</v>
      </c>
      <c r="R610" s="27">
        <f ca="1">IF(OFFSET(マスタ非採用削除!E$4,統合マスタ!$A610,0)="","",OFFSET(マスタ非採用削除!E$4,統合マスタ!$A610,0))</f>
        <v>1</v>
      </c>
      <c r="S610" s="55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5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5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5</v>
      </c>
      <c r="AA610" s="27"/>
    </row>
    <row r="611" spans="1:27">
      <c r="A611" s="42">
        <f>元データ!P608</f>
        <v>527</v>
      </c>
      <c r="B611" s="27">
        <f t="shared" si="9"/>
        <v>607</v>
      </c>
      <c r="C611" s="27" t="str">
        <f>DBCS(元データ!A608)</f>
        <v>ペンタサ顆粒９４％　５００ｍｇ含有</v>
      </c>
      <c r="D611" s="55" t="str">
        <f>元データ!B608</f>
        <v>メディセオ</v>
      </c>
      <c r="E611" s="27" t="str">
        <f>元データ!C608</f>
        <v>粉</v>
      </c>
      <c r="F611" s="27" t="str">
        <f>元データ!D608</f>
        <v>0.53ｇｘ100包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5" t="str">
        <f ca="1">IF(OFFSET(マスタ非採用削除!A$4,統合マスタ!$A611,0)="","",OFFSET(マスタ非採用削除!A$4,統合マスタ!$A611,0))</f>
        <v>ﾍﾝｻ003</v>
      </c>
      <c r="O611" s="55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5" t="str">
        <f ca="1">IF(OFFSET(マスタ非採用削除!D$4,統合マスタ!$A611,0)="","",OFFSET(マスタ非採用削除!D$4,統合マスタ!$A611,0))</f>
        <v/>
      </c>
      <c r="R611" s="27">
        <f ca="1">IF(OFFSET(マスタ非採用削除!E$4,統合マスタ!$A611,0)="","",OFFSET(マスタ非採用削除!E$4,統合マスタ!$A611,0))</f>
        <v>2</v>
      </c>
      <c r="S611" s="55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5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5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/>
    </row>
    <row r="612" spans="1:27">
      <c r="A612" s="42">
        <f>元データ!P609</f>
        <v>528</v>
      </c>
      <c r="B612" s="27">
        <f t="shared" si="9"/>
        <v>608</v>
      </c>
      <c r="C612" s="27" t="str">
        <f>DBCS(元データ!A609)</f>
        <v>ペントシリン注射用１ｇ　　　　　　　　　</v>
      </c>
      <c r="D612" s="55" t="str">
        <f>元データ!B609</f>
        <v>アルフレッサ</v>
      </c>
      <c r="E612" s="27" t="str">
        <f>元データ!C609</f>
        <v/>
      </c>
      <c r="F612" s="27" t="str">
        <f>元データ!D609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5" t="str">
        <f ca="1">IF(OFFSET(マスタ非採用削除!A$4,統合マスタ!$A612,0)="","",OFFSET(マスタ非採用削除!A$4,統合マスタ!$A612,0))</f>
        <v>ﾍﾝﾄ001</v>
      </c>
      <c r="O612" s="55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5" t="str">
        <f ca="1">IF(OFFSET(マスタ非採用削除!D$4,統合マスタ!$A612,0)="","",OFFSET(マスタ非採用削除!D$4,統合マスタ!$A612,0))</f>
        <v>ﾍﾟﾝﾄｼﾘ</v>
      </c>
      <c r="R612" s="27">
        <f ca="1">IF(OFFSET(マスタ非採用削除!E$4,統合マスタ!$A612,0)="","",OFFSET(マスタ非採用削除!E$4,統合マスタ!$A612,0))</f>
        <v>1</v>
      </c>
      <c r="S612" s="55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5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5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/>
    </row>
    <row r="613" spans="1:27">
      <c r="A613" s="42">
        <f>元データ!P610</f>
        <v>529</v>
      </c>
      <c r="B613" s="27">
        <f t="shared" si="9"/>
        <v>609</v>
      </c>
      <c r="C613" s="27" t="str">
        <f>DBCS(元データ!A610)</f>
        <v>ボアラ軟膏０．１２％</v>
      </c>
      <c r="D613" s="55" t="str">
        <f>元データ!B610</f>
        <v>アルフレッサ</v>
      </c>
      <c r="E613" s="27" t="str">
        <f>元データ!C610</f>
        <v/>
      </c>
      <c r="F613" s="27" t="str">
        <f>元データ!D610</f>
        <v>100ｇ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5" t="str">
        <f ca="1">IF(OFFSET(マスタ非採用削除!A$4,統合マスタ!$A613,0)="","",OFFSET(マスタ非採用削除!A$4,統合マスタ!$A613,0))</f>
        <v>ﾎﾞｱﾗ001</v>
      </c>
      <c r="O613" s="55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5" t="str">
        <f ca="1">IF(OFFSET(マスタ非採用削除!D$4,統合マスタ!$A613,0)="","",OFFSET(マスタ非採用削除!D$4,統合マスタ!$A613,0))</f>
        <v/>
      </c>
      <c r="R613" s="27">
        <f ca="1">IF(OFFSET(マスタ非採用削除!E$4,統合マスタ!$A613,0)="","",OFFSET(マスタ非採用削除!E$4,統合マスタ!$A613,0))</f>
        <v>1</v>
      </c>
      <c r="S613" s="55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5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5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8</v>
      </c>
      <c r="AA613" s="27"/>
    </row>
    <row r="614" spans="1:27">
      <c r="A614" s="42">
        <f>元データ!P611</f>
        <v>540</v>
      </c>
      <c r="B614" s="27">
        <f t="shared" si="9"/>
        <v>610</v>
      </c>
      <c r="C614" s="27" t="str">
        <f>DBCS(元データ!A611)</f>
        <v>ホーリンＶ膣用錠１ｍｇ</v>
      </c>
      <c r="D614" s="55" t="str">
        <f>元データ!B611</f>
        <v/>
      </c>
      <c r="E614" s="27" t="str">
        <f>元データ!C611</f>
        <v>PTP</v>
      </c>
      <c r="F614" s="27" t="str">
        <f>元データ!D611</f>
        <v>100T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5" t="str">
        <f ca="1">IF(OFFSET(マスタ非採用削除!A$4,統合マスタ!$A614,0)="","",OFFSET(マスタ非採用削除!A$4,統合マスタ!$A614,0))</f>
        <v>ﾎﾘﾝ001</v>
      </c>
      <c r="O614" s="55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5" t="str">
        <f ca="1">IF(OFFSET(マスタ非採用削除!D$4,統合マスタ!$A614,0)="","",OFFSET(マスタ非採用削除!D$4,統合マスタ!$A614,0))</f>
        <v>ﾎｰﾘﾝ</v>
      </c>
      <c r="R614" s="27">
        <f ca="1">IF(OFFSET(マスタ非採用削除!E$4,統合マスタ!$A614,0)="","",OFFSET(マスタ非採用削除!E$4,統合マスタ!$A614,0))</f>
        <v>2</v>
      </c>
      <c r="S614" s="55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5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5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/>
    </row>
    <row r="615" spans="1:27">
      <c r="A615" s="42">
        <f>元データ!P612</f>
        <v>530</v>
      </c>
      <c r="B615" s="27">
        <f t="shared" si="9"/>
        <v>611</v>
      </c>
      <c r="C615" s="27" t="str">
        <f>DBCS(元データ!A612)</f>
        <v>ボグリボーズＯＤ錠０．２ｍｇ　「トーワ」</v>
      </c>
      <c r="D615" s="55" t="str">
        <f>元データ!B612</f>
        <v>東和薬品</v>
      </c>
      <c r="E615" s="27" t="str">
        <f>元データ!C612</f>
        <v>PTP</v>
      </c>
      <c r="F615" s="27" t="str">
        <f>元データ!D612</f>
        <v>100Ｔ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5" t="str">
        <f ca="1">IF(OFFSET(マスタ非採用削除!A$4,統合マスタ!$A615,0)="","",OFFSET(マスタ非採用削除!A$4,統合マスタ!$A615,0))</f>
        <v>ﾎｸﾘ002</v>
      </c>
      <c r="O615" s="55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5" t="str">
        <f ca="1">IF(OFFSET(マスタ非採用削除!D$4,統合マスタ!$A615,0)="","",OFFSET(マスタ非採用削除!D$4,統合マスタ!$A615,0))</f>
        <v/>
      </c>
      <c r="R615" s="27">
        <f ca="1">IF(OFFSET(マスタ非採用削除!E$4,統合マスタ!$A615,0)="","",OFFSET(マスタ非採用削除!E$4,統合マスタ!$A615,0))</f>
        <v>1</v>
      </c>
      <c r="S615" s="55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5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5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5</v>
      </c>
      <c r="AA615" s="27"/>
    </row>
    <row r="616" spans="1:27">
      <c r="A616" s="42">
        <f>元データ!P613</f>
        <v>530</v>
      </c>
      <c r="B616" s="27">
        <f t="shared" si="9"/>
        <v>612</v>
      </c>
      <c r="C616" s="27" t="str">
        <f>DBCS(元データ!A613)</f>
        <v>ボグリボーズＯＤ錠０．２ｍｇ「トーワ」</v>
      </c>
      <c r="D616" s="55" t="str">
        <f>元データ!B613</f>
        <v>東和薬品</v>
      </c>
      <c r="E616" s="27" t="str">
        <f>元データ!C613</f>
        <v>バラ</v>
      </c>
      <c r="F616" s="27" t="str">
        <f>元データ!D613</f>
        <v>500Ｔ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5" t="str">
        <f ca="1">IF(OFFSET(マスタ非採用削除!A$4,統合マスタ!$A616,0)="","",OFFSET(マスタ非採用削除!A$4,統合マスタ!$A616,0))</f>
        <v>ﾎｸﾘ002</v>
      </c>
      <c r="O616" s="55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5" t="str">
        <f ca="1">IF(OFFSET(マスタ非採用削除!D$4,統合マスタ!$A616,0)="","",OFFSET(マスタ非採用削除!D$4,統合マスタ!$A616,0))</f>
        <v/>
      </c>
      <c r="R616" s="27">
        <f ca="1">IF(OFFSET(マスタ非採用削除!E$4,統合マスタ!$A616,0)="","",OFFSET(マスタ非採用削除!E$4,統合マスタ!$A616,0))</f>
        <v>1</v>
      </c>
      <c r="S616" s="55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5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5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5</v>
      </c>
      <c r="AA616" s="27"/>
    </row>
    <row r="617" spans="1:27">
      <c r="A617" s="42">
        <f>元データ!P614</f>
        <v>531</v>
      </c>
      <c r="B617" s="27">
        <f t="shared" si="9"/>
        <v>613</v>
      </c>
      <c r="C617" s="27" t="str">
        <f>DBCS(元データ!A614)</f>
        <v>ホスホマイシンナトリウム静注用２ｇ「日医工」</v>
      </c>
      <c r="D617" s="55" t="str">
        <f>元データ!B614</f>
        <v/>
      </c>
      <c r="E617" s="27" t="str">
        <f>元データ!C614</f>
        <v/>
      </c>
      <c r="F617" s="27" t="str">
        <f>元データ!D614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5" t="str">
        <f ca="1">IF(OFFSET(マスタ非採用削除!A$4,統合マスタ!$A617,0)="","",OFFSET(マスタ非採用削除!A$4,統合マスタ!$A617,0))</f>
        <v>ﾎｽﾎ001</v>
      </c>
      <c r="O617" s="55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5" t="str">
        <f ca="1">IF(OFFSET(マスタ非採用削除!D$4,統合マスタ!$A617,0)="","",OFFSET(マスタ非採用削除!D$4,統合マスタ!$A617,0))</f>
        <v>ﾎｽﾎﾏｲｼ</v>
      </c>
      <c r="R617" s="27">
        <f ca="1">IF(OFFSET(マスタ非採用削除!E$4,統合マスタ!$A617,0)="","",OFFSET(マスタ非採用削除!E$4,統合マスタ!$A617,0))</f>
        <v>1</v>
      </c>
      <c r="S617" s="55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5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5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/>
    </row>
    <row r="618" spans="1:27">
      <c r="A618" s="42">
        <f>元データ!P615</f>
        <v>532</v>
      </c>
      <c r="B618" s="27">
        <f t="shared" si="9"/>
        <v>614</v>
      </c>
      <c r="C618" s="27" t="str">
        <f>DBCS(元データ!A615)</f>
        <v>ボスミン注１ｍｇ　０．１％</v>
      </c>
      <c r="D618" s="55" t="str">
        <f>元データ!B615</f>
        <v>スズケン</v>
      </c>
      <c r="E618" s="27" t="str">
        <f>元データ!C615</f>
        <v/>
      </c>
      <c r="F618" s="27" t="str">
        <f>元データ!D615</f>
        <v>１mlx10管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5" t="str">
        <f ca="1">IF(OFFSET(マスタ非採用削除!A$4,統合マスタ!$A618,0)="","",OFFSET(マスタ非採用削除!A$4,統合マスタ!$A618,0))</f>
        <v>ﾎｽﾐ002</v>
      </c>
      <c r="O618" s="55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5" t="str">
        <f ca="1">IF(OFFSET(マスタ非採用削除!D$4,統合マスタ!$A618,0)="","",OFFSET(マスタ非採用削除!D$4,統合マスタ!$A618,0))</f>
        <v>ﾎﾞｽﾐﾝ</v>
      </c>
      <c r="R618" s="27">
        <f ca="1">IF(OFFSET(マスタ非採用削除!E$4,統合マスタ!$A618,0)="","",OFFSET(マスタ非採用削除!E$4,統合マスタ!$A618,0))</f>
        <v>1</v>
      </c>
      <c r="S618" s="55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5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5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/>
    </row>
    <row r="619" spans="1:27">
      <c r="A619" s="42">
        <f>元データ!P616</f>
        <v>533</v>
      </c>
      <c r="B619" s="27">
        <f t="shared" si="9"/>
        <v>615</v>
      </c>
      <c r="C619" s="27" t="str">
        <f>DBCS(元データ!A616)</f>
        <v>ホスリボン配合顆粒</v>
      </c>
      <c r="D619" s="55" t="str">
        <f>元データ!B616</f>
        <v/>
      </c>
      <c r="E619" s="27" t="str">
        <f>元データ!C616</f>
        <v>粉</v>
      </c>
      <c r="F619" s="27" t="str">
        <f>元データ!D616</f>
        <v>200包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5" t="str">
        <f ca="1">IF(OFFSET(マスタ非採用削除!A$4,統合マスタ!$A619,0)="","",OFFSET(マスタ非採用削除!A$4,統合マスタ!$A619,0))</f>
        <v>ﾎｽﾘ001</v>
      </c>
      <c r="O619" s="55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5" t="str">
        <f ca="1">IF(OFFSET(マスタ非採用削除!D$4,統合マスタ!$A619,0)="","",OFFSET(マスタ非採用削除!D$4,統合マスタ!$A619,0))</f>
        <v>ﾎｽﾘ</v>
      </c>
      <c r="R619" s="27">
        <f ca="1">IF(OFFSET(マスタ非採用削除!E$4,統合マスタ!$A619,0)="","",OFFSET(マスタ非採用削除!E$4,統合マスタ!$A619,0))</f>
        <v>2</v>
      </c>
      <c r="S619" s="55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5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5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/>
    </row>
    <row r="620" spans="1:27">
      <c r="A620" s="42">
        <f>元データ!P617</f>
        <v>534</v>
      </c>
      <c r="B620" s="27">
        <f t="shared" si="9"/>
        <v>616</v>
      </c>
      <c r="C620" s="27" t="str">
        <f>DBCS(元データ!A617)</f>
        <v>ポタコールＲ輸液　２５０ｍｌ</v>
      </c>
      <c r="D620" s="55" t="str">
        <f>元データ!B617</f>
        <v>スズケン</v>
      </c>
      <c r="E620" s="27" t="str">
        <f>元データ!C617</f>
        <v/>
      </c>
      <c r="F620" s="27" t="str">
        <f>元データ!D617</f>
        <v>250ｍｌX20B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5" t="str">
        <f ca="1">IF(OFFSET(マスタ非採用削除!A$4,統合マスタ!$A620,0)="","",OFFSET(マスタ非採用削除!A$4,統合マスタ!$A620,0))</f>
        <v>ﾎﾀｺ001</v>
      </c>
      <c r="O620" s="55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5" t="str">
        <f ca="1">IF(OFFSET(マスタ非採用削除!D$4,統合マスタ!$A620,0)="","",OFFSET(マスタ非採用削除!D$4,統合マスタ!$A620,0))</f>
        <v>ﾎﾟﾀ250</v>
      </c>
      <c r="R620" s="27">
        <f ca="1">IF(OFFSET(マスタ非採用削除!E$4,統合マスタ!$A620,0)="","",OFFSET(マスタ非採用削除!E$4,統合マスタ!$A620,0))</f>
        <v>1</v>
      </c>
      <c r="S620" s="55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5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5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/>
    </row>
    <row r="621" spans="1:27">
      <c r="A621" s="42">
        <f>元データ!P618</f>
        <v>535</v>
      </c>
      <c r="B621" s="27">
        <f t="shared" si="9"/>
        <v>617</v>
      </c>
      <c r="C621" s="27" t="str">
        <f>DBCS(元データ!A618)</f>
        <v>ポタコールＲ輸液　５００ｍｌ</v>
      </c>
      <c r="D621" s="55" t="str">
        <f>元データ!B618</f>
        <v>スズケン</v>
      </c>
      <c r="E621" s="27" t="str">
        <f>元データ!C618</f>
        <v/>
      </c>
      <c r="F621" s="27" t="str">
        <f>元データ!D618</f>
        <v>500ｍｌｘ20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5" t="str">
        <f ca="1">IF(OFFSET(マスタ非採用削除!A$4,統合マスタ!$A621,0)="","",OFFSET(マスタ非採用削除!A$4,統合マスタ!$A621,0))</f>
        <v>ﾎﾀｺ002</v>
      </c>
      <c r="O621" s="55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5" t="str">
        <f ca="1">IF(OFFSET(マスタ非採用削除!D$4,統合マスタ!$A621,0)="","",OFFSET(マスタ非採用削除!D$4,統合マスタ!$A621,0))</f>
        <v>ﾎﾟﾀ500</v>
      </c>
      <c r="R621" s="27">
        <f ca="1">IF(OFFSET(マスタ非採用削除!E$4,統合マスタ!$A621,0)="","",OFFSET(マスタ非採用削除!E$4,統合マスタ!$A621,0))</f>
        <v>1</v>
      </c>
      <c r="S621" s="55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5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5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/>
    </row>
    <row r="622" spans="1:27">
      <c r="A622" s="42">
        <f>元データ!P619</f>
        <v>536</v>
      </c>
      <c r="B622" s="27">
        <f t="shared" si="9"/>
        <v>618</v>
      </c>
      <c r="C622" s="27" t="str">
        <f>DBCS(元データ!A619)</f>
        <v>ポビドンヨードガーグル７％「ケンエー」</v>
      </c>
      <c r="D622" s="55" t="str">
        <f>元データ!B619</f>
        <v>スズケン</v>
      </c>
      <c r="E622" s="27" t="str">
        <f>元データ!C619</f>
        <v/>
      </c>
      <c r="F622" s="27" t="str">
        <f>元データ!D619</f>
        <v>30ｍｌｘ50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5" t="str">
        <f ca="1">IF(OFFSET(マスタ非採用削除!A$4,統合マスタ!$A622,0)="","",OFFSET(マスタ非採用削除!A$4,統合マスタ!$A622,0))</f>
        <v>ﾎﾋﾄ001</v>
      </c>
      <c r="O622" s="55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5" t="str">
        <f ca="1">IF(OFFSET(マスタ非採用削除!D$4,統合マスタ!$A622,0)="","",OFFSET(マスタ非採用削除!D$4,統合マスタ!$A622,0))</f>
        <v>ﾎﾟﾋﾞﾄﾞ</v>
      </c>
      <c r="R622" s="27">
        <f ca="1">IF(OFFSET(マスタ非採用削除!E$4,統合マスタ!$A622,0)="","",OFFSET(マスタ非採用削除!E$4,統合マスタ!$A622,0))</f>
        <v>1</v>
      </c>
      <c r="S622" s="55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5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5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/>
    </row>
    <row r="623" spans="1:27">
      <c r="A623" s="42">
        <f>元データ!P620</f>
        <v>0</v>
      </c>
      <c r="B623" s="27">
        <f t="shared" si="9"/>
        <v>619</v>
      </c>
      <c r="C623" s="27" t="str">
        <f>DBCS(元データ!A620)</f>
        <v>ポビドンヨード液１０％　　　綿球２０ケンエー</v>
      </c>
      <c r="D623" s="55" t="str">
        <f>元データ!B620</f>
        <v/>
      </c>
      <c r="E623" s="27" t="str">
        <f>元データ!C620</f>
        <v/>
      </c>
      <c r="F623" s="27" t="str">
        <f>元データ!D620</f>
        <v>20ｘ1ｘ90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5" t="str">
        <f ca="1">IF(OFFSET(マスタ非採用削除!A$4,統合マスタ!$A623,0)="","",OFFSET(マスタ非採用削除!A$4,統合マスタ!$A623,0))</f>
        <v>コード(区分値)</v>
      </c>
      <c r="O623" s="55" t="str">
        <f ca="1">IF(OFFSET(マスタ非採用削除!B$4,統合マスタ!$A623,0)="","",OFFSET(マスタ非採用削除!B$4,統合マスタ!$A623,0))</f>
        <v>コード</v>
      </c>
      <c r="P623" s="27" t="str">
        <f ca="1">IF(OFFSET(マスタ非採用削除!C$4,統合マスタ!$A623,0)="","",OFFSET(マスタ非採用削除!C$4,統合マスタ!$A623,0))</f>
        <v>名称</v>
      </c>
      <c r="Q623" s="55" t="str">
        <f ca="1">IF(OFFSET(マスタ非採用削除!D$4,統合マスタ!$A623,0)="","",OFFSET(マスタ非採用削除!D$4,統合マスタ!$A623,0))</f>
        <v>ホストコード</v>
      </c>
      <c r="R623" s="27" t="str">
        <f ca="1">IF(OFFSET(マスタ非採用削除!E$4,統合マスタ!$A623,0)="","",OFFSET(マスタ非採用削除!E$4,統合マスタ!$A623,0))</f>
        <v>採用区分（区分値）(区分値)</v>
      </c>
      <c r="S623" s="55" t="str">
        <f ca="1">IF(OFFSET(マスタ非採用削除!F$4,統合マスタ!$A623,0)="","",OFFSET(マスタ非採用削除!F$4,統合マスタ!$A623,0))</f>
        <v>採用区分（区分値）</v>
      </c>
      <c r="T623" s="27" t="str">
        <f ca="1">IF(OFFSET(マスタ非採用削除!G$4,統合マスタ!$A623,0)="","",OFFSET(マスタ非採用削除!G$4,統合マスタ!$A623,0))</f>
        <v>薬価</v>
      </c>
      <c r="U623" s="55" t="str">
        <f ca="1">IF(OFFSET(マスタ非採用削除!H$4,統合マスタ!$A623,0)="","",OFFSET(マスタ非採用削除!H$4,統合マスタ!$A623,0))</f>
        <v>カナ名称</v>
      </c>
      <c r="V623" s="27" t="str">
        <f ca="1">IF(OFFSET(マスタ非採用削除!I$4,統合マスタ!$A623,0)="","",OFFSET(マスタ非採用削除!I$4,統合マスタ!$A623,0))</f>
        <v>剤形(区分値)</v>
      </c>
      <c r="W623" s="27" t="str">
        <f ca="1">IF(OFFSET(マスタ非採用削除!J$4,統合マスタ!$A623,0)="","",OFFSET(マスタ非採用削除!J$4,統合マスタ!$A623,0))</f>
        <v>剤形</v>
      </c>
      <c r="X623" s="27" t="str">
        <f ca="1">IF(OFFSET(マスタ非採用削除!K$4,統合マスタ!$A623,0)="","",OFFSET(マスタ非採用削除!K$4,統合マスタ!$A623,0))</f>
        <v>毒劇薬（区分値）(区分値)</v>
      </c>
      <c r="Y623" s="55" t="str">
        <f ca="1">IF(OFFSET(マスタ非採用削除!L$4,統合マスタ!$A623,0)="","",OFFSET(マスタ非採用削除!L$4,統合マスタ!$A623,0))</f>
        <v>毒劇薬（区分値）</v>
      </c>
      <c r="Z623" s="27" t="str">
        <f ca="1">IF(OFFSET(マスタ非採用削除!M$4,統合マスタ!$A623,0)="","",OFFSET(マスタ非採用削除!M$4,統合マスタ!$A623,0))</f>
        <v>棚</v>
      </c>
      <c r="AA623" s="27"/>
    </row>
    <row r="624" spans="1:27">
      <c r="A624" s="42">
        <f>元データ!P621</f>
        <v>538</v>
      </c>
      <c r="B624" s="27">
        <f t="shared" si="9"/>
        <v>620</v>
      </c>
      <c r="C624" s="27" t="str">
        <f>DBCS(元データ!A621)</f>
        <v>ポララミン注５ｍｇ</v>
      </c>
      <c r="D624" s="55" t="str">
        <f>元データ!B621</f>
        <v/>
      </c>
      <c r="E624" s="27" t="str">
        <f>元データ!C621</f>
        <v/>
      </c>
      <c r="F624" s="27" t="str">
        <f>元データ!D621</f>
        <v>1ｍｌｘ10Ａ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5" t="str">
        <f ca="1">IF(OFFSET(マスタ非採用削除!A$4,統合マスタ!$A624,0)="","",OFFSET(マスタ非採用削除!A$4,統合マスタ!$A624,0))</f>
        <v>ﾎﾗﾗ001</v>
      </c>
      <c r="O624" s="55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5" t="str">
        <f ca="1">IF(OFFSET(マスタ非採用削除!D$4,統合マスタ!$A624,0)="","",OFFSET(マスタ非採用削除!D$4,統合マスタ!$A624,0))</f>
        <v>ﾎﾟﾗﾗ</v>
      </c>
      <c r="R624" s="27">
        <f ca="1">IF(OFFSET(マスタ非採用削除!E$4,統合マスタ!$A624,0)="","",OFFSET(マスタ非採用削除!E$4,統合マスタ!$A624,0))</f>
        <v>2</v>
      </c>
      <c r="S624" s="55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5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5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/>
    </row>
    <row r="625" spans="1:27">
      <c r="A625" s="42">
        <f>元データ!P622</f>
        <v>539</v>
      </c>
      <c r="B625" s="27">
        <f t="shared" si="9"/>
        <v>621</v>
      </c>
      <c r="C625" s="27" t="str">
        <f>DBCS(元データ!A622)</f>
        <v>ポリスチレンスルホン酸Ｃａ経口ゼリー２０％分包２５ｇ「三和」</v>
      </c>
      <c r="D625" s="55" t="str">
        <f>元データ!B622</f>
        <v>スズケン</v>
      </c>
      <c r="E625" s="27" t="str">
        <f>元データ!C622</f>
        <v/>
      </c>
      <c r="F625" s="27" t="str">
        <f>元データ!D622</f>
        <v>105個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5" t="str">
        <f ca="1">IF(OFFSET(マスタ非採用削除!A$4,統合マスタ!$A625,0)="","",OFFSET(マスタ非採用削除!A$4,統合マスタ!$A625,0))</f>
        <v>ﾎﾘｽ001</v>
      </c>
      <c r="O625" s="55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5" t="str">
        <f ca="1">IF(OFFSET(マスタ非採用削除!D$4,統合マスタ!$A625,0)="","",OFFSET(マスタ非採用削除!D$4,統合マスタ!$A625,0))</f>
        <v>ﾎﾟﾘｽ</v>
      </c>
      <c r="R625" s="27">
        <f ca="1">IF(OFFSET(マスタ非採用削除!E$4,統合マスタ!$A625,0)="","",OFFSET(マスタ非採用削除!E$4,統合マスタ!$A625,0))</f>
        <v>1</v>
      </c>
      <c r="S625" s="55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5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5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/>
    </row>
    <row r="626" spans="1:27">
      <c r="A626" s="42">
        <f>元データ!P623</f>
        <v>541</v>
      </c>
      <c r="B626" s="27">
        <f t="shared" si="9"/>
        <v>622</v>
      </c>
      <c r="C626" s="27" t="str">
        <f>DBCS(元データ!A623)</f>
        <v>ボルズイ錠５ｍｇ</v>
      </c>
      <c r="D626" s="55" t="str">
        <f>元データ!B623</f>
        <v>アルフレッサ</v>
      </c>
      <c r="E626" s="27" t="str">
        <f>元データ!C623</f>
        <v>PTP</v>
      </c>
      <c r="F626" s="27" t="str">
        <f>元データ!D623</f>
        <v>100T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5" t="str">
        <f ca="1">IF(OFFSET(マスタ非採用削除!A$4,統合マスタ!$A626,0)="","",OFFSET(マスタ非採用削除!A$4,統合マスタ!$A626,0))</f>
        <v>ﾎﾙｽ001</v>
      </c>
      <c r="O626" s="55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5" t="str">
        <f ca="1">IF(OFFSET(マスタ非採用削除!D$4,統合マスタ!$A626,0)="","",OFFSET(マスタ非採用削除!D$4,統合マスタ!$A626,0))</f>
        <v/>
      </c>
      <c r="R626" s="27">
        <f ca="1">IF(OFFSET(マスタ非採用削除!E$4,統合マスタ!$A626,0)="","",OFFSET(マスタ非採用削除!E$4,統合マスタ!$A626,0))</f>
        <v>2</v>
      </c>
      <c r="S626" s="55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5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5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/>
    </row>
    <row r="627" spans="1:27">
      <c r="A627" s="42">
        <f>元データ!P624</f>
        <v>542</v>
      </c>
      <c r="B627" s="27">
        <f t="shared" si="9"/>
        <v>623</v>
      </c>
      <c r="C627" s="27" t="str">
        <f>DBCS(元データ!A624)</f>
        <v>ボルタレン錠２５ｍｇ</v>
      </c>
      <c r="D627" s="55" t="str">
        <f>元データ!B624</f>
        <v>アルフレッサ</v>
      </c>
      <c r="E627" s="27" t="str">
        <f>元データ!C624</f>
        <v>PTP</v>
      </c>
      <c r="F627" s="27" t="str">
        <f>元データ!D624</f>
        <v>100Ｔ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5" t="str">
        <f ca="1">IF(OFFSET(マスタ非採用削除!A$4,統合マスタ!$A627,0)="","",OFFSET(マスタ非採用削除!A$4,統合マスタ!$A627,0))</f>
        <v>ﾎﾙﾀ001</v>
      </c>
      <c r="O627" s="55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5" t="str">
        <f ca="1">IF(OFFSET(マスタ非採用削除!D$4,統合マスタ!$A627,0)="","",OFFSET(マスタ非採用削除!D$4,統合マスタ!$A627,0))</f>
        <v>ﾎﾞﾙﾀ**</v>
      </c>
      <c r="R627" s="27">
        <f ca="1">IF(OFFSET(マスタ非採用削除!E$4,統合マスタ!$A627,0)="","",OFFSET(マスタ非採用削除!E$4,統合マスタ!$A627,0))</f>
        <v>2</v>
      </c>
      <c r="S627" s="55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5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5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/>
    </row>
    <row r="628" spans="1:27">
      <c r="A628" s="42">
        <f>元データ!P625</f>
        <v>548</v>
      </c>
      <c r="B628" s="27">
        <f t="shared" si="9"/>
        <v>624</v>
      </c>
      <c r="C628" s="27" t="str">
        <f>DBCS(元データ!A625)</f>
        <v>マーズレンＳ配合顆粒</v>
      </c>
      <c r="D628" s="55" t="str">
        <f>元データ!B625</f>
        <v>アルフレッサ</v>
      </c>
      <c r="E628" s="27" t="str">
        <f>元データ!C625</f>
        <v>粉</v>
      </c>
      <c r="F628" s="27" t="str">
        <f>元データ!D625</f>
        <v>400ｇ（0.67ｆｘ600）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5" t="str">
        <f ca="1">IF(OFFSET(マスタ非採用削除!A$4,統合マスタ!$A628,0)="","",OFFSET(マスタ非採用削除!A$4,統合マスタ!$A628,0))</f>
        <v>ﾏｽﾚ001</v>
      </c>
      <c r="O628" s="55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5" t="str">
        <f ca="1">IF(OFFSET(マスタ非採用削除!D$4,統合マスタ!$A628,0)="","",OFFSET(マスタ非採用削除!D$4,統合マスタ!$A628,0))</f>
        <v>ﾏｰｽﾞ</v>
      </c>
      <c r="R628" s="27">
        <f ca="1">IF(OFFSET(マスタ非採用削除!E$4,統合マスタ!$A628,0)="","",OFFSET(マスタ非採用削除!E$4,統合マスタ!$A628,0))</f>
        <v>1</v>
      </c>
      <c r="S628" s="55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5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5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/>
    </row>
    <row r="629" spans="1:27">
      <c r="A629" s="42">
        <f>元データ!P626</f>
        <v>548</v>
      </c>
      <c r="B629" s="27">
        <f t="shared" si="9"/>
        <v>625</v>
      </c>
      <c r="C629" s="27" t="str">
        <f>DBCS(元データ!A626)</f>
        <v>マーズレンＳ配合顆粒</v>
      </c>
      <c r="D629" s="55" t="str">
        <f>元データ!B626</f>
        <v>アルフレッサ</v>
      </c>
      <c r="E629" s="27" t="str">
        <f>元データ!C626</f>
        <v>粉</v>
      </c>
      <c r="F629" s="27" t="str">
        <f>元データ!D626</f>
        <v>1000ｇ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5" t="str">
        <f ca="1">IF(OFFSET(マスタ非採用削除!A$4,統合マスタ!$A629,0)="","",OFFSET(マスタ非採用削除!A$4,統合マスタ!$A629,0))</f>
        <v>ﾏｽﾚ001</v>
      </c>
      <c r="O629" s="55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5" t="str">
        <f ca="1">IF(OFFSET(マスタ非採用削除!D$4,統合マスタ!$A629,0)="","",OFFSET(マスタ非採用削除!D$4,統合マスタ!$A629,0))</f>
        <v>ﾏｰｽﾞ</v>
      </c>
      <c r="R629" s="27">
        <f ca="1">IF(OFFSET(マスタ非採用削除!E$4,統合マスタ!$A629,0)="","",OFFSET(マスタ非採用削除!E$4,統合マスタ!$A629,0))</f>
        <v>1</v>
      </c>
      <c r="S629" s="55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5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5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/>
    </row>
    <row r="630" spans="1:27">
      <c r="A630" s="42">
        <f>元データ!P627</f>
        <v>543</v>
      </c>
      <c r="B630" s="27">
        <f t="shared" si="9"/>
        <v>626</v>
      </c>
      <c r="C630" s="27" t="str">
        <f>DBCS(元データ!A627)</f>
        <v>マイザー軟膏０．０５％</v>
      </c>
      <c r="D630" s="55" t="str">
        <f>元データ!B627</f>
        <v>アルフレッサ</v>
      </c>
      <c r="E630" s="27" t="str">
        <f>元データ!C627</f>
        <v/>
      </c>
      <c r="F630" s="27" t="str">
        <f>元データ!D627</f>
        <v>5ｇｘ10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5" t="str">
        <f ca="1">IF(OFFSET(マスタ非採用削除!A$4,統合マスタ!$A630,0)="","",OFFSET(マスタ非採用削除!A$4,統合マスタ!$A630,0))</f>
        <v>ﾏｲｻ001</v>
      </c>
      <c r="O630" s="55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5" t="str">
        <f ca="1">IF(OFFSET(マスタ非採用削除!D$4,統合マスタ!$A630,0)="","",OFFSET(マスタ非採用削除!D$4,統合マスタ!$A630,0))</f>
        <v>ﾏｲｻﾞ</v>
      </c>
      <c r="R630" s="27">
        <f ca="1">IF(OFFSET(マスタ非採用削除!E$4,統合マスタ!$A630,0)="","",OFFSET(マスタ非採用削除!E$4,統合マスタ!$A630,0))</f>
        <v>1</v>
      </c>
      <c r="S630" s="55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5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5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/>
    </row>
    <row r="631" spans="1:27">
      <c r="A631" s="42">
        <f>元データ!P628</f>
        <v>545</v>
      </c>
      <c r="B631" s="27">
        <f t="shared" si="9"/>
        <v>627</v>
      </c>
      <c r="C631" s="27" t="str">
        <f>DBCS(元データ!A628)</f>
        <v>マイスタン錠５ｍｇ</v>
      </c>
      <c r="D631" s="55" t="str">
        <f>元データ!B628</f>
        <v>アルフレッサ</v>
      </c>
      <c r="E631" s="27" t="str">
        <f>元データ!C628</f>
        <v>バラ</v>
      </c>
      <c r="F631" s="27" t="str">
        <f>元データ!D628</f>
        <v>500Ｔ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5" t="str">
        <f ca="1">IF(OFFSET(マスタ非採用削除!A$4,統合マスタ!$A631,0)="","",OFFSET(マスタ非採用削除!A$4,統合マスタ!$A631,0))</f>
        <v>ﾏｲｽ002</v>
      </c>
      <c r="O631" s="55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5" t="str">
        <f ca="1">IF(OFFSET(マスタ非採用削除!D$4,統合マスタ!$A631,0)="","",OFFSET(マスタ非採用削除!D$4,統合マスタ!$A631,0))</f>
        <v>ﾏｲｽ</v>
      </c>
      <c r="R631" s="27">
        <f ca="1">IF(OFFSET(マスタ非採用削除!E$4,統合マスタ!$A631,0)="","",OFFSET(マスタ非採用削除!E$4,統合マスタ!$A631,0))</f>
        <v>1</v>
      </c>
      <c r="S631" s="55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5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5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5</v>
      </c>
      <c r="AA631" s="27"/>
    </row>
    <row r="632" spans="1:27">
      <c r="A632" s="42">
        <f>元データ!P629</f>
        <v>544</v>
      </c>
      <c r="B632" s="27">
        <f t="shared" si="9"/>
        <v>628</v>
      </c>
      <c r="C632" s="27" t="str">
        <f>DBCS(元データ!A629)</f>
        <v>マイスリー錠５ｍｇ</v>
      </c>
      <c r="D632" s="55" t="str">
        <f>元データ!B629</f>
        <v>スズケン</v>
      </c>
      <c r="E632" s="27" t="str">
        <f>元データ!C629</f>
        <v>ＰＴＰ</v>
      </c>
      <c r="F632" s="27" t="str">
        <f>元データ!D629</f>
        <v>100T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5" t="str">
        <f ca="1">IF(OFFSET(マスタ非採用削除!A$4,統合マスタ!$A632,0)="","",OFFSET(マスタ非採用削除!A$4,統合マスタ!$A632,0))</f>
        <v>ﾏｲｽ001</v>
      </c>
      <c r="O632" s="55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5" t="str">
        <f ca="1">IF(OFFSET(マスタ非採用削除!D$4,統合マスタ!$A632,0)="","",OFFSET(マスタ非採用削除!D$4,統合マスタ!$A632,0))</f>
        <v>ﾏｲｽﾘ</v>
      </c>
      <c r="R632" s="27">
        <f ca="1">IF(OFFSET(マスタ非採用削除!E$4,統合マスタ!$A632,0)="","",OFFSET(マスタ非採用削除!E$4,統合マスタ!$A632,0))</f>
        <v>1</v>
      </c>
      <c r="S632" s="55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5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5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5</v>
      </c>
      <c r="AA632" s="27"/>
    </row>
    <row r="633" spans="1:27">
      <c r="A633" s="42">
        <f>元データ!P630</f>
        <v>544</v>
      </c>
      <c r="B633" s="27">
        <f t="shared" si="9"/>
        <v>629</v>
      </c>
      <c r="C633" s="27" t="str">
        <f>DBCS(元データ!A630)</f>
        <v>マイスリー錠５ｍｇ</v>
      </c>
      <c r="D633" s="55" t="str">
        <f>元データ!B630</f>
        <v/>
      </c>
      <c r="E633" s="27" t="str">
        <f>元データ!C630</f>
        <v>バラ</v>
      </c>
      <c r="F633" s="27" t="str">
        <f>元データ!D630</f>
        <v>1000T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5" t="str">
        <f ca="1">IF(OFFSET(マスタ非採用削除!A$4,統合マスタ!$A633,0)="","",OFFSET(マスタ非採用削除!A$4,統合マスタ!$A633,0))</f>
        <v>ﾏｲｽ001</v>
      </c>
      <c r="O633" s="55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5" t="str">
        <f ca="1">IF(OFFSET(マスタ非採用削除!D$4,統合マスタ!$A633,0)="","",OFFSET(マスタ非採用削除!D$4,統合マスタ!$A633,0))</f>
        <v>ﾏｲｽﾘ</v>
      </c>
      <c r="R633" s="27">
        <f ca="1">IF(OFFSET(マスタ非採用削除!E$4,統合マスタ!$A633,0)="","",OFFSET(マスタ非採用削除!E$4,統合マスタ!$A633,0))</f>
        <v>1</v>
      </c>
      <c r="S633" s="55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5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5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5</v>
      </c>
      <c r="AA633" s="27"/>
    </row>
    <row r="634" spans="1:27">
      <c r="A634" s="42">
        <f>元データ!P631</f>
        <v>546</v>
      </c>
      <c r="B634" s="27">
        <f t="shared" si="9"/>
        <v>630</v>
      </c>
      <c r="C634" s="27" t="str">
        <f>DBCS(元データ!A631)</f>
        <v>マグミット錠３３０ｍｇ</v>
      </c>
      <c r="D634" s="55" t="str">
        <f>元データ!B631</f>
        <v>アルフレッサ</v>
      </c>
      <c r="E634" s="27" t="str">
        <f>元データ!C631</f>
        <v>PTP</v>
      </c>
      <c r="F634" s="27" t="str">
        <f>元データ!D631</f>
        <v>1000Ｔ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5" t="str">
        <f ca="1">IF(OFFSET(マスタ非採用削除!A$4,統合マスタ!$A634,0)="","",OFFSET(マスタ非採用削除!A$4,統合マスタ!$A634,0))</f>
        <v>ﾏｸﾐ001</v>
      </c>
      <c r="O634" s="55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5" t="str">
        <f ca="1">IF(OFFSET(マスタ非採用削除!D$4,統合マスタ!$A634,0)="","",OFFSET(マスタ非採用削除!D$4,統合マスタ!$A634,0))</f>
        <v>ﾏｸﾞﾐ1</v>
      </c>
      <c r="R634" s="27">
        <f ca="1">IF(OFFSET(マスタ非採用削除!E$4,統合マスタ!$A634,0)="","",OFFSET(マスタ非採用削除!E$4,統合マスタ!$A634,0))</f>
        <v>1</v>
      </c>
      <c r="S634" s="55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5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5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5</v>
      </c>
      <c r="AA634" s="27"/>
    </row>
    <row r="635" spans="1:27">
      <c r="A635" s="42">
        <f>元データ!P632</f>
        <v>546</v>
      </c>
      <c r="B635" s="27">
        <f t="shared" si="9"/>
        <v>631</v>
      </c>
      <c r="C635" s="27" t="str">
        <f>DBCS(元データ!A632)</f>
        <v>マグミット錠３３０ｍｇ</v>
      </c>
      <c r="D635" s="55" t="str">
        <f>元データ!B632</f>
        <v>アルフレッサ</v>
      </c>
      <c r="E635" s="27" t="str">
        <f>元データ!C632</f>
        <v>バラ</v>
      </c>
      <c r="F635" s="27" t="str">
        <f>元データ!D632</f>
        <v>1000T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5" t="str">
        <f ca="1">IF(OFFSET(マスタ非採用削除!A$4,統合マスタ!$A635,0)="","",OFFSET(マスタ非採用削除!A$4,統合マスタ!$A635,0))</f>
        <v>ﾏｸﾐ001</v>
      </c>
      <c r="O635" s="55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5" t="str">
        <f ca="1">IF(OFFSET(マスタ非採用削除!D$4,統合マスタ!$A635,0)="","",OFFSET(マスタ非採用削除!D$4,統合マスタ!$A635,0))</f>
        <v>ﾏｸﾞﾐ1</v>
      </c>
      <c r="R635" s="27">
        <f ca="1">IF(OFFSET(マスタ非採用削除!E$4,統合マスタ!$A635,0)="","",OFFSET(マスタ非採用削除!E$4,統合マスタ!$A635,0))</f>
        <v>1</v>
      </c>
      <c r="S635" s="55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5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5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5</v>
      </c>
      <c r="AA635" s="27"/>
    </row>
    <row r="636" spans="1:27">
      <c r="A636" s="42">
        <f>元データ!P633</f>
        <v>547</v>
      </c>
      <c r="B636" s="27">
        <f t="shared" si="9"/>
        <v>632</v>
      </c>
      <c r="C636" s="27" t="str">
        <f>DBCS(元データ!A633)</f>
        <v>マグミット錠５００ｍｇ</v>
      </c>
      <c r="D636" s="55" t="str">
        <f>元データ!B633</f>
        <v>アルフレッサ</v>
      </c>
      <c r="E636" s="27" t="str">
        <f>元データ!C633</f>
        <v>PTP</v>
      </c>
      <c r="F636" s="27" t="str">
        <f>元データ!D633</f>
        <v>500T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5" t="str">
        <f ca="1">IF(OFFSET(マスタ非採用削除!A$4,統合マスタ!$A636,0)="","",OFFSET(マスタ非採用削除!A$4,統合マスタ!$A636,0))</f>
        <v>ﾏｸﾐ002</v>
      </c>
      <c r="O636" s="55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5" t="str">
        <f ca="1">IF(OFFSET(マスタ非採用削除!D$4,統合マスタ!$A636,0)="","",OFFSET(マスタ非採用削除!D$4,統合マスタ!$A636,0))</f>
        <v>ﾏｸﾞﾐ2</v>
      </c>
      <c r="R636" s="27">
        <f ca="1">IF(OFFSET(マスタ非採用削除!E$4,統合マスタ!$A636,0)="","",OFFSET(マスタ非採用削除!E$4,統合マスタ!$A636,0))</f>
        <v>1</v>
      </c>
      <c r="S636" s="55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5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5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5</v>
      </c>
      <c r="AA636" s="27"/>
    </row>
    <row r="637" spans="1:27">
      <c r="A637" s="42">
        <f>元データ!P634</f>
        <v>547</v>
      </c>
      <c r="B637" s="27">
        <f t="shared" si="9"/>
        <v>633</v>
      </c>
      <c r="C637" s="27" t="str">
        <f>DBCS(元データ!A634)</f>
        <v>マグミット錠５００ｍｇ</v>
      </c>
      <c r="D637" s="55" t="str">
        <f>元データ!B634</f>
        <v>アルフレッサ</v>
      </c>
      <c r="E637" s="27" t="str">
        <f>元データ!C634</f>
        <v>バラ</v>
      </c>
      <c r="F637" s="27" t="str">
        <f>元データ!D634</f>
        <v>500Ｔ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5" t="str">
        <f ca="1">IF(OFFSET(マスタ非採用削除!A$4,統合マスタ!$A637,0)="","",OFFSET(マスタ非採用削除!A$4,統合マスタ!$A637,0))</f>
        <v>ﾏｸﾐ002</v>
      </c>
      <c r="O637" s="55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5" t="str">
        <f ca="1">IF(OFFSET(マスタ非採用削除!D$4,統合マスタ!$A637,0)="","",OFFSET(マスタ非採用削除!D$4,統合マスタ!$A637,0))</f>
        <v>ﾏｸﾞﾐ2</v>
      </c>
      <c r="R637" s="27">
        <f ca="1">IF(OFFSET(マスタ非採用削除!E$4,統合マスタ!$A637,0)="","",OFFSET(マスタ非採用削除!E$4,統合マスタ!$A637,0))</f>
        <v>1</v>
      </c>
      <c r="S637" s="55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5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5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5</v>
      </c>
      <c r="AA637" s="27"/>
    </row>
    <row r="638" spans="1:27">
      <c r="A638" s="42">
        <f>元データ!P635</f>
        <v>0</v>
      </c>
      <c r="B638" s="27">
        <f t="shared" si="9"/>
        <v>634</v>
      </c>
      <c r="C638" s="27" t="str">
        <f>DBCS(元データ!A635)</f>
        <v>マドパー配合錠Ｌ１００</v>
      </c>
      <c r="D638" s="55" t="str">
        <f>元データ!B635</f>
        <v/>
      </c>
      <c r="E638" s="27" t="str">
        <f>元データ!C635</f>
        <v>PTP</v>
      </c>
      <c r="F638" s="27" t="str">
        <f>元データ!D635</f>
        <v>100Ｔ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5" t="str">
        <f ca="1">IF(OFFSET(マスタ非採用削除!A$4,統合マスタ!$A638,0)="","",OFFSET(マスタ非採用削除!A$4,統合マスタ!$A638,0))</f>
        <v>コード(区分値)</v>
      </c>
      <c r="O638" s="55" t="str">
        <f ca="1">IF(OFFSET(マスタ非採用削除!B$4,統合マスタ!$A638,0)="","",OFFSET(マスタ非採用削除!B$4,統合マスタ!$A638,0))</f>
        <v>コード</v>
      </c>
      <c r="P638" s="27" t="str">
        <f ca="1">IF(OFFSET(マスタ非採用削除!C$4,統合マスタ!$A638,0)="","",OFFSET(マスタ非採用削除!C$4,統合マスタ!$A638,0))</f>
        <v>名称</v>
      </c>
      <c r="Q638" s="55" t="str">
        <f ca="1">IF(OFFSET(マスタ非採用削除!D$4,統合マスタ!$A638,0)="","",OFFSET(マスタ非採用削除!D$4,統合マスタ!$A638,0))</f>
        <v>ホストコード</v>
      </c>
      <c r="R638" s="27" t="str">
        <f ca="1">IF(OFFSET(マスタ非採用削除!E$4,統合マスタ!$A638,0)="","",OFFSET(マスタ非採用削除!E$4,統合マスタ!$A638,0))</f>
        <v>採用区分（区分値）(区分値)</v>
      </c>
      <c r="S638" s="55" t="str">
        <f ca="1">IF(OFFSET(マスタ非採用削除!F$4,統合マスタ!$A638,0)="","",OFFSET(マスタ非採用削除!F$4,統合マスタ!$A638,0))</f>
        <v>採用区分（区分値）</v>
      </c>
      <c r="T638" s="27" t="str">
        <f ca="1">IF(OFFSET(マスタ非採用削除!G$4,統合マスタ!$A638,0)="","",OFFSET(マスタ非採用削除!G$4,統合マスタ!$A638,0))</f>
        <v>薬価</v>
      </c>
      <c r="U638" s="55" t="str">
        <f ca="1">IF(OFFSET(マスタ非採用削除!H$4,統合マスタ!$A638,0)="","",OFFSET(マスタ非採用削除!H$4,統合マスタ!$A638,0))</f>
        <v>カナ名称</v>
      </c>
      <c r="V638" s="27" t="str">
        <f ca="1">IF(OFFSET(マスタ非採用削除!I$4,統合マスタ!$A638,0)="","",OFFSET(マスタ非採用削除!I$4,統合マスタ!$A638,0))</f>
        <v>剤形(区分値)</v>
      </c>
      <c r="W638" s="27" t="str">
        <f ca="1">IF(OFFSET(マスタ非採用削除!J$4,統合マスタ!$A638,0)="","",OFFSET(マスタ非採用削除!J$4,統合マスタ!$A638,0))</f>
        <v>剤形</v>
      </c>
      <c r="X638" s="27" t="str">
        <f ca="1">IF(OFFSET(マスタ非採用削除!K$4,統合マスタ!$A638,0)="","",OFFSET(マスタ非採用削除!K$4,統合マスタ!$A638,0))</f>
        <v>毒劇薬（区分値）(区分値)</v>
      </c>
      <c r="Y638" s="55" t="str">
        <f ca="1">IF(OFFSET(マスタ非採用削除!L$4,統合マスタ!$A638,0)="","",OFFSET(マスタ非採用削除!L$4,統合マスタ!$A638,0))</f>
        <v>毒劇薬（区分値）</v>
      </c>
      <c r="Z638" s="27" t="str">
        <f ca="1">IF(OFFSET(マスタ非採用削除!M$4,統合マスタ!$A638,0)="","",OFFSET(マスタ非採用削除!M$4,統合マスタ!$A638,0))</f>
        <v>棚</v>
      </c>
      <c r="AA638" s="27"/>
    </row>
    <row r="639" spans="1:27">
      <c r="A639" s="42">
        <f>元データ!P636</f>
        <v>549</v>
      </c>
      <c r="B639" s="27">
        <f t="shared" si="9"/>
        <v>635</v>
      </c>
      <c r="C639" s="27" t="str">
        <f>DBCS(元データ!A636)</f>
        <v>マプロチリン塩酸塩錠１０ｍｇ「アメル」</v>
      </c>
      <c r="D639" s="55" t="str">
        <f>元データ!B636</f>
        <v>メディセオ</v>
      </c>
      <c r="E639" s="27" t="str">
        <f>元データ!C636</f>
        <v>PTP</v>
      </c>
      <c r="F639" s="27" t="str">
        <f>元データ!D636</f>
        <v>100T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5" t="str">
        <f ca="1">IF(OFFSET(マスタ非採用削除!A$4,統合マスタ!$A639,0)="","",OFFSET(マスタ非採用削除!A$4,統合マスタ!$A639,0))</f>
        <v>ﾏﾌﾛ001</v>
      </c>
      <c r="O639" s="55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5" t="str">
        <f ca="1">IF(OFFSET(マスタ非採用削除!D$4,統合マスタ!$A639,0)="","",OFFSET(マスタ非採用削除!D$4,統合マスタ!$A639,0))</f>
        <v>ﾏﾌﾟﾛ10</v>
      </c>
      <c r="R639" s="27">
        <f ca="1">IF(OFFSET(マスタ非採用削除!E$4,統合マスタ!$A639,0)="","",OFFSET(マスタ非採用削除!E$4,統合マスタ!$A639,0))</f>
        <v>1</v>
      </c>
      <c r="S639" s="55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5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5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5</v>
      </c>
      <c r="AA639" s="27"/>
    </row>
    <row r="640" spans="1:27">
      <c r="A640" s="42">
        <f>元データ!P637</f>
        <v>550</v>
      </c>
      <c r="B640" s="27">
        <f t="shared" si="9"/>
        <v>636</v>
      </c>
      <c r="C640" s="27" t="str">
        <f>DBCS(元データ!A637)</f>
        <v>マプロチリン塩酸塩錠２５ｍｇ「アメル」</v>
      </c>
      <c r="D640" s="55" t="str">
        <f>元データ!B637</f>
        <v>メディセオ</v>
      </c>
      <c r="E640" s="27" t="str">
        <f>元データ!C637</f>
        <v>PTP</v>
      </c>
      <c r="F640" s="27" t="str">
        <f>元データ!D637</f>
        <v>100T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5" t="str">
        <f ca="1">IF(OFFSET(マスタ非採用削除!A$4,統合マスタ!$A640,0)="","",OFFSET(マスタ非採用削除!A$4,統合マスタ!$A640,0))</f>
        <v>ﾏﾌﾛ002</v>
      </c>
      <c r="O640" s="55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5" t="str">
        <f ca="1">IF(OFFSET(マスタ非採用削除!D$4,統合マスタ!$A640,0)="","",OFFSET(マスタ非採用削除!D$4,統合マスタ!$A640,0))</f>
        <v>ﾏﾌﾟﾛ25</v>
      </c>
      <c r="R640" s="27">
        <f ca="1">IF(OFFSET(マスタ非採用削除!E$4,統合マスタ!$A640,0)="","",OFFSET(マスタ非採用削除!E$4,統合マスタ!$A640,0))</f>
        <v>1</v>
      </c>
      <c r="S640" s="55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5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5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5</v>
      </c>
      <c r="AA640" s="27"/>
    </row>
    <row r="641" spans="1:27">
      <c r="A641" s="42">
        <f>元データ!P638</f>
        <v>552</v>
      </c>
      <c r="B641" s="27">
        <f t="shared" si="9"/>
        <v>637</v>
      </c>
      <c r="C641" s="27" t="str">
        <f>DBCS(元データ!A638)</f>
        <v>ミケルナ配合点眼液</v>
      </c>
      <c r="D641" s="55" t="str">
        <f>元データ!B638</f>
        <v>スズケン</v>
      </c>
      <c r="E641" s="27" t="str">
        <f>元データ!C638</f>
        <v/>
      </c>
      <c r="F641" s="27" t="str">
        <f>元データ!D638</f>
        <v>2.5ｍｌｘ10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5" t="str">
        <f ca="1">IF(OFFSET(マスタ非採用削除!A$4,統合マスタ!$A641,0)="","",OFFSET(マスタ非採用削除!A$4,統合マスタ!$A641,0))</f>
        <v>ﾐｹﾙ001</v>
      </c>
      <c r="O641" s="55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5" t="str">
        <f ca="1">IF(OFFSET(マスタ非採用削除!D$4,統合マスタ!$A641,0)="","",OFFSET(マスタ非採用削除!D$4,統合マスタ!$A641,0))</f>
        <v/>
      </c>
      <c r="R641" s="27">
        <f ca="1">IF(OFFSET(マスタ非採用削除!E$4,統合マスタ!$A641,0)="","",OFFSET(マスタ非採用削除!E$4,統合マスタ!$A641,0))</f>
        <v>2</v>
      </c>
      <c r="S641" s="55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5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5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/>
    </row>
    <row r="642" spans="1:27">
      <c r="A642" s="42">
        <f>元データ!P639</f>
        <v>553</v>
      </c>
      <c r="B642" s="27">
        <f t="shared" si="9"/>
        <v>638</v>
      </c>
      <c r="C642" s="27" t="str">
        <f>DBCS(元データ!A639)</f>
        <v>ミチグリニドＣａ・ＯＤ錠１０ｍｇ「三和」</v>
      </c>
      <c r="D642" s="55" t="str">
        <f>元データ!B639</f>
        <v>アルフレッサ</v>
      </c>
      <c r="E642" s="27" t="str">
        <f>元データ!C639</f>
        <v>PTP</v>
      </c>
      <c r="F642" s="27" t="str">
        <f>元データ!D639</f>
        <v>100T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5" t="str">
        <f ca="1">IF(OFFSET(マスタ非採用削除!A$4,統合マスタ!$A642,0)="","",OFFSET(マスタ非採用削除!A$4,統合マスタ!$A642,0))</f>
        <v>ﾐﾁｸ001</v>
      </c>
      <c r="O642" s="55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5" t="str">
        <f ca="1">IF(OFFSET(マスタ非採用削除!D$4,統合マスタ!$A642,0)="","",OFFSET(マスタ非採用削除!D$4,統合マスタ!$A642,0))</f>
        <v>ﾐﾁｸﾞ</v>
      </c>
      <c r="R642" s="27">
        <f ca="1">IF(OFFSET(マスタ非採用削除!E$4,統合マスタ!$A642,0)="","",OFFSET(マスタ非採用削除!E$4,統合マスタ!$A642,0))</f>
        <v>1</v>
      </c>
      <c r="S642" s="55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5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5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/>
    </row>
    <row r="643" spans="1:27">
      <c r="A643" s="42">
        <f>元データ!P640</f>
        <v>554</v>
      </c>
      <c r="B643" s="27">
        <f t="shared" si="9"/>
        <v>639</v>
      </c>
      <c r="C643" s="27" t="str">
        <f>DBCS(元データ!A640)</f>
        <v>ミドドリン塩酸塩錠２ｍｇ「トーワ」</v>
      </c>
      <c r="D643" s="55" t="str">
        <f>元データ!B640</f>
        <v>東和薬品</v>
      </c>
      <c r="E643" s="27" t="str">
        <f>元データ!C640</f>
        <v>PTP</v>
      </c>
      <c r="F643" s="27" t="str">
        <f>元データ!D640</f>
        <v>100T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5" t="str">
        <f ca="1">IF(OFFSET(マスタ非採用削除!A$4,統合マスタ!$A643,0)="","",OFFSET(マスタ非採用削除!A$4,統合マスタ!$A643,0))</f>
        <v>ﾐﾄﾄ001</v>
      </c>
      <c r="O643" s="55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5" t="str">
        <f ca="1">IF(OFFSET(マスタ非採用削除!D$4,統合マスタ!$A643,0)="","",OFFSET(マスタ非採用削除!D$4,統合マスタ!$A643,0))</f>
        <v>ﾐﾄﾞﾄﾞ</v>
      </c>
      <c r="R643" s="27">
        <f ca="1">IF(OFFSET(マスタ非採用削除!E$4,統合マスタ!$A643,0)="","",OFFSET(マスタ非採用削除!E$4,統合マスタ!$A643,0))</f>
        <v>1</v>
      </c>
      <c r="S643" s="55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5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5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5</v>
      </c>
      <c r="AA643" s="27"/>
    </row>
    <row r="644" spans="1:27">
      <c r="A644" s="42">
        <f>元データ!P641</f>
        <v>556</v>
      </c>
      <c r="B644" s="27">
        <f t="shared" si="9"/>
        <v>640</v>
      </c>
      <c r="C644" s="27" t="str">
        <f>DBCS(元データ!A641)</f>
        <v>ミノサイクリン塩酸塩点滴静注用１００ｍｇ「日医工」</v>
      </c>
      <c r="D644" s="55" t="str">
        <f>元データ!B641</f>
        <v>メディセオ</v>
      </c>
      <c r="E644" s="27" t="str">
        <f>元データ!C641</f>
        <v/>
      </c>
      <c r="F644" s="27" t="str">
        <f>元データ!D641</f>
        <v>10Ｖ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5" t="str">
        <f ca="1">IF(OFFSET(マスタ非採用削除!A$4,統合マスタ!$A644,0)="","",OFFSET(マスタ非採用削除!A$4,統合マスタ!$A644,0))</f>
        <v>ﾐﾉｻ002</v>
      </c>
      <c r="O644" s="55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5" t="str">
        <f ca="1">IF(OFFSET(マスタ非採用削除!D$4,統合マスタ!$A644,0)="","",OFFSET(マスタ非採用削除!D$4,統合マスタ!$A644,0))</f>
        <v>ﾐﾉｻ</v>
      </c>
      <c r="R644" s="27">
        <f ca="1">IF(OFFSET(マスタ非採用削除!E$4,統合マスタ!$A644,0)="","",OFFSET(マスタ非採用削除!E$4,統合マスタ!$A644,0))</f>
        <v>1</v>
      </c>
      <c r="S644" s="55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5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5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/>
    </row>
    <row r="645" spans="1:27">
      <c r="A645" s="42">
        <f>元データ!P642</f>
        <v>557</v>
      </c>
      <c r="B645" s="27">
        <f t="shared" si="9"/>
        <v>641</v>
      </c>
      <c r="C645" s="27" t="str">
        <f>DBCS(元データ!A642)</f>
        <v>ミノドロン酸錠５０ｍｇ「ＪＧ」</v>
      </c>
      <c r="D645" s="55" t="str">
        <f>元データ!B642</f>
        <v>メディセオ</v>
      </c>
      <c r="E645" s="27" t="str">
        <f>元データ!C642</f>
        <v>ＰＴＰ</v>
      </c>
      <c r="F645" s="27" t="str">
        <f>元データ!D642</f>
        <v>2Ｔ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5" t="str">
        <f ca="1">IF(OFFSET(マスタ非採用削除!A$4,統合マスタ!$A645,0)="","",OFFSET(マスタ非採用削除!A$4,統合マスタ!$A645,0))</f>
        <v>ﾐﾉﾄ001</v>
      </c>
      <c r="O645" s="55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5" t="str">
        <f ca="1">IF(OFFSET(マスタ非採用削除!D$4,統合マスタ!$A645,0)="","",OFFSET(マスタ非採用削除!D$4,統合マスタ!$A645,0))</f>
        <v>ﾐﾉﾄﾞﾛ</v>
      </c>
      <c r="R645" s="27">
        <f ca="1">IF(OFFSET(マスタ非採用削除!E$4,統合マスタ!$A645,0)="","",OFFSET(マスタ非採用削除!E$4,統合マスタ!$A645,0))</f>
        <v>1</v>
      </c>
      <c r="S645" s="55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5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5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/>
    </row>
    <row r="646" spans="1:27">
      <c r="A646" s="42">
        <f>元データ!P643</f>
        <v>558</v>
      </c>
      <c r="B646" s="27">
        <f t="shared" si="9"/>
        <v>642</v>
      </c>
      <c r="C646" s="27" t="str">
        <f>DBCS(元データ!A643)</f>
        <v>ミルタザピンＯＤ錠１５ｍｇ「サワイ」</v>
      </c>
      <c r="D646" s="55" t="str">
        <f>元データ!B643</f>
        <v>アルフレッサ</v>
      </c>
      <c r="E646" s="27" t="str">
        <f>元データ!C643</f>
        <v>PTP</v>
      </c>
      <c r="F646" s="27" t="str">
        <f>元データ!D643</f>
        <v>100Ｔ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5" t="str">
        <f ca="1">IF(OFFSET(マスタ非採用削除!A$4,統合マスタ!$A646,0)="","",OFFSET(マスタ非採用削除!A$4,統合マスタ!$A646,0))</f>
        <v>ﾐﾙﾀ002</v>
      </c>
      <c r="O646" s="55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5" t="str">
        <f ca="1">IF(OFFSET(マスタ非採用削除!D$4,統合マスタ!$A646,0)="","",OFFSET(マスタ非採用削除!D$4,統合マスタ!$A646,0))</f>
        <v/>
      </c>
      <c r="R646" s="27">
        <f ca="1">IF(OFFSET(マスタ非採用削除!E$4,統合マスタ!$A646,0)="","",OFFSET(マスタ非採用削除!E$4,統合マスタ!$A646,0))</f>
        <v>1</v>
      </c>
      <c r="S646" s="55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5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5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6</v>
      </c>
      <c r="AA646" s="27"/>
    </row>
    <row r="647" spans="1:27">
      <c r="A647" s="42">
        <f>元データ!P644</f>
        <v>558</v>
      </c>
      <c r="B647" s="27">
        <f t="shared" ref="B647:B710" si="10">B646+1</f>
        <v>643</v>
      </c>
      <c r="C647" s="27" t="str">
        <f>DBCS(元データ!A644)</f>
        <v>ミルタザピンＯＤ錠１５ｍｇ「サワイ」</v>
      </c>
      <c r="D647" s="55" t="str">
        <f>元データ!B644</f>
        <v>アルフレッサ</v>
      </c>
      <c r="E647" s="27" t="str">
        <f>元データ!C644</f>
        <v>バラ</v>
      </c>
      <c r="F647" s="27" t="str">
        <f>元データ!D644</f>
        <v>200Ｔ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5" t="str">
        <f ca="1">IF(OFFSET(マスタ非採用削除!A$4,統合マスタ!$A647,0)="","",OFFSET(マスタ非採用削除!A$4,統合マスタ!$A647,0))</f>
        <v>ﾐﾙﾀ002</v>
      </c>
      <c r="O647" s="55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5" t="str">
        <f ca="1">IF(OFFSET(マスタ非採用削除!D$4,統合マスタ!$A647,0)="","",OFFSET(マスタ非採用削除!D$4,統合マスタ!$A647,0))</f>
        <v/>
      </c>
      <c r="R647" s="27">
        <f ca="1">IF(OFFSET(マスタ非採用削除!E$4,統合マスタ!$A647,0)="","",OFFSET(マスタ非採用削除!E$4,統合マスタ!$A647,0))</f>
        <v>1</v>
      </c>
      <c r="S647" s="55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5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5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6</v>
      </c>
      <c r="AA647" s="27"/>
    </row>
    <row r="648" spans="1:27">
      <c r="A648" s="42">
        <f>元データ!P645</f>
        <v>559</v>
      </c>
      <c r="B648" s="27">
        <f t="shared" si="10"/>
        <v>644</v>
      </c>
      <c r="C648" s="27" t="str">
        <f>DBCS(元データ!A645)</f>
        <v>ムコスタ点眼液ＵＤ２％</v>
      </c>
      <c r="D648" s="55" t="str">
        <f>元データ!B645</f>
        <v>スズケン</v>
      </c>
      <c r="E648" s="27" t="str">
        <f>元データ!C645</f>
        <v/>
      </c>
      <c r="F648" s="27" t="str">
        <f>元データ!D645</f>
        <v>0.35ｍｌｘ112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5" t="str">
        <f ca="1">IF(OFFSET(マスタ非採用削除!A$4,統合マスタ!$A648,0)="","",OFFSET(マスタ非採用削除!A$4,統合マスタ!$A648,0))</f>
        <v>ﾑｺｽ001</v>
      </c>
      <c r="O648" s="55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5" t="str">
        <f ca="1">IF(OFFSET(マスタ非採用削除!D$4,統合マスタ!$A648,0)="","",OFFSET(マスタ非採用削除!D$4,統合マスタ!$A648,0))</f>
        <v>ﾑｺｽﾃ</v>
      </c>
      <c r="R648" s="27">
        <f ca="1">IF(OFFSET(マスタ非採用削除!E$4,統合マスタ!$A648,0)="","",OFFSET(マスタ非採用削除!E$4,統合マスタ!$A648,0))</f>
        <v>2</v>
      </c>
      <c r="S648" s="55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5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5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/>
    </row>
    <row r="649" spans="1:27">
      <c r="A649" s="42">
        <f>元データ!P646</f>
        <v>560</v>
      </c>
      <c r="B649" s="27">
        <f t="shared" si="10"/>
        <v>645</v>
      </c>
      <c r="C649" s="27" t="str">
        <f>DBCS(元データ!A646)</f>
        <v>メイラックス錠１ｍｇ</v>
      </c>
      <c r="D649" s="55" t="str">
        <f>元データ!B646</f>
        <v>アルフレッサ</v>
      </c>
      <c r="E649" s="27" t="str">
        <f>元データ!C646</f>
        <v>ＰＴＰ</v>
      </c>
      <c r="F649" s="27" t="str">
        <f>元データ!D646</f>
        <v>500Ｔ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5" t="str">
        <f ca="1">IF(OFFSET(マスタ非採用削除!A$4,統合マスタ!$A649,0)="","",OFFSET(マスタ非採用削除!A$4,統合マスタ!$A649,0))</f>
        <v>ﾒｲﾗ001</v>
      </c>
      <c r="O649" s="55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5" t="str">
        <f ca="1">IF(OFFSET(マスタ非採用削除!D$4,統合マスタ!$A649,0)="","",OFFSET(マスタ非採用削除!D$4,統合マスタ!$A649,0))</f>
        <v>ﾒｲﾗ</v>
      </c>
      <c r="R649" s="27">
        <f ca="1">IF(OFFSET(マスタ非採用削除!E$4,統合マスタ!$A649,0)="","",OFFSET(マスタ非採用削除!E$4,統合マスタ!$A649,0))</f>
        <v>1</v>
      </c>
      <c r="S649" s="55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5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5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5</v>
      </c>
      <c r="AA649" s="27"/>
    </row>
    <row r="650" spans="1:27">
      <c r="A650" s="42">
        <f>元データ!P647</f>
        <v>561</v>
      </c>
      <c r="B650" s="27">
        <f t="shared" si="10"/>
        <v>646</v>
      </c>
      <c r="C650" s="27" t="str">
        <f>DBCS(元データ!A647)</f>
        <v>メイロン静注７％　プラアンプル</v>
      </c>
      <c r="D650" s="55" t="str">
        <f>元データ!B647</f>
        <v/>
      </c>
      <c r="E650" s="27" t="str">
        <f>元データ!C647</f>
        <v/>
      </c>
      <c r="F650" s="27" t="str">
        <f>元データ!D647</f>
        <v>20MLX10A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5" t="str">
        <f ca="1">IF(OFFSET(マスタ非採用削除!A$4,統合マスタ!$A650,0)="","",OFFSET(マスタ非採用削除!A$4,統合マスタ!$A650,0))</f>
        <v>ﾒｲﾛ001</v>
      </c>
      <c r="O650" s="55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5" t="str">
        <f ca="1">IF(OFFSET(マスタ非採用削除!D$4,統合マスタ!$A650,0)="","",OFFSET(マスタ非採用削除!D$4,統合マスタ!$A650,0))</f>
        <v>ﾒｲﾛﾝ</v>
      </c>
      <c r="R650" s="27">
        <f ca="1">IF(OFFSET(マスタ非採用削除!E$4,統合マスタ!$A650,0)="","",OFFSET(マスタ非採用削除!E$4,統合マスタ!$A650,0))</f>
        <v>1</v>
      </c>
      <c r="S650" s="55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5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5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/>
    </row>
    <row r="651" spans="1:27">
      <c r="A651" s="42">
        <f>元データ!P648</f>
        <v>562</v>
      </c>
      <c r="B651" s="27">
        <f t="shared" si="10"/>
        <v>647</v>
      </c>
      <c r="C651" s="27" t="str">
        <f>DBCS(元データ!A648)</f>
        <v>メキシチールカプセル５０ｍｇ</v>
      </c>
      <c r="D651" s="55" t="str">
        <f>元データ!B648</f>
        <v/>
      </c>
      <c r="E651" s="27" t="str">
        <f>元データ!C648</f>
        <v>ＰＴＰ</v>
      </c>
      <c r="F651" s="27" t="str">
        <f>元データ!D648</f>
        <v>100P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5" t="str">
        <f ca="1">IF(OFFSET(マスタ非採用削除!A$4,統合マスタ!$A651,0)="","",OFFSET(マスタ非採用削除!A$4,統合マスタ!$A651,0))</f>
        <v>ﾒｷｼ001</v>
      </c>
      <c r="O651" s="55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5" t="str">
        <f ca="1">IF(OFFSET(マスタ非採用削除!D$4,統合マスタ!$A651,0)="","",OFFSET(マスタ非採用削除!D$4,統合マスタ!$A651,0))</f>
        <v>ﾒｷｼﾁ</v>
      </c>
      <c r="R651" s="27">
        <f ca="1">IF(OFFSET(マスタ非採用削除!E$4,統合マスタ!$A651,0)="","",OFFSET(マスタ非採用削除!E$4,統合マスタ!$A651,0))</f>
        <v>1</v>
      </c>
      <c r="S651" s="55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5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5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/>
    </row>
    <row r="652" spans="1:27">
      <c r="A652" s="42">
        <f>元データ!P649</f>
        <v>563</v>
      </c>
      <c r="B652" s="27">
        <f t="shared" si="10"/>
        <v>648</v>
      </c>
      <c r="C652" s="27" t="str">
        <f>DBCS(元データ!A649)</f>
        <v>メコバラミン錠５００「トーワ」</v>
      </c>
      <c r="D652" s="55" t="str">
        <f>元データ!B649</f>
        <v>東和薬品</v>
      </c>
      <c r="E652" s="27" t="str">
        <f>元データ!C649</f>
        <v>PTP</v>
      </c>
      <c r="F652" s="27" t="str">
        <f>元データ!D649</f>
        <v>1000Ｔ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5" t="str">
        <f ca="1">IF(OFFSET(マスタ非採用削除!A$4,統合マスタ!$A652,0)="","",OFFSET(マスタ非採用削除!A$4,統合マスタ!$A652,0))</f>
        <v>ﾒｺﾊ001</v>
      </c>
      <c r="O652" s="55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5" t="str">
        <f ca="1">IF(OFFSET(マスタ非採用削除!D$4,統合マスタ!$A652,0)="","",OFFSET(マスタ非採用削除!D$4,統合マスタ!$A652,0))</f>
        <v>ﾒｺﾊﾞﾗﾐ</v>
      </c>
      <c r="R652" s="27">
        <f ca="1">IF(OFFSET(マスタ非採用削除!E$4,統合マスタ!$A652,0)="","",OFFSET(マスタ非採用削除!E$4,統合マスタ!$A652,0))</f>
        <v>1</v>
      </c>
      <c r="S652" s="55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5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5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5</v>
      </c>
      <c r="AA652" s="27"/>
    </row>
    <row r="653" spans="1:27">
      <c r="A653" s="42">
        <f>元データ!P650</f>
        <v>563</v>
      </c>
      <c r="B653" s="27">
        <f t="shared" si="10"/>
        <v>649</v>
      </c>
      <c r="C653" s="27" t="str">
        <f>DBCS(元データ!A650)</f>
        <v>メコバラミン錠５００「トーワ」</v>
      </c>
      <c r="D653" s="55" t="str">
        <f>元データ!B650</f>
        <v>東和薬品</v>
      </c>
      <c r="E653" s="27" t="str">
        <f>元データ!C650</f>
        <v>バラ</v>
      </c>
      <c r="F653" s="27" t="str">
        <f>元データ!D650</f>
        <v>1000T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5" t="str">
        <f ca="1">IF(OFFSET(マスタ非採用削除!A$4,統合マスタ!$A653,0)="","",OFFSET(マスタ非採用削除!A$4,統合マスタ!$A653,0))</f>
        <v>ﾒｺﾊ001</v>
      </c>
      <c r="O653" s="55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5" t="str">
        <f ca="1">IF(OFFSET(マスタ非採用削除!D$4,統合マスタ!$A653,0)="","",OFFSET(マスタ非採用削除!D$4,統合マスタ!$A653,0))</f>
        <v>ﾒｺﾊﾞﾗﾐ</v>
      </c>
      <c r="R653" s="27">
        <f ca="1">IF(OFFSET(マスタ非採用削除!E$4,統合マスタ!$A653,0)="","",OFFSET(マスタ非採用削除!E$4,統合マスタ!$A653,0))</f>
        <v>1</v>
      </c>
      <c r="S653" s="55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5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5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5</v>
      </c>
      <c r="AA653" s="27"/>
    </row>
    <row r="654" spans="1:27">
      <c r="A654" s="42">
        <f>元データ!P651</f>
        <v>564</v>
      </c>
      <c r="B654" s="27">
        <f t="shared" si="10"/>
        <v>650</v>
      </c>
      <c r="C654" s="27" t="str">
        <f>DBCS(元データ!A651)</f>
        <v>メトトレキサート錠２ｍｇ「あゆみ」</v>
      </c>
      <c r="D654" s="55" t="str">
        <f>元データ!B651</f>
        <v>スズケン</v>
      </c>
      <c r="E654" s="27" t="str">
        <f>元データ!C651</f>
        <v>PTP</v>
      </c>
      <c r="F654" s="27" t="str">
        <f>元データ!D651</f>
        <v>48T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5" t="str">
        <f ca="1">IF(OFFSET(マスタ非採用削除!A$4,統合マスタ!$A654,0)="","",OFFSET(マスタ非採用削除!A$4,統合マスタ!$A654,0))</f>
        <v>ﾒﾄﾄ001</v>
      </c>
      <c r="O654" s="55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5" t="str">
        <f ca="1">IF(OFFSET(マスタ非採用削除!D$4,統合マスタ!$A654,0)="","",OFFSET(マスタ非採用削除!D$4,統合マスタ!$A654,0))</f>
        <v>ﾒﾄﾄ2</v>
      </c>
      <c r="R654" s="27">
        <f ca="1">IF(OFFSET(マスタ非採用削除!E$4,統合マスタ!$A654,0)="","",OFFSET(マスタ非採用削除!E$4,統合マスタ!$A654,0))</f>
        <v>2</v>
      </c>
      <c r="S654" s="55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5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5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/>
    </row>
    <row r="655" spans="1:27">
      <c r="A655" s="42">
        <f>元データ!P652</f>
        <v>565</v>
      </c>
      <c r="B655" s="27">
        <f t="shared" si="10"/>
        <v>651</v>
      </c>
      <c r="C655" s="27" t="str">
        <f>DBCS(元データ!A652)</f>
        <v>メトホルミン塩酸塩錠２５０ｍｇＭＴ「ＤＳＰＢ」</v>
      </c>
      <c r="D655" s="55" t="str">
        <f>元データ!B652</f>
        <v>メディセオ</v>
      </c>
      <c r="E655" s="27" t="str">
        <f>元データ!C652</f>
        <v>バラ</v>
      </c>
      <c r="F655" s="27" t="str">
        <f>元データ!D652</f>
        <v>500T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5" t="str">
        <f ca="1">IF(OFFSET(マスタ非採用削除!A$4,統合マスタ!$A655,0)="","",OFFSET(マスタ非採用削除!A$4,統合マスタ!$A655,0))</f>
        <v>ﾒﾄﾎ001</v>
      </c>
      <c r="O655" s="55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5" t="str">
        <f ca="1">IF(OFFSET(マスタ非採用削除!D$4,統合マスタ!$A655,0)="","",OFFSET(マスタ非採用削除!D$4,統合マスタ!$A655,0))</f>
        <v>ﾒﾄﾎ</v>
      </c>
      <c r="R655" s="27">
        <f ca="1">IF(OFFSET(マスタ非採用削除!E$4,統合マスタ!$A655,0)="","",OFFSET(マスタ非採用削除!E$4,統合マスタ!$A655,0))</f>
        <v>1</v>
      </c>
      <c r="S655" s="55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5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5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6</v>
      </c>
      <c r="AA655" s="27"/>
    </row>
    <row r="656" spans="1:27">
      <c r="A656" s="42">
        <f>元データ!P653</f>
        <v>566</v>
      </c>
      <c r="B656" s="27">
        <f t="shared" si="10"/>
        <v>652</v>
      </c>
      <c r="C656" s="27" t="str">
        <f>DBCS(元データ!A653)</f>
        <v>メプチンエア－１０μｇ吸入１００回　　０．０１４３％</v>
      </c>
      <c r="D656" s="55" t="str">
        <f>元データ!B653</f>
        <v>スズケン</v>
      </c>
      <c r="E656" s="27" t="str">
        <f>元データ!C653</f>
        <v/>
      </c>
      <c r="F656" s="27" t="str">
        <f>元データ!D653</f>
        <v>5ｍｌｘ10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5" t="str">
        <f ca="1">IF(OFFSET(マスタ非採用削除!A$4,統合マスタ!$A656,0)="","",OFFSET(マスタ非採用削除!A$4,統合マスタ!$A656,0))</f>
        <v>ﾒﾌﾁ001</v>
      </c>
      <c r="O656" s="55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5" t="str">
        <f ca="1">IF(OFFSET(マスタ非採用削除!D$4,統合マスタ!$A656,0)="","",OFFSET(マスタ非採用削除!D$4,統合マスタ!$A656,0))</f>
        <v>ﾒﾌﾟﾁﾝ3</v>
      </c>
      <c r="R656" s="27">
        <f ca="1">IF(OFFSET(マスタ非採用削除!E$4,統合マスタ!$A656,0)="","",OFFSET(マスタ非採用削除!E$4,統合マスタ!$A656,0))</f>
        <v>1</v>
      </c>
      <c r="S656" s="55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5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5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/>
    </row>
    <row r="657" spans="1:27">
      <c r="A657" s="42">
        <f>元データ!P654</f>
        <v>568</v>
      </c>
      <c r="B657" s="27">
        <f t="shared" si="10"/>
        <v>653</v>
      </c>
      <c r="C657" s="27" t="str">
        <f>DBCS(元データ!A654)</f>
        <v>メマンチン塩酸塩ＯＤ錠２０ｍｇ「ＤＳＥＰ」</v>
      </c>
      <c r="D657" s="55" t="str">
        <f>元データ!B654</f>
        <v>アルフレッサ</v>
      </c>
      <c r="E657" s="27" t="str">
        <f>元データ!C654</f>
        <v>PTP</v>
      </c>
      <c r="F657" s="27" t="str">
        <f>元データ!D654</f>
        <v>56Ｔ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5" t="str">
        <f ca="1">IF(OFFSET(マスタ非採用削除!A$4,統合マスタ!$A657,0)="","",OFFSET(マスタ非採用削除!A$4,統合マスタ!$A657,0))</f>
        <v>ﾒﾏﾝ002</v>
      </c>
      <c r="O657" s="55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5" t="str">
        <f ca="1">IF(OFFSET(マスタ非採用削除!D$4,統合マスタ!$A657,0)="","",OFFSET(マスタ非採用削除!D$4,統合マスタ!$A657,0))</f>
        <v>ﾒﾏﾝﾁ2</v>
      </c>
      <c r="R657" s="27">
        <f ca="1">IF(OFFSET(マスタ非採用削除!E$4,統合マスタ!$A657,0)="","",OFFSET(マスタ非採用削除!E$4,統合マスタ!$A657,0))</f>
        <v>1</v>
      </c>
      <c r="S657" s="55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5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5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6</v>
      </c>
      <c r="AA657" s="27"/>
    </row>
    <row r="658" spans="1:27">
      <c r="A658" s="42">
        <f>元データ!P655</f>
        <v>568</v>
      </c>
      <c r="B658" s="27">
        <f t="shared" si="10"/>
        <v>654</v>
      </c>
      <c r="C658" s="27" t="str">
        <f>DBCS(元データ!A655)</f>
        <v>メマンチン塩酸塩ＯＤ錠２０ｍｇ「ＤＳＥＰ」</v>
      </c>
      <c r="D658" s="55" t="str">
        <f>元データ!B655</f>
        <v>アルフレッサ</v>
      </c>
      <c r="E658" s="27" t="str">
        <f>元データ!C655</f>
        <v>バラ</v>
      </c>
      <c r="F658" s="27" t="str">
        <f>元データ!D655</f>
        <v>100Ｔ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5" t="str">
        <f ca="1">IF(OFFSET(マスタ非採用削除!A$4,統合マスタ!$A658,0)="","",OFFSET(マスタ非採用削除!A$4,統合マスタ!$A658,0))</f>
        <v>ﾒﾏﾝ002</v>
      </c>
      <c r="O658" s="55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5" t="str">
        <f ca="1">IF(OFFSET(マスタ非採用削除!D$4,統合マスタ!$A658,0)="","",OFFSET(マスタ非採用削除!D$4,統合マスタ!$A658,0))</f>
        <v>ﾒﾏﾝﾁ2</v>
      </c>
      <c r="R658" s="27">
        <f ca="1">IF(OFFSET(マスタ非採用削除!E$4,統合マスタ!$A658,0)="","",OFFSET(マスタ非採用削除!E$4,統合マスタ!$A658,0))</f>
        <v>1</v>
      </c>
      <c r="S658" s="55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5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5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6</v>
      </c>
      <c r="AA658" s="27"/>
    </row>
    <row r="659" spans="1:27">
      <c r="A659" s="42">
        <f>元データ!P656</f>
        <v>567</v>
      </c>
      <c r="B659" s="27">
        <f t="shared" si="10"/>
        <v>655</v>
      </c>
      <c r="C659" s="27" t="str">
        <f>DBCS(元データ!A656)</f>
        <v>メマンチン塩酸塩ＯＤ錠５ｍｇ「ＤＳＥＰ」</v>
      </c>
      <c r="D659" s="55" t="str">
        <f>元データ!B656</f>
        <v>アルフレッサ</v>
      </c>
      <c r="E659" s="27" t="str">
        <f>元データ!C656</f>
        <v>PTP</v>
      </c>
      <c r="F659" s="27" t="str">
        <f>元データ!D656</f>
        <v>56Ｔ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5" t="str">
        <f ca="1">IF(OFFSET(マスタ非採用削除!A$4,統合マスタ!$A659,0)="","",OFFSET(マスタ非採用削除!A$4,統合マスタ!$A659,0))</f>
        <v>ﾒﾏﾝ001</v>
      </c>
      <c r="O659" s="55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5" t="str">
        <f ca="1">IF(OFFSET(マスタ非採用削除!D$4,統合マスタ!$A659,0)="","",OFFSET(マスタ非採用削除!D$4,統合マスタ!$A659,0))</f>
        <v>ﾒﾏﾝﾁ</v>
      </c>
      <c r="R659" s="27">
        <f ca="1">IF(OFFSET(マスタ非採用削除!E$4,統合マスタ!$A659,0)="","",OFFSET(マスタ非採用削除!E$4,統合マスタ!$A659,0))</f>
        <v>1</v>
      </c>
      <c r="S659" s="55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5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5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6</v>
      </c>
      <c r="AA659" s="27"/>
    </row>
    <row r="660" spans="1:27">
      <c r="A660" s="42">
        <f>元データ!P657</f>
        <v>567</v>
      </c>
      <c r="B660" s="27">
        <f t="shared" si="10"/>
        <v>656</v>
      </c>
      <c r="C660" s="27" t="str">
        <f>DBCS(元データ!A657)</f>
        <v>メマンチン塩酸塩ＯＤ錠５ｍｇ「ＤＳＥＰ」</v>
      </c>
      <c r="D660" s="55" t="str">
        <f>元データ!B657</f>
        <v>アルフレッサ</v>
      </c>
      <c r="E660" s="27" t="str">
        <f>元データ!C657</f>
        <v>バラ</v>
      </c>
      <c r="F660" s="27" t="str">
        <f>元データ!D657</f>
        <v>100Ｔ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5" t="str">
        <f ca="1">IF(OFFSET(マスタ非採用削除!A$4,統合マスタ!$A660,0)="","",OFFSET(マスタ非採用削除!A$4,統合マスタ!$A660,0))</f>
        <v>ﾒﾏﾝ001</v>
      </c>
      <c r="O660" s="55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5" t="str">
        <f ca="1">IF(OFFSET(マスタ非採用削除!D$4,統合マスタ!$A660,0)="","",OFFSET(マスタ非採用削除!D$4,統合マスタ!$A660,0))</f>
        <v>ﾒﾏﾝﾁ</v>
      </c>
      <c r="R660" s="27">
        <f ca="1">IF(OFFSET(マスタ非採用削除!E$4,統合マスタ!$A660,0)="","",OFFSET(マスタ非採用削除!E$4,統合マスタ!$A660,0))</f>
        <v>1</v>
      </c>
      <c r="S660" s="55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5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5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6</v>
      </c>
      <c r="AA660" s="27"/>
    </row>
    <row r="661" spans="1:27">
      <c r="A661" s="42">
        <f>元データ!P658</f>
        <v>569</v>
      </c>
      <c r="B661" s="27">
        <f t="shared" si="10"/>
        <v>657</v>
      </c>
      <c r="C661" s="27" t="str">
        <f>DBCS(元データ!A658)</f>
        <v>メリスロン錠６ｍｇ</v>
      </c>
      <c r="D661" s="55" t="str">
        <f>元データ!B658</f>
        <v>スズケン</v>
      </c>
      <c r="E661" s="27" t="str">
        <f>元データ!C658</f>
        <v>ＰＴＰ</v>
      </c>
      <c r="F661" s="27" t="str">
        <f>元データ!D658</f>
        <v>100Ｔ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5" t="str">
        <f ca="1">IF(OFFSET(マスタ非採用削除!A$4,統合マスタ!$A661,0)="","",OFFSET(マスタ非採用削除!A$4,統合マスタ!$A661,0))</f>
        <v>ﾒﾘｽ001</v>
      </c>
      <c r="O661" s="55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5" t="str">
        <f ca="1">IF(OFFSET(マスタ非採用削除!D$4,統合マスタ!$A661,0)="","",OFFSET(マスタ非採用削除!D$4,統合マスタ!$A661,0))</f>
        <v/>
      </c>
      <c r="R661" s="27">
        <f ca="1">IF(OFFSET(マスタ非採用削除!E$4,統合マスタ!$A661,0)="","",OFFSET(マスタ非採用削除!E$4,統合マスタ!$A661,0))</f>
        <v>2</v>
      </c>
      <c r="S661" s="55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5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5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/>
    </row>
    <row r="662" spans="1:27">
      <c r="A662" s="42">
        <f>元データ!P659</f>
        <v>570</v>
      </c>
      <c r="B662" s="27">
        <f t="shared" si="10"/>
        <v>658</v>
      </c>
      <c r="C662" s="27" t="str">
        <f>DBCS(元データ!A659)</f>
        <v>メルカゾール錠５ｍｇ</v>
      </c>
      <c r="D662" s="55" t="str">
        <f>元データ!B659</f>
        <v>メディセオ</v>
      </c>
      <c r="E662" s="27" t="str">
        <f>元データ!C659</f>
        <v>ＰＴＰ</v>
      </c>
      <c r="F662" s="27" t="str">
        <f>元データ!D659</f>
        <v>100Ｔ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5" t="str">
        <f ca="1">IF(OFFSET(マスタ非採用削除!A$4,統合マスタ!$A662,0)="","",OFFSET(マスタ非採用削除!A$4,統合マスタ!$A662,0))</f>
        <v>ﾒﾙｶ001</v>
      </c>
      <c r="O662" s="55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5" t="str">
        <f ca="1">IF(OFFSET(マスタ非採用削除!D$4,統合マスタ!$A662,0)="","",OFFSET(マスタ非採用削除!D$4,統合マスタ!$A662,0))</f>
        <v>ﾒﾙｶ</v>
      </c>
      <c r="R662" s="27">
        <f ca="1">IF(OFFSET(マスタ非採用削除!E$4,統合マスタ!$A662,0)="","",OFFSET(マスタ非採用削除!E$4,統合マスタ!$A662,0))</f>
        <v>2</v>
      </c>
      <c r="S662" s="55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5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5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/>
    </row>
    <row r="663" spans="1:27">
      <c r="A663" s="42">
        <f>元データ!P660</f>
        <v>571</v>
      </c>
      <c r="B663" s="27">
        <f t="shared" si="10"/>
        <v>659</v>
      </c>
      <c r="C663" s="27" t="str">
        <f>DBCS(元データ!A660)</f>
        <v>メロペネム点滴静注用０．５ｇ「サワイ」</v>
      </c>
      <c r="D663" s="55" t="str">
        <f>元データ!B660</f>
        <v>東邦</v>
      </c>
      <c r="E663" s="27" t="str">
        <f>元データ!C660</f>
        <v/>
      </c>
      <c r="F663" s="27" t="str">
        <f>元データ!D660</f>
        <v>500ｍｇｘ10V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5" t="str">
        <f ca="1">IF(OFFSET(マスタ非採用削除!A$4,統合マスタ!$A663,0)="","",OFFSET(マスタ非採用削除!A$4,統合マスタ!$A663,0))</f>
        <v>ﾒﾛﾍ003</v>
      </c>
      <c r="O663" s="55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5" t="str">
        <f ca="1">IF(OFFSET(マスタ非採用削除!D$4,統合マスタ!$A663,0)="","",OFFSET(マスタ非採用削除!D$4,統合マスタ!$A663,0))</f>
        <v/>
      </c>
      <c r="R663" s="27">
        <f ca="1">IF(OFFSET(マスタ非採用削除!E$4,統合マスタ!$A663,0)="","",OFFSET(マスタ非採用削除!E$4,統合マスタ!$A663,0))</f>
        <v>1</v>
      </c>
      <c r="S663" s="55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5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5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/>
    </row>
    <row r="664" spans="1:27">
      <c r="A664" s="42">
        <f>元データ!P661</f>
        <v>574</v>
      </c>
      <c r="B664" s="27">
        <f t="shared" si="10"/>
        <v>660</v>
      </c>
      <c r="C664" s="27" t="str">
        <f>DBCS(元データ!A661)</f>
        <v>モサプリドクエン酸塩散１％「日医工」</v>
      </c>
      <c r="D664" s="55" t="str">
        <f>元データ!B661</f>
        <v>メディセオ</v>
      </c>
      <c r="E664" s="27" t="str">
        <f>元データ!C661</f>
        <v>粉</v>
      </c>
      <c r="F664" s="27" t="str">
        <f>元データ!D661</f>
        <v>100ｇ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5" t="str">
        <f ca="1">IF(OFFSET(マスタ非採用削除!A$4,統合マスタ!$A664,0)="","",OFFSET(マスタ非採用削除!A$4,統合マスタ!$A664,0))</f>
        <v>ﾓｻﾌ002</v>
      </c>
      <c r="O664" s="55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5" t="str">
        <f ca="1">IF(OFFSET(マスタ非採用削除!D$4,統合マスタ!$A664,0)="","",OFFSET(マスタ非採用削除!D$4,統合マスタ!$A664,0))</f>
        <v>ﾓｻﾌﾟ</v>
      </c>
      <c r="R664" s="27">
        <f ca="1">IF(OFFSET(マスタ非採用削除!E$4,統合マスタ!$A664,0)="","",OFFSET(マスタ非採用削除!E$4,統合マスタ!$A664,0))</f>
        <v>1</v>
      </c>
      <c r="S664" s="55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5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5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/>
    </row>
    <row r="665" spans="1:27">
      <c r="A665" s="42">
        <f>元データ!P662</f>
        <v>573</v>
      </c>
      <c r="B665" s="27">
        <f t="shared" si="10"/>
        <v>661</v>
      </c>
      <c r="C665" s="27" t="str">
        <f>DBCS(元データ!A662)</f>
        <v>モサプリドクエン酸塩錠５ｍｇ「日医工」</v>
      </c>
      <c r="D665" s="55" t="str">
        <f>元データ!B662</f>
        <v>メディセオ</v>
      </c>
      <c r="E665" s="27" t="str">
        <f>元データ!C662</f>
        <v>PTP</v>
      </c>
      <c r="F665" s="27" t="str">
        <f>元データ!D662</f>
        <v>100T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5" t="str">
        <f ca="1">IF(OFFSET(マスタ非採用削除!A$4,統合マスタ!$A665,0)="","",OFFSET(マスタ非採用削除!A$4,統合マスタ!$A665,0))</f>
        <v>ﾓｻﾌ001</v>
      </c>
      <c r="O665" s="55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5" t="str">
        <f ca="1">IF(OFFSET(マスタ非採用削除!D$4,統合マスタ!$A665,0)="","",OFFSET(マスタ非採用削除!D$4,統合マスタ!$A665,0))</f>
        <v>ﾓｻﾌﾟ5</v>
      </c>
      <c r="R665" s="27">
        <f ca="1">IF(OFFSET(マスタ非採用削除!E$4,統合マスタ!$A665,0)="","",OFFSET(マスタ非採用削除!E$4,統合マスタ!$A665,0))</f>
        <v>1</v>
      </c>
      <c r="S665" s="55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5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5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5</v>
      </c>
      <c r="AA665" s="27"/>
    </row>
    <row r="666" spans="1:27">
      <c r="A666" s="42">
        <f>元データ!P663</f>
        <v>573</v>
      </c>
      <c r="B666" s="27">
        <f t="shared" si="10"/>
        <v>662</v>
      </c>
      <c r="C666" s="27" t="str">
        <f>DBCS(元データ!A663)</f>
        <v>モサプリドクエン酸塩錠５ｍｇ「日医工」</v>
      </c>
      <c r="D666" s="55" t="str">
        <f>元データ!B663</f>
        <v>メディセオ</v>
      </c>
      <c r="E666" s="27" t="str">
        <f>元データ!C663</f>
        <v>バラ</v>
      </c>
      <c r="F666" s="27" t="str">
        <f>元データ!D663</f>
        <v>1000T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5" t="str">
        <f ca="1">IF(OFFSET(マスタ非採用削除!A$4,統合マスタ!$A666,0)="","",OFFSET(マスタ非採用削除!A$4,統合マスタ!$A666,0))</f>
        <v>ﾓｻﾌ001</v>
      </c>
      <c r="O666" s="55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5" t="str">
        <f ca="1">IF(OFFSET(マスタ非採用削除!D$4,統合マスタ!$A666,0)="","",OFFSET(マスタ非採用削除!D$4,統合マスタ!$A666,0))</f>
        <v>ﾓｻﾌﾟ5</v>
      </c>
      <c r="R666" s="27">
        <f ca="1">IF(OFFSET(マスタ非採用削除!E$4,統合マスタ!$A666,0)="","",OFFSET(マスタ非採用削除!E$4,統合マスタ!$A666,0))</f>
        <v>1</v>
      </c>
      <c r="S666" s="55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5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5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5</v>
      </c>
      <c r="AA666" s="27"/>
    </row>
    <row r="667" spans="1:27">
      <c r="A667" s="42">
        <f>元データ!P664</f>
        <v>575</v>
      </c>
      <c r="B667" s="27">
        <f t="shared" si="10"/>
        <v>663</v>
      </c>
      <c r="C667" s="27" t="str">
        <f>DBCS(元データ!A664)</f>
        <v>モディオダール錠１００ｍｇ</v>
      </c>
      <c r="D667" s="55" t="str">
        <f>元データ!B664</f>
        <v>アルフレッサ</v>
      </c>
      <c r="E667" s="27" t="str">
        <f>元データ!C664</f>
        <v>PTP</v>
      </c>
      <c r="F667" s="27" t="str">
        <f>元データ!D664</f>
        <v>100T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5" t="str">
        <f ca="1">IF(OFFSET(マスタ非採用削除!A$4,統合マスタ!$A667,0)="","",OFFSET(マスタ非採用削除!A$4,統合マスタ!$A667,0))</f>
        <v>ﾓﾃｲ001</v>
      </c>
      <c r="O667" s="55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5" t="str">
        <f ca="1">IF(OFFSET(マスタ非採用削除!D$4,統合マスタ!$A667,0)="","",OFFSET(マスタ非採用削除!D$4,統合マスタ!$A667,0))</f>
        <v/>
      </c>
      <c r="R667" s="27">
        <f ca="1">IF(OFFSET(マスタ非採用削除!E$4,統合マスタ!$A667,0)="","",OFFSET(マスタ非採用削除!E$4,統合マスタ!$A667,0))</f>
        <v>1</v>
      </c>
      <c r="S667" s="55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5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5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/>
    </row>
    <row r="668" spans="1:27">
      <c r="A668" s="42">
        <f>元データ!P665</f>
        <v>576</v>
      </c>
      <c r="B668" s="27">
        <f t="shared" si="10"/>
        <v>664</v>
      </c>
      <c r="C668" s="27" t="str">
        <f>DBCS(元データ!A665)</f>
        <v>モビコール配合内用剤ＬＤ（１）　　　６．８５２３ｇ／１包</v>
      </c>
      <c r="D668" s="55" t="str">
        <f>元データ!B665</f>
        <v>メディセオ</v>
      </c>
      <c r="E668" s="27" t="str">
        <f>元データ!C665</f>
        <v>粉</v>
      </c>
      <c r="F668" s="27" t="str">
        <f>元データ!D665</f>
        <v>100包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5" t="str">
        <f ca="1">IF(OFFSET(マスタ非採用削除!A$4,統合マスタ!$A668,0)="","",OFFSET(マスタ非採用削除!A$4,統合マスタ!$A668,0))</f>
        <v>ﾓﾋｺ001</v>
      </c>
      <c r="O668" s="55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5" t="str">
        <f ca="1">IF(OFFSET(マスタ非採用削除!D$4,統合マスタ!$A668,0)="","",OFFSET(マスタ非採用削除!D$4,統合マスタ!$A668,0))</f>
        <v>ﾓﾋﾞｺ1</v>
      </c>
      <c r="R668" s="27">
        <f ca="1">IF(OFFSET(マスタ非採用削除!E$4,統合マスタ!$A668,0)="","",OFFSET(マスタ非採用削除!E$4,統合マスタ!$A668,0))</f>
        <v>1</v>
      </c>
      <c r="S668" s="55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5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5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/>
    </row>
    <row r="669" spans="1:27">
      <c r="A669" s="42">
        <f>元データ!P666</f>
        <v>579</v>
      </c>
      <c r="B669" s="27">
        <f t="shared" si="10"/>
        <v>665</v>
      </c>
      <c r="C669" s="27" t="str">
        <f>DBCS(元データ!A666)</f>
        <v>ユーロジン２ｍｇ錠</v>
      </c>
      <c r="D669" s="55" t="str">
        <f>元データ!B666</f>
        <v>アルフレッサ</v>
      </c>
      <c r="E669" s="27" t="str">
        <f>元データ!C666</f>
        <v>PTP</v>
      </c>
      <c r="F669" s="27" t="str">
        <f>元データ!D666</f>
        <v>100Ｔ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5" t="str">
        <f ca="1">IF(OFFSET(マスタ非採用削除!A$4,統合マスタ!$A669,0)="","",OFFSET(マスタ非採用削除!A$4,統合マスタ!$A669,0))</f>
        <v>ﾕﾛｼ001</v>
      </c>
      <c r="O669" s="55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5" t="str">
        <f ca="1">IF(OFFSET(マスタ非採用削除!D$4,統合マスタ!$A669,0)="","",OFFSET(マスタ非採用削除!D$4,統合マスタ!$A669,0))</f>
        <v>ﾕｰﾛｼﾞ2</v>
      </c>
      <c r="R669" s="27">
        <f ca="1">IF(OFFSET(マスタ非採用削除!E$4,統合マスタ!$A669,0)="","",OFFSET(マスタ非採用削除!E$4,統合マスタ!$A669,0))</f>
        <v>1</v>
      </c>
      <c r="S669" s="55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5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5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5</v>
      </c>
      <c r="AA669" s="27"/>
    </row>
    <row r="670" spans="1:27">
      <c r="A670" s="42">
        <f>元データ!P667</f>
        <v>577</v>
      </c>
      <c r="B670" s="27">
        <f t="shared" si="10"/>
        <v>666</v>
      </c>
      <c r="C670" s="27" t="str">
        <f>DBCS(元データ!A667)</f>
        <v>ユベラＮソフトカプセル２００ｍｇ</v>
      </c>
      <c r="D670" s="55" t="str">
        <f>元データ!B667</f>
        <v>スズケン</v>
      </c>
      <c r="E670" s="27" t="str">
        <f>元データ!C667</f>
        <v>PTP</v>
      </c>
      <c r="F670" s="27" t="str">
        <f>元データ!D667</f>
        <v>210P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5" t="str">
        <f ca="1">IF(OFFSET(マスタ非採用削除!A$4,統合マスタ!$A670,0)="","",OFFSET(マスタ非採用削除!A$4,統合マスタ!$A670,0))</f>
        <v>ﾕﾍﾗ001</v>
      </c>
      <c r="O670" s="55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5" t="str">
        <f ca="1">IF(OFFSET(マスタ非採用削除!D$4,統合マスタ!$A670,0)="","",OFFSET(マスタ非採用削除!D$4,統合マスタ!$A670,0))</f>
        <v>ﾕﾍﾞﾗ</v>
      </c>
      <c r="R670" s="27">
        <f ca="1">IF(OFFSET(マスタ非採用削除!E$4,統合マスタ!$A670,0)="","",OFFSET(マスタ非採用削除!E$4,統合マスタ!$A670,0))</f>
        <v>1</v>
      </c>
      <c r="S670" s="55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5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5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/>
    </row>
    <row r="671" spans="1:27">
      <c r="A671" s="42" t="str">
        <f>元データ!P668</f>
        <v>非採用</v>
      </c>
      <c r="B671" s="27">
        <f t="shared" si="10"/>
        <v>667</v>
      </c>
      <c r="C671" s="27" t="str">
        <f>DBCS(元データ!A668)</f>
        <v>ユリス錠１ｍｇ</v>
      </c>
      <c r="D671" s="55" t="str">
        <f>元データ!B668</f>
        <v>アルフレッサ</v>
      </c>
      <c r="E671" s="27" t="str">
        <f>元データ!C668</f>
        <v>PTP</v>
      </c>
      <c r="F671" s="27" t="str">
        <f>元データ!D668</f>
        <v>100T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5" t="e">
        <f ca="1">IF(OFFSET(マスタ非採用削除!A$4,統合マスタ!$A671,0)="","",OFFSET(マスタ非採用削除!A$4,統合マスタ!$A671,0))</f>
        <v>#VALUE!</v>
      </c>
      <c r="O671" s="55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5" t="e">
        <f ca="1">IF(OFFSET(マスタ非採用削除!D$4,統合マスタ!$A671,0)="","",OFFSET(マスタ非採用削除!D$4,統合マスタ!$A671,0))</f>
        <v>#VALUE!</v>
      </c>
      <c r="R671" s="27" t="e">
        <f ca="1">IF(OFFSET(マスタ非採用削除!E$4,統合マスタ!$A671,0)="","",OFFSET(マスタ非採用削除!E$4,統合マスタ!$A671,0))</f>
        <v>#VALUE!</v>
      </c>
      <c r="S671" s="55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5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5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">
        <v>4076</v>
      </c>
    </row>
    <row r="672" spans="1:27">
      <c r="A672" s="42">
        <f>元データ!P669</f>
        <v>578</v>
      </c>
      <c r="B672" s="27">
        <f t="shared" si="10"/>
        <v>668</v>
      </c>
      <c r="C672" s="27" t="str">
        <f>DBCS(元データ!A669)</f>
        <v>ユリス錠２ｍｇ</v>
      </c>
      <c r="D672" s="55" t="str">
        <f>元データ!B669</f>
        <v>アルフレッサ</v>
      </c>
      <c r="E672" s="27" t="str">
        <f>元データ!C669</f>
        <v>PTP</v>
      </c>
      <c r="F672" s="27" t="str">
        <f>元データ!D669</f>
        <v>100T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5" t="str">
        <f ca="1">IF(OFFSET(マスタ非採用削除!A$4,統合マスタ!$A672,0)="","",OFFSET(マスタ非採用削除!A$4,統合マスタ!$A672,0))</f>
        <v>ﾕﾘｽ002</v>
      </c>
      <c r="O672" s="55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5" t="str">
        <f ca="1">IF(OFFSET(マスタ非採用削除!D$4,統合マスタ!$A672,0)="","",OFFSET(マスタ非採用削除!D$4,統合マスタ!$A672,0))</f>
        <v/>
      </c>
      <c r="R672" s="27">
        <f ca="1">IF(OFFSET(マスタ非採用削除!E$4,統合マスタ!$A672,0)="","",OFFSET(マスタ非採用削除!E$4,統合マスタ!$A672,0))</f>
        <v>2</v>
      </c>
      <c r="S672" s="55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5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5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/>
    </row>
    <row r="673" spans="1:27">
      <c r="A673" s="42">
        <f>元データ!P670</f>
        <v>580</v>
      </c>
      <c r="B673" s="27">
        <f t="shared" si="10"/>
        <v>669</v>
      </c>
      <c r="C673" s="27" t="str">
        <f>DBCS(元データ!A670)</f>
        <v>ヨウ化カリウム丸５０ｍｇ「日医工」</v>
      </c>
      <c r="D673" s="55" t="str">
        <f>元データ!B670</f>
        <v>メディセオ</v>
      </c>
      <c r="E673" s="27" t="str">
        <f>元データ!C670</f>
        <v>PTP</v>
      </c>
      <c r="F673" s="27" t="str">
        <f>元データ!D670</f>
        <v>1000丸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5" t="str">
        <f ca="1">IF(OFFSET(マスタ非採用削除!A$4,統合マスタ!$A673,0)="","",OFFSET(マスタ非採用削除!A$4,統合マスタ!$A673,0))</f>
        <v>ﾖｳｶ001</v>
      </c>
      <c r="O673" s="55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5" t="str">
        <f ca="1">IF(OFFSET(マスタ非採用削除!D$4,統合マスタ!$A673,0)="","",OFFSET(マスタ非採用削除!D$4,統合マスタ!$A673,0))</f>
        <v/>
      </c>
      <c r="R673" s="27">
        <f ca="1">IF(OFFSET(マスタ非採用削除!E$4,統合マスタ!$A673,0)="","",OFFSET(マスタ非採用削除!E$4,統合マスタ!$A673,0))</f>
        <v>2</v>
      </c>
      <c r="S673" s="55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5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5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/>
    </row>
    <row r="674" spans="1:27">
      <c r="A674" s="42">
        <f>元データ!P671</f>
        <v>582</v>
      </c>
      <c r="B674" s="27">
        <f t="shared" si="10"/>
        <v>670</v>
      </c>
      <c r="C674" s="27" t="str">
        <f>DBCS(元データ!A671)</f>
        <v>ラクツロースシロップ６５％「タカタ」</v>
      </c>
      <c r="D674" s="55" t="str">
        <f>元データ!B671</f>
        <v>メディセオ</v>
      </c>
      <c r="E674" s="27" t="str">
        <f>元データ!C671</f>
        <v/>
      </c>
      <c r="F674" s="27" t="str">
        <f>元データ!D671</f>
        <v>500ｍｌ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5" t="str">
        <f ca="1">IF(OFFSET(マスタ非採用削除!A$4,統合マスタ!$A674,0)="","",OFFSET(マスタ非採用削除!A$4,統合マスタ!$A674,0))</f>
        <v>ﾗｸﾂ001</v>
      </c>
      <c r="O674" s="55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5" t="str">
        <f ca="1">IF(OFFSET(マスタ非採用削除!D$4,統合マスタ!$A674,0)="","",OFFSET(マスタ非採用削除!D$4,統合マスタ!$A674,0))</f>
        <v>ﾗｸﾂ</v>
      </c>
      <c r="R674" s="27">
        <f ca="1">IF(OFFSET(マスタ非採用削除!E$4,統合マスタ!$A674,0)="","",OFFSET(マスタ非採用削除!E$4,統合マスタ!$A674,0))</f>
        <v>1</v>
      </c>
      <c r="S674" s="55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5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5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/>
    </row>
    <row r="675" spans="1:27">
      <c r="A675" s="42">
        <f>元データ!P672</f>
        <v>583</v>
      </c>
      <c r="B675" s="27">
        <f t="shared" si="10"/>
        <v>671</v>
      </c>
      <c r="C675" s="27" t="str">
        <f>DBCS(元データ!A672)</f>
        <v>ラゲブリオカプセル２００ｍｇ</v>
      </c>
      <c r="D675" s="55" t="str">
        <f>元データ!B672</f>
        <v>スズケン</v>
      </c>
      <c r="E675" s="27" t="str">
        <f>元データ!C672</f>
        <v>バラ</v>
      </c>
      <c r="F675" s="27" t="str">
        <f>元データ!D672</f>
        <v>40cap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5" t="str">
        <f ca="1">IF(OFFSET(マスタ非採用削除!A$4,統合マスタ!$A675,0)="","",OFFSET(マスタ非採用削除!A$4,統合マスタ!$A675,0))</f>
        <v>ﾗｹﾌ001</v>
      </c>
      <c r="O675" s="55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5" t="str">
        <f ca="1">IF(OFFSET(マスタ非採用削除!D$4,統合マスタ!$A675,0)="","",OFFSET(マスタ非採用削除!D$4,統合マスタ!$A675,0))</f>
        <v>ﾗｹﾞﾌﾞ</v>
      </c>
      <c r="R675" s="27">
        <f ca="1">IF(OFFSET(マスタ非採用削除!E$4,統合マスタ!$A675,0)="","",OFFSET(マスタ非採用削除!E$4,統合マスタ!$A675,0))</f>
        <v>1</v>
      </c>
      <c r="S675" s="55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5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5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/>
    </row>
    <row r="676" spans="1:27">
      <c r="A676" s="42">
        <f>元データ!P673</f>
        <v>586</v>
      </c>
      <c r="B676" s="27">
        <f t="shared" si="10"/>
        <v>672</v>
      </c>
      <c r="C676" s="27" t="str">
        <f>DBCS(元データ!A673)</f>
        <v>ラコールＮＦ配合経腸液（コーヒー）</v>
      </c>
      <c r="D676" s="55" t="str">
        <f>元データ!B673</f>
        <v>スズケン</v>
      </c>
      <c r="E676" s="27" t="str">
        <f>元データ!C673</f>
        <v/>
      </c>
      <c r="F676" s="27" t="str">
        <f>元データ!D673</f>
        <v>200ｍｌｘ28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5" t="str">
        <f ca="1">IF(OFFSET(マスタ非採用削除!A$4,統合マスタ!$A676,0)="","",OFFSET(マスタ非採用削除!A$4,統合マスタ!$A676,0))</f>
        <v>ﾗｺﾙ003</v>
      </c>
      <c r="O676" s="55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5" t="str">
        <f ca="1">IF(OFFSET(マスタ非採用削除!D$4,統合マスタ!$A676,0)="","",OFFSET(マスタ非採用削除!D$4,統合マスタ!$A676,0))</f>
        <v>ﾗｺｰ2</v>
      </c>
      <c r="R676" s="27">
        <f ca="1">IF(OFFSET(マスタ非採用削除!E$4,統合マスタ!$A676,0)="","",OFFSET(マスタ非採用削除!E$4,統合マスタ!$A676,0))</f>
        <v>1</v>
      </c>
      <c r="S676" s="55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5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5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/>
    </row>
    <row r="677" spans="1:27">
      <c r="A677" s="42">
        <f>元データ!P674</f>
        <v>585</v>
      </c>
      <c r="B677" s="27">
        <f t="shared" si="10"/>
        <v>673</v>
      </c>
      <c r="C677" s="27" t="str">
        <f>DBCS(元データ!A674)</f>
        <v>ラコールＮＦ配合経腸液（ミルク）</v>
      </c>
      <c r="D677" s="55" t="str">
        <f>元データ!B674</f>
        <v>スズケン</v>
      </c>
      <c r="E677" s="27" t="str">
        <f>元データ!C674</f>
        <v/>
      </c>
      <c r="F677" s="27" t="str">
        <f>元データ!D674</f>
        <v>200ｍｌｘ28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5" t="str">
        <f ca="1">IF(OFFSET(マスタ非採用削除!A$4,統合マスタ!$A677,0)="","",OFFSET(マスタ非採用削除!A$4,統合マスタ!$A677,0))</f>
        <v>ﾗｺﾙ002</v>
      </c>
      <c r="O677" s="55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5" t="str">
        <f ca="1">IF(OFFSET(マスタ非採用削除!D$4,統合マスタ!$A677,0)="","",OFFSET(マスタ非採用削除!D$4,統合マスタ!$A677,0))</f>
        <v>ﾗｺｰ1</v>
      </c>
      <c r="R677" s="27">
        <f ca="1">IF(OFFSET(マスタ非採用削除!E$4,統合マスタ!$A677,0)="","",OFFSET(マスタ非採用削除!E$4,統合マスタ!$A677,0))</f>
        <v>1</v>
      </c>
      <c r="S677" s="55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5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5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/>
    </row>
    <row r="678" spans="1:27">
      <c r="A678" s="42">
        <f>元データ!P675</f>
        <v>584</v>
      </c>
      <c r="B678" s="27">
        <f t="shared" si="10"/>
        <v>674</v>
      </c>
      <c r="C678" s="27" t="str">
        <f>DBCS(元データ!A675)</f>
        <v>ラコサミド錠５０ｍｇ「ＪＧ」</v>
      </c>
      <c r="D678" s="55" t="str">
        <f>元データ!B675</f>
        <v>アルフレッサ</v>
      </c>
      <c r="E678" s="27" t="str">
        <f>元データ!C675</f>
        <v>PTP</v>
      </c>
      <c r="F678" s="27" t="str">
        <f>元データ!D675</f>
        <v>100T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5" t="str">
        <f ca="1">IF(OFFSET(マスタ非採用削除!A$4,統合マスタ!$A678,0)="","",OFFSET(マスタ非採用削除!A$4,統合マスタ!$A678,0))</f>
        <v>ﾗｺｻ001</v>
      </c>
      <c r="O678" s="55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5" t="str">
        <f ca="1">IF(OFFSET(マスタ非採用削除!D$4,統合マスタ!$A678,0)="","",OFFSET(マスタ非採用削除!D$4,統合マスタ!$A678,0))</f>
        <v/>
      </c>
      <c r="R678" s="27">
        <f ca="1">IF(OFFSET(マスタ非採用削除!E$4,統合マスタ!$A678,0)="","",OFFSET(マスタ非採用削除!E$4,統合マスタ!$A678,0))</f>
        <v>2</v>
      </c>
      <c r="S678" s="55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5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5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/>
    </row>
    <row r="679" spans="1:27">
      <c r="A679" s="42">
        <f>元データ!P676</f>
        <v>587</v>
      </c>
      <c r="B679" s="27">
        <f t="shared" si="10"/>
        <v>675</v>
      </c>
      <c r="C679" s="27" t="str">
        <f>DBCS(元データ!A676)</f>
        <v>ラジカット内用懸濁液２．１％　　　３５ｍｌ</v>
      </c>
      <c r="D679" s="55" t="str">
        <f>元データ!B676</f>
        <v/>
      </c>
      <c r="E679" s="27" t="str">
        <f>元データ!C676</f>
        <v/>
      </c>
      <c r="F679" s="27" t="str">
        <f>元データ!D676</f>
        <v>35ｍｌｘ1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5" t="str">
        <f ca="1">IF(OFFSET(マスタ非採用削除!A$4,統合マスタ!$A679,0)="","",OFFSET(マスタ非採用削除!A$4,統合マスタ!$A679,0))</f>
        <v>ﾗｼｶ001</v>
      </c>
      <c r="O679" s="55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5" t="str">
        <f ca="1">IF(OFFSET(マスタ非採用削除!D$4,統合マスタ!$A679,0)="","",OFFSET(マスタ非採用削除!D$4,統合マスタ!$A679,0))</f>
        <v/>
      </c>
      <c r="R679" s="27">
        <f ca="1">IF(OFFSET(マスタ非採用削除!E$4,統合マスタ!$A679,0)="","",OFFSET(マスタ非採用削除!E$4,統合マスタ!$A679,0))</f>
        <v>2</v>
      </c>
      <c r="S679" s="55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5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5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/>
    </row>
    <row r="680" spans="1:27">
      <c r="A680" s="42">
        <f>元データ!P677</f>
        <v>587</v>
      </c>
      <c r="B680" s="27">
        <f t="shared" si="10"/>
        <v>676</v>
      </c>
      <c r="C680" s="27" t="str">
        <f>DBCS(元データ!A677)</f>
        <v>ラジカット内用懸濁液２．１％　　　５０ｍｌ</v>
      </c>
      <c r="D680" s="55" t="str">
        <f>元データ!B677</f>
        <v/>
      </c>
      <c r="E680" s="27" t="str">
        <f>元データ!C677</f>
        <v/>
      </c>
      <c r="F680" s="27" t="str">
        <f>元データ!D677</f>
        <v>50ｍｌｘ1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5" t="str">
        <f ca="1">IF(OFFSET(マスタ非採用削除!A$4,統合マスタ!$A680,0)="","",OFFSET(マスタ非採用削除!A$4,統合マスタ!$A680,0))</f>
        <v>ﾗｼｶ001</v>
      </c>
      <c r="O680" s="55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5" t="str">
        <f ca="1">IF(OFFSET(マスタ非採用削除!D$4,統合マスタ!$A680,0)="","",OFFSET(マスタ非採用削除!D$4,統合マスタ!$A680,0))</f>
        <v/>
      </c>
      <c r="R680" s="27">
        <f ca="1">IF(OFFSET(マスタ非採用削除!E$4,統合マスタ!$A680,0)="","",OFFSET(マスタ非採用削除!E$4,統合マスタ!$A680,0))</f>
        <v>2</v>
      </c>
      <c r="S680" s="55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5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5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/>
    </row>
    <row r="681" spans="1:27">
      <c r="A681" s="42">
        <f>元データ!P678</f>
        <v>588</v>
      </c>
      <c r="B681" s="27">
        <f t="shared" si="10"/>
        <v>677</v>
      </c>
      <c r="C681" s="27" t="str">
        <f>DBCS(元データ!A678)</f>
        <v>ラスビック点滴静注キット１５０ｍｇ</v>
      </c>
      <c r="D681" s="55" t="str">
        <f>元データ!B678</f>
        <v>メディセオ</v>
      </c>
      <c r="E681" s="27" t="str">
        <f>元データ!C678</f>
        <v/>
      </c>
      <c r="F681" s="27" t="str">
        <f>元データ!D678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5" t="str">
        <f ca="1">IF(OFFSET(マスタ非採用削除!A$4,統合マスタ!$A681,0)="","",OFFSET(マスタ非採用削除!A$4,統合マスタ!$A681,0))</f>
        <v>ﾗｽﾋ001</v>
      </c>
      <c r="O681" s="55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5" t="str">
        <f ca="1">IF(OFFSET(マスタ非採用削除!D$4,統合マスタ!$A681,0)="","",OFFSET(マスタ非採用削除!D$4,統合マスタ!$A681,0))</f>
        <v/>
      </c>
      <c r="R681" s="27">
        <f ca="1">IF(OFFSET(マスタ非採用削除!E$4,統合マスタ!$A681,0)="","",OFFSET(マスタ非採用削除!E$4,統合マスタ!$A681,0))</f>
        <v>1</v>
      </c>
      <c r="S681" s="55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5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5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/>
    </row>
    <row r="682" spans="1:27">
      <c r="A682" s="42">
        <f>元データ!P679</f>
        <v>589</v>
      </c>
      <c r="B682" s="27">
        <f t="shared" si="10"/>
        <v>678</v>
      </c>
      <c r="C682" s="27" t="str">
        <f>DBCS(元データ!A679)</f>
        <v>ラタノプロスト点眼液０．００５％「センジュ」</v>
      </c>
      <c r="D682" s="55" t="str">
        <f>元データ!B679</f>
        <v>メディセオ</v>
      </c>
      <c r="E682" s="27" t="str">
        <f>元データ!C679</f>
        <v/>
      </c>
      <c r="F682" s="27" t="str">
        <f>元データ!D679</f>
        <v>2.5ｍｌｘ10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5" t="str">
        <f ca="1">IF(OFFSET(マスタ非採用削除!A$4,統合マスタ!$A682,0)="","",OFFSET(マスタ非採用削除!A$4,統合マスタ!$A682,0))</f>
        <v>ﾗﾀﾉ003</v>
      </c>
      <c r="O682" s="55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5" t="str">
        <f ca="1">IF(OFFSET(マスタ非採用削除!D$4,統合マスタ!$A682,0)="","",OFFSET(マスタ非採用削除!D$4,統合マスタ!$A682,0))</f>
        <v/>
      </c>
      <c r="R682" s="27">
        <f ca="1">IF(OFFSET(マスタ非採用削除!E$4,統合マスタ!$A682,0)="","",OFFSET(マスタ非採用削除!E$4,統合マスタ!$A682,0))</f>
        <v>1</v>
      </c>
      <c r="S682" s="55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5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5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/>
    </row>
    <row r="683" spans="1:27">
      <c r="A683" s="42">
        <f>元データ!P680</f>
        <v>590</v>
      </c>
      <c r="B683" s="27">
        <f t="shared" si="10"/>
        <v>679</v>
      </c>
      <c r="C683" s="27" t="str">
        <f>DBCS(元データ!A680)</f>
        <v>ラツーダ錠２０ｍｇ</v>
      </c>
      <c r="D683" s="55" t="str">
        <f>元データ!B680</f>
        <v>メディセオ</v>
      </c>
      <c r="E683" s="27" t="str">
        <f>元データ!C680</f>
        <v>PTP</v>
      </c>
      <c r="F683" s="27" t="str">
        <f>元データ!D680</f>
        <v>100T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5" t="str">
        <f ca="1">IF(OFFSET(マスタ非採用削除!A$4,統合マスタ!$A683,0)="","",OFFSET(マスタ非採用削除!A$4,統合マスタ!$A683,0))</f>
        <v>ﾗﾂﾀ001</v>
      </c>
      <c r="O683" s="55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5" t="str">
        <f ca="1">IF(OFFSET(マスタ非採用削除!D$4,統合マスタ!$A683,0)="","",OFFSET(マスタ非採用削除!D$4,統合マスタ!$A683,0))</f>
        <v>ﾗﾂｰ2</v>
      </c>
      <c r="R683" s="27">
        <f ca="1">IF(OFFSET(マスタ非採用削除!E$4,統合マスタ!$A683,0)="","",OFFSET(マスタ非採用削除!E$4,統合マスタ!$A683,0))</f>
        <v>1</v>
      </c>
      <c r="S683" s="55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5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5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6</v>
      </c>
      <c r="AA683" s="27"/>
    </row>
    <row r="684" spans="1:27">
      <c r="A684" s="42">
        <f>元データ!P681</f>
        <v>590</v>
      </c>
      <c r="B684" s="27">
        <f t="shared" si="10"/>
        <v>680</v>
      </c>
      <c r="C684" s="27" t="str">
        <f>DBCS(元データ!A681)</f>
        <v>ラツーダ錠２０ｍｇ</v>
      </c>
      <c r="D684" s="55" t="str">
        <f>元データ!B681</f>
        <v>メディセオ</v>
      </c>
      <c r="E684" s="27" t="str">
        <f>元データ!C681</f>
        <v>バラ</v>
      </c>
      <c r="F684" s="27" t="str">
        <f>元データ!D681</f>
        <v>500T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5" t="str">
        <f ca="1">IF(OFFSET(マスタ非採用削除!A$4,統合マスタ!$A684,0)="","",OFFSET(マスタ非採用削除!A$4,統合マスタ!$A684,0))</f>
        <v>ﾗﾂﾀ001</v>
      </c>
      <c r="O684" s="55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5" t="str">
        <f ca="1">IF(OFFSET(マスタ非採用削除!D$4,統合マスタ!$A684,0)="","",OFFSET(マスタ非採用削除!D$4,統合マスタ!$A684,0))</f>
        <v>ﾗﾂｰ2</v>
      </c>
      <c r="R684" s="27">
        <f ca="1">IF(OFFSET(マスタ非採用削除!E$4,統合マスタ!$A684,0)="","",OFFSET(マスタ非採用削除!E$4,統合マスタ!$A684,0))</f>
        <v>1</v>
      </c>
      <c r="S684" s="55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5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5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6</v>
      </c>
      <c r="AA684" s="27"/>
    </row>
    <row r="685" spans="1:27">
      <c r="A685" s="42">
        <f>元データ!P682</f>
        <v>591</v>
      </c>
      <c r="B685" s="27">
        <f t="shared" si="10"/>
        <v>681</v>
      </c>
      <c r="C685" s="27" t="str">
        <f>DBCS(元データ!A682)</f>
        <v>ラツーダ錠４０ｍｇ</v>
      </c>
      <c r="D685" s="55" t="str">
        <f>元データ!B682</f>
        <v>メディセオ</v>
      </c>
      <c r="E685" s="27" t="str">
        <f>元データ!C682</f>
        <v>PTP</v>
      </c>
      <c r="F685" s="27" t="str">
        <f>元データ!D682</f>
        <v>100T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5" t="str">
        <f ca="1">IF(OFFSET(マスタ非採用削除!A$4,統合マスタ!$A685,0)="","",OFFSET(マスタ非採用削除!A$4,統合マスタ!$A685,0))</f>
        <v>ﾗﾂﾀ002</v>
      </c>
      <c r="O685" s="55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5" t="str">
        <f ca="1">IF(OFFSET(マスタ非採用削除!D$4,統合マスタ!$A685,0)="","",OFFSET(マスタ非採用削除!D$4,統合マスタ!$A685,0))</f>
        <v>ﾗﾂｰ</v>
      </c>
      <c r="R685" s="27">
        <f ca="1">IF(OFFSET(マスタ非採用削除!E$4,統合マスタ!$A685,0)="","",OFFSET(マスタ非採用削除!E$4,統合マスタ!$A685,0))</f>
        <v>1</v>
      </c>
      <c r="S685" s="55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5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5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6</v>
      </c>
      <c r="AA685" s="27"/>
    </row>
    <row r="686" spans="1:27">
      <c r="A686" s="42">
        <f>元データ!P683</f>
        <v>591</v>
      </c>
      <c r="B686" s="27">
        <f t="shared" si="10"/>
        <v>682</v>
      </c>
      <c r="C686" s="27" t="str">
        <f>DBCS(元データ!A683)</f>
        <v>ラツーダ錠４０ｍｇ</v>
      </c>
      <c r="D686" s="55" t="str">
        <f>元データ!B683</f>
        <v>メディセオ</v>
      </c>
      <c r="E686" s="27" t="str">
        <f>元データ!C683</f>
        <v>バラ</v>
      </c>
      <c r="F686" s="27" t="str">
        <f>元データ!D683</f>
        <v>500T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5" t="str">
        <f ca="1">IF(OFFSET(マスタ非採用削除!A$4,統合マスタ!$A686,0)="","",OFFSET(マスタ非採用削除!A$4,統合マスタ!$A686,0))</f>
        <v>ﾗﾂﾀ002</v>
      </c>
      <c r="O686" s="55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5" t="str">
        <f ca="1">IF(OFFSET(マスタ非採用削除!D$4,統合マスタ!$A686,0)="","",OFFSET(マスタ非採用削除!D$4,統合マスタ!$A686,0))</f>
        <v>ﾗﾂｰ</v>
      </c>
      <c r="R686" s="27">
        <f ca="1">IF(OFFSET(マスタ非採用削除!E$4,統合マスタ!$A686,0)="","",OFFSET(マスタ非採用削除!E$4,統合マスタ!$A686,0))</f>
        <v>1</v>
      </c>
      <c r="S686" s="55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5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5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6</v>
      </c>
      <c r="AA686" s="27"/>
    </row>
    <row r="687" spans="1:27">
      <c r="A687" s="42">
        <f>元データ!P684</f>
        <v>592</v>
      </c>
      <c r="B687" s="27">
        <f t="shared" si="10"/>
        <v>683</v>
      </c>
      <c r="C687" s="27" t="str">
        <f>DBCS(元データ!A684)</f>
        <v>ラピアクタ点滴静注バッグ３００ｍｇ</v>
      </c>
      <c r="D687" s="55" t="str">
        <f>元データ!B684</f>
        <v/>
      </c>
      <c r="E687" s="27" t="str">
        <f>元データ!C684</f>
        <v/>
      </c>
      <c r="F687" s="27" t="str">
        <f>元データ!D684</f>
        <v>60ｍｌｘ1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5" t="str">
        <f ca="1">IF(OFFSET(マスタ非採用削除!A$4,統合マスタ!$A687,0)="","",OFFSET(マスタ非採用削除!A$4,統合マスタ!$A687,0))</f>
        <v>ﾗﾋｱ001</v>
      </c>
      <c r="O687" s="55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5" t="str">
        <f ca="1">IF(OFFSET(マスタ非採用削除!D$4,統合マスタ!$A687,0)="","",OFFSET(マスタ非採用削除!D$4,統合マスタ!$A687,0))</f>
        <v>ﾗﾋﾟｱ</v>
      </c>
      <c r="R687" s="27">
        <f ca="1">IF(OFFSET(マスタ非採用削除!E$4,統合マスタ!$A687,0)="","",OFFSET(マスタ非採用削除!E$4,統合マスタ!$A687,0))</f>
        <v>2</v>
      </c>
      <c r="S687" s="55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5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5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/>
    </row>
    <row r="688" spans="1:27">
      <c r="A688" s="42">
        <f>元データ!P685</f>
        <v>593</v>
      </c>
      <c r="B688" s="27">
        <f t="shared" si="10"/>
        <v>684</v>
      </c>
      <c r="C688" s="27" t="str">
        <f>DBCS(元データ!A685)</f>
        <v>ラメルテオン錠８ｍｇ「トーワ」</v>
      </c>
      <c r="D688" s="55" t="str">
        <f>元データ!B685</f>
        <v>東和薬品</v>
      </c>
      <c r="E688" s="27" t="str">
        <f>元データ!C685</f>
        <v>PTP</v>
      </c>
      <c r="F688" s="27" t="str">
        <f>元データ!D685</f>
        <v>100T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5" t="str">
        <f ca="1">IF(OFFSET(マスタ非採用削除!A$4,統合マスタ!$A688,0)="","",OFFSET(マスタ非採用削除!A$4,統合マスタ!$A688,0))</f>
        <v>ﾗﾒﾙ001</v>
      </c>
      <c r="O688" s="55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5" t="str">
        <f ca="1">IF(OFFSET(マスタ非採用削除!D$4,統合マスタ!$A688,0)="","",OFFSET(マスタ非採用削除!D$4,統合マスタ!$A688,0))</f>
        <v>ﾗﾒﾙ</v>
      </c>
      <c r="R688" s="27">
        <f ca="1">IF(OFFSET(マスタ非採用削除!E$4,統合マスタ!$A688,0)="","",OFFSET(マスタ非採用削除!E$4,統合マスタ!$A688,0))</f>
        <v>1</v>
      </c>
      <c r="S688" s="55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5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5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5</v>
      </c>
      <c r="AA688" s="27"/>
    </row>
    <row r="689" spans="1:27">
      <c r="A689" s="42">
        <f>元データ!P686</f>
        <v>593</v>
      </c>
      <c r="B689" s="27">
        <f t="shared" si="10"/>
        <v>685</v>
      </c>
      <c r="C689" s="27" t="str">
        <f>DBCS(元データ!A686)</f>
        <v>ラメルテオン錠８ｍｇ「トーワ」</v>
      </c>
      <c r="D689" s="55" t="str">
        <f>元データ!B686</f>
        <v>東和薬品</v>
      </c>
      <c r="E689" s="27" t="str">
        <f>元データ!C686</f>
        <v>バラ</v>
      </c>
      <c r="F689" s="27" t="str">
        <f>元データ!D686</f>
        <v>300T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5" t="str">
        <f ca="1">IF(OFFSET(マスタ非採用削除!A$4,統合マスタ!$A689,0)="","",OFFSET(マスタ非採用削除!A$4,統合マスタ!$A689,0))</f>
        <v>ﾗﾒﾙ001</v>
      </c>
      <c r="O689" s="55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5" t="str">
        <f ca="1">IF(OFFSET(マスタ非採用削除!D$4,統合マスタ!$A689,0)="","",OFFSET(マスタ非採用削除!D$4,統合マスタ!$A689,0))</f>
        <v>ﾗﾒﾙ</v>
      </c>
      <c r="R689" s="27">
        <f ca="1">IF(OFFSET(マスタ非採用削除!E$4,統合マスタ!$A689,0)="","",OFFSET(マスタ非採用削除!E$4,統合マスタ!$A689,0))</f>
        <v>1</v>
      </c>
      <c r="S689" s="55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5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5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5</v>
      </c>
      <c r="AA689" s="27"/>
    </row>
    <row r="690" spans="1:27">
      <c r="A690" s="42">
        <f>元データ!P687</f>
        <v>595</v>
      </c>
      <c r="B690" s="27">
        <f t="shared" si="10"/>
        <v>686</v>
      </c>
      <c r="C690" s="27" t="str">
        <f>DBCS(元データ!A687)</f>
        <v>ラモトリギン錠１００ｍｇ「トーワ」</v>
      </c>
      <c r="D690" s="55" t="str">
        <f>元データ!B687</f>
        <v>東和薬品</v>
      </c>
      <c r="E690" s="27" t="str">
        <f>元データ!C687</f>
        <v>PTP</v>
      </c>
      <c r="F690" s="27" t="str">
        <f>元データ!D687</f>
        <v>140Ｔ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5" t="str">
        <f ca="1">IF(OFFSET(マスタ非採用削除!A$4,統合マスタ!$A690,0)="","",OFFSET(マスタ非採用削除!A$4,統合マスタ!$A690,0))</f>
        <v>ﾗﾓﾄ002</v>
      </c>
      <c r="O690" s="55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5" t="str">
        <f ca="1">IF(OFFSET(マスタ非採用削除!D$4,統合マスタ!$A690,0)="","",OFFSET(マスタ非採用削除!D$4,統合マスタ!$A690,0))</f>
        <v>ﾗﾓﾄ</v>
      </c>
      <c r="R690" s="27">
        <f ca="1">IF(OFFSET(マスタ非採用削除!E$4,統合マスタ!$A690,0)="","",OFFSET(マスタ非採用削除!E$4,統合マスタ!$A690,0))</f>
        <v>1</v>
      </c>
      <c r="S690" s="55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5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5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6</v>
      </c>
      <c r="AA690" s="27"/>
    </row>
    <row r="691" spans="1:27">
      <c r="A691" s="42">
        <f>元データ!P688</f>
        <v>595</v>
      </c>
      <c r="B691" s="27">
        <f t="shared" si="10"/>
        <v>687</v>
      </c>
      <c r="C691" s="27" t="str">
        <f>DBCS(元データ!A688)</f>
        <v>ラモトリギン錠１００ｍｇ「トーワ」</v>
      </c>
      <c r="D691" s="55" t="str">
        <f>元データ!B688</f>
        <v>東和薬品</v>
      </c>
      <c r="E691" s="27" t="str">
        <f>元データ!C688</f>
        <v>バラ</v>
      </c>
      <c r="F691" s="27" t="str">
        <f>元データ!D688</f>
        <v>100Ｔ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5" t="str">
        <f ca="1">IF(OFFSET(マスタ非採用削除!A$4,統合マスタ!$A691,0)="","",OFFSET(マスタ非採用削除!A$4,統合マスタ!$A691,0))</f>
        <v>ﾗﾓﾄ002</v>
      </c>
      <c r="O691" s="55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5" t="str">
        <f ca="1">IF(OFFSET(マスタ非採用削除!D$4,統合マスタ!$A691,0)="","",OFFSET(マスタ非採用削除!D$4,統合マスタ!$A691,0))</f>
        <v>ﾗﾓﾄ</v>
      </c>
      <c r="R691" s="27">
        <f ca="1">IF(OFFSET(マスタ非採用削除!E$4,統合マスタ!$A691,0)="","",OFFSET(マスタ非採用削除!E$4,統合マスタ!$A691,0))</f>
        <v>1</v>
      </c>
      <c r="S691" s="55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5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5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6</v>
      </c>
      <c r="AA691" s="27"/>
    </row>
    <row r="692" spans="1:27">
      <c r="A692" s="42">
        <f>元データ!P689</f>
        <v>594</v>
      </c>
      <c r="B692" s="27">
        <f t="shared" si="10"/>
        <v>688</v>
      </c>
      <c r="C692" s="27" t="str">
        <f>DBCS(元データ!A689)</f>
        <v>ラモトリギン錠２５ｍｇ「トーワ」</v>
      </c>
      <c r="D692" s="55" t="str">
        <f>元データ!B689</f>
        <v>東和薬品</v>
      </c>
      <c r="E692" s="27" t="str">
        <f>元データ!C689</f>
        <v>PTP</v>
      </c>
      <c r="F692" s="27" t="str">
        <f>元データ!D689</f>
        <v>140T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5" t="str">
        <f ca="1">IF(OFFSET(マスタ非採用削除!A$4,統合マスタ!$A692,0)="","",OFFSET(マスタ非採用削除!A$4,統合マスタ!$A692,0))</f>
        <v>ﾗﾓﾄ001</v>
      </c>
      <c r="O692" s="55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5" t="str">
        <f ca="1">IF(OFFSET(マスタ非採用削除!D$4,統合マスタ!$A692,0)="","",OFFSET(マスタ非採用削除!D$4,統合マスタ!$A692,0))</f>
        <v>ﾗﾓﾄ25</v>
      </c>
      <c r="R692" s="27">
        <f ca="1">IF(OFFSET(マスタ非採用削除!E$4,統合マスタ!$A692,0)="","",OFFSET(マスタ非採用削除!E$4,統合マスタ!$A692,0))</f>
        <v>1</v>
      </c>
      <c r="S692" s="55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5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5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6</v>
      </c>
      <c r="AA692" s="27"/>
    </row>
    <row r="693" spans="1:27">
      <c r="A693" s="42">
        <f>元データ!P690</f>
        <v>594</v>
      </c>
      <c r="B693" s="27">
        <f t="shared" si="10"/>
        <v>689</v>
      </c>
      <c r="C693" s="27" t="str">
        <f>DBCS(元データ!A690)</f>
        <v>ラモトリギン錠２５ｍｇ「トーワ」</v>
      </c>
      <c r="D693" s="55" t="str">
        <f>元データ!B690</f>
        <v>東和薬品</v>
      </c>
      <c r="E693" s="27" t="str">
        <f>元データ!C690</f>
        <v>バラ</v>
      </c>
      <c r="F693" s="27" t="str">
        <f>元データ!D690</f>
        <v>100T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5" t="str">
        <f ca="1">IF(OFFSET(マスタ非採用削除!A$4,統合マスタ!$A693,0)="","",OFFSET(マスタ非採用削除!A$4,統合マスタ!$A693,0))</f>
        <v>ﾗﾓﾄ001</v>
      </c>
      <c r="O693" s="55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5" t="str">
        <f ca="1">IF(OFFSET(マスタ非採用削除!D$4,統合マスタ!$A693,0)="","",OFFSET(マスタ非採用削除!D$4,統合マスタ!$A693,0))</f>
        <v>ﾗﾓﾄ25</v>
      </c>
      <c r="R693" s="27">
        <f ca="1">IF(OFFSET(マスタ非採用削除!E$4,統合マスタ!$A693,0)="","",OFFSET(マスタ非採用削除!E$4,統合マスタ!$A693,0))</f>
        <v>1</v>
      </c>
      <c r="S693" s="55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5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5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6</v>
      </c>
      <c r="AA693" s="27"/>
    </row>
    <row r="694" spans="1:27">
      <c r="A694" s="42">
        <f>元データ!P691</f>
        <v>596</v>
      </c>
      <c r="B694" s="27">
        <f t="shared" si="10"/>
        <v>690</v>
      </c>
      <c r="C694" s="27" t="str">
        <f>DBCS(元データ!A691)</f>
        <v>ランソプラゾールＯＤ錠１５ｍｇ「トーワ」</v>
      </c>
      <c r="D694" s="55" t="str">
        <f>元データ!B691</f>
        <v>東和薬品</v>
      </c>
      <c r="E694" s="27" t="str">
        <f>元データ!C691</f>
        <v>PTP</v>
      </c>
      <c r="F694" s="27" t="str">
        <f>元データ!D691</f>
        <v>500Ｔ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5" t="str">
        <f ca="1">IF(OFFSET(マスタ非採用削除!A$4,統合マスタ!$A694,0)="","",OFFSET(マスタ非採用削除!A$4,統合マスタ!$A694,0))</f>
        <v>ﾗﾝｿ001</v>
      </c>
      <c r="O694" s="55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5" t="str">
        <f ca="1">IF(OFFSET(マスタ非採用削除!D$4,統合マスタ!$A694,0)="","",OFFSET(マスタ非採用削除!D$4,統合マスタ!$A694,0))</f>
        <v>ﾗﾝｿ15</v>
      </c>
      <c r="R694" s="27">
        <f ca="1">IF(OFFSET(マスタ非採用削除!E$4,統合マスタ!$A694,0)="","",OFFSET(マスタ非採用削除!E$4,統合マスタ!$A694,0))</f>
        <v>1</v>
      </c>
      <c r="S694" s="55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5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5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5</v>
      </c>
      <c r="AA694" s="27"/>
    </row>
    <row r="695" spans="1:27">
      <c r="A695" s="42">
        <f>元データ!P692</f>
        <v>596</v>
      </c>
      <c r="B695" s="27">
        <f t="shared" si="10"/>
        <v>691</v>
      </c>
      <c r="C695" s="27" t="str">
        <f>DBCS(元データ!A692)</f>
        <v>ランソプラゾールＯＤ錠１５ｍｇ「トーワ」</v>
      </c>
      <c r="D695" s="55" t="str">
        <f>元データ!B692</f>
        <v>東和薬品</v>
      </c>
      <c r="E695" s="27" t="str">
        <f>元データ!C692</f>
        <v>バラ</v>
      </c>
      <c r="F695" s="27" t="str">
        <f>元データ!D692</f>
        <v>500Ｔ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5" t="str">
        <f ca="1">IF(OFFSET(マスタ非採用削除!A$4,統合マスタ!$A695,0)="","",OFFSET(マスタ非採用削除!A$4,統合マスタ!$A695,0))</f>
        <v>ﾗﾝｿ001</v>
      </c>
      <c r="O695" s="55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5" t="str">
        <f ca="1">IF(OFFSET(マスタ非採用削除!D$4,統合マスタ!$A695,0)="","",OFFSET(マスタ非採用削除!D$4,統合マスタ!$A695,0))</f>
        <v>ﾗﾝｿ15</v>
      </c>
      <c r="R695" s="27">
        <f ca="1">IF(OFFSET(マスタ非採用削除!E$4,統合マスタ!$A695,0)="","",OFFSET(マスタ非採用削除!E$4,統合マスタ!$A695,0))</f>
        <v>1</v>
      </c>
      <c r="S695" s="55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5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5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5</v>
      </c>
      <c r="AA695" s="27"/>
    </row>
    <row r="696" spans="1:27">
      <c r="A696" s="42" t="str">
        <f>元データ!P693</f>
        <v>非採用</v>
      </c>
      <c r="B696" s="27">
        <f t="shared" si="10"/>
        <v>692</v>
      </c>
      <c r="C696" s="27" t="str">
        <f>DBCS(元データ!A693)</f>
        <v>ランタスＸＲ注ソロスター４５０単位</v>
      </c>
      <c r="D696" s="55" t="str">
        <f>元データ!B693</f>
        <v>アルフレッサ</v>
      </c>
      <c r="E696" s="27" t="str">
        <f>元データ!C693</f>
        <v/>
      </c>
      <c r="F696" s="27" t="str">
        <f>元データ!D693</f>
        <v>1.5ｍｌｘ2本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5" t="e">
        <f ca="1">IF(OFFSET(マスタ非採用削除!A$4,統合マスタ!$A696,0)="","",OFFSET(マスタ非採用削除!A$4,統合マスタ!$A696,0))</f>
        <v>#VALUE!</v>
      </c>
      <c r="O696" s="55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5" t="e">
        <f ca="1">IF(OFFSET(マスタ非採用削除!D$4,統合マスタ!$A696,0)="","",OFFSET(マスタ非採用削除!D$4,統合マスタ!$A696,0))</f>
        <v>#VALUE!</v>
      </c>
      <c r="R696" s="27" t="e">
        <f ca="1">IF(OFFSET(マスタ非採用削除!E$4,統合マスタ!$A696,0)="","",OFFSET(マスタ非採用削除!E$4,統合マスタ!$A696,0))</f>
        <v>#VALUE!</v>
      </c>
      <c r="S696" s="55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5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5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">
        <v>4076</v>
      </c>
    </row>
    <row r="697" spans="1:27">
      <c r="A697" s="42">
        <f>元データ!P694</f>
        <v>597</v>
      </c>
      <c r="B697" s="27">
        <f t="shared" si="10"/>
        <v>693</v>
      </c>
      <c r="C697" s="27" t="str">
        <f>DBCS(元データ!A694)</f>
        <v>ランタス注ソロスター３００単位</v>
      </c>
      <c r="D697" s="55" t="str">
        <f>元データ!B694</f>
        <v>アルフレッサ</v>
      </c>
      <c r="E697" s="27" t="str">
        <f>元データ!C694</f>
        <v/>
      </c>
      <c r="F697" s="27" t="str">
        <f>元データ!D694</f>
        <v>3ｍｌｘ2本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5" t="str">
        <f ca="1">IF(OFFSET(マスタ非採用削除!A$4,統合マスタ!$A697,0)="","",OFFSET(マスタ非採用削除!A$4,統合マスタ!$A697,0))</f>
        <v>ﾗﾝﾀ001</v>
      </c>
      <c r="O697" s="55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5" t="str">
        <f ca="1">IF(OFFSET(マスタ非採用削除!D$4,統合マスタ!$A697,0)="","",OFFSET(マスタ非採用削除!D$4,統合マスタ!$A697,0))</f>
        <v>ﾗﾝﾀｽ</v>
      </c>
      <c r="R697" s="27">
        <f ca="1">IF(OFFSET(マスタ非採用削除!E$4,統合マスタ!$A697,0)="","",OFFSET(マスタ非採用削除!E$4,統合マスタ!$A697,0))</f>
        <v>2</v>
      </c>
      <c r="S697" s="55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5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5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/>
    </row>
    <row r="698" spans="1:27">
      <c r="A698" s="42">
        <f>元データ!P695</f>
        <v>619</v>
      </c>
      <c r="B698" s="27">
        <f t="shared" si="10"/>
        <v>694</v>
      </c>
      <c r="C698" s="27" t="str">
        <f>DBCS(元データ!A695)</f>
        <v>リーゼ錠５ｍｇ</v>
      </c>
      <c r="D698" s="55" t="str">
        <f>元データ!B695</f>
        <v>メディセオ</v>
      </c>
      <c r="E698" s="27" t="str">
        <f>元データ!C695</f>
        <v>PTP</v>
      </c>
      <c r="F698" s="27" t="str">
        <f>元データ!D695</f>
        <v>100Ｔ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5" t="str">
        <f ca="1">IF(OFFSET(マスタ非採用削除!A$4,統合マスタ!$A698,0)="","",OFFSET(マスタ非採用削除!A$4,統合マスタ!$A698,0))</f>
        <v>ﾘｾｼ001</v>
      </c>
      <c r="O698" s="55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5" t="str">
        <f ca="1">IF(OFFSET(マスタ非採用削除!D$4,統合マスタ!$A698,0)="","",OFFSET(マスタ非採用削除!D$4,統合マスタ!$A698,0))</f>
        <v>ﾘｰｾﾞ5</v>
      </c>
      <c r="R698" s="27">
        <f ca="1">IF(OFFSET(マスタ非採用削除!E$4,統合マスタ!$A698,0)="","",OFFSET(マスタ非採用削除!E$4,統合マスタ!$A698,0))</f>
        <v>1</v>
      </c>
      <c r="S698" s="55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5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5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/>
    </row>
    <row r="699" spans="1:27">
      <c r="A699" s="42">
        <f>元データ!P696</f>
        <v>598</v>
      </c>
      <c r="B699" s="27">
        <f t="shared" si="10"/>
        <v>695</v>
      </c>
      <c r="C699" s="27" t="str">
        <f>DBCS(元データ!A696)</f>
        <v>リオレサール錠５ｍｇ</v>
      </c>
      <c r="D699" s="55" t="str">
        <f>元データ!B696</f>
        <v>メディセオ</v>
      </c>
      <c r="E699" s="27" t="str">
        <f>元データ!C696</f>
        <v>PTP</v>
      </c>
      <c r="F699" s="27" t="str">
        <f>元データ!D696</f>
        <v>100Ｔ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5" t="str">
        <f ca="1">IF(OFFSET(マスタ非採用削除!A$4,統合マスタ!$A699,0)="","",OFFSET(マスタ非採用削除!A$4,統合マスタ!$A699,0))</f>
        <v>ﾘｵﾚ001</v>
      </c>
      <c r="O699" s="55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5" t="str">
        <f ca="1">IF(OFFSET(マスタ非採用削除!D$4,統合マスタ!$A699,0)="","",OFFSET(マスタ非採用削除!D$4,統合マスタ!$A699,0))</f>
        <v>ﾘｵﾚ</v>
      </c>
      <c r="R699" s="27">
        <f ca="1">IF(OFFSET(マスタ非採用削除!E$4,統合マスタ!$A699,0)="","",OFFSET(マスタ非採用削除!E$4,統合マスタ!$A699,0))</f>
        <v>2</v>
      </c>
      <c r="S699" s="55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5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5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/>
    </row>
    <row r="700" spans="1:27">
      <c r="A700" s="42">
        <f>元データ!P697</f>
        <v>599</v>
      </c>
      <c r="B700" s="27">
        <f t="shared" si="10"/>
        <v>696</v>
      </c>
      <c r="C700" s="27" t="str">
        <f>DBCS(元データ!A697)</f>
        <v>リクシアナＯＤ錠３０ｍｇ</v>
      </c>
      <c r="D700" s="55" t="str">
        <f>元データ!B697</f>
        <v>メディセオ</v>
      </c>
      <c r="E700" s="27" t="str">
        <f>元データ!C697</f>
        <v>バラ</v>
      </c>
      <c r="F700" s="27" t="str">
        <f>元データ!D697</f>
        <v>100Ｔ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5" t="str">
        <f ca="1">IF(OFFSET(マスタ非採用削除!A$4,統合マスタ!$A700,0)="","",OFFSET(マスタ非採用削除!A$4,統合マスタ!$A700,0))</f>
        <v>ﾘｸｼ001</v>
      </c>
      <c r="O700" s="55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5" t="str">
        <f ca="1">IF(OFFSET(マスタ非採用削除!D$4,統合マスタ!$A700,0)="","",OFFSET(マスタ非採用削除!D$4,統合マスタ!$A700,0))</f>
        <v>ﾘｸｼ1</v>
      </c>
      <c r="R700" s="27">
        <f ca="1">IF(OFFSET(マスタ非採用削除!E$4,統合マスタ!$A700,0)="","",OFFSET(マスタ非採用削除!E$4,統合マスタ!$A700,0))</f>
        <v>1</v>
      </c>
      <c r="S700" s="55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5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5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5</v>
      </c>
      <c r="AA700" s="27"/>
    </row>
    <row r="701" spans="1:27">
      <c r="A701" s="42">
        <f>元データ!P698</f>
        <v>600</v>
      </c>
      <c r="B701" s="27">
        <f t="shared" si="10"/>
        <v>697</v>
      </c>
      <c r="C701" s="27" t="str">
        <f>DBCS(元データ!A698)</f>
        <v>リクラスト点滴静注液５ｍｇ</v>
      </c>
      <c r="D701" s="55" t="str">
        <f>元データ!B698</f>
        <v/>
      </c>
      <c r="E701" s="27" t="str">
        <f>元データ!C698</f>
        <v/>
      </c>
      <c r="F701" s="27" t="str">
        <f>元データ!D698</f>
        <v>1袋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5" t="str">
        <f ca="1">IF(OFFSET(マスタ非採用削除!A$4,統合マスタ!$A701,0)="","",OFFSET(マスタ非採用削除!A$4,統合マスタ!$A701,0))</f>
        <v>ﾘｸﾗ001</v>
      </c>
      <c r="O701" s="55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5" t="str">
        <f ca="1">IF(OFFSET(マスタ非採用削除!D$4,統合マスタ!$A701,0)="","",OFFSET(マスタ非採用削除!D$4,統合マスタ!$A701,0))</f>
        <v>ﾘｸﾗ</v>
      </c>
      <c r="R701" s="27">
        <f ca="1">IF(OFFSET(マスタ非採用削除!E$4,統合マスタ!$A701,0)="","",OFFSET(マスタ非採用削除!E$4,統合マスタ!$A701,0))</f>
        <v>2</v>
      </c>
      <c r="S701" s="55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5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5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/>
    </row>
    <row r="702" spans="1:27">
      <c r="A702" s="42">
        <f>元データ!P699</f>
        <v>609</v>
      </c>
      <c r="B702" s="27">
        <f t="shared" si="10"/>
        <v>698</v>
      </c>
      <c r="C702" s="27" t="str">
        <f>DBCS(元データ!A699)</f>
        <v>リスパダールコンスタ筋注用２５ｍｇ</v>
      </c>
      <c r="D702" s="55" t="str">
        <f>元データ!B699</f>
        <v>アルフレッサ</v>
      </c>
      <c r="E702" s="27" t="str">
        <f>元データ!C699</f>
        <v/>
      </c>
      <c r="F702" s="27" t="str">
        <f>元データ!D699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5" t="str">
        <f ca="1">IF(OFFSET(マスタ非採用削除!A$4,統合マスタ!$A702,0)="","",OFFSET(マスタ非採用削除!A$4,統合マスタ!$A702,0))</f>
        <v>ﾘｽﾊ008</v>
      </c>
      <c r="O702" s="55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5" t="str">
        <f ca="1">IF(OFFSET(マスタ非採用削除!D$4,統合マスタ!$A702,0)="","",OFFSET(マスタ非採用削除!D$4,統合マスタ!$A702,0))</f>
        <v>ﾘｽﾊﾟｺ1</v>
      </c>
      <c r="R702" s="27">
        <f ca="1">IF(OFFSET(マスタ非採用削除!E$4,統合マスタ!$A702,0)="","",OFFSET(マスタ非採用削除!E$4,統合マスタ!$A702,0))</f>
        <v>1</v>
      </c>
      <c r="S702" s="55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5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5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/>
    </row>
    <row r="703" spans="1:27">
      <c r="A703" s="42">
        <f>元データ!P700</f>
        <v>611</v>
      </c>
      <c r="B703" s="27">
        <f t="shared" si="10"/>
        <v>699</v>
      </c>
      <c r="C703" s="27" t="str">
        <f>DBCS(元データ!A700)</f>
        <v>リスパダールコンスタ筋注用５０ｍｇ</v>
      </c>
      <c r="D703" s="55" t="str">
        <f>元データ!B700</f>
        <v>アルフレッサ</v>
      </c>
      <c r="E703" s="27" t="str">
        <f>元データ!C700</f>
        <v/>
      </c>
      <c r="F703" s="27" t="str">
        <f>元データ!D700</f>
        <v>1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5" t="str">
        <f ca="1">IF(OFFSET(マスタ非採用削除!A$4,統合マスタ!$A703,0)="","",OFFSET(マスタ非採用削除!A$4,統合マスタ!$A703,0))</f>
        <v>ﾘｽﾊ010</v>
      </c>
      <c r="O703" s="55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5" t="str">
        <f ca="1">IF(OFFSET(マスタ非採用削除!D$4,統合マスタ!$A703,0)="","",OFFSET(マスタ非採用削除!D$4,統合マスタ!$A703,0))</f>
        <v>ﾘｽﾊﾟｺ3</v>
      </c>
      <c r="R703" s="27">
        <f ca="1">IF(OFFSET(マスタ非採用削除!E$4,統合マスタ!$A703,0)="","",OFFSET(マスタ非採用削除!E$4,統合マスタ!$A703,0))</f>
        <v>1</v>
      </c>
      <c r="S703" s="55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5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5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/>
    </row>
    <row r="704" spans="1:27">
      <c r="A704" s="42">
        <f>元データ!P701</f>
        <v>608</v>
      </c>
      <c r="B704" s="27">
        <f t="shared" si="10"/>
        <v>700</v>
      </c>
      <c r="C704" s="27" t="str">
        <f>DBCS(元データ!A701)</f>
        <v>リスパダール細粒１％</v>
      </c>
      <c r="D704" s="55" t="str">
        <f>元データ!B701</f>
        <v>アルフレッサ</v>
      </c>
      <c r="E704" s="27" t="str">
        <f>元データ!C701</f>
        <v>粉</v>
      </c>
      <c r="F704" s="27" t="str">
        <f>元データ!D701</f>
        <v>100ｇ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5" t="str">
        <f ca="1">IF(OFFSET(マスタ非採用削除!A$4,統合マスタ!$A704,0)="","",OFFSET(マスタ非採用削除!A$4,統合マスタ!$A704,0))</f>
        <v>ﾘｽﾊ007</v>
      </c>
      <c r="O704" s="55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5" t="str">
        <f ca="1">IF(OFFSET(マスタ非採用削除!D$4,統合マスタ!$A704,0)="","",OFFSET(マスタ非採用削除!D$4,統合マスタ!$A704,0))</f>
        <v>ﾘｽﾊﾟ4</v>
      </c>
      <c r="R704" s="27">
        <f ca="1">IF(OFFSET(マスタ非採用削除!E$4,統合マスタ!$A704,0)="","",OFFSET(マスタ非採用削除!E$4,統合マスタ!$A704,0))</f>
        <v>1</v>
      </c>
      <c r="S704" s="55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5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5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/>
    </row>
    <row r="705" spans="1:27">
      <c r="A705" s="42">
        <f>元データ!P702</f>
        <v>602</v>
      </c>
      <c r="B705" s="27">
        <f t="shared" si="10"/>
        <v>701</v>
      </c>
      <c r="C705" s="27" t="str">
        <f>DBCS(元データ!A702)</f>
        <v>リスパダール錠１ｍｇ　　　　　　　　　　</v>
      </c>
      <c r="D705" s="55" t="str">
        <f>元データ!B702</f>
        <v>アルフレッサ</v>
      </c>
      <c r="E705" s="27" t="str">
        <f>元データ!C702</f>
        <v>PTP</v>
      </c>
      <c r="F705" s="27" t="str">
        <f>元データ!D702</f>
        <v>100Ｔ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5" t="str">
        <f ca="1">IF(OFFSET(マスタ非採用削除!A$4,統合マスタ!$A705,0)="","",OFFSET(マスタ非採用削除!A$4,統合マスタ!$A705,0))</f>
        <v>ﾘｽﾊ001</v>
      </c>
      <c r="O705" s="55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5" t="str">
        <f ca="1">IF(OFFSET(マスタ非採用削除!D$4,統合マスタ!$A705,0)="","",OFFSET(マスタ非採用削除!D$4,統合マスタ!$A705,0))</f>
        <v>ﾘｽﾊﾟ1</v>
      </c>
      <c r="R705" s="27">
        <f ca="1">IF(OFFSET(マスタ非採用削除!E$4,統合マスタ!$A705,0)="","",OFFSET(マスタ非採用削除!E$4,統合マスタ!$A705,0))</f>
        <v>1</v>
      </c>
      <c r="S705" s="55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5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5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6</v>
      </c>
      <c r="AA705" s="27"/>
    </row>
    <row r="706" spans="1:27">
      <c r="A706" s="42">
        <f>元データ!P703</f>
        <v>602</v>
      </c>
      <c r="B706" s="27">
        <f t="shared" si="10"/>
        <v>702</v>
      </c>
      <c r="C706" s="27" t="str">
        <f>DBCS(元データ!A703)</f>
        <v>リスパダール錠１ｍｇ　　　　　　　　　　</v>
      </c>
      <c r="D706" s="55" t="str">
        <f>元データ!B703</f>
        <v>アルフレッサ</v>
      </c>
      <c r="E706" s="27" t="str">
        <f>元データ!C703</f>
        <v>バラ</v>
      </c>
      <c r="F706" s="27" t="str">
        <f>元データ!D703</f>
        <v>1000Ｔ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5" t="str">
        <f ca="1">IF(OFFSET(マスタ非採用削除!A$4,統合マスタ!$A706,0)="","",OFFSET(マスタ非採用削除!A$4,統合マスタ!$A706,0))</f>
        <v>ﾘｽﾊ001</v>
      </c>
      <c r="O706" s="55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5" t="str">
        <f ca="1">IF(OFFSET(マスタ非採用削除!D$4,統合マスタ!$A706,0)="","",OFFSET(マスタ非採用削除!D$4,統合マスタ!$A706,0))</f>
        <v>ﾘｽﾊﾟ1</v>
      </c>
      <c r="R706" s="27">
        <f ca="1">IF(OFFSET(マスタ非採用削除!E$4,統合マスタ!$A706,0)="","",OFFSET(マスタ非採用削除!E$4,統合マスタ!$A706,0))</f>
        <v>1</v>
      </c>
      <c r="S706" s="55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5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5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6</v>
      </c>
      <c r="AA706" s="27"/>
    </row>
    <row r="707" spans="1:27">
      <c r="A707" s="42">
        <f>元データ!P704</f>
        <v>606</v>
      </c>
      <c r="B707" s="27">
        <f t="shared" si="10"/>
        <v>703</v>
      </c>
      <c r="C707" s="27" t="str">
        <f>DBCS(元データ!A704)</f>
        <v>リスパダール錠２ｍｇ　　　　　　　　　　</v>
      </c>
      <c r="D707" s="55" t="str">
        <f>元データ!B704</f>
        <v>アルフレッサ</v>
      </c>
      <c r="E707" s="27" t="str">
        <f>元データ!C704</f>
        <v>PTP</v>
      </c>
      <c r="F707" s="27" t="str">
        <f>元データ!D704</f>
        <v>100Ｔ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5" t="str">
        <f ca="1">IF(OFFSET(マスタ非採用削除!A$4,統合マスタ!$A707,0)="","",OFFSET(マスタ非採用削除!A$4,統合マスタ!$A707,0))</f>
        <v>ﾘｽﾊ005</v>
      </c>
      <c r="O707" s="55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5" t="str">
        <f ca="1">IF(OFFSET(マスタ非採用削除!D$4,統合マスタ!$A707,0)="","",OFFSET(マスタ非採用削除!D$4,統合マスタ!$A707,0))</f>
        <v>ﾘｽﾊﾟ2</v>
      </c>
      <c r="R707" s="27">
        <f ca="1">IF(OFFSET(マスタ非採用削除!E$4,統合マスタ!$A707,0)="","",OFFSET(マスタ非採用削除!E$4,統合マスタ!$A707,0))</f>
        <v>1</v>
      </c>
      <c r="S707" s="55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5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5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6</v>
      </c>
      <c r="AA707" s="27"/>
    </row>
    <row r="708" spans="1:27">
      <c r="A708" s="42">
        <f>元データ!P705</f>
        <v>606</v>
      </c>
      <c r="B708" s="27">
        <f t="shared" si="10"/>
        <v>704</v>
      </c>
      <c r="C708" s="27" t="str">
        <f>DBCS(元データ!A705)</f>
        <v>リスパダール錠２ｍｇ　　　　　　　　　　</v>
      </c>
      <c r="D708" s="55" t="str">
        <f>元データ!B705</f>
        <v>アルフレッサ</v>
      </c>
      <c r="E708" s="27" t="str">
        <f>元データ!C705</f>
        <v>バラ</v>
      </c>
      <c r="F708" s="27" t="str">
        <f>元データ!D705</f>
        <v>1000Ｔ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5" t="str">
        <f ca="1">IF(OFFSET(マスタ非採用削除!A$4,統合マスタ!$A708,0)="","",OFFSET(マスタ非採用削除!A$4,統合マスタ!$A708,0))</f>
        <v>ﾘｽﾊ005</v>
      </c>
      <c r="O708" s="55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5" t="str">
        <f ca="1">IF(OFFSET(マスタ非採用削除!D$4,統合マスタ!$A708,0)="","",OFFSET(マスタ非採用削除!D$4,統合マスタ!$A708,0))</f>
        <v>ﾘｽﾊﾟ2</v>
      </c>
      <c r="R708" s="27">
        <f ca="1">IF(OFFSET(マスタ非採用削除!E$4,統合マスタ!$A708,0)="","",OFFSET(マスタ非採用削除!E$4,統合マスタ!$A708,0))</f>
        <v>1</v>
      </c>
      <c r="S708" s="55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5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5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6</v>
      </c>
      <c r="AA708" s="27"/>
    </row>
    <row r="709" spans="1:27">
      <c r="A709" s="42">
        <f>元データ!P706</f>
        <v>607</v>
      </c>
      <c r="B709" s="27">
        <f t="shared" si="10"/>
        <v>705</v>
      </c>
      <c r="C709" s="27" t="str">
        <f>DBCS(元データ!A706)</f>
        <v>リスパダール錠３ｍｇ</v>
      </c>
      <c r="D709" s="55" t="str">
        <f>元データ!B706</f>
        <v>アルフレッサ</v>
      </c>
      <c r="E709" s="27" t="str">
        <f>元データ!C706</f>
        <v>PTP</v>
      </c>
      <c r="F709" s="27" t="str">
        <f>元データ!D706</f>
        <v>100Ｔ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5" t="str">
        <f ca="1">IF(OFFSET(マスタ非採用削除!A$4,統合マスタ!$A709,0)="","",OFFSET(マスタ非採用削除!A$4,統合マスタ!$A709,0))</f>
        <v>ﾘｽﾊ006</v>
      </c>
      <c r="O709" s="55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5" t="str">
        <f ca="1">IF(OFFSET(マスタ非採用削除!D$4,統合マスタ!$A709,0)="","",OFFSET(マスタ非採用削除!D$4,統合マスタ!$A709,0))</f>
        <v>ﾘｽﾊﾟ3</v>
      </c>
      <c r="R709" s="27">
        <f ca="1">IF(OFFSET(マスタ非採用削除!E$4,統合マスタ!$A709,0)="","",OFFSET(マスタ非採用削除!E$4,統合マスタ!$A709,0))</f>
        <v>1</v>
      </c>
      <c r="S709" s="55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5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5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6</v>
      </c>
      <c r="AA709" s="27"/>
    </row>
    <row r="710" spans="1:27">
      <c r="A710" s="42">
        <f>元データ!P707</f>
        <v>607</v>
      </c>
      <c r="B710" s="27">
        <f t="shared" si="10"/>
        <v>706</v>
      </c>
      <c r="C710" s="27" t="str">
        <f>DBCS(元データ!A707)</f>
        <v>リスパダール錠３ｍｇ</v>
      </c>
      <c r="D710" s="55" t="str">
        <f>元データ!B707</f>
        <v>アルフレッサ</v>
      </c>
      <c r="E710" s="27" t="str">
        <f>元データ!C707</f>
        <v>バラ</v>
      </c>
      <c r="F710" s="27" t="str">
        <f>元データ!D707</f>
        <v>1000Ｔ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5" t="str">
        <f ca="1">IF(OFFSET(マスタ非採用削除!A$4,統合マスタ!$A710,0)="","",OFFSET(マスタ非採用削除!A$4,統合マスタ!$A710,0))</f>
        <v>ﾘｽﾊ006</v>
      </c>
      <c r="O710" s="55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5" t="str">
        <f ca="1">IF(OFFSET(マスタ非採用削除!D$4,統合マスタ!$A710,0)="","",OFFSET(マスタ非採用削除!D$4,統合マスタ!$A710,0))</f>
        <v>ﾘｽﾊﾟ3</v>
      </c>
      <c r="R710" s="27">
        <f ca="1">IF(OFFSET(マスタ非採用削除!E$4,統合マスタ!$A710,0)="","",OFFSET(マスタ非採用削除!E$4,統合マスタ!$A710,0))</f>
        <v>1</v>
      </c>
      <c r="S710" s="55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5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5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6</v>
      </c>
      <c r="AA710" s="27"/>
    </row>
    <row r="711" spans="1:27">
      <c r="A711" s="42">
        <f>元データ!P708</f>
        <v>604</v>
      </c>
      <c r="B711" s="27">
        <f t="shared" ref="B711:B774" si="11">B710+1</f>
        <v>707</v>
      </c>
      <c r="C711" s="27" t="str">
        <f>DBCS(元データ!A708)</f>
        <v>リスパダール内用液　１ｍｇ／ｍｌ（３０ｍｌ瓶）　　　</v>
      </c>
      <c r="D711" s="55" t="str">
        <f>元データ!B708</f>
        <v>アルフレッサ</v>
      </c>
      <c r="E711" s="27" t="str">
        <f>元データ!C708</f>
        <v/>
      </c>
      <c r="F711" s="27" t="str">
        <f>元データ!D708</f>
        <v>3０ｍＬ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5" t="str">
        <f ca="1">IF(OFFSET(マスタ非採用削除!A$4,統合マスタ!$A711,0)="","",OFFSET(マスタ非採用削除!A$4,統合マスタ!$A711,0))</f>
        <v>ﾘｽﾊ003</v>
      </c>
      <c r="O711" s="55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5" t="str">
        <f ca="1">IF(OFFSET(マスタ非採用削除!D$4,統合マスタ!$A711,0)="","",OFFSET(マスタ非採用削除!D$4,統合マスタ!$A711,0))</f>
        <v>ﾘｽﾊﾟ6</v>
      </c>
      <c r="R711" s="27">
        <f ca="1">IF(OFFSET(マスタ非採用削除!E$4,統合マスタ!$A711,0)="","",OFFSET(マスタ非採用削除!E$4,統合マスタ!$A711,0))</f>
        <v>1</v>
      </c>
      <c r="S711" s="55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5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5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/>
    </row>
    <row r="712" spans="1:27">
      <c r="A712" s="42">
        <f>元データ!P709</f>
        <v>605</v>
      </c>
      <c r="B712" s="27">
        <f t="shared" si="11"/>
        <v>708</v>
      </c>
      <c r="C712" s="27" t="str">
        <f>DBCS(元データ!A709)</f>
        <v>リスパダール内用液（１ｍｇ／ｍｌ）０．５ｍｌ</v>
      </c>
      <c r="D712" s="55" t="str">
        <f>元データ!B709</f>
        <v>アルフレッサ</v>
      </c>
      <c r="E712" s="27" t="str">
        <f>元データ!C709</f>
        <v/>
      </c>
      <c r="F712" s="27" t="str">
        <f>元データ!D709</f>
        <v>0.5ml×50包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5" t="str">
        <f ca="1">IF(OFFSET(マスタ非採用削除!A$4,統合マスタ!$A712,0)="","",OFFSET(マスタ非採用削除!A$4,統合マスタ!$A712,0))</f>
        <v>ﾘｽﾊ004</v>
      </c>
      <c r="O712" s="55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5" t="str">
        <f ca="1">IF(OFFSET(マスタ非採用削除!D$4,統合マスタ!$A712,0)="","",OFFSET(マスタ非採用削除!D$4,統合マスタ!$A712,0))</f>
        <v>ﾘｽﾊﾟ7</v>
      </c>
      <c r="R712" s="27">
        <f ca="1">IF(OFFSET(マスタ非採用削除!E$4,統合マスタ!$A712,0)="","",OFFSET(マスタ非採用削除!E$4,統合マスタ!$A712,0))</f>
        <v>1</v>
      </c>
      <c r="S712" s="55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5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5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/>
    </row>
    <row r="713" spans="1:27">
      <c r="A713" s="42">
        <f>元データ!P710</f>
        <v>603</v>
      </c>
      <c r="B713" s="27">
        <f t="shared" si="11"/>
        <v>709</v>
      </c>
      <c r="C713" s="27" t="str">
        <f>DBCS(元データ!A710)</f>
        <v>リスパダール内用液１ｍｇ／ｍｌ　　（１ｍｌ）　　　　</v>
      </c>
      <c r="D713" s="55" t="str">
        <f>元データ!B710</f>
        <v>アルフレッサ</v>
      </c>
      <c r="E713" s="27" t="str">
        <f>元データ!C710</f>
        <v/>
      </c>
      <c r="F713" s="27" t="str">
        <f>元データ!D710</f>
        <v>１ｍｌｘ50包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5" t="str">
        <f ca="1">IF(OFFSET(マスタ非採用削除!A$4,統合マスタ!$A713,0)="","",OFFSET(マスタ非採用削除!A$4,統合マスタ!$A713,0))</f>
        <v>ﾘｽﾊ002</v>
      </c>
      <c r="O713" s="55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5" t="str">
        <f ca="1">IF(OFFSET(マスタ非採用削除!D$4,統合マスタ!$A713,0)="","",OFFSET(マスタ非採用削除!D$4,統合マスタ!$A713,0))</f>
        <v>ﾘｽﾊﾟ5</v>
      </c>
      <c r="R713" s="27">
        <f ca="1">IF(OFFSET(マスタ非採用削除!E$4,統合マスタ!$A713,0)="","",OFFSET(マスタ非採用削除!E$4,統合マスタ!$A713,0))</f>
        <v>1</v>
      </c>
      <c r="S713" s="55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5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5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/>
    </row>
    <row r="714" spans="1:27">
      <c r="A714" s="42">
        <f>元データ!P711</f>
        <v>614</v>
      </c>
      <c r="B714" s="27">
        <f t="shared" si="11"/>
        <v>710</v>
      </c>
      <c r="C714" s="27" t="str">
        <f>DBCS(元データ!A711)</f>
        <v>リスペリドンＯＤ錠０．５ｍｇ「アメル」</v>
      </c>
      <c r="D714" s="55" t="str">
        <f>元データ!B711</f>
        <v>アルフレッサ</v>
      </c>
      <c r="E714" s="27" t="str">
        <f>元データ!C711</f>
        <v>PTP</v>
      </c>
      <c r="F714" s="27" t="str">
        <f>元データ!D711</f>
        <v>100T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5" t="str">
        <f ca="1">IF(OFFSET(マスタ非採用削除!A$4,統合マスタ!$A714,0)="","",OFFSET(マスタ非採用削除!A$4,統合マスタ!$A714,0))</f>
        <v>ﾘｽﾍ010</v>
      </c>
      <c r="O714" s="55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5" t="str">
        <f ca="1">IF(OFFSET(マスタ非採用削除!D$4,統合マスタ!$A714,0)="","",OFFSET(マスタ非採用削除!D$4,統合マスタ!$A714,0))</f>
        <v/>
      </c>
      <c r="R714" s="27">
        <f ca="1">IF(OFFSET(マスタ非採用削除!E$4,統合マスタ!$A714,0)="","",OFFSET(マスタ非採用削除!E$4,統合マスタ!$A714,0))</f>
        <v>1</v>
      </c>
      <c r="S714" s="55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5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5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6</v>
      </c>
      <c r="AA714" s="27"/>
    </row>
    <row r="715" spans="1:27">
      <c r="A715" s="42">
        <f>元データ!P712</f>
        <v>614</v>
      </c>
      <c r="B715" s="27">
        <f t="shared" si="11"/>
        <v>711</v>
      </c>
      <c r="C715" s="27" t="str">
        <f>DBCS(元データ!A712)</f>
        <v>リスペリドンＯＤ錠０．５ｍｇ「アメル」</v>
      </c>
      <c r="D715" s="55" t="str">
        <f>元データ!B712</f>
        <v>アルフレッサ</v>
      </c>
      <c r="E715" s="27" t="str">
        <f>元データ!C712</f>
        <v>バラ</v>
      </c>
      <c r="F715" s="27" t="str">
        <f>元データ!D712</f>
        <v>500T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5" t="str">
        <f ca="1">IF(OFFSET(マスタ非採用削除!A$4,統合マスタ!$A715,0)="","",OFFSET(マスタ非採用削除!A$4,統合マスタ!$A715,0))</f>
        <v>ﾘｽﾍ010</v>
      </c>
      <c r="O715" s="55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5" t="str">
        <f ca="1">IF(OFFSET(マスタ非採用削除!D$4,統合マスタ!$A715,0)="","",OFFSET(マスタ非採用削除!D$4,統合マスタ!$A715,0))</f>
        <v/>
      </c>
      <c r="R715" s="27">
        <f ca="1">IF(OFFSET(マスタ非採用削除!E$4,統合マスタ!$A715,0)="","",OFFSET(マスタ非採用削除!E$4,統合マスタ!$A715,0))</f>
        <v>1</v>
      </c>
      <c r="S715" s="55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5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5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6</v>
      </c>
      <c r="AA715" s="27"/>
    </row>
    <row r="716" spans="1:27">
      <c r="A716" s="42">
        <f>元データ!P713</f>
        <v>615</v>
      </c>
      <c r="B716" s="27">
        <f t="shared" si="11"/>
        <v>712</v>
      </c>
      <c r="C716" s="27" t="str">
        <f>DBCS(元データ!A713)</f>
        <v>リスペリドンＯＤ錠１ｍｇ「アメル」</v>
      </c>
      <c r="D716" s="55" t="str">
        <f>元データ!B713</f>
        <v>アルフレッサ</v>
      </c>
      <c r="E716" s="27" t="str">
        <f>元データ!C713</f>
        <v>PTP</v>
      </c>
      <c r="F716" s="27" t="str">
        <f>元データ!D713</f>
        <v>100T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5" t="str">
        <f ca="1">IF(OFFSET(マスタ非採用削除!A$4,統合マスタ!$A716,0)="","",OFFSET(マスタ非採用削除!A$4,統合マスタ!$A716,0))</f>
        <v>ﾘｽﾍ011</v>
      </c>
      <c r="O716" s="55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5" t="str">
        <f ca="1">IF(OFFSET(マスタ非採用削除!D$4,統合マスタ!$A716,0)="","",OFFSET(マスタ非採用削除!D$4,統合マスタ!$A716,0))</f>
        <v/>
      </c>
      <c r="R716" s="27">
        <f ca="1">IF(OFFSET(マスタ非採用削除!E$4,統合マスタ!$A716,0)="","",OFFSET(マスタ非採用削除!E$4,統合マスタ!$A716,0))</f>
        <v>1</v>
      </c>
      <c r="S716" s="55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5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5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6</v>
      </c>
      <c r="AA716" s="27"/>
    </row>
    <row r="717" spans="1:27">
      <c r="A717" s="42">
        <f>元データ!P714</f>
        <v>615</v>
      </c>
      <c r="B717" s="27">
        <f t="shared" si="11"/>
        <v>713</v>
      </c>
      <c r="C717" s="27" t="str">
        <f>DBCS(元データ!A714)</f>
        <v>リスペリドンＯＤ錠１ｍｇ「アメル」</v>
      </c>
      <c r="D717" s="55" t="str">
        <f>元データ!B714</f>
        <v>アルフレッサ</v>
      </c>
      <c r="E717" s="27" t="str">
        <f>元データ!C714</f>
        <v>バラ</v>
      </c>
      <c r="F717" s="27" t="str">
        <f>元データ!D714</f>
        <v>500T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5" t="str">
        <f ca="1">IF(OFFSET(マスタ非採用削除!A$4,統合マスタ!$A717,0)="","",OFFSET(マスタ非採用削除!A$4,統合マスタ!$A717,0))</f>
        <v>ﾘｽﾍ011</v>
      </c>
      <c r="O717" s="55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5" t="str">
        <f ca="1">IF(OFFSET(マスタ非採用削除!D$4,統合マスタ!$A717,0)="","",OFFSET(マスタ非採用削除!D$4,統合マスタ!$A717,0))</f>
        <v/>
      </c>
      <c r="R717" s="27">
        <f ca="1">IF(OFFSET(マスタ非採用削除!E$4,統合マスタ!$A717,0)="","",OFFSET(マスタ非採用削除!E$4,統合マスタ!$A717,0))</f>
        <v>1</v>
      </c>
      <c r="S717" s="55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5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5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6</v>
      </c>
      <c r="AA717" s="27"/>
    </row>
    <row r="718" spans="1:27">
      <c r="A718" s="42">
        <f>元データ!P715</f>
        <v>616</v>
      </c>
      <c r="B718" s="27">
        <f t="shared" si="11"/>
        <v>714</v>
      </c>
      <c r="C718" s="27" t="str">
        <f>DBCS(元データ!A715)</f>
        <v>リスペリドンＯＤ錠２ｍｇ「アメル」</v>
      </c>
      <c r="D718" s="55" t="str">
        <f>元データ!B715</f>
        <v>アルフレッサ</v>
      </c>
      <c r="E718" s="27" t="str">
        <f>元データ!C715</f>
        <v>ＰＴＰ</v>
      </c>
      <c r="F718" s="27" t="str">
        <f>元データ!D715</f>
        <v>100T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5" t="str">
        <f ca="1">IF(OFFSET(マスタ非採用削除!A$4,統合マスタ!$A718,0)="","",OFFSET(マスタ非採用削除!A$4,統合マスタ!$A718,0))</f>
        <v>ﾘｽﾍ012</v>
      </c>
      <c r="O718" s="55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5" t="str">
        <f ca="1">IF(OFFSET(マスタ非採用削除!D$4,統合マスタ!$A718,0)="","",OFFSET(マスタ非採用削除!D$4,統合マスタ!$A718,0))</f>
        <v/>
      </c>
      <c r="R718" s="27">
        <f ca="1">IF(OFFSET(マスタ非採用削除!E$4,統合マスタ!$A718,0)="","",OFFSET(マスタ非採用削除!E$4,統合マスタ!$A718,0))</f>
        <v>1</v>
      </c>
      <c r="S718" s="55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5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5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6</v>
      </c>
      <c r="AA718" s="27"/>
    </row>
    <row r="719" spans="1:27">
      <c r="A719" s="42">
        <f>元データ!P716</f>
        <v>616</v>
      </c>
      <c r="B719" s="27">
        <f t="shared" si="11"/>
        <v>715</v>
      </c>
      <c r="C719" s="27" t="str">
        <f>DBCS(元データ!A716)</f>
        <v>リスペリドンＯＤ錠２ｍｇ「アメル」</v>
      </c>
      <c r="D719" s="55" t="str">
        <f>元データ!B716</f>
        <v>アルフレッサ</v>
      </c>
      <c r="E719" s="27" t="str">
        <f>元データ!C716</f>
        <v>バラ</v>
      </c>
      <c r="F719" s="27" t="str">
        <f>元データ!D716</f>
        <v>500T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5" t="str">
        <f ca="1">IF(OFFSET(マスタ非採用削除!A$4,統合マスタ!$A719,0)="","",OFFSET(マスタ非採用削除!A$4,統合マスタ!$A719,0))</f>
        <v>ﾘｽﾍ012</v>
      </c>
      <c r="O719" s="55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5" t="str">
        <f ca="1">IF(OFFSET(マスタ非採用削除!D$4,統合マスタ!$A719,0)="","",OFFSET(マスタ非採用削除!D$4,統合マスタ!$A719,0))</f>
        <v/>
      </c>
      <c r="R719" s="27">
        <f ca="1">IF(OFFSET(マスタ非採用削除!E$4,統合マスタ!$A719,0)="","",OFFSET(マスタ非採用削除!E$4,統合マスタ!$A719,0))</f>
        <v>1</v>
      </c>
      <c r="S719" s="55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5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5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6</v>
      </c>
      <c r="AA719" s="27"/>
    </row>
    <row r="720" spans="1:27">
      <c r="A720" s="42">
        <f>元データ!P717</f>
        <v>617</v>
      </c>
      <c r="B720" s="27">
        <f t="shared" si="11"/>
        <v>716</v>
      </c>
      <c r="C720" s="27" t="str">
        <f>DBCS(元データ!A717)</f>
        <v>リスペリドンＯＤ錠３ｍｇ「アメル」</v>
      </c>
      <c r="D720" s="55" t="str">
        <f>元データ!B717</f>
        <v>アルフレッサ</v>
      </c>
      <c r="E720" s="27" t="str">
        <f>元データ!C717</f>
        <v>ＰＴＰ</v>
      </c>
      <c r="F720" s="27" t="str">
        <f>元データ!D717</f>
        <v>100T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5" t="str">
        <f ca="1">IF(OFFSET(マスタ非採用削除!A$4,統合マスタ!$A720,0)="","",OFFSET(マスタ非採用削除!A$4,統合マスタ!$A720,0))</f>
        <v>ﾘｽﾍ013</v>
      </c>
      <c r="O720" s="55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5" t="str">
        <f ca="1">IF(OFFSET(マスタ非採用削除!D$4,統合マスタ!$A720,0)="","",OFFSET(マスタ非採用削除!D$4,統合マスタ!$A720,0))</f>
        <v/>
      </c>
      <c r="R720" s="27">
        <f ca="1">IF(OFFSET(マスタ非採用削除!E$4,統合マスタ!$A720,0)="","",OFFSET(マスタ非採用削除!E$4,統合マスタ!$A720,0))</f>
        <v>1</v>
      </c>
      <c r="S720" s="55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5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5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6</v>
      </c>
      <c r="AA720" s="27"/>
    </row>
    <row r="721" spans="1:27">
      <c r="A721" s="42">
        <f>元データ!P718</f>
        <v>617</v>
      </c>
      <c r="B721" s="27">
        <f t="shared" si="11"/>
        <v>717</v>
      </c>
      <c r="C721" s="27" t="str">
        <f>DBCS(元データ!A718)</f>
        <v>リスペリドンＯＤ錠３ｍｇ「アメル」</v>
      </c>
      <c r="D721" s="55" t="str">
        <f>元データ!B718</f>
        <v>アルフレッサ</v>
      </c>
      <c r="E721" s="27" t="str">
        <f>元データ!C718</f>
        <v>バラ</v>
      </c>
      <c r="F721" s="27" t="str">
        <f>元データ!D718</f>
        <v>500T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5" t="str">
        <f ca="1">IF(OFFSET(マスタ非採用削除!A$4,統合マスタ!$A721,0)="","",OFFSET(マスタ非採用削除!A$4,統合マスタ!$A721,0))</f>
        <v>ﾘｽﾍ013</v>
      </c>
      <c r="O721" s="55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5" t="str">
        <f ca="1">IF(OFFSET(マスタ非採用削除!D$4,統合マスタ!$A721,0)="","",OFFSET(マスタ非採用削除!D$4,統合マスタ!$A721,0))</f>
        <v/>
      </c>
      <c r="R721" s="27">
        <f ca="1">IF(OFFSET(マスタ非採用削除!E$4,統合マスタ!$A721,0)="","",OFFSET(マスタ非採用削除!E$4,統合マスタ!$A721,0))</f>
        <v>1</v>
      </c>
      <c r="S721" s="55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5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5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6</v>
      </c>
      <c r="AA721" s="27"/>
    </row>
    <row r="722" spans="1:27">
      <c r="A722" s="42" t="str">
        <f>元データ!P719</f>
        <v>非採用</v>
      </c>
      <c r="B722" s="27">
        <f t="shared" si="11"/>
        <v>718</v>
      </c>
      <c r="C722" s="27" t="str">
        <f>DBCS(元データ!A719)</f>
        <v>リスペリドン細粒１％「アメル」</v>
      </c>
      <c r="D722" s="55" t="str">
        <f>元データ!B719</f>
        <v/>
      </c>
      <c r="E722" s="27" t="str">
        <f>元データ!C719</f>
        <v>粉</v>
      </c>
      <c r="F722" s="27" t="str">
        <f>元データ!D719</f>
        <v>100ｇ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5" t="e">
        <f ca="1">IF(OFFSET(マスタ非採用削除!A$4,統合マスタ!$A722,0)="","",OFFSET(マスタ非採用削除!A$4,統合マスタ!$A722,0))</f>
        <v>#VALUE!</v>
      </c>
      <c r="O722" s="55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5" t="e">
        <f ca="1">IF(OFFSET(マスタ非採用削除!D$4,統合マスタ!$A722,0)="","",OFFSET(マスタ非採用削除!D$4,統合マスタ!$A722,0))</f>
        <v>#VALUE!</v>
      </c>
      <c r="R722" s="27" t="e">
        <f ca="1">IF(OFFSET(マスタ非採用削除!E$4,統合マスタ!$A722,0)="","",OFFSET(マスタ非採用削除!E$4,統合マスタ!$A722,0))</f>
        <v>#VALUE!</v>
      </c>
      <c r="S722" s="55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5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5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">
        <v>4076</v>
      </c>
    </row>
    <row r="723" spans="1:27">
      <c r="A723" s="42">
        <f>元データ!P720</f>
        <v>614</v>
      </c>
      <c r="B723" s="27">
        <f t="shared" si="11"/>
        <v>719</v>
      </c>
      <c r="C723" s="27" t="str">
        <f>DBCS(元データ!A720)</f>
        <v>リスペリドン錠０．５ｍｇ「アメル」</v>
      </c>
      <c r="D723" s="55" t="str">
        <f>元データ!B720</f>
        <v>アルフレッサ</v>
      </c>
      <c r="E723" s="27" t="str">
        <f>元データ!C720</f>
        <v>ＰＴＰ</v>
      </c>
      <c r="F723" s="27" t="str">
        <f>元データ!D720</f>
        <v>100Ｔ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5" t="str">
        <f ca="1">IF(OFFSET(マスタ非採用削除!A$4,統合マスタ!$A723,0)="","",OFFSET(マスタ非採用削除!A$4,統合マスタ!$A723,0))</f>
        <v>ﾘｽﾍ010</v>
      </c>
      <c r="O723" s="55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5" t="str">
        <f ca="1">IF(OFFSET(マスタ非採用削除!D$4,統合マスタ!$A723,0)="","",OFFSET(マスタ非採用削除!D$4,統合マスタ!$A723,0))</f>
        <v/>
      </c>
      <c r="R723" s="27">
        <f ca="1">IF(OFFSET(マスタ非採用削除!E$4,統合マスタ!$A723,0)="","",OFFSET(マスタ非採用削除!E$4,統合マスタ!$A723,0))</f>
        <v>1</v>
      </c>
      <c r="S723" s="55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5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5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6</v>
      </c>
      <c r="AA723" s="27"/>
    </row>
    <row r="724" spans="1:27">
      <c r="A724" s="42">
        <f>元データ!P721</f>
        <v>615</v>
      </c>
      <c r="B724" s="27">
        <f t="shared" si="11"/>
        <v>720</v>
      </c>
      <c r="C724" s="27" t="str">
        <f>DBCS(元データ!A721)</f>
        <v>リスペリドン錠１ｍｇ「アメル」</v>
      </c>
      <c r="D724" s="55" t="str">
        <f>元データ!B721</f>
        <v>アルフレッサ</v>
      </c>
      <c r="E724" s="27" t="str">
        <f>元データ!C721</f>
        <v>PTP</v>
      </c>
      <c r="F724" s="27" t="str">
        <f>元データ!D721</f>
        <v>100T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5" t="str">
        <f ca="1">IF(OFFSET(マスタ非採用削除!A$4,統合マスタ!$A724,0)="","",OFFSET(マスタ非採用削除!A$4,統合マスタ!$A724,0))</f>
        <v>ﾘｽﾍ011</v>
      </c>
      <c r="O724" s="55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5" t="str">
        <f ca="1">IF(OFFSET(マスタ非採用削除!D$4,統合マスタ!$A724,0)="","",OFFSET(マスタ非採用削除!D$4,統合マスタ!$A724,0))</f>
        <v/>
      </c>
      <c r="R724" s="27">
        <f ca="1">IF(OFFSET(マスタ非採用削除!E$4,統合マスタ!$A724,0)="","",OFFSET(マスタ非採用削除!E$4,統合マスタ!$A724,0))</f>
        <v>1</v>
      </c>
      <c r="S724" s="55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5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5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6</v>
      </c>
      <c r="AA724" s="27"/>
    </row>
    <row r="725" spans="1:27">
      <c r="A725" s="42">
        <f>元データ!P722</f>
        <v>612</v>
      </c>
      <c r="B725" s="27">
        <f t="shared" si="11"/>
        <v>721</v>
      </c>
      <c r="C725" s="27" t="str">
        <f>DBCS(元データ!A722)</f>
        <v>リスペリドン内用液分包０．５ｍｇ「アメル」０．５ｍｌ</v>
      </c>
      <c r="D725" s="55" t="str">
        <f>元データ!B722</f>
        <v>アルフレッサ</v>
      </c>
      <c r="E725" s="27" t="str">
        <f>元データ!C722</f>
        <v/>
      </c>
      <c r="F725" s="27" t="str">
        <f>元データ!D722</f>
        <v>0.5ｍｌｘ50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5" t="str">
        <f ca="1">IF(OFFSET(マスタ非採用削除!A$4,統合マスタ!$A725,0)="","",OFFSET(マスタ非採用削除!A$4,統合マスタ!$A725,0))</f>
        <v>ﾘｽﾍ002</v>
      </c>
      <c r="O725" s="55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5" t="str">
        <f ca="1">IF(OFFSET(マスタ非採用削除!D$4,統合マスタ!$A725,0)="","",OFFSET(マスタ非採用削除!D$4,統合マスタ!$A725,0))</f>
        <v>ﾘｽﾍﾟ5</v>
      </c>
      <c r="R725" s="27">
        <f ca="1">IF(OFFSET(マスタ非採用削除!E$4,統合マスタ!$A725,0)="","",OFFSET(マスタ非採用削除!E$4,統合マスタ!$A725,0))</f>
        <v>1</v>
      </c>
      <c r="S725" s="55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5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5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/>
    </row>
    <row r="726" spans="1:27">
      <c r="A726" s="42">
        <f>元データ!P723</f>
        <v>613</v>
      </c>
      <c r="B726" s="27">
        <f t="shared" si="11"/>
        <v>722</v>
      </c>
      <c r="C726" s="27" t="str">
        <f>DBCS(元データ!A723)</f>
        <v>リスペリドン内用液分包１ｍｇ「アメル」　１ｍｌ</v>
      </c>
      <c r="D726" s="55" t="str">
        <f>元データ!B723</f>
        <v>アルフレッサ</v>
      </c>
      <c r="E726" s="27" t="str">
        <f>元データ!C723</f>
        <v/>
      </c>
      <c r="F726" s="27" t="str">
        <f>元データ!D723</f>
        <v>1ｍｌｘ50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5" t="str">
        <f ca="1">IF(OFFSET(マスタ非採用削除!A$4,統合マスタ!$A726,0)="","",OFFSET(マスタ非採用削除!A$4,統合マスタ!$A726,0))</f>
        <v>ﾘｽﾍ005</v>
      </c>
      <c r="O726" s="55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5" t="str">
        <f ca="1">IF(OFFSET(マスタ非採用削除!D$4,統合マスタ!$A726,0)="","",OFFSET(マスタ非採用削除!D$4,統合マスタ!$A726,0))</f>
        <v>ﾘｽﾍﾟ4</v>
      </c>
      <c r="R726" s="27">
        <f ca="1">IF(OFFSET(マスタ非採用削除!E$4,統合マスタ!$A726,0)="","",OFFSET(マスタ非採用削除!E$4,統合マスタ!$A726,0))</f>
        <v>1</v>
      </c>
      <c r="S726" s="55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5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5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/>
    </row>
    <row r="727" spans="1:27">
      <c r="A727" s="42">
        <f>元データ!P724</f>
        <v>618</v>
      </c>
      <c r="B727" s="27">
        <f t="shared" si="11"/>
        <v>723</v>
      </c>
      <c r="C727" s="27" t="str">
        <f>DBCS(元データ!A724)</f>
        <v>リスミー錠２ｍｇ</v>
      </c>
      <c r="D727" s="55" t="str">
        <f>元データ!B724</f>
        <v>アルフレッサ</v>
      </c>
      <c r="E727" s="27" t="str">
        <f>元データ!C724</f>
        <v>PTP</v>
      </c>
      <c r="F727" s="27" t="str">
        <f>元データ!D724</f>
        <v>100T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5" t="str">
        <f ca="1">IF(OFFSET(マスタ非採用削除!A$4,統合マスタ!$A727,0)="","",OFFSET(マスタ非採用削除!A$4,統合マスタ!$A727,0))</f>
        <v>ﾘｽﾐ001</v>
      </c>
      <c r="O727" s="55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5" t="str">
        <f ca="1">IF(OFFSET(マスタ非採用削除!D$4,統合マスタ!$A727,0)="","",OFFSET(マスタ非採用削除!D$4,統合マスタ!$A727,0))</f>
        <v>ﾘｽﾐ</v>
      </c>
      <c r="R727" s="27">
        <f ca="1">IF(OFFSET(マスタ非採用削除!E$4,統合マスタ!$A727,0)="","",OFFSET(マスタ非採用削除!E$4,統合マスタ!$A727,0))</f>
        <v>1</v>
      </c>
      <c r="S727" s="55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5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5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5</v>
      </c>
      <c r="AA727" s="27"/>
    </row>
    <row r="728" spans="1:27">
      <c r="A728" s="42">
        <f>元データ!P725</f>
        <v>620</v>
      </c>
      <c r="B728" s="27">
        <f t="shared" si="11"/>
        <v>724</v>
      </c>
      <c r="C728" s="27" t="str">
        <f>DBCS(元データ!A725)</f>
        <v>リドメックスコーワ軟膏０．３％</v>
      </c>
      <c r="D728" s="55" t="str">
        <f>元データ!B725</f>
        <v/>
      </c>
      <c r="E728" s="27" t="str">
        <f>元データ!C725</f>
        <v/>
      </c>
      <c r="F728" s="27" t="str">
        <f>元データ!D725</f>
        <v>10ｇｘ10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5" t="str">
        <f ca="1">IF(OFFSET(マスタ非採用削除!A$4,統合マスタ!$A728,0)="","",OFFSET(マスタ非採用削除!A$4,統合マスタ!$A728,0))</f>
        <v>ﾘﾄﾒ001</v>
      </c>
      <c r="O728" s="55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5" t="str">
        <f ca="1">IF(OFFSET(マスタ非採用削除!D$4,統合マスタ!$A728,0)="","",OFFSET(マスタ非採用削除!D$4,統合マスタ!$A728,0))</f>
        <v/>
      </c>
      <c r="R728" s="27">
        <f ca="1">IF(OFFSET(マスタ非採用削除!E$4,統合マスタ!$A728,0)="","",OFFSET(マスタ非採用削除!E$4,統合マスタ!$A728,0))</f>
        <v>2</v>
      </c>
      <c r="S728" s="55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5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5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/>
    </row>
    <row r="729" spans="1:27">
      <c r="A729" s="42">
        <f>元データ!P726</f>
        <v>625</v>
      </c>
      <c r="B729" s="27">
        <f t="shared" si="11"/>
        <v>725</v>
      </c>
      <c r="C729" s="27" t="str">
        <f>DBCS(元データ!A726)</f>
        <v>リバーロキサバンＯＤ錠１０ｍｇ「バイエル」</v>
      </c>
      <c r="D729" s="55" t="str">
        <f>元データ!B726</f>
        <v>メディセオ</v>
      </c>
      <c r="E729" s="27" t="str">
        <f>元データ!C726</f>
        <v>PTP</v>
      </c>
      <c r="F729" s="27" t="str">
        <f>元データ!D726</f>
        <v>100T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5" t="str">
        <f ca="1">IF(OFFSET(マスタ非採用削除!A$4,統合マスタ!$A729,0)="","",OFFSET(マスタ非採用削除!A$4,統合マスタ!$A729,0))</f>
        <v>ﾘﾊﾛ002</v>
      </c>
      <c r="O729" s="55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5" t="str">
        <f ca="1">IF(OFFSET(マスタ非採用削除!D$4,統合マスタ!$A729,0)="","",OFFSET(マスタ非採用削除!D$4,統合マスタ!$A729,0))</f>
        <v/>
      </c>
      <c r="R729" s="27">
        <f ca="1">IF(OFFSET(マスタ非採用削除!E$4,統合マスタ!$A729,0)="","",OFFSET(マスタ非採用削除!E$4,統合マスタ!$A729,0))</f>
        <v>1</v>
      </c>
      <c r="S729" s="55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5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5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/>
    </row>
    <row r="730" spans="1:27">
      <c r="A730" s="42">
        <f>元データ!P727</f>
        <v>623</v>
      </c>
      <c r="B730" s="27">
        <f t="shared" si="11"/>
        <v>726</v>
      </c>
      <c r="C730" s="27" t="str">
        <f>DBCS(元データ!A727)</f>
        <v>リバスチグミンテープ１３．５ｍｇ「トーワ」　</v>
      </c>
      <c r="D730" s="55" t="str">
        <f>元データ!B727</f>
        <v>東和薬品</v>
      </c>
      <c r="E730" s="27" t="str">
        <f>元データ!C727</f>
        <v/>
      </c>
      <c r="F730" s="27" t="str">
        <f>元データ!D727</f>
        <v>14枚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5" t="str">
        <f ca="1">IF(OFFSET(マスタ非採用削除!A$4,統合マスタ!$A730,0)="","",OFFSET(マスタ非採用削除!A$4,統合マスタ!$A730,0))</f>
        <v>ﾘﾊｽ007</v>
      </c>
      <c r="O730" s="55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5" t="str">
        <f ca="1">IF(OFFSET(マスタ非採用削除!D$4,統合マスタ!$A730,0)="","",OFFSET(マスタ非採用削除!D$4,統合マスタ!$A730,0))</f>
        <v/>
      </c>
      <c r="R730" s="27">
        <f ca="1">IF(OFFSET(マスタ非採用削除!E$4,統合マスタ!$A730,0)="","",OFFSET(マスタ非採用削除!E$4,統合マスタ!$A730,0))</f>
        <v>1</v>
      </c>
      <c r="S730" s="55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5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5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/>
    </row>
    <row r="731" spans="1:27">
      <c r="A731" s="42">
        <f>元データ!P728</f>
        <v>624</v>
      </c>
      <c r="B731" s="27">
        <f t="shared" si="11"/>
        <v>727</v>
      </c>
      <c r="C731" s="27" t="str">
        <f>DBCS(元データ!A728)</f>
        <v>リバスチグミンテープ１８ｍｇ「トーワ」　</v>
      </c>
      <c r="D731" s="55" t="str">
        <f>元データ!B728</f>
        <v>東和薬品</v>
      </c>
      <c r="E731" s="27" t="str">
        <f>元データ!C728</f>
        <v/>
      </c>
      <c r="F731" s="27" t="str">
        <f>元データ!D728</f>
        <v>14枚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5" t="str">
        <f ca="1">IF(OFFSET(マスタ非採用削除!A$4,統合マスタ!$A731,0)="","",OFFSET(マスタ非採用削除!A$4,統合マスタ!$A731,0))</f>
        <v>ﾘﾊｽ008</v>
      </c>
      <c r="O731" s="55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5" t="str">
        <f ca="1">IF(OFFSET(マスタ非採用削除!D$4,統合マスタ!$A731,0)="","",OFFSET(マスタ非採用削除!D$4,統合マスタ!$A731,0))</f>
        <v/>
      </c>
      <c r="R731" s="27">
        <f ca="1">IF(OFFSET(マスタ非採用削除!E$4,統合マスタ!$A731,0)="","",OFFSET(マスタ非採用削除!E$4,統合マスタ!$A731,0))</f>
        <v>1</v>
      </c>
      <c r="S731" s="55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5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5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/>
    </row>
    <row r="732" spans="1:27">
      <c r="A732" s="42">
        <f>元データ!P729</f>
        <v>621</v>
      </c>
      <c r="B732" s="27">
        <f t="shared" si="11"/>
        <v>728</v>
      </c>
      <c r="C732" s="27" t="str">
        <f>DBCS(元データ!A729)</f>
        <v>リバスチグミンテープ４．５ｍｇ「トーワ」</v>
      </c>
      <c r="D732" s="55" t="str">
        <f>元データ!B729</f>
        <v>東和薬品</v>
      </c>
      <c r="E732" s="27" t="str">
        <f>元データ!C729</f>
        <v/>
      </c>
      <c r="F732" s="27" t="str">
        <f>元データ!D729</f>
        <v>14枚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5" t="str">
        <f ca="1">IF(OFFSET(マスタ非採用削除!A$4,統合マスタ!$A732,0)="","",OFFSET(マスタ非採用削除!A$4,統合マスタ!$A732,0))</f>
        <v>ﾘﾊｽ005</v>
      </c>
      <c r="O732" s="55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5" t="str">
        <f ca="1">IF(OFFSET(マスタ非採用削除!D$4,統合マスタ!$A732,0)="","",OFFSET(マスタ非採用削除!D$4,統合マスタ!$A732,0))</f>
        <v/>
      </c>
      <c r="R732" s="27">
        <f ca="1">IF(OFFSET(マスタ非採用削除!E$4,統合マスタ!$A732,0)="","",OFFSET(マスタ非採用削除!E$4,統合マスタ!$A732,0))</f>
        <v>1</v>
      </c>
      <c r="S732" s="55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5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5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/>
    </row>
    <row r="733" spans="1:27">
      <c r="A733" s="42">
        <f>元データ!P730</f>
        <v>622</v>
      </c>
      <c r="B733" s="27">
        <f t="shared" si="11"/>
        <v>729</v>
      </c>
      <c r="C733" s="27" t="str">
        <f>DBCS(元データ!A730)</f>
        <v>リバスチグミンテープ９ｍｇ「トーワ」　</v>
      </c>
      <c r="D733" s="55" t="str">
        <f>元データ!B730</f>
        <v>東和薬品</v>
      </c>
      <c r="E733" s="27" t="str">
        <f>元データ!C730</f>
        <v/>
      </c>
      <c r="F733" s="27" t="str">
        <f>元データ!D730</f>
        <v>14枚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5" t="str">
        <f ca="1">IF(OFFSET(マスタ非採用削除!A$4,統合マスタ!$A733,0)="","",OFFSET(マスタ非採用削除!A$4,統合マスタ!$A733,0))</f>
        <v>ﾘﾊｽ006</v>
      </c>
      <c r="O733" s="55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5" t="str">
        <f ca="1">IF(OFFSET(マスタ非採用削除!D$4,統合マスタ!$A733,0)="","",OFFSET(マスタ非採用削除!D$4,統合マスタ!$A733,0))</f>
        <v/>
      </c>
      <c r="R733" s="27">
        <f ca="1">IF(OFFSET(マスタ非採用削除!E$4,統合マスタ!$A733,0)="","",OFFSET(マスタ非採用削除!E$4,統合マスタ!$A733,0))</f>
        <v>1</v>
      </c>
      <c r="S733" s="55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5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5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/>
    </row>
    <row r="734" spans="1:27">
      <c r="A734" s="42" t="str">
        <f>元データ!P731</f>
        <v>非採用</v>
      </c>
      <c r="B734" s="27">
        <f t="shared" si="11"/>
        <v>730</v>
      </c>
      <c r="C734" s="27" t="str">
        <f>DBCS(元データ!A731)</f>
        <v>リフキシマ錠２００ｍｇ</v>
      </c>
      <c r="D734" s="55" t="str">
        <f>元データ!B731</f>
        <v/>
      </c>
      <c r="E734" s="27" t="str">
        <f>元データ!C731</f>
        <v>PTP</v>
      </c>
      <c r="F734" s="27" t="str">
        <f>元データ!D731</f>
        <v>100T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5" t="e">
        <f ca="1">IF(OFFSET(マスタ非採用削除!A$4,統合マスタ!$A734,0)="","",OFFSET(マスタ非採用削除!A$4,統合マスタ!$A734,0))</f>
        <v>#VALUE!</v>
      </c>
      <c r="O734" s="55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5" t="e">
        <f ca="1">IF(OFFSET(マスタ非採用削除!D$4,統合マスタ!$A734,0)="","",OFFSET(マスタ非採用削除!D$4,統合マスタ!$A734,0))</f>
        <v>#VALUE!</v>
      </c>
      <c r="R734" s="27" t="e">
        <f ca="1">IF(OFFSET(マスタ非採用削除!E$4,統合マスタ!$A734,0)="","",OFFSET(マスタ非採用削除!E$4,統合マスタ!$A734,0))</f>
        <v>#VALUE!</v>
      </c>
      <c r="S734" s="55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5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5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">
        <v>4076</v>
      </c>
    </row>
    <row r="735" spans="1:27">
      <c r="A735" s="42">
        <f>元データ!P732</f>
        <v>626</v>
      </c>
      <c r="B735" s="27">
        <f t="shared" si="11"/>
        <v>731</v>
      </c>
      <c r="C735" s="27" t="str">
        <f>DBCS(元データ!A732)</f>
        <v>リボトリール錠０．５ｍｇ</v>
      </c>
      <c r="D735" s="55" t="str">
        <f>元データ!B732</f>
        <v>アルフレッサ</v>
      </c>
      <c r="E735" s="27" t="str">
        <f>元データ!C732</f>
        <v>PTP</v>
      </c>
      <c r="F735" s="27" t="str">
        <f>元データ!D732</f>
        <v>100Ｔ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5" t="str">
        <f ca="1">IF(OFFSET(マスタ非採用削除!A$4,統合マスタ!$A735,0)="","",OFFSET(マスタ非採用削除!A$4,統合マスタ!$A735,0))</f>
        <v>ﾘﾎﾄ001</v>
      </c>
      <c r="O735" s="55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5" t="str">
        <f ca="1">IF(OFFSET(マスタ非採用削除!D$4,統合マスタ!$A735,0)="","",OFFSET(マスタ非採用削除!D$4,統合マスタ!$A735,0))</f>
        <v>ﾘﾎﾞﾄ2</v>
      </c>
      <c r="R735" s="27">
        <f ca="1">IF(OFFSET(マスタ非採用削除!E$4,統合マスタ!$A735,0)="","",OFFSET(マスタ非採用削除!E$4,統合マスタ!$A735,0))</f>
        <v>1</v>
      </c>
      <c r="S735" s="55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5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5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5</v>
      </c>
      <c r="AA735" s="27"/>
    </row>
    <row r="736" spans="1:27">
      <c r="A736" s="42">
        <f>元データ!P733</f>
        <v>626</v>
      </c>
      <c r="B736" s="27">
        <f t="shared" si="11"/>
        <v>732</v>
      </c>
      <c r="C736" s="27" t="str">
        <f>DBCS(元データ!A733)</f>
        <v>リボトリール錠０．５ｍｇ</v>
      </c>
      <c r="D736" s="55" t="str">
        <f>元データ!B733</f>
        <v>アルフレッサ</v>
      </c>
      <c r="E736" s="27" t="str">
        <f>元データ!C733</f>
        <v>バラ</v>
      </c>
      <c r="F736" s="27" t="str">
        <f>元データ!D733</f>
        <v>1000Ｔ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5" t="str">
        <f ca="1">IF(OFFSET(マスタ非採用削除!A$4,統合マスタ!$A736,0)="","",OFFSET(マスタ非採用削除!A$4,統合マスタ!$A736,0))</f>
        <v>ﾘﾎﾄ001</v>
      </c>
      <c r="O736" s="55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5" t="str">
        <f ca="1">IF(OFFSET(マスタ非採用削除!D$4,統合マスタ!$A736,0)="","",OFFSET(マスタ非採用削除!D$4,統合マスタ!$A736,0))</f>
        <v>ﾘﾎﾞﾄ2</v>
      </c>
      <c r="R736" s="27">
        <f ca="1">IF(OFFSET(マスタ非採用削除!E$4,統合マスタ!$A736,0)="","",OFFSET(マスタ非採用削除!E$4,統合マスタ!$A736,0))</f>
        <v>1</v>
      </c>
      <c r="S736" s="55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5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5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5</v>
      </c>
      <c r="AA736" s="27"/>
    </row>
    <row r="737" spans="1:27">
      <c r="A737" s="42">
        <f>元データ!P734</f>
        <v>627</v>
      </c>
      <c r="B737" s="27">
        <f t="shared" si="11"/>
        <v>733</v>
      </c>
      <c r="C737" s="27" t="str">
        <f>DBCS(元データ!A734)</f>
        <v>リボトリール錠１ｍｇ</v>
      </c>
      <c r="D737" s="55" t="str">
        <f>元データ!B734</f>
        <v>アルフレッサ</v>
      </c>
      <c r="E737" s="27" t="str">
        <f>元データ!C734</f>
        <v>PTP</v>
      </c>
      <c r="F737" s="27" t="str">
        <f>元データ!D734</f>
        <v>100Ｔ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5" t="str">
        <f ca="1">IF(OFFSET(マスタ非採用削除!A$4,統合マスタ!$A737,0)="","",OFFSET(マスタ非採用削除!A$4,統合マスタ!$A737,0))</f>
        <v>ﾘﾎﾄ002</v>
      </c>
      <c r="O737" s="55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5" t="str">
        <f ca="1">IF(OFFSET(マスタ非採用削除!D$4,統合マスタ!$A737,0)="","",OFFSET(マスタ非採用削除!D$4,統合マスタ!$A737,0))</f>
        <v>ﾘﾎﾞﾄ1</v>
      </c>
      <c r="R737" s="27">
        <f ca="1">IF(OFFSET(マスタ非採用削除!E$4,統合マスタ!$A737,0)="","",OFFSET(マスタ非採用削除!E$4,統合マスタ!$A737,0))</f>
        <v>1</v>
      </c>
      <c r="S737" s="55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5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5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5</v>
      </c>
      <c r="AA737" s="27"/>
    </row>
    <row r="738" spans="1:27">
      <c r="A738" s="42">
        <f>元データ!P735</f>
        <v>627</v>
      </c>
      <c r="B738" s="27">
        <f t="shared" si="11"/>
        <v>734</v>
      </c>
      <c r="C738" s="27" t="str">
        <f>DBCS(元データ!A735)</f>
        <v>リボトリール錠１ｍｇ</v>
      </c>
      <c r="D738" s="55" t="str">
        <f>元データ!B735</f>
        <v>アルフレッサ</v>
      </c>
      <c r="E738" s="27" t="str">
        <f>元データ!C735</f>
        <v>バラ</v>
      </c>
      <c r="F738" s="27" t="str">
        <f>元データ!D735</f>
        <v>1000T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5" t="str">
        <f ca="1">IF(OFFSET(マスタ非採用削除!A$4,統合マスタ!$A738,0)="","",OFFSET(マスタ非採用削除!A$4,統合マスタ!$A738,0))</f>
        <v>ﾘﾎﾄ002</v>
      </c>
      <c r="O738" s="55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5" t="str">
        <f ca="1">IF(OFFSET(マスタ非採用削除!D$4,統合マスタ!$A738,0)="","",OFFSET(マスタ非採用削除!D$4,統合マスタ!$A738,0))</f>
        <v>ﾘﾎﾞﾄ1</v>
      </c>
      <c r="R738" s="27">
        <f ca="1">IF(OFFSET(マスタ非採用削除!E$4,統合マスタ!$A738,0)="","",OFFSET(マスタ非採用削除!E$4,統合マスタ!$A738,0))</f>
        <v>1</v>
      </c>
      <c r="S738" s="55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5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5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5</v>
      </c>
      <c r="AA738" s="27"/>
    </row>
    <row r="739" spans="1:27">
      <c r="A739" s="42">
        <f>元データ!P736</f>
        <v>628</v>
      </c>
      <c r="B739" s="27">
        <f t="shared" si="11"/>
        <v>735</v>
      </c>
      <c r="C739" s="27" t="str">
        <f>DBCS(元データ!A736)</f>
        <v>リマチル錠１００ｍｇ</v>
      </c>
      <c r="D739" s="55" t="str">
        <f>元データ!B736</f>
        <v/>
      </c>
      <c r="E739" s="27" t="str">
        <f>元データ!C736</f>
        <v>PTP</v>
      </c>
      <c r="F739" s="27" t="str">
        <f>元データ!D736</f>
        <v>100T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5" t="str">
        <f ca="1">IF(OFFSET(マスタ非採用削除!A$4,統合マスタ!$A739,0)="","",OFFSET(マスタ非採用削除!A$4,統合マスタ!$A739,0))</f>
        <v>ﾘﾏﾁ001</v>
      </c>
      <c r="O739" s="55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5" t="str">
        <f ca="1">IF(OFFSET(マスタ非採用削除!D$4,統合マスタ!$A739,0)="","",OFFSET(マスタ非採用削除!D$4,統合マスタ!$A739,0))</f>
        <v/>
      </c>
      <c r="R739" s="27">
        <f ca="1">IF(OFFSET(マスタ非採用削除!E$4,統合マスタ!$A739,0)="","",OFFSET(マスタ非採用削除!E$4,統合マスタ!$A739,0))</f>
        <v>2</v>
      </c>
      <c r="S739" s="55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5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5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/>
    </row>
    <row r="740" spans="1:27">
      <c r="A740" s="42">
        <f>元データ!P737</f>
        <v>629</v>
      </c>
      <c r="B740" s="27">
        <f t="shared" si="11"/>
        <v>736</v>
      </c>
      <c r="C740" s="27" t="str">
        <f>DBCS(元データ!A737)</f>
        <v>リマプロスト　アルファデクス錠５μｇ「サワイ」</v>
      </c>
      <c r="D740" s="55" t="str">
        <f>元データ!B737</f>
        <v>メディセオ</v>
      </c>
      <c r="E740" s="27" t="str">
        <f>元データ!C737</f>
        <v>バラ</v>
      </c>
      <c r="F740" s="27" t="str">
        <f>元データ!D737</f>
        <v>200Ｔ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5" t="str">
        <f ca="1">IF(OFFSET(マスタ非採用削除!A$4,統合マスタ!$A740,0)="","",OFFSET(マスタ非採用削除!A$4,統合マスタ!$A740,0))</f>
        <v>ﾘﾏﾌ001</v>
      </c>
      <c r="O740" s="55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5" t="str">
        <f ca="1">IF(OFFSET(マスタ非採用削除!D$4,統合マスタ!$A740,0)="","",OFFSET(マスタ非採用削除!D$4,統合マスタ!$A740,0))</f>
        <v>ﾘﾏﾌﾟﾛ</v>
      </c>
      <c r="R740" s="27">
        <f ca="1">IF(OFFSET(マスタ非採用削除!E$4,統合マスタ!$A740,0)="","",OFFSET(マスタ非採用削除!E$4,統合マスタ!$A740,0))</f>
        <v>1</v>
      </c>
      <c r="S740" s="55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5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5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5</v>
      </c>
      <c r="AA740" s="27"/>
    </row>
    <row r="741" spans="1:27">
      <c r="A741" s="42">
        <f>元データ!P738</f>
        <v>630</v>
      </c>
      <c r="B741" s="27">
        <f t="shared" si="11"/>
        <v>737</v>
      </c>
      <c r="C741" s="27" t="str">
        <f>DBCS(元データ!A738)</f>
        <v>リュープロレリン酢酸塩注射用キット３．７５ｍｇ「あすか」</v>
      </c>
      <c r="D741" s="55" t="str">
        <f>元データ!B738</f>
        <v/>
      </c>
      <c r="E741" s="27" t="str">
        <f>元データ!C738</f>
        <v/>
      </c>
      <c r="F741" s="27" t="str">
        <f>元データ!D738</f>
        <v>1筒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5" t="str">
        <f ca="1">IF(OFFSET(マスタ非採用削除!A$4,統合マスタ!$A741,0)="","",OFFSET(マスタ非採用削除!A$4,統合マスタ!$A741,0))</f>
        <v>ﾘﾕﾌ001</v>
      </c>
      <c r="O741" s="55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5" t="str">
        <f ca="1">IF(OFFSET(マスタ非採用削除!D$4,統合マスタ!$A741,0)="","",OFFSET(マスタ非採用削除!D$4,統合マスタ!$A741,0))</f>
        <v>ﾘｭｰﾌﾟﾛ</v>
      </c>
      <c r="R741" s="27">
        <f ca="1">IF(OFFSET(マスタ非採用削除!E$4,統合マスタ!$A741,0)="","",OFFSET(マスタ非採用削除!E$4,統合マスタ!$A741,0))</f>
        <v>2</v>
      </c>
      <c r="S741" s="55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5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5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/>
    </row>
    <row r="742" spans="1:27">
      <c r="A742" s="42">
        <f>元データ!P739</f>
        <v>631</v>
      </c>
      <c r="B742" s="27">
        <f t="shared" si="11"/>
        <v>738</v>
      </c>
      <c r="C742" s="27" t="str">
        <f>DBCS(元データ!A739)</f>
        <v>リルゾール錠５０ｍｇ「ニプロ」</v>
      </c>
      <c r="D742" s="55" t="str">
        <f>元データ!B739</f>
        <v/>
      </c>
      <c r="E742" s="27" t="str">
        <f>元データ!C739</f>
        <v>PTP</v>
      </c>
      <c r="F742" s="27" t="str">
        <f>元データ!D739</f>
        <v>56T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5" t="str">
        <f ca="1">IF(OFFSET(マスタ非採用削除!A$4,統合マスタ!$A742,0)="","",OFFSET(マスタ非採用削除!A$4,統合マスタ!$A742,0))</f>
        <v>ﾘﾙｿ001</v>
      </c>
      <c r="O742" s="55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5" t="str">
        <f ca="1">IF(OFFSET(マスタ非採用削除!D$4,統合マスタ!$A742,0)="","",OFFSET(マスタ非採用削除!D$4,統合マスタ!$A742,0))</f>
        <v/>
      </c>
      <c r="R742" s="27">
        <f ca="1">IF(OFFSET(マスタ非採用削除!E$4,統合マスタ!$A742,0)="","",OFFSET(マスタ非採用削除!E$4,統合マスタ!$A742,0))</f>
        <v>2</v>
      </c>
      <c r="S742" s="55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5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5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/>
    </row>
    <row r="743" spans="1:27">
      <c r="A743" s="42">
        <f>元データ!P740</f>
        <v>632</v>
      </c>
      <c r="B743" s="27">
        <f t="shared" si="11"/>
        <v>739</v>
      </c>
      <c r="C743" s="27" t="str">
        <f>DBCS(元データ!A740)</f>
        <v>リンゼス錠０．２５ｍｇ</v>
      </c>
      <c r="D743" s="55" t="str">
        <f>元データ!B740</f>
        <v>メディセオ</v>
      </c>
      <c r="E743" s="27" t="str">
        <f>元データ!C740</f>
        <v>PTP</v>
      </c>
      <c r="F743" s="27" t="str">
        <f>元データ!D740</f>
        <v>100Ｔ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5" t="str">
        <f ca="1">IF(OFFSET(マスタ非採用削除!A$4,統合マスタ!$A743,0)="","",OFFSET(マスタ非採用削除!A$4,統合マスタ!$A743,0))</f>
        <v>ﾘﾝｾ001</v>
      </c>
      <c r="O743" s="55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5" t="str">
        <f ca="1">IF(OFFSET(マスタ非採用削除!D$4,統合マスタ!$A743,0)="","",OFFSET(マスタ非採用削除!D$4,統合マスタ!$A743,0))</f>
        <v>ﾘﾝｾﾞ</v>
      </c>
      <c r="R743" s="27">
        <f ca="1">IF(OFFSET(マスタ非採用削除!E$4,統合マスタ!$A743,0)="","",OFFSET(マスタ非採用削除!E$4,統合マスタ!$A743,0))</f>
        <v>1</v>
      </c>
      <c r="S743" s="55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5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5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/>
    </row>
    <row r="744" spans="1:27">
      <c r="A744" s="42">
        <f>元データ!P741</f>
        <v>634</v>
      </c>
      <c r="B744" s="27">
        <f t="shared" si="11"/>
        <v>740</v>
      </c>
      <c r="C744" s="27" t="str">
        <f>DBCS(元データ!A741)</f>
        <v>リンデロン－Ｖ　クリーム０．１２％</v>
      </c>
      <c r="D744" s="55" t="str">
        <f>元データ!B741</f>
        <v>スズケン</v>
      </c>
      <c r="E744" s="27" t="str">
        <f>元データ!C741</f>
        <v/>
      </c>
      <c r="F744" s="27" t="str">
        <f>元データ!D741</f>
        <v>5ｇX10入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5" t="str">
        <f ca="1">IF(OFFSET(マスタ非採用削除!A$4,統合マスタ!$A744,0)="","",OFFSET(マスタ非採用削除!A$4,統合マスタ!$A744,0))</f>
        <v>ﾘﾝﾃ003</v>
      </c>
      <c r="O744" s="55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5" t="str">
        <f ca="1">IF(OFFSET(マスタ非採用削除!D$4,統合マスタ!$A744,0)="","",OFFSET(マスタ非採用削除!D$4,統合マスタ!$A744,0))</f>
        <v>ﾘﾝﾃﾞV1</v>
      </c>
      <c r="R744" s="27">
        <f ca="1">IF(OFFSET(マスタ非採用削除!E$4,統合マスタ!$A744,0)="","",OFFSET(マスタ非採用削除!E$4,統合マスタ!$A744,0))</f>
        <v>1</v>
      </c>
      <c r="S744" s="55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5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5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/>
    </row>
    <row r="745" spans="1:27">
      <c r="A745" s="42">
        <f>元データ!P742</f>
        <v>636</v>
      </c>
      <c r="B745" s="27">
        <f t="shared" si="11"/>
        <v>741</v>
      </c>
      <c r="C745" s="27" t="str">
        <f>DBCS(元データ!A742)</f>
        <v>リンデロン懸濁注２．５ｍｇ</v>
      </c>
      <c r="D745" s="55" t="str">
        <f>元データ!B742</f>
        <v/>
      </c>
      <c r="E745" s="27" t="str">
        <f>元データ!C742</f>
        <v/>
      </c>
      <c r="F745" s="27" t="str">
        <f>元データ!D742</f>
        <v>0.5ｘ10A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5" t="str">
        <f ca="1">IF(OFFSET(マスタ非採用削除!A$4,統合マスタ!$A745,0)="","",OFFSET(マスタ非採用削除!A$4,統合マスタ!$A745,0))</f>
        <v>ﾘﾝﾃ005</v>
      </c>
      <c r="O745" s="55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5" t="str">
        <f ca="1">IF(OFFSET(マスタ非採用削除!D$4,統合マスタ!$A745,0)="","",OFFSET(マスタ非採用削除!D$4,統合マスタ!$A745,0))</f>
        <v/>
      </c>
      <c r="R745" s="27">
        <f ca="1">IF(OFFSET(マスタ非採用削除!E$4,統合マスタ!$A745,0)="","",OFFSET(マスタ非採用削除!E$4,統合マスタ!$A745,0))</f>
        <v>2</v>
      </c>
      <c r="S745" s="55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5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5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/>
    </row>
    <row r="746" spans="1:27">
      <c r="A746" s="42">
        <f>元データ!P743</f>
        <v>633</v>
      </c>
      <c r="B746" s="27">
        <f t="shared" si="11"/>
        <v>742</v>
      </c>
      <c r="C746" s="27" t="str">
        <f>DBCS(元データ!A743)</f>
        <v>リンデロン点眼点耳点鼻液０．１％</v>
      </c>
      <c r="D746" s="55" t="str">
        <f>元データ!B743</f>
        <v>メディセオ</v>
      </c>
      <c r="E746" s="27" t="str">
        <f>元データ!C743</f>
        <v/>
      </c>
      <c r="F746" s="27" t="str">
        <f>元データ!D743</f>
        <v>5ｍｌｘ10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5" t="str">
        <f ca="1">IF(OFFSET(マスタ非採用削除!A$4,統合マスタ!$A746,0)="","",OFFSET(マスタ非採用削除!A$4,統合マスタ!$A746,0))</f>
        <v>ﾘﾝﾃ001</v>
      </c>
      <c r="O746" s="55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5" t="str">
        <f ca="1">IF(OFFSET(マスタ非採用削除!D$4,統合マスタ!$A746,0)="","",OFFSET(マスタ非採用削除!D$4,統合マスタ!$A746,0))</f>
        <v>ﾘﾝﾃﾞﾛ</v>
      </c>
      <c r="R746" s="27">
        <f ca="1">IF(OFFSET(マスタ非採用削除!E$4,統合マスタ!$A746,0)="","",OFFSET(マスタ非採用削除!E$4,統合マスタ!$A746,0))</f>
        <v>1</v>
      </c>
      <c r="S746" s="55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5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5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/>
    </row>
    <row r="747" spans="1:27">
      <c r="A747" s="42">
        <f>元データ!P744</f>
        <v>637</v>
      </c>
      <c r="B747" s="27">
        <f t="shared" si="11"/>
        <v>743</v>
      </c>
      <c r="C747" s="27" t="str">
        <f>DBCS(元データ!A744)</f>
        <v>ルーラン錠４ｍｇ　　　　　　　　　　　　</v>
      </c>
      <c r="D747" s="55" t="str">
        <f>元データ!B744</f>
        <v>メディセオ</v>
      </c>
      <c r="E747" s="27" t="str">
        <f>元データ!C744</f>
        <v>PTP</v>
      </c>
      <c r="F747" s="27" t="str">
        <f>元データ!D744</f>
        <v>100Ｔ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5" t="str">
        <f ca="1">IF(OFFSET(マスタ非採用削除!A$4,統合マスタ!$A747,0)="","",OFFSET(マスタ非採用削除!A$4,統合マスタ!$A747,0))</f>
        <v>ﾙﾗﾝ001</v>
      </c>
      <c r="O747" s="55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5" t="str">
        <f ca="1">IF(OFFSET(マスタ非採用削除!D$4,統合マスタ!$A747,0)="","",OFFSET(マスタ非採用削除!D$4,統合マスタ!$A747,0))</f>
        <v>ﾙｰﾗ4</v>
      </c>
      <c r="R747" s="27">
        <f ca="1">IF(OFFSET(マスタ非採用削除!E$4,統合マスタ!$A747,0)="","",OFFSET(マスタ非採用削除!E$4,統合マスタ!$A747,0))</f>
        <v>1</v>
      </c>
      <c r="S747" s="55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5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5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6</v>
      </c>
      <c r="AA747" s="27"/>
    </row>
    <row r="748" spans="1:27">
      <c r="A748" s="42">
        <f>元データ!P745</f>
        <v>637</v>
      </c>
      <c r="B748" s="27">
        <f t="shared" si="11"/>
        <v>744</v>
      </c>
      <c r="C748" s="27" t="str">
        <f>DBCS(元データ!A745)</f>
        <v>ルーラン錠４ｍｇ　　　　　　　　　　　　</v>
      </c>
      <c r="D748" s="55" t="str">
        <f>元データ!B745</f>
        <v>メディセオ</v>
      </c>
      <c r="E748" s="27" t="str">
        <f>元データ!C745</f>
        <v>バラ</v>
      </c>
      <c r="F748" s="27" t="str">
        <f>元データ!D745</f>
        <v>1000Ｔ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5" t="str">
        <f ca="1">IF(OFFSET(マスタ非採用削除!A$4,統合マスタ!$A748,0)="","",OFFSET(マスタ非採用削除!A$4,統合マスタ!$A748,0))</f>
        <v>ﾙﾗﾝ001</v>
      </c>
      <c r="O748" s="55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5" t="str">
        <f ca="1">IF(OFFSET(マスタ非採用削除!D$4,統合マスタ!$A748,0)="","",OFFSET(マスタ非採用削除!D$4,統合マスタ!$A748,0))</f>
        <v>ﾙｰﾗ4</v>
      </c>
      <c r="R748" s="27">
        <f ca="1">IF(OFFSET(マスタ非採用削除!E$4,統合マスタ!$A748,0)="","",OFFSET(マスタ非採用削除!E$4,統合マスタ!$A748,0))</f>
        <v>1</v>
      </c>
      <c r="S748" s="55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5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5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6</v>
      </c>
      <c r="AA748" s="27"/>
    </row>
    <row r="749" spans="1:27">
      <c r="A749" s="42">
        <f>元データ!P746</f>
        <v>638</v>
      </c>
      <c r="B749" s="27">
        <f t="shared" si="11"/>
        <v>745</v>
      </c>
      <c r="C749" s="27" t="str">
        <f>DBCS(元データ!A746)</f>
        <v>ルーラン錠８ｍｇ</v>
      </c>
      <c r="D749" s="55" t="str">
        <f>元データ!B746</f>
        <v>メディセオ</v>
      </c>
      <c r="E749" s="27" t="str">
        <f>元データ!C746</f>
        <v>バラ</v>
      </c>
      <c r="F749" s="27" t="str">
        <f>元データ!D746</f>
        <v>1000T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5" t="str">
        <f ca="1">IF(OFFSET(マスタ非採用削除!A$4,統合マスタ!$A749,0)="","",OFFSET(マスタ非採用削除!A$4,統合マスタ!$A749,0))</f>
        <v>ﾙﾗﾝ002</v>
      </c>
      <c r="O749" s="55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5" t="str">
        <f ca="1">IF(OFFSET(マスタ非採用削除!D$4,統合マスタ!$A749,0)="","",OFFSET(マスタ非採用削除!D$4,統合マスタ!$A749,0))</f>
        <v>ﾙｰﾗ8</v>
      </c>
      <c r="R749" s="27">
        <f ca="1">IF(OFFSET(マスタ非採用削除!E$4,統合マスタ!$A749,0)="","",OFFSET(マスタ非採用削除!E$4,統合マスタ!$A749,0))</f>
        <v>1</v>
      </c>
      <c r="S749" s="55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5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5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6</v>
      </c>
      <c r="AA749" s="27"/>
    </row>
    <row r="750" spans="1:27">
      <c r="A750" s="42">
        <f>元データ!P747</f>
        <v>638</v>
      </c>
      <c r="B750" s="27">
        <f t="shared" si="11"/>
        <v>746</v>
      </c>
      <c r="C750" s="27" t="str">
        <f>DBCS(元データ!A747)</f>
        <v>ルーラン錠８ｍｇ　　　　　　　　　　　　</v>
      </c>
      <c r="D750" s="55" t="str">
        <f>元データ!B747</f>
        <v>メディセオ</v>
      </c>
      <c r="E750" s="27" t="str">
        <f>元データ!C747</f>
        <v>PTP</v>
      </c>
      <c r="F750" s="27" t="str">
        <f>元データ!D747</f>
        <v>100Ｔ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5" t="str">
        <f ca="1">IF(OFFSET(マスタ非採用削除!A$4,統合マスタ!$A750,0)="","",OFFSET(マスタ非採用削除!A$4,統合マスタ!$A750,0))</f>
        <v>ﾙﾗﾝ002</v>
      </c>
      <c r="O750" s="55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5" t="str">
        <f ca="1">IF(OFFSET(マスタ非採用削除!D$4,統合マスタ!$A750,0)="","",OFFSET(マスタ非採用削除!D$4,統合マスタ!$A750,0))</f>
        <v>ﾙｰﾗ8</v>
      </c>
      <c r="R750" s="27">
        <f ca="1">IF(OFFSET(マスタ非採用削除!E$4,統合マスタ!$A750,0)="","",OFFSET(マスタ非採用削除!E$4,統合マスタ!$A750,0))</f>
        <v>1</v>
      </c>
      <c r="S750" s="55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5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5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6</v>
      </c>
      <c r="AA750" s="27"/>
    </row>
    <row r="751" spans="1:27">
      <c r="A751" s="42">
        <f>元データ!P748</f>
        <v>641</v>
      </c>
      <c r="B751" s="27">
        <f t="shared" si="11"/>
        <v>747</v>
      </c>
      <c r="C751" s="27" t="str">
        <f>DBCS(元データ!A748)</f>
        <v>レキサルティＯＤ錠０．５ｍｇ</v>
      </c>
      <c r="D751" s="55" t="str">
        <f>元データ!B748</f>
        <v>スズケン</v>
      </c>
      <c r="E751" s="27" t="str">
        <f>元データ!C748</f>
        <v>ＰＴＰ</v>
      </c>
      <c r="F751" s="27" t="str">
        <f>元データ!D748</f>
        <v>100T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5" t="str">
        <f ca="1">IF(OFFSET(マスタ非採用削除!A$4,統合マスタ!$A751,0)="","",OFFSET(マスタ非採用削除!A$4,統合マスタ!$A751,0))</f>
        <v>ﾚｷｻ003</v>
      </c>
      <c r="O751" s="55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5" t="str">
        <f ca="1">IF(OFFSET(マスタ非採用削除!D$4,統合マスタ!$A751,0)="","",OFFSET(マスタ非採用削除!D$4,統合マスタ!$A751,0))</f>
        <v/>
      </c>
      <c r="R751" s="27">
        <f ca="1">IF(OFFSET(マスタ非採用削除!E$4,統合マスタ!$A751,0)="","",OFFSET(マスタ非採用削除!E$4,統合マスタ!$A751,0))</f>
        <v>1</v>
      </c>
      <c r="S751" s="55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5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5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6</v>
      </c>
      <c r="AA751" s="27"/>
    </row>
    <row r="752" spans="1:27">
      <c r="A752" s="42">
        <f>元データ!P749</f>
        <v>641</v>
      </c>
      <c r="B752" s="27">
        <f t="shared" si="11"/>
        <v>748</v>
      </c>
      <c r="C752" s="27" t="str">
        <f>DBCS(元データ!A749)</f>
        <v>レキサルティＯＤ錠０．５ｍｇ</v>
      </c>
      <c r="D752" s="55" t="str">
        <f>元データ!B749</f>
        <v>スズケン</v>
      </c>
      <c r="E752" s="27" t="str">
        <f>元データ!C749</f>
        <v>バラ</v>
      </c>
      <c r="F752" s="27" t="str">
        <f>元データ!D749</f>
        <v>500T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5" t="str">
        <f ca="1">IF(OFFSET(マスタ非採用削除!A$4,統合マスタ!$A752,0)="","",OFFSET(マスタ非採用削除!A$4,統合マスタ!$A752,0))</f>
        <v>ﾚｷｻ003</v>
      </c>
      <c r="O752" s="55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5" t="str">
        <f ca="1">IF(OFFSET(マスタ非採用削除!D$4,統合マスタ!$A752,0)="","",OFFSET(マスタ非採用削除!D$4,統合マスタ!$A752,0))</f>
        <v/>
      </c>
      <c r="R752" s="27">
        <f ca="1">IF(OFFSET(マスタ非採用削除!E$4,統合マスタ!$A752,0)="","",OFFSET(マスタ非採用削除!E$4,統合マスタ!$A752,0))</f>
        <v>1</v>
      </c>
      <c r="S752" s="55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5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5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6</v>
      </c>
      <c r="AA752" s="27"/>
    </row>
    <row r="753" spans="1:27">
      <c r="A753" s="42">
        <f>元データ!P750</f>
        <v>639</v>
      </c>
      <c r="B753" s="27">
        <f t="shared" si="11"/>
        <v>749</v>
      </c>
      <c r="C753" s="27" t="str">
        <f>DBCS(元データ!A750)</f>
        <v>レキサルティＯＤ錠１ｍｇ</v>
      </c>
      <c r="D753" s="55" t="str">
        <f>元データ!B750</f>
        <v>スズケン</v>
      </c>
      <c r="E753" s="27" t="str">
        <f>元データ!C750</f>
        <v>PTP</v>
      </c>
      <c r="F753" s="27" t="str">
        <f>元データ!D750</f>
        <v>100T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5" t="str">
        <f ca="1">IF(OFFSET(マスタ非採用削除!A$4,統合マスタ!$A753,0)="","",OFFSET(マスタ非採用削除!A$4,統合マスタ!$A753,0))</f>
        <v>ﾚｷｻ001</v>
      </c>
      <c r="O753" s="55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5" t="str">
        <f ca="1">IF(OFFSET(マスタ非採用削除!D$4,統合マスタ!$A753,0)="","",OFFSET(マスタ非採用削除!D$4,統合マスタ!$A753,0))</f>
        <v>ﾚｷｻﾙ1</v>
      </c>
      <c r="R753" s="27">
        <f ca="1">IF(OFFSET(マスタ非採用削除!E$4,統合マスタ!$A753,0)="","",OFFSET(マスタ非採用削除!E$4,統合マスタ!$A753,0))</f>
        <v>1</v>
      </c>
      <c r="S753" s="55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5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5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6</v>
      </c>
      <c r="AA753" s="27"/>
    </row>
    <row r="754" spans="1:27">
      <c r="A754" s="42">
        <f>元データ!P751</f>
        <v>639</v>
      </c>
      <c r="B754" s="27">
        <f t="shared" si="11"/>
        <v>750</v>
      </c>
      <c r="C754" s="27" t="str">
        <f>DBCS(元データ!A751)</f>
        <v>レキサルティＯＤ錠１ｍｇ</v>
      </c>
      <c r="D754" s="55" t="str">
        <f>元データ!B751</f>
        <v>スズケン</v>
      </c>
      <c r="E754" s="27" t="str">
        <f>元データ!C751</f>
        <v>バラ</v>
      </c>
      <c r="F754" s="27" t="str">
        <f>元データ!D751</f>
        <v>500T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5" t="str">
        <f ca="1">IF(OFFSET(マスタ非採用削除!A$4,統合マスタ!$A754,0)="","",OFFSET(マスタ非採用削除!A$4,統合マスタ!$A754,0))</f>
        <v>ﾚｷｻ001</v>
      </c>
      <c r="O754" s="55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5" t="str">
        <f ca="1">IF(OFFSET(マスタ非採用削除!D$4,統合マスタ!$A754,0)="","",OFFSET(マスタ非採用削除!D$4,統合マスタ!$A754,0))</f>
        <v>ﾚｷｻﾙ1</v>
      </c>
      <c r="R754" s="27">
        <f ca="1">IF(OFFSET(マスタ非採用削除!E$4,統合マスタ!$A754,0)="","",OFFSET(マスタ非採用削除!E$4,統合マスタ!$A754,0))</f>
        <v>1</v>
      </c>
      <c r="S754" s="55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5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5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6</v>
      </c>
      <c r="AA754" s="27"/>
    </row>
    <row r="755" spans="1:27">
      <c r="A755" s="42">
        <f>元データ!P752</f>
        <v>640</v>
      </c>
      <c r="B755" s="27">
        <f t="shared" si="11"/>
        <v>751</v>
      </c>
      <c r="C755" s="27" t="str">
        <f>DBCS(元データ!A752)</f>
        <v>レキサルティＯＤ錠２ｍｇ</v>
      </c>
      <c r="D755" s="55" t="str">
        <f>元データ!B752</f>
        <v>スズケン</v>
      </c>
      <c r="E755" s="27" t="str">
        <f>元データ!C752</f>
        <v>ＰＴＰ</v>
      </c>
      <c r="F755" s="27" t="str">
        <f>元データ!D752</f>
        <v>100T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5" t="str">
        <f ca="1">IF(OFFSET(マスタ非採用削除!A$4,統合マスタ!$A755,0)="","",OFFSET(マスタ非採用削除!A$4,統合マスタ!$A755,0))</f>
        <v>ﾚｷｻ002</v>
      </c>
      <c r="O755" s="55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5" t="str">
        <f ca="1">IF(OFFSET(マスタ非採用削除!D$4,統合マスタ!$A755,0)="","",OFFSET(マスタ非採用削除!D$4,統合マスタ!$A755,0))</f>
        <v>ﾚｷｻﾙ2</v>
      </c>
      <c r="R755" s="27">
        <f ca="1">IF(OFFSET(マスタ非採用削除!E$4,統合マスタ!$A755,0)="","",OFFSET(マスタ非採用削除!E$4,統合マスタ!$A755,0))</f>
        <v>1</v>
      </c>
      <c r="S755" s="55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5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5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6</v>
      </c>
      <c r="AA755" s="27"/>
    </row>
    <row r="756" spans="1:27">
      <c r="A756" s="42">
        <f>元データ!P753</f>
        <v>640</v>
      </c>
      <c r="B756" s="27">
        <f t="shared" si="11"/>
        <v>752</v>
      </c>
      <c r="C756" s="27" t="str">
        <f>DBCS(元データ!A753)</f>
        <v>レキサルティＯＤ錠２ｍｇ</v>
      </c>
      <c r="D756" s="55" t="str">
        <f>元データ!B753</f>
        <v>スズケン</v>
      </c>
      <c r="E756" s="27" t="str">
        <f>元データ!C753</f>
        <v>バラ</v>
      </c>
      <c r="F756" s="27" t="str">
        <f>元データ!D753</f>
        <v>500T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5" t="str">
        <f ca="1">IF(OFFSET(マスタ非採用削除!A$4,統合マスタ!$A756,0)="","",OFFSET(マスタ非採用削除!A$4,統合マスタ!$A756,0))</f>
        <v>ﾚｷｻ002</v>
      </c>
      <c r="O756" s="55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5" t="str">
        <f ca="1">IF(OFFSET(マスタ非採用削除!D$4,統合マスタ!$A756,0)="","",OFFSET(マスタ非採用削除!D$4,統合マスタ!$A756,0))</f>
        <v>ﾚｷｻﾙ2</v>
      </c>
      <c r="R756" s="27">
        <f ca="1">IF(OFFSET(マスタ非採用削除!E$4,統合マスタ!$A756,0)="","",OFFSET(マスタ非採用削除!E$4,統合マスタ!$A756,0))</f>
        <v>1</v>
      </c>
      <c r="S756" s="55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5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5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6</v>
      </c>
      <c r="AA756" s="27"/>
    </row>
    <row r="757" spans="1:27">
      <c r="A757" s="42">
        <f>元データ!P754</f>
        <v>642</v>
      </c>
      <c r="B757" s="27">
        <f t="shared" si="11"/>
        <v>753</v>
      </c>
      <c r="C757" s="27" t="str">
        <f>DBCS(元データ!A754)</f>
        <v>レキソタン錠２</v>
      </c>
      <c r="D757" s="55" t="str">
        <f>元データ!B754</f>
        <v>メディセオ</v>
      </c>
      <c r="E757" s="27" t="str">
        <f>元データ!C754</f>
        <v>PTP</v>
      </c>
      <c r="F757" s="27" t="str">
        <f>元データ!D754</f>
        <v>100Ｔ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5" t="str">
        <f ca="1">IF(OFFSET(マスタ非採用削除!A$4,統合マスタ!$A757,0)="","",OFFSET(マスタ非採用削除!A$4,統合マスタ!$A757,0))</f>
        <v>ﾚｷｿ001</v>
      </c>
      <c r="O757" s="55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5" t="str">
        <f ca="1">IF(OFFSET(マスタ非採用削除!D$4,統合マスタ!$A757,0)="","",OFFSET(マスタ非採用削除!D$4,統合マスタ!$A757,0))</f>
        <v>ﾚｷｿﾀﾝ2</v>
      </c>
      <c r="R757" s="27">
        <f ca="1">IF(OFFSET(マスタ非採用削除!E$4,統合マスタ!$A757,0)="","",OFFSET(マスタ非採用削除!E$4,統合マスタ!$A757,0))</f>
        <v>1</v>
      </c>
      <c r="S757" s="55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5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5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5</v>
      </c>
      <c r="AA757" s="27"/>
    </row>
    <row r="758" spans="1:27">
      <c r="A758" s="42">
        <f>元データ!P755</f>
        <v>642</v>
      </c>
      <c r="B758" s="27">
        <f t="shared" si="11"/>
        <v>754</v>
      </c>
      <c r="C758" s="27" t="str">
        <f>DBCS(元データ!A755)</f>
        <v>レキソタン錠２</v>
      </c>
      <c r="D758" s="55" t="str">
        <f>元データ!B755</f>
        <v>メディセオ</v>
      </c>
      <c r="E758" s="27" t="str">
        <f>元データ!C755</f>
        <v>バラ</v>
      </c>
      <c r="F758" s="27" t="str">
        <f>元データ!D755</f>
        <v>500Ｔ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5" t="str">
        <f ca="1">IF(OFFSET(マスタ非採用削除!A$4,統合マスタ!$A758,0)="","",OFFSET(マスタ非採用削除!A$4,統合マスタ!$A758,0))</f>
        <v>ﾚｷｿ001</v>
      </c>
      <c r="O758" s="55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5" t="str">
        <f ca="1">IF(OFFSET(マスタ非採用削除!D$4,統合マスタ!$A758,0)="","",OFFSET(マスタ非採用削除!D$4,統合マスタ!$A758,0))</f>
        <v>ﾚｷｿﾀﾝ2</v>
      </c>
      <c r="R758" s="27">
        <f ca="1">IF(OFFSET(マスタ非採用削除!E$4,統合マスタ!$A758,0)="","",OFFSET(マスタ非採用削除!E$4,統合マスタ!$A758,0))</f>
        <v>1</v>
      </c>
      <c r="S758" s="55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5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5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5</v>
      </c>
      <c r="AA758" s="27"/>
    </row>
    <row r="759" spans="1:27">
      <c r="A759" s="42">
        <f>元データ!P756</f>
        <v>643</v>
      </c>
      <c r="B759" s="27">
        <f t="shared" si="11"/>
        <v>755</v>
      </c>
      <c r="C759" s="27" t="str">
        <f>DBCS(元データ!A756)</f>
        <v>レキソタン錠５</v>
      </c>
      <c r="D759" s="55" t="str">
        <f>元データ!B756</f>
        <v>メディセオ</v>
      </c>
      <c r="E759" s="27" t="str">
        <f>元データ!C756</f>
        <v>PTP</v>
      </c>
      <c r="F759" s="27" t="str">
        <f>元データ!D756</f>
        <v>100Ｔ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5" t="str">
        <f ca="1">IF(OFFSET(マスタ非採用削除!A$4,統合マスタ!$A759,0)="","",OFFSET(マスタ非採用削除!A$4,統合マスタ!$A759,0))</f>
        <v>ﾚｷｿ002</v>
      </c>
      <c r="O759" s="55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5" t="str">
        <f ca="1">IF(OFFSET(マスタ非採用削除!D$4,統合マスタ!$A759,0)="","",OFFSET(マスタ非採用削除!D$4,統合マスタ!$A759,0))</f>
        <v>ﾚｷｿﾀﾝ4</v>
      </c>
      <c r="R759" s="27">
        <f ca="1">IF(OFFSET(マスタ非採用削除!E$4,統合マスタ!$A759,0)="","",OFFSET(マスタ非採用削除!E$4,統合マスタ!$A759,0))</f>
        <v>1</v>
      </c>
      <c r="S759" s="55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5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5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5</v>
      </c>
      <c r="AA759" s="27"/>
    </row>
    <row r="760" spans="1:27">
      <c r="A760" s="42">
        <f>元データ!P757</f>
        <v>643</v>
      </c>
      <c r="B760" s="27">
        <f t="shared" si="11"/>
        <v>756</v>
      </c>
      <c r="C760" s="27" t="str">
        <f>DBCS(元データ!A757)</f>
        <v>レキソタン錠５</v>
      </c>
      <c r="D760" s="55" t="str">
        <f>元データ!B757</f>
        <v>メディセオ</v>
      </c>
      <c r="E760" s="27" t="str">
        <f>元データ!C757</f>
        <v>バラ</v>
      </c>
      <c r="F760" s="27" t="str">
        <f>元データ!D757</f>
        <v>500Ｔ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5" t="str">
        <f ca="1">IF(OFFSET(マスタ非採用削除!A$4,統合マスタ!$A760,0)="","",OFFSET(マスタ非採用削除!A$4,統合マスタ!$A760,0))</f>
        <v>ﾚｷｿ002</v>
      </c>
      <c r="O760" s="55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5" t="str">
        <f ca="1">IF(OFFSET(マスタ非採用削除!D$4,統合マスタ!$A760,0)="","",OFFSET(マスタ非採用削除!D$4,統合マスタ!$A760,0))</f>
        <v>ﾚｷｿﾀﾝ4</v>
      </c>
      <c r="R760" s="27">
        <f ca="1">IF(OFFSET(マスタ非採用削除!E$4,統合マスタ!$A760,0)="","",OFFSET(マスタ非採用削除!E$4,統合マスタ!$A760,0))</f>
        <v>1</v>
      </c>
      <c r="S760" s="55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5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5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5</v>
      </c>
      <c r="AA760" s="27"/>
    </row>
    <row r="761" spans="1:27">
      <c r="A761" s="42">
        <f>元データ!P758</f>
        <v>645</v>
      </c>
      <c r="B761" s="27">
        <f t="shared" si="11"/>
        <v>757</v>
      </c>
      <c r="C761" s="27" t="str">
        <f>DBCS(元データ!A758)</f>
        <v>レグテクト錠３３３ｍｇ</v>
      </c>
      <c r="D761" s="55" t="str">
        <f>元データ!B758</f>
        <v>メディセオ</v>
      </c>
      <c r="E761" s="27" t="str">
        <f>元データ!C758</f>
        <v>PTP</v>
      </c>
      <c r="F761" s="27" t="str">
        <f>元データ!D758</f>
        <v>100Ｔ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5" t="str">
        <f ca="1">IF(OFFSET(マスタ非採用削除!A$4,統合マスタ!$A761,0)="","",OFFSET(マスタ非採用削除!A$4,統合マスタ!$A761,0))</f>
        <v>ﾚｸﾃ001</v>
      </c>
      <c r="O761" s="55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5" t="str">
        <f ca="1">IF(OFFSET(マスタ非採用削除!D$4,統合マスタ!$A761,0)="","",OFFSET(マスタ非採用削除!D$4,統合マスタ!$A761,0))</f>
        <v>ﾚｸﾞﾃ</v>
      </c>
      <c r="R761" s="27">
        <f ca="1">IF(OFFSET(マスタ非採用削除!E$4,統合マスタ!$A761,0)="","",OFFSET(マスタ非採用削除!E$4,統合マスタ!$A761,0))</f>
        <v>1</v>
      </c>
      <c r="S761" s="55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5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5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5</v>
      </c>
      <c r="AA761" s="27"/>
    </row>
    <row r="762" spans="1:27">
      <c r="A762" s="42">
        <f>元データ!P759</f>
        <v>645</v>
      </c>
      <c r="B762" s="27">
        <f t="shared" si="11"/>
        <v>758</v>
      </c>
      <c r="C762" s="27" t="str">
        <f>DBCS(元データ!A759)</f>
        <v>レグテクト錠３３３ｍｇ</v>
      </c>
      <c r="D762" s="55" t="str">
        <f>元データ!B759</f>
        <v>メディセオ</v>
      </c>
      <c r="E762" s="27" t="str">
        <f>元データ!C759</f>
        <v>バラ</v>
      </c>
      <c r="F762" s="27" t="str">
        <f>元データ!D759</f>
        <v>500Ｔ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5" t="str">
        <f ca="1">IF(OFFSET(マスタ非採用削除!A$4,統合マスタ!$A762,0)="","",OFFSET(マスタ非採用削除!A$4,統合マスタ!$A762,0))</f>
        <v>ﾚｸﾃ001</v>
      </c>
      <c r="O762" s="55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5" t="str">
        <f ca="1">IF(OFFSET(マスタ非採用削除!D$4,統合マスタ!$A762,0)="","",OFFSET(マスタ非採用削除!D$4,統合マスタ!$A762,0))</f>
        <v>ﾚｸﾞﾃ</v>
      </c>
      <c r="R762" s="27">
        <f ca="1">IF(OFFSET(マスタ非採用削除!E$4,統合マスタ!$A762,0)="","",OFFSET(マスタ非採用削除!E$4,統合マスタ!$A762,0))</f>
        <v>1</v>
      </c>
      <c r="S762" s="55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5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5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5</v>
      </c>
      <c r="AA762" s="27"/>
    </row>
    <row r="763" spans="1:27">
      <c r="A763" s="42">
        <f>元データ!P760</f>
        <v>646</v>
      </c>
      <c r="B763" s="27">
        <f t="shared" si="11"/>
        <v>759</v>
      </c>
      <c r="C763" s="27" t="str">
        <f>DBCS(元データ!A760)</f>
        <v>レスタミンコーワクリーム１％</v>
      </c>
      <c r="D763" s="55" t="str">
        <f>元データ!B760</f>
        <v>アルフレッサ</v>
      </c>
      <c r="E763" s="27" t="str">
        <f>元データ!C760</f>
        <v/>
      </c>
      <c r="F763" s="27" t="str">
        <f>元データ!D760</f>
        <v>500ｇ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5" t="str">
        <f ca="1">IF(OFFSET(マスタ非採用削除!A$4,統合マスタ!$A763,0)="","",OFFSET(マスタ非採用削除!A$4,統合マスタ!$A763,0))</f>
        <v>ﾚｽﾀ001</v>
      </c>
      <c r="O763" s="55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5" t="str">
        <f ca="1">IF(OFFSET(マスタ非採用削除!D$4,統合マスタ!$A763,0)="","",OFFSET(マスタ非採用削除!D$4,統合マスタ!$A763,0))</f>
        <v/>
      </c>
      <c r="R763" s="27">
        <f ca="1">IF(OFFSET(マスタ非採用削除!E$4,統合マスタ!$A763,0)="","",OFFSET(マスタ非採用削除!E$4,統合マスタ!$A763,0))</f>
        <v>1</v>
      </c>
      <c r="S763" s="55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5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5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/>
    </row>
    <row r="764" spans="1:27">
      <c r="A764" s="42">
        <f>元データ!P761</f>
        <v>647</v>
      </c>
      <c r="B764" s="27">
        <f t="shared" si="11"/>
        <v>760</v>
      </c>
      <c r="C764" s="27" t="str">
        <f>DBCS(元データ!A761)</f>
        <v>レスプレン錠２０ｍｇ</v>
      </c>
      <c r="D764" s="55" t="str">
        <f>元データ!B761</f>
        <v>メディセオ</v>
      </c>
      <c r="E764" s="27" t="str">
        <f>元データ!C761</f>
        <v>PTP</v>
      </c>
      <c r="F764" s="27" t="str">
        <f>元データ!D761</f>
        <v>500Ｔ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5" t="str">
        <f ca="1">IF(OFFSET(マスタ非採用削除!A$4,統合マスタ!$A764,0)="","",OFFSET(マスタ非採用削除!A$4,統合マスタ!$A764,0))</f>
        <v>ﾚｽﾌ001</v>
      </c>
      <c r="O764" s="55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5" t="str">
        <f ca="1">IF(OFFSET(マスタ非採用削除!D$4,統合マスタ!$A764,0)="","",OFFSET(マスタ非採用削除!D$4,統合マスタ!$A764,0))</f>
        <v>ﾚｽﾌﾟ2*</v>
      </c>
      <c r="R764" s="27">
        <f ca="1">IF(OFFSET(マスタ非採用削除!E$4,統合マスタ!$A764,0)="","",OFFSET(マスタ非採用削除!E$4,統合マスタ!$A764,0))</f>
        <v>1</v>
      </c>
      <c r="S764" s="55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5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5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/>
    </row>
    <row r="765" spans="1:27">
      <c r="A765" s="42">
        <f>元データ!P762</f>
        <v>648</v>
      </c>
      <c r="B765" s="27">
        <f t="shared" si="11"/>
        <v>761</v>
      </c>
      <c r="C765" s="27" t="str">
        <f>DBCS(元データ!A762)</f>
        <v>レトロゾール錠２．５ｍｇ「サワイ」</v>
      </c>
      <c r="D765" s="55" t="str">
        <f>元データ!B762</f>
        <v>メディセオ</v>
      </c>
      <c r="E765" s="27" t="str">
        <f>元データ!C762</f>
        <v>PTP</v>
      </c>
      <c r="F765" s="27" t="str">
        <f>元データ!D762</f>
        <v>30Ｔ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5" t="str">
        <f ca="1">IF(OFFSET(マスタ非採用削除!A$4,統合マスタ!$A765,0)="","",OFFSET(マスタ非採用削除!A$4,統合マスタ!$A765,0))</f>
        <v>ﾚﾄﾛ002</v>
      </c>
      <c r="O765" s="55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5" t="str">
        <f ca="1">IF(OFFSET(マスタ非採用削除!D$4,統合マスタ!$A765,0)="","",OFFSET(マスタ非採用削除!D$4,統合マスタ!$A765,0))</f>
        <v/>
      </c>
      <c r="R765" s="27">
        <f ca="1">IF(OFFSET(マスタ非採用削除!E$4,統合マスタ!$A765,0)="","",OFFSET(マスタ非採用削除!E$4,統合マスタ!$A765,0))</f>
        <v>2</v>
      </c>
      <c r="S765" s="55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5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5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/>
    </row>
    <row r="766" spans="1:27">
      <c r="A766" s="42">
        <f>元データ!P763</f>
        <v>649</v>
      </c>
      <c r="B766" s="27">
        <f t="shared" si="11"/>
        <v>762</v>
      </c>
      <c r="C766" s="27" t="str">
        <f>DBCS(元データ!A763)</f>
        <v>レバミピド錠１００ｍｇ「オーツカ」</v>
      </c>
      <c r="D766" s="55" t="str">
        <f>元データ!B763</f>
        <v>メディセオ</v>
      </c>
      <c r="E766" s="27" t="str">
        <f>元データ!C763</f>
        <v>PTP</v>
      </c>
      <c r="F766" s="27" t="str">
        <f>元データ!D763</f>
        <v>500Ｔ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5" t="str">
        <f ca="1">IF(OFFSET(マスタ非採用削除!A$4,統合マスタ!$A766,0)="","",OFFSET(マスタ非採用削除!A$4,統合マスタ!$A766,0))</f>
        <v>ﾚﾊﾐ001</v>
      </c>
      <c r="O766" s="55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5" t="str">
        <f ca="1">IF(OFFSET(マスタ非採用削除!D$4,統合マスタ!$A766,0)="","",OFFSET(マスタ非採用削除!D$4,統合マスタ!$A766,0))</f>
        <v>ﾚﾊﾞﾐ4</v>
      </c>
      <c r="R766" s="27">
        <f ca="1">IF(OFFSET(マスタ非採用削除!E$4,統合マスタ!$A766,0)="","",OFFSET(マスタ非採用削除!E$4,統合マスタ!$A766,0))</f>
        <v>1</v>
      </c>
      <c r="S766" s="55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5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5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5</v>
      </c>
      <c r="AA766" s="27"/>
    </row>
    <row r="767" spans="1:27">
      <c r="A767" s="42">
        <f>元データ!P764</f>
        <v>649</v>
      </c>
      <c r="B767" s="27">
        <f t="shared" si="11"/>
        <v>763</v>
      </c>
      <c r="C767" s="27" t="str">
        <f>DBCS(元データ!A764)</f>
        <v>レバミピド錠１００ｍｇ「オーツカ」</v>
      </c>
      <c r="D767" s="55" t="str">
        <f>元データ!B764</f>
        <v>メディセオ</v>
      </c>
      <c r="E767" s="27" t="str">
        <f>元データ!C764</f>
        <v>バラ</v>
      </c>
      <c r="F767" s="27" t="str">
        <f>元データ!D764</f>
        <v>500Ｔ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5" t="str">
        <f ca="1">IF(OFFSET(マスタ非採用削除!A$4,統合マスタ!$A767,0)="","",OFFSET(マスタ非採用削除!A$4,統合マスタ!$A767,0))</f>
        <v>ﾚﾊﾐ001</v>
      </c>
      <c r="O767" s="55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5" t="str">
        <f ca="1">IF(OFFSET(マスタ非採用削除!D$4,統合マスタ!$A767,0)="","",OFFSET(マスタ非採用削除!D$4,統合マスタ!$A767,0))</f>
        <v>ﾚﾊﾞﾐ4</v>
      </c>
      <c r="R767" s="27">
        <f ca="1">IF(OFFSET(マスタ非採用削除!E$4,統合マスタ!$A767,0)="","",OFFSET(マスタ非採用削除!E$4,統合マスタ!$A767,0))</f>
        <v>1</v>
      </c>
      <c r="S767" s="55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5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5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5</v>
      </c>
      <c r="AA767" s="27"/>
    </row>
    <row r="768" spans="1:27">
      <c r="A768" s="42">
        <f>元データ!P765</f>
        <v>653</v>
      </c>
      <c r="B768" s="27">
        <f t="shared" si="11"/>
        <v>764</v>
      </c>
      <c r="C768" s="27" t="str">
        <f>DBCS(元データ!A765)</f>
        <v>レベチラセタムＤＳ５０％「トーワ」</v>
      </c>
      <c r="D768" s="55" t="str">
        <f>元データ!B765</f>
        <v>東和薬品</v>
      </c>
      <c r="E768" s="27" t="str">
        <f>元データ!C765</f>
        <v>粉</v>
      </c>
      <c r="F768" s="27" t="str">
        <f>元データ!D765</f>
        <v>100Ｇ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5" t="str">
        <f ca="1">IF(OFFSET(マスタ非採用削除!A$4,統合マスタ!$A768,0)="","",OFFSET(マスタ非採用削除!A$4,統合マスタ!$A768,0))</f>
        <v>ﾚﾍﾁ005</v>
      </c>
      <c r="O768" s="55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5" t="str">
        <f ca="1">IF(OFFSET(マスタ非採用削除!D$4,統合マスタ!$A768,0)="","",OFFSET(マスタ非採用削除!D$4,統合マスタ!$A768,0))</f>
        <v/>
      </c>
      <c r="R768" s="27">
        <f ca="1">IF(OFFSET(マスタ非採用削除!E$4,統合マスタ!$A768,0)="","",OFFSET(マスタ非採用削除!E$4,統合マスタ!$A768,0))</f>
        <v>1</v>
      </c>
      <c r="S768" s="55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5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5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/>
    </row>
    <row r="769" spans="1:27">
      <c r="A769" s="42">
        <f>元データ!P766</f>
        <v>652</v>
      </c>
      <c r="B769" s="27">
        <f t="shared" si="11"/>
        <v>765</v>
      </c>
      <c r="C769" s="27" t="str">
        <f>DBCS(元データ!A766)</f>
        <v>レベチラセタム錠２５０ｍｇ「トーワ」</v>
      </c>
      <c r="D769" s="55" t="str">
        <f>元データ!B766</f>
        <v>東和薬品</v>
      </c>
      <c r="E769" s="27" t="str">
        <f>元データ!C766</f>
        <v>PTP</v>
      </c>
      <c r="F769" s="27" t="str">
        <f>元データ!D766</f>
        <v>100T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5" t="str">
        <f ca="1">IF(OFFSET(マスタ非採用削除!A$4,統合マスタ!$A769,0)="","",OFFSET(マスタ非採用削除!A$4,統合マスタ!$A769,0))</f>
        <v>ﾚﾍﾁ004</v>
      </c>
      <c r="O769" s="55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5" t="str">
        <f ca="1">IF(OFFSET(マスタ非採用削除!D$4,統合マスタ!$A769,0)="","",OFFSET(マスタ非採用削除!D$4,統合マスタ!$A769,0))</f>
        <v/>
      </c>
      <c r="R769" s="27">
        <f ca="1">IF(OFFSET(マスタ非採用削除!E$4,統合マスタ!$A769,0)="","",OFFSET(マスタ非採用削除!E$4,統合マスタ!$A769,0))</f>
        <v>1</v>
      </c>
      <c r="S769" s="55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5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5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5</v>
      </c>
      <c r="AA769" s="27"/>
    </row>
    <row r="770" spans="1:27">
      <c r="A770" s="42">
        <f>元データ!P767</f>
        <v>652</v>
      </c>
      <c r="B770" s="27">
        <f t="shared" si="11"/>
        <v>766</v>
      </c>
      <c r="C770" s="27" t="str">
        <f>DBCS(元データ!A767)</f>
        <v>レベチラセタム錠２５０ｍｇ「トーワ」</v>
      </c>
      <c r="D770" s="55" t="str">
        <f>元データ!B767</f>
        <v>東和薬品</v>
      </c>
      <c r="E770" s="27" t="str">
        <f>元データ!C767</f>
        <v>バラ</v>
      </c>
      <c r="F770" s="27" t="str">
        <f>元データ!D767</f>
        <v>300T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5" t="str">
        <f ca="1">IF(OFFSET(マスタ非採用削除!A$4,統合マスタ!$A770,0)="","",OFFSET(マスタ非採用削除!A$4,統合マスタ!$A770,0))</f>
        <v>ﾚﾍﾁ004</v>
      </c>
      <c r="O770" s="55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5" t="str">
        <f ca="1">IF(OFFSET(マスタ非採用削除!D$4,統合マスタ!$A770,0)="","",OFFSET(マスタ非採用削除!D$4,統合マスタ!$A770,0))</f>
        <v/>
      </c>
      <c r="R770" s="27">
        <f ca="1">IF(OFFSET(マスタ非採用削除!E$4,統合マスタ!$A770,0)="","",OFFSET(マスタ非採用削除!E$4,統合マスタ!$A770,0))</f>
        <v>1</v>
      </c>
      <c r="S770" s="55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5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5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5</v>
      </c>
      <c r="AA770" s="27"/>
    </row>
    <row r="771" spans="1:27">
      <c r="A771" s="42">
        <f>元データ!P768</f>
        <v>651</v>
      </c>
      <c r="B771" s="27">
        <f t="shared" si="11"/>
        <v>767</v>
      </c>
      <c r="C771" s="27" t="str">
        <f>DBCS(元データ!A768)</f>
        <v>レベチラセタム点滴静注５００ｍｇ「明治」</v>
      </c>
      <c r="D771" s="55" t="str">
        <f>元データ!B768</f>
        <v>アルフレッサ</v>
      </c>
      <c r="E771" s="27" t="str">
        <f>元データ!C768</f>
        <v/>
      </c>
      <c r="F771" s="27" t="str">
        <f>元データ!D768</f>
        <v>5ｍｌｘ10Ａ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5" t="str">
        <f ca="1">IF(OFFSET(マスタ非採用削除!A$4,統合マスタ!$A771,0)="","",OFFSET(マスタ非採用削除!A$4,統合マスタ!$A771,0))</f>
        <v>ﾚﾍﾁ003</v>
      </c>
      <c r="O771" s="55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5" t="str">
        <f ca="1">IF(OFFSET(マスタ非採用削除!D$4,統合マスタ!$A771,0)="","",OFFSET(マスタ非採用削除!D$4,統合マスタ!$A771,0))</f>
        <v>ﾚﾍﾞﾁﾁ</v>
      </c>
      <c r="R771" s="27">
        <f ca="1">IF(OFFSET(マスタ非採用削除!E$4,統合マスタ!$A771,0)="","",OFFSET(マスタ非採用削除!E$4,統合マスタ!$A771,0))</f>
        <v>1</v>
      </c>
      <c r="S771" s="55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5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5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/>
    </row>
    <row r="772" spans="1:27">
      <c r="A772" s="42">
        <f>元データ!P769</f>
        <v>654</v>
      </c>
      <c r="B772" s="27">
        <f t="shared" si="11"/>
        <v>768</v>
      </c>
      <c r="C772" s="27" t="str">
        <f>DBCS(元データ!A769)</f>
        <v>レボカルニチンＦＦ錠２５０ｍｇ「アメル」</v>
      </c>
      <c r="D772" s="55" t="str">
        <f>元データ!B769</f>
        <v/>
      </c>
      <c r="E772" s="27" t="str">
        <f>元データ!C769</f>
        <v>PTP</v>
      </c>
      <c r="F772" s="27" t="str">
        <f>元データ!D769</f>
        <v>100T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5" t="str">
        <f ca="1">IF(OFFSET(マスタ非採用削除!A$4,統合マスタ!$A772,0)="","",OFFSET(マスタ非採用削除!A$4,統合マスタ!$A772,0))</f>
        <v>ﾚﾎｶ001</v>
      </c>
      <c r="O772" s="55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5" t="str">
        <f ca="1">IF(OFFSET(マスタ非採用削除!D$4,統合マスタ!$A772,0)="","",OFFSET(マスタ非採用削除!D$4,統合マスタ!$A772,0))</f>
        <v/>
      </c>
      <c r="R772" s="27">
        <f ca="1">IF(OFFSET(マスタ非採用削除!E$4,統合マスタ!$A772,0)="","",OFFSET(マスタ非採用削除!E$4,統合マスタ!$A772,0))</f>
        <v>2</v>
      </c>
      <c r="S772" s="55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5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5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/>
    </row>
    <row r="773" spans="1:27">
      <c r="A773" s="42">
        <f>元データ!P770</f>
        <v>655</v>
      </c>
      <c r="B773" s="27">
        <f t="shared" si="11"/>
        <v>769</v>
      </c>
      <c r="C773" s="27" t="str">
        <f>DBCS(元データ!A770)</f>
        <v>レボフロキサシン細粒１０％「ＤＳＥＰ」</v>
      </c>
      <c r="D773" s="55" t="str">
        <f>元データ!B770</f>
        <v>メディセオ</v>
      </c>
      <c r="E773" s="27" t="str">
        <f>元データ!C770</f>
        <v>粉</v>
      </c>
      <c r="F773" s="27" t="str">
        <f>元データ!D770</f>
        <v>100ｇ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5" t="str">
        <f ca="1">IF(OFFSET(マスタ非採用削除!A$4,統合マスタ!$A773,0)="","",OFFSET(マスタ非採用削除!A$4,統合マスタ!$A773,0))</f>
        <v>ﾚﾎﾌ001</v>
      </c>
      <c r="O773" s="55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5" t="str">
        <f ca="1">IF(OFFSET(マスタ非採用削除!D$4,統合マスタ!$A773,0)="","",OFFSET(マスタ非採用削除!D$4,統合マスタ!$A773,0))</f>
        <v>ﾚﾎﾞﾌ10</v>
      </c>
      <c r="R773" s="27">
        <f ca="1">IF(OFFSET(マスタ非採用削除!E$4,統合マスタ!$A773,0)="","",OFFSET(マスタ非採用削除!E$4,統合マスタ!$A773,0))</f>
        <v>2</v>
      </c>
      <c r="S773" s="55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5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5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/>
    </row>
    <row r="774" spans="1:27">
      <c r="A774" s="42">
        <f>元データ!P771</f>
        <v>656</v>
      </c>
      <c r="B774" s="27">
        <f t="shared" si="11"/>
        <v>770</v>
      </c>
      <c r="C774" s="27" t="str">
        <f>DBCS(元データ!A771)</f>
        <v>レボフロキサシン錠２５０ｍｇ「ＤＳＥＰ」</v>
      </c>
      <c r="D774" s="55" t="str">
        <f>元データ!B771</f>
        <v>メディセオ</v>
      </c>
      <c r="E774" s="27" t="str">
        <f>元データ!C771</f>
        <v>PTP</v>
      </c>
      <c r="F774" s="27" t="str">
        <f>元データ!D771</f>
        <v>100T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5" t="str">
        <f ca="1">IF(OFFSET(マスタ非採用削除!A$4,統合マスタ!$A774,0)="","",OFFSET(マスタ非採用削除!A$4,統合マスタ!$A774,0))</f>
        <v>ﾚﾎﾌ002</v>
      </c>
      <c r="O774" s="55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5" t="str">
        <f ca="1">IF(OFFSET(マスタ非採用削除!D$4,統合マスタ!$A774,0)="","",OFFSET(マスタ非採用削除!D$4,統合マスタ!$A774,0))</f>
        <v>ﾚﾎﾞﾌ25</v>
      </c>
      <c r="R774" s="27">
        <f ca="1">IF(OFFSET(マスタ非採用削除!E$4,統合マスタ!$A774,0)="","",OFFSET(マスタ非採用削除!E$4,統合マスタ!$A774,0))</f>
        <v>1</v>
      </c>
      <c r="S774" s="55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5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5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/>
    </row>
    <row r="775" spans="1:27">
      <c r="A775" s="42">
        <f>元データ!P772</f>
        <v>658</v>
      </c>
      <c r="B775" s="27">
        <f t="shared" ref="B775:B836" si="12">B774+1</f>
        <v>771</v>
      </c>
      <c r="C775" s="27" t="str">
        <f>DBCS(元データ!A772)</f>
        <v>レボフロキサシン点眼液１．５％「ニットー」</v>
      </c>
      <c r="D775" s="55" t="str">
        <f>元データ!B772</f>
        <v>アルフレッサ</v>
      </c>
      <c r="E775" s="27" t="str">
        <f>元データ!C772</f>
        <v/>
      </c>
      <c r="F775" s="27" t="str">
        <f>元データ!D772</f>
        <v>5ｍｌｘ10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5" t="str">
        <f ca="1">IF(OFFSET(マスタ非採用削除!A$4,統合マスタ!$A775,0)="","",OFFSET(マスタ非採用削除!A$4,統合マスタ!$A775,0))</f>
        <v>ﾚﾎﾌ004</v>
      </c>
      <c r="O775" s="55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5" t="str">
        <f ca="1">IF(OFFSET(マスタ非採用削除!D$4,統合マスタ!$A775,0)="","",OFFSET(マスタ非採用削除!D$4,統合マスタ!$A775,0))</f>
        <v/>
      </c>
      <c r="R775" s="27">
        <f ca="1">IF(OFFSET(マスタ非採用削除!E$4,統合マスタ!$A775,0)="","",OFFSET(マスタ非採用削除!E$4,統合マスタ!$A775,0))</f>
        <v>2</v>
      </c>
      <c r="S775" s="55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5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5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/>
    </row>
    <row r="776" spans="1:27">
      <c r="A776" s="42">
        <f>元データ!P773</f>
        <v>657</v>
      </c>
      <c r="B776" s="27">
        <f t="shared" si="12"/>
        <v>772</v>
      </c>
      <c r="C776" s="27" t="str">
        <f>DBCS(元データ!A773)</f>
        <v>レボフロキサシン点滴静注バッグ５００ｍｇ／１００ｍｌ「ＤＳＥＰ」</v>
      </c>
      <c r="D776" s="55" t="str">
        <f>元データ!B773</f>
        <v>メディセオ</v>
      </c>
      <c r="E776" s="27" t="str">
        <f>元データ!C773</f>
        <v/>
      </c>
      <c r="F776" s="27" t="str">
        <f>元データ!D773</f>
        <v>10袋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5" t="str">
        <f ca="1">IF(OFFSET(マスタ非採用削除!A$4,統合マスタ!$A776,0)="","",OFFSET(マスタ非採用削除!A$4,統合マスタ!$A776,0))</f>
        <v>ﾚﾎﾌ003</v>
      </c>
      <c r="O776" s="55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5" t="str">
        <f ca="1">IF(OFFSET(マスタ非採用削除!D$4,統合マスタ!$A776,0)="","",OFFSET(マスタ非採用削除!D$4,統合マスタ!$A776,0))</f>
        <v/>
      </c>
      <c r="R776" s="27">
        <f ca="1">IF(OFFSET(マスタ非採用削除!E$4,統合マスタ!$A776,0)="","",OFFSET(マスタ非採用削除!E$4,統合マスタ!$A776,0))</f>
        <v>1</v>
      </c>
      <c r="S776" s="55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5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5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/>
    </row>
    <row r="777" spans="1:27">
      <c r="A777" s="42">
        <f>元データ!P774</f>
        <v>659</v>
      </c>
      <c r="B777" s="27">
        <f t="shared" si="12"/>
        <v>773</v>
      </c>
      <c r="C777" s="27" t="str">
        <f>DBCS(元データ!A774)</f>
        <v>レボレード錠１２．５ｍｇ</v>
      </c>
      <c r="D777" s="55" t="str">
        <f>元データ!B774</f>
        <v/>
      </c>
      <c r="E777" s="27" t="str">
        <f>元データ!C774</f>
        <v>PTP</v>
      </c>
      <c r="F777" s="27" t="str">
        <f>元データ!D774</f>
        <v>70T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5" t="str">
        <f ca="1">IF(OFFSET(マスタ非採用削除!A$4,統合マスタ!$A777,0)="","",OFFSET(マスタ非採用削除!A$4,統合マスタ!$A777,0))</f>
        <v>ﾚﾎﾚ001</v>
      </c>
      <c r="O777" s="55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5" t="str">
        <f ca="1">IF(OFFSET(マスタ非採用削除!D$4,統合マスタ!$A777,0)="","",OFFSET(マスタ非採用削除!D$4,統合マスタ!$A777,0))</f>
        <v>ﾚﾎﾞﾚ</v>
      </c>
      <c r="R777" s="27">
        <f ca="1">IF(OFFSET(マスタ非採用削除!E$4,統合マスタ!$A777,0)="","",OFFSET(マスタ非採用削除!E$4,統合マスタ!$A777,0))</f>
        <v>2</v>
      </c>
      <c r="S777" s="55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5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5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/>
    </row>
    <row r="778" spans="1:27">
      <c r="A778" s="42">
        <f>元データ!P775</f>
        <v>660</v>
      </c>
      <c r="B778" s="27">
        <f t="shared" si="12"/>
        <v>774</v>
      </c>
      <c r="C778" s="27" t="str">
        <f>DBCS(元データ!A775)</f>
        <v>レルパックス錠２０ｍｇ</v>
      </c>
      <c r="D778" s="55" t="str">
        <f>元データ!B775</f>
        <v>アルフレッサ</v>
      </c>
      <c r="E778" s="27" t="str">
        <f>元データ!C775</f>
        <v>PTP</v>
      </c>
      <c r="F778" s="27" t="str">
        <f>元データ!D775</f>
        <v>10T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5" t="str">
        <f ca="1">IF(OFFSET(マスタ非採用削除!A$4,統合マスタ!$A778,0)="","",OFFSET(マスタ非採用削除!A$4,統合マスタ!$A778,0))</f>
        <v>ﾚﾙﾊ001</v>
      </c>
      <c r="O778" s="55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5" t="str">
        <f ca="1">IF(OFFSET(マスタ非採用削除!D$4,統合マスタ!$A778,0)="","",OFFSET(マスタ非採用削除!D$4,統合マスタ!$A778,0))</f>
        <v>ﾚﾙﾊﾟ</v>
      </c>
      <c r="R778" s="27">
        <f ca="1">IF(OFFSET(マスタ非採用削除!E$4,統合マスタ!$A778,0)="","",OFFSET(マスタ非採用削除!E$4,統合マスタ!$A778,0))</f>
        <v>2</v>
      </c>
      <c r="S778" s="55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5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5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/>
    </row>
    <row r="779" spans="1:27">
      <c r="A779" s="42">
        <f>元データ!P776</f>
        <v>662</v>
      </c>
      <c r="B779" s="27">
        <f t="shared" si="12"/>
        <v>775</v>
      </c>
      <c r="C779" s="27" t="str">
        <f>DBCS(元データ!A776)</f>
        <v>レルベア１００エリプタ３０吸入用</v>
      </c>
      <c r="D779" s="55" t="str">
        <f>元データ!B776</f>
        <v>東邦</v>
      </c>
      <c r="E779" s="27" t="str">
        <f>元データ!C776</f>
        <v/>
      </c>
      <c r="F779" s="27" t="str">
        <f>元データ!D776</f>
        <v>1個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5" t="str">
        <f ca="1">IF(OFFSET(マスタ非採用削除!A$4,統合マスタ!$A779,0)="","",OFFSET(マスタ非採用削除!A$4,統合マスタ!$A779,0))</f>
        <v>ﾚﾙﾍ002</v>
      </c>
      <c r="O779" s="55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5" t="str">
        <f ca="1">IF(OFFSET(マスタ非採用削除!D$4,統合マスタ!$A779,0)="","",OFFSET(マスタ非採用削除!D$4,統合マスタ!$A779,0))</f>
        <v>ﾚﾙﾍﾞｱ</v>
      </c>
      <c r="R779" s="27">
        <f ca="1">IF(OFFSET(マスタ非採用削除!E$4,統合マスタ!$A779,0)="","",OFFSET(マスタ非採用削除!E$4,統合マスタ!$A779,0))</f>
        <v>2</v>
      </c>
      <c r="S779" s="55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5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5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/>
    </row>
    <row r="780" spans="1:27">
      <c r="A780" s="42">
        <f>元データ!P777</f>
        <v>661</v>
      </c>
      <c r="B780" s="27">
        <f t="shared" si="12"/>
        <v>776</v>
      </c>
      <c r="C780" s="27" t="str">
        <f>DBCS(元データ!A777)</f>
        <v>レルベア２００エリプタ３０吸入用</v>
      </c>
      <c r="D780" s="55" t="str">
        <f>元データ!B777</f>
        <v>東邦</v>
      </c>
      <c r="E780" s="27" t="str">
        <f>元データ!C777</f>
        <v/>
      </c>
      <c r="F780" s="27" t="str">
        <f>元データ!D777</f>
        <v>1個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5" t="str">
        <f ca="1">IF(OFFSET(マスタ非採用削除!A$4,統合マスタ!$A780,0)="","",OFFSET(マスタ非採用削除!A$4,統合マスタ!$A780,0))</f>
        <v>ﾚﾙﾍ001</v>
      </c>
      <c r="O780" s="55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5" t="str">
        <f ca="1">IF(OFFSET(マスタ非採用削除!D$4,統合マスタ!$A780,0)="","",OFFSET(マスタ非採用削除!D$4,統合マスタ!$A780,0))</f>
        <v>ﾚﾙﾍﾞ</v>
      </c>
      <c r="R780" s="27">
        <f ca="1">IF(OFFSET(マスタ非採用削除!E$4,統合マスタ!$A780,0)="","",OFFSET(マスタ非採用削除!E$4,統合マスタ!$A780,0))</f>
        <v>2</v>
      </c>
      <c r="S780" s="55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5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5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/>
    </row>
    <row r="781" spans="1:27">
      <c r="A781" s="42">
        <f>元データ!P778</f>
        <v>0</v>
      </c>
      <c r="B781" s="27">
        <f t="shared" si="12"/>
        <v>777</v>
      </c>
      <c r="C781" s="27" t="str">
        <f>DBCS(元データ!A778)</f>
        <v>ロイコボリン注３ｍｇ</v>
      </c>
      <c r="D781" s="55" t="str">
        <f>元データ!B778</f>
        <v/>
      </c>
      <c r="E781" s="27" t="str">
        <f>元データ!C778</f>
        <v/>
      </c>
      <c r="F781" s="27" t="str">
        <f>元データ!D778</f>
        <v>1ｍｌｘ10A</v>
      </c>
      <c r="G781" s="27" t="str">
        <f>元データ!E778</f>
        <v>ファイザー</v>
      </c>
      <c r="H781" s="27">
        <f>元データ!F778</f>
        <v>263</v>
      </c>
      <c r="I781" s="27">
        <f>元データ!G778</f>
        <v>2630</v>
      </c>
      <c r="J781" s="27">
        <f>元データ!H778</f>
        <v>10</v>
      </c>
      <c r="K781" s="27" t="str">
        <f>元データ!I778</f>
        <v>A</v>
      </c>
      <c r="L781" s="27">
        <f>元データ!J778</f>
        <v>2343</v>
      </c>
      <c r="M781" s="27">
        <f>元データ!K778</f>
        <v>234.3</v>
      </c>
      <c r="N781" s="55" t="str">
        <f ca="1">IF(OFFSET(マスタ非採用削除!A$4,統合マスタ!$A781,0)="","",OFFSET(マスタ非採用削除!A$4,統合マスタ!$A781,0))</f>
        <v>コード(区分値)</v>
      </c>
      <c r="O781" s="55" t="str">
        <f ca="1">IF(OFFSET(マスタ非採用削除!B$4,統合マスタ!$A781,0)="","",OFFSET(マスタ非採用削除!B$4,統合マスタ!$A781,0))</f>
        <v>コード</v>
      </c>
      <c r="P781" s="27" t="str">
        <f ca="1">IF(OFFSET(マスタ非採用削除!C$4,統合マスタ!$A781,0)="","",OFFSET(マスタ非採用削除!C$4,統合マスタ!$A781,0))</f>
        <v>名称</v>
      </c>
      <c r="Q781" s="55" t="str">
        <f ca="1">IF(OFFSET(マスタ非採用削除!D$4,統合マスタ!$A781,0)="","",OFFSET(マスタ非採用削除!D$4,統合マスタ!$A781,0))</f>
        <v>ホストコード</v>
      </c>
      <c r="R781" s="27" t="str">
        <f ca="1">IF(OFFSET(マスタ非採用削除!E$4,統合マスタ!$A781,0)="","",OFFSET(マスタ非採用削除!E$4,統合マスタ!$A781,0))</f>
        <v>採用区分（区分値）(区分値)</v>
      </c>
      <c r="S781" s="55" t="str">
        <f ca="1">IF(OFFSET(マスタ非採用削除!F$4,統合マスタ!$A781,0)="","",OFFSET(マスタ非採用削除!F$4,統合マスタ!$A781,0))</f>
        <v>採用区分（区分値）</v>
      </c>
      <c r="T781" s="27" t="str">
        <f ca="1">IF(OFFSET(マスタ非採用削除!G$4,統合マスタ!$A781,0)="","",OFFSET(マスタ非採用削除!G$4,統合マスタ!$A781,0))</f>
        <v>薬価</v>
      </c>
      <c r="U781" s="55" t="str">
        <f ca="1">IF(OFFSET(マスタ非採用削除!H$4,統合マスタ!$A781,0)="","",OFFSET(マスタ非採用削除!H$4,統合マスタ!$A781,0))</f>
        <v>カナ名称</v>
      </c>
      <c r="V781" s="27" t="str">
        <f ca="1">IF(OFFSET(マスタ非採用削除!I$4,統合マスタ!$A781,0)="","",OFFSET(マスタ非採用削除!I$4,統合マスタ!$A781,0))</f>
        <v>剤形(区分値)</v>
      </c>
      <c r="W781" s="27" t="str">
        <f ca="1">IF(OFFSET(マスタ非採用削除!J$4,統合マスタ!$A781,0)="","",OFFSET(マスタ非採用削除!J$4,統合マスタ!$A781,0))</f>
        <v>剤形</v>
      </c>
      <c r="X781" s="27" t="str">
        <f ca="1">IF(OFFSET(マスタ非採用削除!K$4,統合マスタ!$A781,0)="","",OFFSET(マスタ非採用削除!K$4,統合マスタ!$A781,0))</f>
        <v>毒劇薬（区分値）(区分値)</v>
      </c>
      <c r="Y781" s="55" t="str">
        <f ca="1">IF(OFFSET(マスタ非採用削除!L$4,統合マスタ!$A781,0)="","",OFFSET(マスタ非採用削除!L$4,統合マスタ!$A781,0))</f>
        <v>毒劇薬（区分値）</v>
      </c>
      <c r="Z781" s="27" t="str">
        <f ca="1">IF(OFFSET(マスタ非採用削除!M$4,統合マスタ!$A781,0)="","",OFFSET(マスタ非採用削除!M$4,統合マスタ!$A781,0))</f>
        <v>棚</v>
      </c>
      <c r="AA781" s="27"/>
    </row>
    <row r="782" spans="1:27">
      <c r="A782" s="42">
        <f>元データ!P779</f>
        <v>664</v>
      </c>
      <c r="B782" s="27">
        <f t="shared" si="12"/>
        <v>778</v>
      </c>
      <c r="C782" s="27" t="str">
        <f>DBCS(元データ!A779)</f>
        <v>ロキソニン細粒１０％</v>
      </c>
      <c r="D782" s="55" t="str">
        <f>元データ!B779</f>
        <v/>
      </c>
      <c r="E782" s="27" t="str">
        <f>元データ!C779</f>
        <v>粉</v>
      </c>
      <c r="F782" s="27" t="str">
        <f>元データ!D779</f>
        <v>100ｇ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5" t="str">
        <f ca="1">IF(OFFSET(マスタ非採用削除!A$4,統合マスタ!$A782,0)="","",OFFSET(マスタ非採用削除!A$4,統合マスタ!$A782,0))</f>
        <v>ﾛｷｿ002</v>
      </c>
      <c r="O782" s="55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5" t="str">
        <f ca="1">IF(OFFSET(マスタ非採用削除!D$4,統合マスタ!$A782,0)="","",OFFSET(マスタ非採用削除!D$4,統合マスタ!$A782,0))</f>
        <v>ﾛｷｿﾆ</v>
      </c>
      <c r="R782" s="27">
        <f ca="1">IF(OFFSET(マスタ非採用削除!E$4,統合マスタ!$A782,0)="","",OFFSET(マスタ非採用削除!E$4,統合マスタ!$A782,0))</f>
        <v>1</v>
      </c>
      <c r="S782" s="55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5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5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/>
    </row>
    <row r="783" spans="1:27">
      <c r="A783" s="42">
        <f>元データ!P780</f>
        <v>665</v>
      </c>
      <c r="B783" s="27">
        <f t="shared" si="12"/>
        <v>779</v>
      </c>
      <c r="C783" s="27" t="str">
        <f>DBCS(元データ!A780)</f>
        <v>ロキソプロフェンＮａテープ１００ｍｇ「ＤＳＥＰ」</v>
      </c>
      <c r="D783" s="55" t="str">
        <f>元データ!B780</f>
        <v>メディセオ</v>
      </c>
      <c r="E783" s="27" t="str">
        <f>元データ!C780</f>
        <v/>
      </c>
      <c r="F783" s="27" t="str">
        <f>元データ!D780</f>
        <v>700枚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5" t="str">
        <f ca="1">IF(OFFSET(マスタ非採用削除!A$4,統合マスタ!$A783,0)="","",OFFSET(マスタ非採用削除!A$4,統合マスタ!$A783,0))</f>
        <v>ﾛｷｿ005</v>
      </c>
      <c r="O783" s="55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5" t="str">
        <f ca="1">IF(OFFSET(マスタ非採用削除!D$4,統合マスタ!$A783,0)="","",OFFSET(マスタ非採用削除!D$4,統合マスタ!$A783,0))</f>
        <v/>
      </c>
      <c r="R783" s="27">
        <f ca="1">IF(OFFSET(マスタ非採用削除!E$4,統合マスタ!$A783,0)="","",OFFSET(マスタ非採用削除!E$4,統合マスタ!$A783,0))</f>
        <v>1</v>
      </c>
      <c r="S783" s="55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5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5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/>
    </row>
    <row r="784" spans="1:27">
      <c r="A784" s="42">
        <f>元データ!P781</f>
        <v>663</v>
      </c>
      <c r="B784" s="27">
        <f t="shared" si="12"/>
        <v>780</v>
      </c>
      <c r="C784" s="27" t="str">
        <f>DBCS(元データ!A781)</f>
        <v>ロキソプロフェンナトリウム錠６０ｍｇ「日医工」</v>
      </c>
      <c r="D784" s="55" t="str">
        <f>元データ!B781</f>
        <v>メディセオ</v>
      </c>
      <c r="E784" s="27" t="str">
        <f>元データ!C781</f>
        <v>PTP</v>
      </c>
      <c r="F784" s="27" t="str">
        <f>元データ!D781</f>
        <v>1000T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5" t="str">
        <f ca="1">IF(OFFSET(マスタ非採用削除!A$4,統合マスタ!$A784,0)="","",OFFSET(マスタ非採用削除!A$4,統合マスタ!$A784,0))</f>
        <v>ﾛｷｿ001</v>
      </c>
      <c r="O784" s="55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5" t="str">
        <f ca="1">IF(OFFSET(マスタ非採用削除!D$4,統合マスタ!$A784,0)="","",OFFSET(マスタ非採用削除!D$4,統合マスタ!$A784,0))</f>
        <v>ﾛｷｿ</v>
      </c>
      <c r="R784" s="27">
        <f ca="1">IF(OFFSET(マスタ非採用削除!E$4,統合マスタ!$A784,0)="","",OFFSET(マスタ非採用削除!E$4,統合マスタ!$A784,0))</f>
        <v>1</v>
      </c>
      <c r="S784" s="55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5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5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5</v>
      </c>
      <c r="AA784" s="27"/>
    </row>
    <row r="785" spans="1:27">
      <c r="A785" s="42">
        <f>元データ!P782</f>
        <v>663</v>
      </c>
      <c r="B785" s="27">
        <f t="shared" si="12"/>
        <v>781</v>
      </c>
      <c r="C785" s="27" t="str">
        <f>DBCS(元データ!A782)</f>
        <v>ロキソプロフェンナトリウム錠６０ｍｇ「日医工」</v>
      </c>
      <c r="D785" s="55" t="str">
        <f>元データ!B782</f>
        <v>メディセオ</v>
      </c>
      <c r="E785" s="27" t="str">
        <f>元データ!C782</f>
        <v>バラ</v>
      </c>
      <c r="F785" s="27" t="str">
        <f>元データ!D782</f>
        <v>1000T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5" t="str">
        <f ca="1">IF(OFFSET(マスタ非採用削除!A$4,統合マスタ!$A785,0)="","",OFFSET(マスタ非採用削除!A$4,統合マスタ!$A785,0))</f>
        <v>ﾛｷｿ001</v>
      </c>
      <c r="O785" s="55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5" t="str">
        <f ca="1">IF(OFFSET(マスタ非採用削除!D$4,統合マスタ!$A785,0)="","",OFFSET(マスタ非採用削除!D$4,統合マスタ!$A785,0))</f>
        <v>ﾛｷｿ</v>
      </c>
      <c r="R785" s="27">
        <f ca="1">IF(OFFSET(マスタ非採用削除!E$4,統合マスタ!$A785,0)="","",OFFSET(マスタ非採用削除!E$4,統合マスタ!$A785,0))</f>
        <v>1</v>
      </c>
      <c r="S785" s="55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5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5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5</v>
      </c>
      <c r="AA785" s="27"/>
    </row>
    <row r="786" spans="1:27">
      <c r="A786" s="42">
        <f>元データ!P783</f>
        <v>666</v>
      </c>
      <c r="B786" s="27">
        <f t="shared" si="12"/>
        <v>782</v>
      </c>
      <c r="C786" s="27" t="str">
        <f>DBCS(元データ!A783)</f>
        <v>ロケルマ懸濁用散分包５ｇ</v>
      </c>
      <c r="D786" s="55" t="str">
        <f>元データ!B783</f>
        <v>アルフレッサ</v>
      </c>
      <c r="E786" s="27" t="str">
        <f>元データ!C783</f>
        <v>粉</v>
      </c>
      <c r="F786" s="27" t="str">
        <f>元データ!D783</f>
        <v>28包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5" t="str">
        <f ca="1">IF(OFFSET(マスタ非採用削除!A$4,統合マスタ!$A786,0)="","",OFFSET(マスタ非採用削除!A$4,統合マスタ!$A786,0))</f>
        <v>ﾛｹﾙ001</v>
      </c>
      <c r="O786" s="55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5" t="str">
        <f ca="1">IF(OFFSET(マスタ非採用削除!D$4,統合マスタ!$A786,0)="","",OFFSET(マスタ非採用削除!D$4,統合マスタ!$A786,0))</f>
        <v/>
      </c>
      <c r="R786" s="27">
        <f ca="1">IF(OFFSET(マスタ非採用削除!E$4,統合マスタ!$A786,0)="","",OFFSET(マスタ非採用削除!E$4,統合マスタ!$A786,0))</f>
        <v>2</v>
      </c>
      <c r="S786" s="55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5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5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/>
    </row>
    <row r="787" spans="1:27">
      <c r="A787" s="42">
        <f>元データ!P784</f>
        <v>667</v>
      </c>
      <c r="B787" s="27">
        <f t="shared" si="12"/>
        <v>783</v>
      </c>
      <c r="C787" s="27" t="str">
        <f>DBCS(元データ!A784)</f>
        <v>ロコイド軟膏０．１％</v>
      </c>
      <c r="D787" s="55" t="str">
        <f>元データ!B784</f>
        <v>KSK</v>
      </c>
      <c r="E787" s="27" t="str">
        <f>元データ!C784</f>
        <v/>
      </c>
      <c r="F787" s="27" t="str">
        <f>元データ!D784</f>
        <v>5ｇｘ10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5" t="str">
        <f ca="1">IF(OFFSET(マスタ非採用削除!A$4,統合マスタ!$A787,0)="","",OFFSET(マスタ非採用削除!A$4,統合マスタ!$A787,0))</f>
        <v>ﾛｺｲ001</v>
      </c>
      <c r="O787" s="55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5" t="str">
        <f ca="1">IF(OFFSET(マスタ非採用削除!D$4,統合マスタ!$A787,0)="","",OFFSET(マスタ非採用削除!D$4,統合マスタ!$A787,0))</f>
        <v/>
      </c>
      <c r="R787" s="27">
        <f ca="1">IF(OFFSET(マスタ非採用削除!E$4,統合マスタ!$A787,0)="","",OFFSET(マスタ非採用削除!E$4,統合マスタ!$A787,0))</f>
        <v>1</v>
      </c>
      <c r="S787" s="55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5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5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/>
    </row>
    <row r="788" spans="1:27">
      <c r="A788" s="42">
        <f>元データ!P785</f>
        <v>668</v>
      </c>
      <c r="B788" s="27">
        <f t="shared" si="12"/>
        <v>784</v>
      </c>
      <c r="C788" s="27" t="str">
        <f>DBCS(元データ!A785)</f>
        <v>ロスバスタチン錠２．５ｍｇ「トーワ」</v>
      </c>
      <c r="D788" s="55" t="str">
        <f>元データ!B785</f>
        <v>東和薬品</v>
      </c>
      <c r="E788" s="27" t="str">
        <f>元データ!C785</f>
        <v>PTP</v>
      </c>
      <c r="F788" s="27" t="str">
        <f>元データ!D785</f>
        <v>100T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5" t="str">
        <f ca="1">IF(OFFSET(マスタ非採用削除!A$4,統合マスタ!$A788,0)="","",OFFSET(マスタ非採用削除!A$4,統合マスタ!$A788,0))</f>
        <v>ﾛｽﾊ002</v>
      </c>
      <c r="O788" s="55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5" t="str">
        <f ca="1">IF(OFFSET(マスタ非採用削除!D$4,統合マスタ!$A788,0)="","",OFFSET(マスタ非採用削除!D$4,統合マスタ!$A788,0))</f>
        <v/>
      </c>
      <c r="R788" s="27">
        <f ca="1">IF(OFFSET(マスタ非採用削除!E$4,統合マスタ!$A788,0)="","",OFFSET(マスタ非採用削除!E$4,統合マスタ!$A788,0))</f>
        <v>1</v>
      </c>
      <c r="S788" s="55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5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5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5</v>
      </c>
      <c r="AA788" s="27"/>
    </row>
    <row r="789" spans="1:27">
      <c r="A789" s="42">
        <f>元データ!P786</f>
        <v>668</v>
      </c>
      <c r="B789" s="27">
        <f t="shared" si="12"/>
        <v>785</v>
      </c>
      <c r="C789" s="27" t="str">
        <f>DBCS(元データ!A786)</f>
        <v>ロスバスタチン錠２．５ｍｇ「トーワ」</v>
      </c>
      <c r="D789" s="55" t="str">
        <f>元データ!B786</f>
        <v>東和薬品</v>
      </c>
      <c r="E789" s="27" t="str">
        <f>元データ!C786</f>
        <v>バラ</v>
      </c>
      <c r="F789" s="27" t="str">
        <f>元データ!D786</f>
        <v>300T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5" t="str">
        <f ca="1">IF(OFFSET(マスタ非採用削除!A$4,統合マスタ!$A789,0)="","",OFFSET(マスタ非採用削除!A$4,統合マスタ!$A789,0))</f>
        <v>ﾛｽﾊ002</v>
      </c>
      <c r="O789" s="55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5" t="str">
        <f ca="1">IF(OFFSET(マスタ非採用削除!D$4,統合マスタ!$A789,0)="","",OFFSET(マスタ非採用削除!D$4,統合マスタ!$A789,0))</f>
        <v/>
      </c>
      <c r="R789" s="27">
        <f ca="1">IF(OFFSET(マスタ非採用削除!E$4,統合マスタ!$A789,0)="","",OFFSET(マスタ非採用削除!E$4,統合マスタ!$A789,0))</f>
        <v>1</v>
      </c>
      <c r="S789" s="55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5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5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5</v>
      </c>
      <c r="AA789" s="27"/>
    </row>
    <row r="790" spans="1:27">
      <c r="A790" s="42">
        <f>元データ!P787</f>
        <v>669</v>
      </c>
      <c r="B790" s="27">
        <f t="shared" si="12"/>
        <v>786</v>
      </c>
      <c r="C790" s="27" t="str">
        <f>DBCS(元データ!A787)</f>
        <v>ロゼレム錠８ｍｇ</v>
      </c>
      <c r="D790" s="55" t="str">
        <f>元データ!B787</f>
        <v>アルフレッサ</v>
      </c>
      <c r="E790" s="27" t="str">
        <f>元データ!C787</f>
        <v>PTP</v>
      </c>
      <c r="F790" s="27" t="str">
        <f>元データ!D787</f>
        <v>100T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5" t="str">
        <f ca="1">IF(OFFSET(マスタ非採用削除!A$4,統合マスタ!$A790,0)="","",OFFSET(マスタ非採用削除!A$4,統合マスタ!$A790,0))</f>
        <v>ﾛｾﾚ001</v>
      </c>
      <c r="O790" s="55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5" t="str">
        <f ca="1">IF(OFFSET(マスタ非採用削除!D$4,統合マスタ!$A790,0)="","",OFFSET(マスタ非採用削除!D$4,統合マスタ!$A790,0))</f>
        <v>ﾛｾﾞﾚ</v>
      </c>
      <c r="R790" s="27">
        <f ca="1">IF(OFFSET(マスタ非採用削除!E$4,統合マスタ!$A790,0)="","",OFFSET(マスタ非採用削除!E$4,統合マスタ!$A790,0))</f>
        <v>2</v>
      </c>
      <c r="S790" s="55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5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5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/>
    </row>
    <row r="791" spans="1:27">
      <c r="A791" s="42">
        <f>元データ!P788</f>
        <v>672</v>
      </c>
      <c r="B791" s="27">
        <f t="shared" si="12"/>
        <v>787</v>
      </c>
      <c r="C791" s="27" t="str">
        <f>DBCS(元データ!A788)</f>
        <v>ロドピン細粒５０％</v>
      </c>
      <c r="D791" s="55" t="str">
        <f>元データ!B788</f>
        <v>メディセオ</v>
      </c>
      <c r="E791" s="27" t="str">
        <f>元データ!C788</f>
        <v/>
      </c>
      <c r="F791" s="27" t="str">
        <f>元データ!D788</f>
        <v>100ｇ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5" t="str">
        <f ca="1">IF(OFFSET(マスタ非採用削除!A$4,統合マスタ!$A791,0)="","",OFFSET(マスタ非採用削除!A$4,統合マスタ!$A791,0))</f>
        <v>ﾛﾄﾋ003</v>
      </c>
      <c r="O791" s="55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5" t="str">
        <f ca="1">IF(OFFSET(マスタ非採用削除!D$4,統合マスタ!$A791,0)="","",OFFSET(マスタ非採用削除!D$4,統合マスタ!$A791,0))</f>
        <v>ﾛﾄﾞﾋﾟ4</v>
      </c>
      <c r="R791" s="27">
        <f ca="1">IF(OFFSET(マスタ非採用削除!E$4,統合マスタ!$A791,0)="","",OFFSET(マスタ非採用削除!E$4,統合マスタ!$A791,0))</f>
        <v>1</v>
      </c>
      <c r="S791" s="55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5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5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/>
    </row>
    <row r="792" spans="1:27">
      <c r="A792" s="42">
        <f>元データ!P789</f>
        <v>670</v>
      </c>
      <c r="B792" s="27">
        <f t="shared" si="12"/>
        <v>788</v>
      </c>
      <c r="C792" s="27" t="str">
        <f>DBCS(元データ!A789)</f>
        <v>ロドピン錠２５ｍｇ</v>
      </c>
      <c r="D792" s="55" t="str">
        <f>元データ!B789</f>
        <v>メディセオ</v>
      </c>
      <c r="E792" s="27" t="str">
        <f>元データ!C789</f>
        <v>ＰＴＰ</v>
      </c>
      <c r="F792" s="27" t="str">
        <f>元データ!D789</f>
        <v>100Ｔ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5" t="str">
        <f ca="1">IF(OFFSET(マスタ非採用削除!A$4,統合マスタ!$A792,0)="","",OFFSET(マスタ非採用削除!A$4,統合マスタ!$A792,0))</f>
        <v>ﾛﾄﾋ001</v>
      </c>
      <c r="O792" s="55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5" t="str">
        <f ca="1">IF(OFFSET(マスタ非採用削除!D$4,統合マスタ!$A792,0)="","",OFFSET(マスタ非採用削除!D$4,統合マスタ!$A792,0))</f>
        <v>ﾛﾄﾞﾋﾟ2</v>
      </c>
      <c r="R792" s="27">
        <f ca="1">IF(OFFSET(マスタ非採用削除!E$4,統合マスタ!$A792,0)="","",OFFSET(マスタ非採用削除!E$4,統合マスタ!$A792,0))</f>
        <v>1</v>
      </c>
      <c r="S792" s="55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5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5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6</v>
      </c>
      <c r="AA792" s="27"/>
    </row>
    <row r="793" spans="1:27">
      <c r="A793" s="42">
        <f>元データ!P790</f>
        <v>670</v>
      </c>
      <c r="B793" s="27">
        <f t="shared" si="12"/>
        <v>789</v>
      </c>
      <c r="C793" s="27" t="str">
        <f>DBCS(元データ!A790)</f>
        <v>ロドピン錠２５ｍｇ</v>
      </c>
      <c r="D793" s="55" t="str">
        <f>元データ!B790</f>
        <v>メディセオ</v>
      </c>
      <c r="E793" s="27" t="str">
        <f>元データ!C790</f>
        <v>バラ</v>
      </c>
      <c r="F793" s="27" t="str">
        <f>元データ!D790</f>
        <v>1000Ｔ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5" t="str">
        <f ca="1">IF(OFFSET(マスタ非採用削除!A$4,統合マスタ!$A793,0)="","",OFFSET(マスタ非採用削除!A$4,統合マスタ!$A793,0))</f>
        <v>ﾛﾄﾋ001</v>
      </c>
      <c r="O793" s="55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5" t="str">
        <f ca="1">IF(OFFSET(マスタ非採用削除!D$4,統合マスタ!$A793,0)="","",OFFSET(マスタ非採用削除!D$4,統合マスタ!$A793,0))</f>
        <v>ﾛﾄﾞﾋﾟ2</v>
      </c>
      <c r="R793" s="27">
        <f ca="1">IF(OFFSET(マスタ非採用削除!E$4,統合マスタ!$A793,0)="","",OFFSET(マスタ非採用削除!E$4,統合マスタ!$A793,0))</f>
        <v>1</v>
      </c>
      <c r="S793" s="55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5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5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6</v>
      </c>
      <c r="AA793" s="27"/>
    </row>
    <row r="794" spans="1:27">
      <c r="A794" s="42">
        <f>元データ!P791</f>
        <v>671</v>
      </c>
      <c r="B794" s="27">
        <f t="shared" si="12"/>
        <v>790</v>
      </c>
      <c r="C794" s="27" t="str">
        <f>DBCS(元データ!A791)</f>
        <v>ロドピン錠５０ｍｇ</v>
      </c>
      <c r="D794" s="55" t="str">
        <f>元データ!B791</f>
        <v/>
      </c>
      <c r="E794" s="27" t="str">
        <f>元データ!C791</f>
        <v>ＰＴＰ</v>
      </c>
      <c r="F794" s="27" t="str">
        <f>元データ!D791</f>
        <v>100Ｔ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5" t="str">
        <f ca="1">IF(OFFSET(マスタ非採用削除!A$4,統合マスタ!$A794,0)="","",OFFSET(マスタ非採用削除!A$4,統合マスタ!$A794,0))</f>
        <v>ﾛﾄﾋ002</v>
      </c>
      <c r="O794" s="55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5" t="str">
        <f ca="1">IF(OFFSET(マスタ非採用削除!D$4,統合マスタ!$A794,0)="","",OFFSET(マスタ非採用削除!D$4,統合マスタ!$A794,0))</f>
        <v>ﾛﾄﾞﾋﾟ1</v>
      </c>
      <c r="R794" s="27">
        <f ca="1">IF(OFFSET(マスタ非採用削除!E$4,統合マスタ!$A794,0)="","",OFFSET(マスタ非採用削除!E$4,統合マスタ!$A794,0))</f>
        <v>1</v>
      </c>
      <c r="S794" s="55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5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5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6</v>
      </c>
      <c r="AA794" s="27"/>
    </row>
    <row r="795" spans="1:27">
      <c r="A795" s="42">
        <f>元データ!P792</f>
        <v>671</v>
      </c>
      <c r="B795" s="27">
        <f t="shared" si="12"/>
        <v>791</v>
      </c>
      <c r="C795" s="27" t="str">
        <f>DBCS(元データ!A792)</f>
        <v>ロドピン錠５０ｍｇ</v>
      </c>
      <c r="D795" s="55" t="str">
        <f>元データ!B792</f>
        <v>メディセオ</v>
      </c>
      <c r="E795" s="27" t="str">
        <f>元データ!C792</f>
        <v>バラ</v>
      </c>
      <c r="F795" s="27" t="str">
        <f>元データ!D792</f>
        <v>1000Ｔ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5" t="str">
        <f ca="1">IF(OFFSET(マスタ非採用削除!A$4,統合マスタ!$A795,0)="","",OFFSET(マスタ非採用削除!A$4,統合マスタ!$A795,0))</f>
        <v>ﾛﾄﾋ002</v>
      </c>
      <c r="O795" s="55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5" t="str">
        <f ca="1">IF(OFFSET(マスタ非採用削除!D$4,統合マスタ!$A795,0)="","",OFFSET(マスタ非採用削除!D$4,統合マスタ!$A795,0))</f>
        <v>ﾛﾄﾞﾋﾟ1</v>
      </c>
      <c r="R795" s="27">
        <f ca="1">IF(OFFSET(マスタ非採用削除!E$4,統合マスタ!$A795,0)="","",OFFSET(マスタ非採用削除!E$4,統合マスタ!$A795,0))</f>
        <v>1</v>
      </c>
      <c r="S795" s="55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5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5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6</v>
      </c>
      <c r="AA795" s="27"/>
    </row>
    <row r="796" spans="1:27">
      <c r="A796" s="42">
        <f>元データ!P793</f>
        <v>673</v>
      </c>
      <c r="B796" s="27">
        <f t="shared" si="12"/>
        <v>792</v>
      </c>
      <c r="C796" s="27" t="str">
        <f>DBCS(元データ!A793)</f>
        <v>ロナセンテープ２０ｍｇ</v>
      </c>
      <c r="D796" s="55" t="str">
        <f>元データ!B793</f>
        <v>メディセオ</v>
      </c>
      <c r="E796" s="27" t="str">
        <f>元データ!C793</f>
        <v/>
      </c>
      <c r="F796" s="27" t="str">
        <f>元データ!D793</f>
        <v>70枚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5" t="str">
        <f ca="1">IF(OFFSET(マスタ非採用削除!A$4,統合マスタ!$A796,0)="","",OFFSET(マスタ非採用削除!A$4,統合マスタ!$A796,0))</f>
        <v>ﾛﾅｾ001</v>
      </c>
      <c r="O796" s="55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5" t="str">
        <f ca="1">IF(OFFSET(マスタ非採用削除!D$4,統合マスタ!$A796,0)="","",OFFSET(マスタ非採用削除!D$4,統合マスタ!$A796,0))</f>
        <v>ﾛﾅｾﾝ</v>
      </c>
      <c r="R796" s="27">
        <f ca="1">IF(OFFSET(マスタ非採用削除!E$4,統合マスタ!$A796,0)="","",OFFSET(マスタ非採用削除!E$4,統合マスタ!$A796,0))</f>
        <v>1</v>
      </c>
      <c r="S796" s="55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5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5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/>
    </row>
    <row r="797" spans="1:27">
      <c r="A797" s="42">
        <f>元データ!P794</f>
        <v>674</v>
      </c>
      <c r="B797" s="27">
        <f t="shared" si="12"/>
        <v>793</v>
      </c>
      <c r="C797" s="27" t="str">
        <f>DBCS(元データ!A794)</f>
        <v>ロナセンテープ４０ｍｇ</v>
      </c>
      <c r="D797" s="55" t="str">
        <f>元データ!B794</f>
        <v>メディセオ</v>
      </c>
      <c r="E797" s="27" t="str">
        <f>元データ!C794</f>
        <v/>
      </c>
      <c r="F797" s="27" t="str">
        <f>元データ!D794</f>
        <v>70枚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5" t="str">
        <f ca="1">IF(OFFSET(マスタ非採用削除!A$4,統合マスタ!$A797,0)="","",OFFSET(マスタ非採用削除!A$4,統合マスタ!$A797,0))</f>
        <v>ﾛﾅｾ002</v>
      </c>
      <c r="O797" s="55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5" t="str">
        <f ca="1">IF(OFFSET(マスタ非採用削除!D$4,統合マスタ!$A797,0)="","",OFFSET(マスタ非採用削除!D$4,統合マスタ!$A797,0))</f>
        <v>ﾛﾅｾ5</v>
      </c>
      <c r="R797" s="27">
        <f ca="1">IF(OFFSET(マスタ非採用削除!E$4,統合マスタ!$A797,0)="","",OFFSET(マスタ非採用削除!E$4,統合マスタ!$A797,0))</f>
        <v>1</v>
      </c>
      <c r="S797" s="55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5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5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/>
    </row>
    <row r="798" spans="1:27">
      <c r="A798" s="42">
        <f>元データ!P795</f>
        <v>675</v>
      </c>
      <c r="B798" s="27">
        <f t="shared" si="12"/>
        <v>794</v>
      </c>
      <c r="C798" s="27" t="str">
        <f>DBCS(元データ!A795)</f>
        <v>ロペミンカプセル１ｍｇ</v>
      </c>
      <c r="D798" s="55" t="str">
        <f>元データ!B795</f>
        <v>スズケン</v>
      </c>
      <c r="E798" s="27" t="str">
        <f>元データ!C795</f>
        <v>PTP</v>
      </c>
      <c r="F798" s="27" t="str">
        <f>元データ!D795</f>
        <v>100Ｐ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5" t="str">
        <f ca="1">IF(OFFSET(マスタ非採用削除!A$4,統合マスタ!$A798,0)="","",OFFSET(マスタ非採用削除!A$4,統合マスタ!$A798,0))</f>
        <v>ﾛﾍﾐ001</v>
      </c>
      <c r="O798" s="55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5" t="str">
        <f ca="1">IF(OFFSET(マスタ非採用削除!D$4,統合マスタ!$A798,0)="","",OFFSET(マスタ非採用削除!D$4,統合マスタ!$A798,0))</f>
        <v>ﾛﾍﾟﾐﾝ1</v>
      </c>
      <c r="R798" s="27">
        <f ca="1">IF(OFFSET(マスタ非採用削除!E$4,統合マスタ!$A798,0)="","",OFFSET(マスタ非採用削除!E$4,統合マスタ!$A798,0))</f>
        <v>1</v>
      </c>
      <c r="S798" s="55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5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5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/>
    </row>
    <row r="799" spans="1:27">
      <c r="A799" s="42">
        <f>元データ!P796</f>
        <v>676</v>
      </c>
      <c r="B799" s="27">
        <f t="shared" si="12"/>
        <v>795</v>
      </c>
      <c r="C799" s="27" t="str">
        <f>DBCS(元データ!A796)</f>
        <v>ロラゼパム錠０．５ｍｇ「サワイ」</v>
      </c>
      <c r="D799" s="55" t="str">
        <f>元データ!B796</f>
        <v>アルフレッサ</v>
      </c>
      <c r="E799" s="27" t="str">
        <f>元データ!C796</f>
        <v>PTP</v>
      </c>
      <c r="F799" s="27" t="str">
        <f>元データ!D796</f>
        <v>1000Ｔ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5" t="str">
        <f ca="1">IF(OFFSET(マスタ非採用削除!A$4,統合マスタ!$A799,0)="","",OFFSET(マスタ非採用削除!A$4,統合マスタ!$A799,0))</f>
        <v>ﾛﾗｾ001</v>
      </c>
      <c r="O799" s="55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5" t="str">
        <f ca="1">IF(OFFSET(マスタ非採用削除!D$4,統合マスタ!$A799,0)="","",OFFSET(マスタ非採用削除!D$4,統合マスタ!$A799,0))</f>
        <v>ﾛﾗｾﾞ</v>
      </c>
      <c r="R799" s="27">
        <f ca="1">IF(OFFSET(マスタ非採用削除!E$4,統合マスタ!$A799,0)="","",OFFSET(マスタ非採用削除!E$4,統合マスタ!$A799,0))</f>
        <v>1</v>
      </c>
      <c r="S799" s="55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5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5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5</v>
      </c>
      <c r="AA799" s="27"/>
    </row>
    <row r="800" spans="1:27">
      <c r="A800" s="42">
        <f>元データ!P797</f>
        <v>677</v>
      </c>
      <c r="B800" s="27">
        <f t="shared" si="12"/>
        <v>796</v>
      </c>
      <c r="C800" s="27" t="str">
        <f>DBCS(元データ!A797)</f>
        <v>ロラメット錠１．０（アスカ）</v>
      </c>
      <c r="D800" s="55" t="str">
        <f>元データ!B797</f>
        <v>メディセオ</v>
      </c>
      <c r="E800" s="27" t="str">
        <f>元データ!C797</f>
        <v>PTP</v>
      </c>
      <c r="F800" s="27" t="str">
        <f>元データ!D797</f>
        <v>100T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5" t="str">
        <f ca="1">IF(OFFSET(マスタ非採用削除!A$4,統合マスタ!$A800,0)="","",OFFSET(マスタ非採用削除!A$4,統合マスタ!$A800,0))</f>
        <v>ﾛﾗﾒ001</v>
      </c>
      <c r="O800" s="55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5" t="str">
        <f ca="1">IF(OFFSET(マスタ非採用削除!D$4,統合マスタ!$A800,0)="","",OFFSET(マスタ非採用削除!D$4,統合マスタ!$A800,0))</f>
        <v>ﾛﾗﾒｯﾄ</v>
      </c>
      <c r="R800" s="27">
        <f ca="1">IF(OFFSET(マスタ非採用削除!E$4,統合マスタ!$A800,0)="","",OFFSET(マスタ非採用削除!E$4,統合マスタ!$A800,0))</f>
        <v>1</v>
      </c>
      <c r="S800" s="55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5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5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5</v>
      </c>
      <c r="AA800" s="27"/>
    </row>
    <row r="801" spans="1:27">
      <c r="A801" s="42">
        <f>元データ!P798</f>
        <v>677</v>
      </c>
      <c r="B801" s="27">
        <f t="shared" si="12"/>
        <v>797</v>
      </c>
      <c r="C801" s="27" t="str">
        <f>DBCS(元データ!A798)</f>
        <v>ロラメット錠１．０（アスカ）</v>
      </c>
      <c r="D801" s="55" t="str">
        <f>元データ!B798</f>
        <v>メディセオ</v>
      </c>
      <c r="E801" s="27" t="str">
        <f>元データ!C798</f>
        <v>バラ</v>
      </c>
      <c r="F801" s="27" t="str">
        <f>元データ!D798</f>
        <v>500T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5" t="str">
        <f ca="1">IF(OFFSET(マスタ非採用削除!A$4,統合マスタ!$A801,0)="","",OFFSET(マスタ非採用削除!A$4,統合マスタ!$A801,0))</f>
        <v>ﾛﾗﾒ001</v>
      </c>
      <c r="O801" s="55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5" t="str">
        <f ca="1">IF(OFFSET(マスタ非採用削除!D$4,統合マスタ!$A801,0)="","",OFFSET(マスタ非採用削除!D$4,統合マスタ!$A801,0))</f>
        <v>ﾛﾗﾒｯﾄ</v>
      </c>
      <c r="R801" s="27">
        <f ca="1">IF(OFFSET(マスタ非採用削除!E$4,統合マスタ!$A801,0)="","",OFFSET(マスタ非採用削除!E$4,統合マスタ!$A801,0))</f>
        <v>1</v>
      </c>
      <c r="S801" s="55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5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5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5</v>
      </c>
      <c r="AA801" s="27"/>
    </row>
    <row r="802" spans="1:27">
      <c r="A802" s="42">
        <f>元データ!P799</f>
        <v>681</v>
      </c>
      <c r="B802" s="27">
        <f t="shared" si="12"/>
        <v>798</v>
      </c>
      <c r="C802" s="27" t="str">
        <f>DBCS(元データ!A799)</f>
        <v>ワーファリン錠１ｍｇ</v>
      </c>
      <c r="D802" s="55" t="str">
        <f>元データ!B799</f>
        <v>アルフレッサ</v>
      </c>
      <c r="E802" s="27" t="str">
        <f>元データ!C799</f>
        <v>バラ</v>
      </c>
      <c r="F802" s="27" t="str">
        <f>元データ!D799</f>
        <v>100Ｔ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5" t="str">
        <f ca="1">IF(OFFSET(マスタ非採用削除!A$4,統合マスタ!$A802,0)="","",OFFSET(マスタ非採用削除!A$4,統合マスタ!$A802,0))</f>
        <v>ﾜﾌｱ001</v>
      </c>
      <c r="O802" s="55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5" t="str">
        <f ca="1">IF(OFFSET(マスタ非採用削除!D$4,統合マスタ!$A802,0)="","",OFFSET(マスタ非採用削除!D$4,統合マスタ!$A802,0))</f>
        <v>ﾜｰﾌｧ</v>
      </c>
      <c r="R802" s="27">
        <f ca="1">IF(OFFSET(マスタ非採用削除!E$4,統合マスタ!$A802,0)="","",OFFSET(マスタ非採用削除!E$4,統合マスタ!$A802,0))</f>
        <v>1</v>
      </c>
      <c r="S802" s="55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5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5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5</v>
      </c>
      <c r="AA802" s="27"/>
    </row>
    <row r="803" spans="1:27">
      <c r="A803" s="42">
        <f>元データ!P800</f>
        <v>678</v>
      </c>
      <c r="B803" s="27">
        <f t="shared" si="12"/>
        <v>799</v>
      </c>
      <c r="C803" s="27" t="str">
        <f>DBCS(元データ!A800)</f>
        <v>ワゴスチグミン注　０．５ｍｇ</v>
      </c>
      <c r="D803" s="55" t="str">
        <f>元データ!B800</f>
        <v/>
      </c>
      <c r="E803" s="27" t="str">
        <f>元データ!C800</f>
        <v/>
      </c>
      <c r="F803" s="27" t="str">
        <f>元データ!D800</f>
        <v>0.5ｍｇｘ10A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5" t="str">
        <f ca="1">IF(OFFSET(マスタ非採用削除!A$4,統合マスタ!$A803,0)="","",OFFSET(マスタ非採用削除!A$4,統合マスタ!$A803,0))</f>
        <v>ﾜｺｽ001</v>
      </c>
      <c r="O803" s="55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5" t="str">
        <f ca="1">IF(OFFSET(マスタ非採用削除!D$4,統合マスタ!$A803,0)="","",OFFSET(マスタ非採用削除!D$4,統合マスタ!$A803,0))</f>
        <v>ﾜｺﾞｽﾁ</v>
      </c>
      <c r="R803" s="27">
        <f ca="1">IF(OFFSET(マスタ非採用削除!E$4,統合マスタ!$A803,0)="","",OFFSET(マスタ非採用削除!E$4,統合マスタ!$A803,0))</f>
        <v>1</v>
      </c>
      <c r="S803" s="55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5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5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/>
    </row>
    <row r="804" spans="1:27">
      <c r="A804" s="42">
        <f>元データ!P801</f>
        <v>680</v>
      </c>
      <c r="B804" s="27">
        <f t="shared" si="12"/>
        <v>800</v>
      </c>
      <c r="C804" s="27" t="str">
        <f>DBCS(元データ!A801)</f>
        <v>ワソラン錠４０ｍｇ</v>
      </c>
      <c r="D804" s="55" t="str">
        <f>元データ!B801</f>
        <v>スズケン</v>
      </c>
      <c r="E804" s="27" t="str">
        <f>元データ!C801</f>
        <v>バラ</v>
      </c>
      <c r="F804" s="27" t="str">
        <f>元データ!D801</f>
        <v>100Ｔ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5" t="str">
        <f ca="1">IF(OFFSET(マスタ非採用削除!A$4,統合マスタ!$A804,0)="","",OFFSET(マスタ非採用削除!A$4,統合マスタ!$A804,0))</f>
        <v>ﾜｿﾗ002</v>
      </c>
      <c r="O804" s="55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5" t="str">
        <f ca="1">IF(OFFSET(マスタ非採用削除!D$4,統合マスタ!$A804,0)="","",OFFSET(マスタ非採用削除!D$4,統合マスタ!$A804,0))</f>
        <v>ﾜｿﾗﾝ**</v>
      </c>
      <c r="R804" s="27">
        <f ca="1">IF(OFFSET(マスタ非採用削除!E$4,統合マスタ!$A804,0)="","",OFFSET(マスタ非採用削除!E$4,統合マスタ!$A804,0))</f>
        <v>1</v>
      </c>
      <c r="S804" s="55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5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5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/>
    </row>
    <row r="805" spans="1:27">
      <c r="A805" s="42">
        <f>元データ!P802</f>
        <v>679</v>
      </c>
      <c r="B805" s="27">
        <f t="shared" si="12"/>
        <v>801</v>
      </c>
      <c r="C805" s="27" t="str">
        <f>DBCS(元データ!A802)</f>
        <v>ワソラン静注５ｍｇ</v>
      </c>
      <c r="D805" s="55" t="str">
        <f>元データ!B802</f>
        <v>スズケン</v>
      </c>
      <c r="E805" s="27" t="str">
        <f>元データ!C802</f>
        <v/>
      </c>
      <c r="F805" s="27" t="str">
        <f>元データ!D802</f>
        <v>2ｍｌｘ10Ａ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5" t="str">
        <f ca="1">IF(OFFSET(マスタ非採用削除!A$4,統合マスタ!$A805,0)="","",OFFSET(マスタ非採用削除!A$4,統合マスタ!$A805,0))</f>
        <v>ﾜｿﾗ001</v>
      </c>
      <c r="O805" s="55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5" t="str">
        <f ca="1">IF(OFFSET(マスタ非採用削除!D$4,統合マスタ!$A805,0)="","",OFFSET(マスタ非採用削除!D$4,統合マスタ!$A805,0))</f>
        <v>ﾜｿﾗ</v>
      </c>
      <c r="R805" s="27">
        <f ca="1">IF(OFFSET(マスタ非採用削除!E$4,統合マスタ!$A805,0)="","",OFFSET(マスタ非採用削除!E$4,統合マスタ!$A805,0))</f>
        <v>1</v>
      </c>
      <c r="S805" s="55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5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5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/>
    </row>
    <row r="806" spans="1:27">
      <c r="A806" s="42">
        <f>元データ!P803</f>
        <v>683</v>
      </c>
      <c r="B806" s="27">
        <f t="shared" si="12"/>
        <v>802</v>
      </c>
      <c r="C806" s="27" t="str">
        <f>DBCS(元データ!A803)</f>
        <v>ワンパル２号輸液（１）</v>
      </c>
      <c r="D806" s="55" t="str">
        <f>元データ!B803</f>
        <v>スズケン</v>
      </c>
      <c r="E806" s="27" t="str">
        <f>元データ!C803</f>
        <v/>
      </c>
      <c r="F806" s="27" t="str">
        <f>元データ!D803</f>
        <v>800ｍｌｘ10袋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5" t="str">
        <f ca="1">IF(OFFSET(マスタ非採用削除!A$4,統合マスタ!$A806,0)="","",OFFSET(マスタ非採用削除!A$4,統合マスタ!$A806,0))</f>
        <v>ﾜﾝﾊ002</v>
      </c>
      <c r="O806" s="55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5" t="str">
        <f ca="1">IF(OFFSET(マスタ非採用削除!D$4,統合マスタ!$A806,0)="","",OFFSET(マスタ非採用削除!D$4,統合マスタ!$A806,0))</f>
        <v>ﾜﾝﾊﾟ2</v>
      </c>
      <c r="R806" s="27">
        <f ca="1">IF(OFFSET(マスタ非採用削除!E$4,統合マスタ!$A806,0)="","",OFFSET(マスタ非採用削除!E$4,統合マスタ!$A806,0))</f>
        <v>1</v>
      </c>
      <c r="S806" s="55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5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5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/>
    </row>
    <row r="807" spans="1:27">
      <c r="A807" s="42">
        <f>元データ!P804</f>
        <v>682</v>
      </c>
      <c r="B807" s="27">
        <f t="shared" si="12"/>
        <v>803</v>
      </c>
      <c r="C807" s="27" t="str">
        <f>DBCS(元データ!A804)</f>
        <v>ワンパル２号輸液１２００ｍｌ</v>
      </c>
      <c r="D807" s="55" t="str">
        <f>元データ!B804</f>
        <v>スズケン</v>
      </c>
      <c r="E807" s="27" t="str">
        <f>元データ!C804</f>
        <v/>
      </c>
      <c r="F807" s="27" t="str">
        <f>元データ!D804</f>
        <v>1200ｍｌｘ7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5" t="str">
        <f ca="1">IF(OFFSET(マスタ非採用削除!A$4,統合マスタ!$A807,0)="","",OFFSET(マスタ非採用削除!A$4,統合マスタ!$A807,0))</f>
        <v>ﾜﾝﾊ001</v>
      </c>
      <c r="O807" s="55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5" t="str">
        <f ca="1">IF(OFFSET(マスタ非採用削除!D$4,統合マスタ!$A807,0)="","",OFFSET(マスタ非採用削除!D$4,統合マスタ!$A807,0))</f>
        <v>ﾜﾝﾊﾟ</v>
      </c>
      <c r="R807" s="27">
        <f ca="1">IF(OFFSET(マスタ非採用削除!E$4,統合マスタ!$A807,0)="","",OFFSET(マスタ非採用削除!E$4,統合マスタ!$A807,0))</f>
        <v>1</v>
      </c>
      <c r="S807" s="55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5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5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/>
    </row>
    <row r="808" spans="1:27">
      <c r="A808" s="42">
        <f>元データ!P805</f>
        <v>1</v>
      </c>
      <c r="B808" s="27">
        <f t="shared" si="12"/>
        <v>804</v>
      </c>
      <c r="C808" s="27" t="str">
        <f>DBCS(元データ!A805)</f>
        <v>亜鉛華軟膏「ニッコー」　</v>
      </c>
      <c r="D808" s="55" t="str">
        <f>元データ!B805</f>
        <v/>
      </c>
      <c r="E808" s="27" t="str">
        <f>元データ!C805</f>
        <v/>
      </c>
      <c r="F808" s="27" t="str">
        <f>元データ!D805</f>
        <v>500ｇ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5" t="str">
        <f ca="1">IF(OFFSET(マスタ非採用削除!A$4,統合マスタ!$A808,0)="","",OFFSET(マスタ非採用削除!A$4,統合マスタ!$A808,0))</f>
        <v>ｱｴﾝ001</v>
      </c>
      <c r="O808" s="55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5" t="str">
        <f ca="1">IF(OFFSET(マスタ非採用削除!D$4,統合マスタ!$A808,0)="","",OFFSET(マスタ非採用削除!D$4,統合マスタ!$A808,0))</f>
        <v>ｱｴﾝｶﾅﾝ</v>
      </c>
      <c r="R808" s="27">
        <f ca="1">IF(OFFSET(マスタ非採用削除!E$4,統合マスタ!$A808,0)="","",OFFSET(マスタ非採用削除!E$4,統合マスタ!$A808,0))</f>
        <v>1</v>
      </c>
      <c r="S808" s="55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5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5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/>
    </row>
    <row r="809" spans="1:27">
      <c r="A809" s="42">
        <f>元データ!P806</f>
        <v>96</v>
      </c>
      <c r="B809" s="27">
        <f t="shared" si="12"/>
        <v>805</v>
      </c>
      <c r="C809" s="27" t="str">
        <f>DBCS(元データ!A806)</f>
        <v>塩化カリウム</v>
      </c>
      <c r="D809" s="55" t="str">
        <f>元データ!B806</f>
        <v>メディセオ</v>
      </c>
      <c r="E809" s="27" t="str">
        <f>元データ!C806</f>
        <v>粉</v>
      </c>
      <c r="F809" s="27" t="str">
        <f>元データ!D806</f>
        <v>500ｇ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5" t="str">
        <f ca="1">IF(OFFSET(マスタ非採用削除!A$4,統合マスタ!$A809,0)="","",OFFSET(マスタ非採用削除!A$4,統合マスタ!$A809,0))</f>
        <v>ｴﾝｶ001</v>
      </c>
      <c r="O809" s="55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5" t="str">
        <f ca="1">IF(OFFSET(マスタ非採用削除!D$4,統合マスタ!$A809,0)="","",OFFSET(マスタ非採用削除!D$4,統合マスタ!$A809,0))</f>
        <v>ｴﾝｶｶ2*</v>
      </c>
      <c r="R809" s="27">
        <f ca="1">IF(OFFSET(マスタ非採用削除!E$4,統合マスタ!$A809,0)="","",OFFSET(マスタ非採用削除!E$4,統合マスタ!$A809,0))</f>
        <v>1</v>
      </c>
      <c r="S809" s="55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5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5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/>
    </row>
    <row r="810" spans="1:27">
      <c r="A810" s="42">
        <f>元データ!P807</f>
        <v>97</v>
      </c>
      <c r="B810" s="27">
        <f t="shared" si="12"/>
        <v>806</v>
      </c>
      <c r="C810" s="27" t="str">
        <f>DBCS(元データ!A807)</f>
        <v>塩化ナトリウム</v>
      </c>
      <c r="D810" s="55" t="str">
        <f>元データ!B807</f>
        <v>メディセオ</v>
      </c>
      <c r="E810" s="27" t="str">
        <f>元データ!C807</f>
        <v>粉</v>
      </c>
      <c r="F810" s="27" t="str">
        <f>元データ!D807</f>
        <v>500ｇ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5" t="str">
        <f ca="1">IF(OFFSET(マスタ非採用削除!A$4,統合マスタ!$A810,0)="","",OFFSET(マスタ非採用削除!A$4,統合マスタ!$A810,0))</f>
        <v>ｴﾝｶ002</v>
      </c>
      <c r="O810" s="55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5" t="str">
        <f ca="1">IF(OFFSET(マスタ非採用削除!D$4,統合マスタ!$A810,0)="","",OFFSET(マスタ非採用削除!D$4,統合マスタ!$A810,0))</f>
        <v>ｴﾝｶﾅﾄ</v>
      </c>
      <c r="R810" s="27">
        <f ca="1">IF(OFFSET(マスタ非採用削除!E$4,統合マスタ!$A810,0)="","",OFFSET(マスタ非採用削除!E$4,統合マスタ!$A810,0))</f>
        <v>1</v>
      </c>
      <c r="S810" s="55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5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5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/>
    </row>
    <row r="811" spans="1:27">
      <c r="A811" s="42">
        <f>元データ!P808</f>
        <v>0</v>
      </c>
      <c r="B811" s="27">
        <f t="shared" si="12"/>
        <v>807</v>
      </c>
      <c r="C811" s="27" t="str">
        <f>DBCS(元データ!A808)</f>
        <v>塩酸メトクロプラミド注射液１０ｍｇ「タカタ」</v>
      </c>
      <c r="D811" s="55" t="str">
        <f>元データ!B808</f>
        <v/>
      </c>
      <c r="E811" s="27" t="str">
        <f>元データ!C808</f>
        <v/>
      </c>
      <c r="F811" s="27" t="str">
        <f>元データ!D808</f>
        <v>2ｍｌｘ50Ａ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5" t="str">
        <f ca="1">IF(OFFSET(マスタ非採用削除!A$4,統合マスタ!$A811,0)="","",OFFSET(マスタ非採用削除!A$4,統合マスタ!$A811,0))</f>
        <v>コード(区分値)</v>
      </c>
      <c r="O811" s="55" t="str">
        <f ca="1">IF(OFFSET(マスタ非採用削除!B$4,統合マスタ!$A811,0)="","",OFFSET(マスタ非採用削除!B$4,統合マスタ!$A811,0))</f>
        <v>コード</v>
      </c>
      <c r="P811" s="27" t="str">
        <f ca="1">IF(OFFSET(マスタ非採用削除!C$4,統合マスタ!$A811,0)="","",OFFSET(マスタ非採用削除!C$4,統合マスタ!$A811,0))</f>
        <v>名称</v>
      </c>
      <c r="Q811" s="55" t="str">
        <f ca="1">IF(OFFSET(マスタ非採用削除!D$4,統合マスタ!$A811,0)="","",OFFSET(マスタ非採用削除!D$4,統合マスタ!$A811,0))</f>
        <v>ホストコード</v>
      </c>
      <c r="R811" s="27" t="str">
        <f ca="1">IF(OFFSET(マスタ非採用削除!E$4,統合マスタ!$A811,0)="","",OFFSET(マスタ非採用削除!E$4,統合マスタ!$A811,0))</f>
        <v>採用区分（区分値）(区分値)</v>
      </c>
      <c r="S811" s="55" t="str">
        <f ca="1">IF(OFFSET(マスタ非採用削除!F$4,統合マスタ!$A811,0)="","",OFFSET(マスタ非採用削除!F$4,統合マスタ!$A811,0))</f>
        <v>採用区分（区分値）</v>
      </c>
      <c r="T811" s="27" t="str">
        <f ca="1">IF(OFFSET(マスタ非採用削除!G$4,統合マスタ!$A811,0)="","",OFFSET(マスタ非採用削除!G$4,統合マスタ!$A811,0))</f>
        <v>薬価</v>
      </c>
      <c r="U811" s="55" t="str">
        <f ca="1">IF(OFFSET(マスタ非採用削除!H$4,統合マスタ!$A811,0)="","",OFFSET(マスタ非採用削除!H$4,統合マスタ!$A811,0))</f>
        <v>カナ名称</v>
      </c>
      <c r="V811" s="27" t="str">
        <f ca="1">IF(OFFSET(マスタ非採用削除!I$4,統合マスタ!$A811,0)="","",OFFSET(マスタ非採用削除!I$4,統合マスタ!$A811,0))</f>
        <v>剤形(区分値)</v>
      </c>
      <c r="W811" s="27" t="str">
        <f ca="1">IF(OFFSET(マスタ非採用削除!J$4,統合マスタ!$A811,0)="","",OFFSET(マスタ非採用削除!J$4,統合マスタ!$A811,0))</f>
        <v>剤形</v>
      </c>
      <c r="X811" s="27" t="str">
        <f ca="1">IF(OFFSET(マスタ非採用削除!K$4,統合マスタ!$A811,0)="","",OFFSET(マスタ非採用削除!K$4,統合マスタ!$A811,0))</f>
        <v>毒劇薬（区分値）(区分値)</v>
      </c>
      <c r="Y811" s="55" t="str">
        <f ca="1">IF(OFFSET(マスタ非採用削除!L$4,統合マスタ!$A811,0)="","",OFFSET(マスタ非採用削除!L$4,統合マスタ!$A811,0))</f>
        <v>毒劇薬（区分値）</v>
      </c>
      <c r="Z811" s="27" t="str">
        <f ca="1">IF(OFFSET(マスタ非採用削除!M$4,統合マスタ!$A811,0)="","",OFFSET(マスタ非採用削除!M$4,統合マスタ!$A811,0))</f>
        <v>棚</v>
      </c>
      <c r="AA811" s="27"/>
    </row>
    <row r="812" spans="1:27">
      <c r="A812" s="42">
        <f>元データ!P809</f>
        <v>0</v>
      </c>
      <c r="B812" s="27">
        <f t="shared" si="12"/>
        <v>808</v>
      </c>
      <c r="C812" s="27" t="str">
        <f>DBCS(元データ!A809)</f>
        <v>逆性石ケン液１０％「ヨシダ」</v>
      </c>
      <c r="D812" s="55" t="str">
        <f>元データ!B809</f>
        <v>メディセオ</v>
      </c>
      <c r="E812" s="27" t="str">
        <f>元データ!C809</f>
        <v/>
      </c>
      <c r="F812" s="27" t="str">
        <f>元データ!D809</f>
        <v>500ML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5" t="str">
        <f ca="1">IF(OFFSET(マスタ非採用削除!A$4,統合マスタ!$A812,0)="","",OFFSET(マスタ非採用削除!A$4,統合マスタ!$A812,0))</f>
        <v>コード(区分値)</v>
      </c>
      <c r="O812" s="55" t="str">
        <f ca="1">IF(OFFSET(マスタ非採用削除!B$4,統合マスタ!$A812,0)="","",OFFSET(マスタ非採用削除!B$4,統合マスタ!$A812,0))</f>
        <v>コード</v>
      </c>
      <c r="P812" s="27" t="str">
        <f ca="1">IF(OFFSET(マスタ非採用削除!C$4,統合マスタ!$A812,0)="","",OFFSET(マスタ非採用削除!C$4,統合マスタ!$A812,0))</f>
        <v>名称</v>
      </c>
      <c r="Q812" s="55" t="str">
        <f ca="1">IF(OFFSET(マスタ非採用削除!D$4,統合マスタ!$A812,0)="","",OFFSET(マスタ非採用削除!D$4,統合マスタ!$A812,0))</f>
        <v>ホストコード</v>
      </c>
      <c r="R812" s="27" t="str">
        <f ca="1">IF(OFFSET(マスタ非採用削除!E$4,統合マスタ!$A812,0)="","",OFFSET(マスタ非採用削除!E$4,統合マスタ!$A812,0))</f>
        <v>採用区分（区分値）(区分値)</v>
      </c>
      <c r="S812" s="55" t="str">
        <f ca="1">IF(OFFSET(マスタ非採用削除!F$4,統合マスタ!$A812,0)="","",OFFSET(マスタ非採用削除!F$4,統合マスタ!$A812,0))</f>
        <v>採用区分（区分値）</v>
      </c>
      <c r="T812" s="27" t="str">
        <f ca="1">IF(OFFSET(マスタ非採用削除!G$4,統合マスタ!$A812,0)="","",OFFSET(マスタ非採用削除!G$4,統合マスタ!$A812,0))</f>
        <v>薬価</v>
      </c>
      <c r="U812" s="55" t="str">
        <f ca="1">IF(OFFSET(マスタ非採用削除!H$4,統合マスタ!$A812,0)="","",OFFSET(マスタ非採用削除!H$4,統合マスタ!$A812,0))</f>
        <v>カナ名称</v>
      </c>
      <c r="V812" s="27" t="str">
        <f ca="1">IF(OFFSET(マスタ非採用削除!I$4,統合マスタ!$A812,0)="","",OFFSET(マスタ非採用削除!I$4,統合マスタ!$A812,0))</f>
        <v>剤形(区分値)</v>
      </c>
      <c r="W812" s="27" t="str">
        <f ca="1">IF(OFFSET(マスタ非採用削除!J$4,統合マスタ!$A812,0)="","",OFFSET(マスタ非採用削除!J$4,統合マスタ!$A812,0))</f>
        <v>剤形</v>
      </c>
      <c r="X812" s="27" t="str">
        <f ca="1">IF(OFFSET(マスタ非採用削除!K$4,統合マスタ!$A812,0)="","",OFFSET(マスタ非採用削除!K$4,統合マスタ!$A812,0))</f>
        <v>毒劇薬（区分値）(区分値)</v>
      </c>
      <c r="Y812" s="55" t="str">
        <f ca="1">IF(OFFSET(マスタ非採用削除!L$4,統合マスタ!$A812,0)="","",OFFSET(マスタ非採用削除!L$4,統合マスタ!$A812,0))</f>
        <v>毒劇薬（区分値）</v>
      </c>
      <c r="Z812" s="27" t="str">
        <f ca="1">IF(OFFSET(マスタ非採用削除!M$4,統合マスタ!$A812,0)="","",OFFSET(マスタ非採用削除!M$4,統合マスタ!$A812,0))</f>
        <v>棚</v>
      </c>
      <c r="AA812" s="27"/>
    </row>
    <row r="813" spans="1:27">
      <c r="A813" s="42" t="str">
        <f>元データ!P810</f>
        <v/>
      </c>
      <c r="B813" s="27">
        <f t="shared" si="12"/>
        <v>809</v>
      </c>
      <c r="C813" s="27" t="str">
        <f>DBCS(元データ!A810)</f>
        <v>重カマ「ヨシダ」（細粒状）</v>
      </c>
      <c r="D813" s="55" t="str">
        <f>元データ!B810</f>
        <v>メディセオ</v>
      </c>
      <c r="E813" s="27" t="str">
        <f>元データ!C810</f>
        <v>粉</v>
      </c>
      <c r="F813" s="27" t="str">
        <f>元データ!D810</f>
        <v>1ｋｇ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5" t="e">
        <f ca="1">IF(OFFSET(マスタ非採用削除!A$4,統合マスタ!$A813,0)="","",OFFSET(マスタ非採用削除!A$4,統合マスタ!$A813,0))</f>
        <v>#VALUE!</v>
      </c>
      <c r="O813" s="55" t="e">
        <f ca="1">IF(OFFSET(マスタ非採用削除!B$4,統合マスタ!$A813,0)="","",OFFSET(マスタ非採用削除!B$4,統合マスタ!$A813,0))</f>
        <v>#VALUE!</v>
      </c>
      <c r="P813" s="27" t="e">
        <f ca="1">IF(OFFSET(マスタ非採用削除!C$4,統合マスタ!$A813,0)="","",OFFSET(マスタ非採用削除!C$4,統合マスタ!$A813,0))</f>
        <v>#VALUE!</v>
      </c>
      <c r="Q813" s="55" t="e">
        <f ca="1">IF(OFFSET(マスタ非採用削除!D$4,統合マスタ!$A813,0)="","",OFFSET(マスタ非採用削除!D$4,統合マスタ!$A813,0))</f>
        <v>#VALUE!</v>
      </c>
      <c r="R813" s="27" t="e">
        <f ca="1">IF(OFFSET(マスタ非採用削除!E$4,統合マスタ!$A813,0)="","",OFFSET(マスタ非採用削除!E$4,統合マスタ!$A813,0))</f>
        <v>#VALUE!</v>
      </c>
      <c r="S813" s="55" t="e">
        <f ca="1">IF(OFFSET(マスタ非採用削除!F$4,統合マスタ!$A813,0)="","",OFFSET(マスタ非採用削除!F$4,統合マスタ!$A813,0))</f>
        <v>#VALUE!</v>
      </c>
      <c r="T813" s="27" t="e">
        <f ca="1">IF(OFFSET(マスタ非採用削除!G$4,統合マスタ!$A813,0)="","",OFFSET(マスタ非採用削除!G$4,統合マスタ!$A813,0))</f>
        <v>#VALUE!</v>
      </c>
      <c r="U813" s="55" t="e">
        <f ca="1">IF(OFFSET(マスタ非採用削除!H$4,統合マスタ!$A813,0)="","",OFFSET(マスタ非採用削除!H$4,統合マスタ!$A813,0))</f>
        <v>#VALUE!</v>
      </c>
      <c r="V813" s="27" t="e">
        <f ca="1">IF(OFFSET(マスタ非採用削除!I$4,統合マスタ!$A813,0)="","",OFFSET(マスタ非採用削除!I$4,統合マスタ!$A813,0))</f>
        <v>#VALUE!</v>
      </c>
      <c r="W813" s="27" t="e">
        <f ca="1">IF(OFFSET(マスタ非採用削除!J$4,統合マスタ!$A813,0)="","",OFFSET(マスタ非採用削除!J$4,統合マスタ!$A813,0))</f>
        <v>#VALUE!</v>
      </c>
      <c r="X813" s="27" t="e">
        <f ca="1">IF(OFFSET(マスタ非採用削除!K$4,統合マスタ!$A813,0)="","",OFFSET(マスタ非採用削除!K$4,統合マスタ!$A813,0))</f>
        <v>#VALUE!</v>
      </c>
      <c r="Y813" s="55" t="e">
        <f ca="1">IF(OFFSET(マスタ非採用削除!L$4,統合マスタ!$A813,0)="","",OFFSET(マスタ非採用削除!L$4,統合マスタ!$A813,0))</f>
        <v>#VALUE!</v>
      </c>
      <c r="Z813" s="27" t="e">
        <f ca="1">IF(OFFSET(マスタ非採用削除!M$4,統合マスタ!$A813,0)="","",OFFSET(マスタ非採用削除!M$4,統合マスタ!$A813,0))</f>
        <v>#VALUE!</v>
      </c>
      <c r="AA813" s="27"/>
    </row>
    <row r="814" spans="1:27">
      <c r="A814" s="42">
        <f>元データ!P811</f>
        <v>203</v>
      </c>
      <c r="B814" s="27">
        <f t="shared" si="12"/>
        <v>810</v>
      </c>
      <c r="C814" s="27" t="str">
        <f>DBCS(元データ!A811)</f>
        <v>硝酸イソソルビド徐放カプセル２０ｍｇ「Ｓｔ」</v>
      </c>
      <c r="D814" s="55" t="str">
        <f>元データ!B811</f>
        <v>メディセオ</v>
      </c>
      <c r="E814" s="27" t="str">
        <f>元データ!C811</f>
        <v>バラ</v>
      </c>
      <c r="F814" s="27" t="str">
        <f>元データ!D811</f>
        <v>1000Ｐ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5" t="str">
        <f ca="1">IF(OFFSET(マスタ非採用削除!A$4,統合マスタ!$A814,0)="","",OFFSET(マスタ非採用削除!A$4,統合マスタ!$A814,0))</f>
        <v>ｼﾖｳ001</v>
      </c>
      <c r="O814" s="55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5" t="str">
        <f ca="1">IF(OFFSET(マスタ非採用削除!D$4,統合マスタ!$A814,0)="","",OFFSET(マスタ非採用削除!D$4,統合マスタ!$A814,0))</f>
        <v>ｼｮｳ20</v>
      </c>
      <c r="R814" s="27">
        <f ca="1">IF(OFFSET(マスタ非採用削除!E$4,統合マスタ!$A814,0)="","",OFFSET(マスタ非採用削除!E$4,統合マスタ!$A814,0))</f>
        <v>1</v>
      </c>
      <c r="S814" s="55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5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5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/>
    </row>
    <row r="815" spans="1:27">
      <c r="A815" s="42">
        <f>元データ!P812</f>
        <v>208</v>
      </c>
      <c r="B815" s="27">
        <f t="shared" si="12"/>
        <v>811</v>
      </c>
      <c r="C815" s="27" t="str">
        <f>DBCS(元データ!A812)</f>
        <v>新レシカルボン坐剤　　　　　　　　　　　</v>
      </c>
      <c r="D815" s="55" t="str">
        <f>元データ!B812</f>
        <v>アルフレッサ</v>
      </c>
      <c r="E815" s="27" t="str">
        <f>元データ!C812</f>
        <v/>
      </c>
      <c r="F815" s="27" t="str">
        <f>元データ!D812</f>
        <v>12Sx5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5" t="str">
        <f ca="1">IF(OFFSET(マスタ非採用削除!A$4,統合マスタ!$A815,0)="","",OFFSET(マスタ非採用削除!A$4,統合マスタ!$A815,0))</f>
        <v>ｼﾝﾚ001</v>
      </c>
      <c r="O815" s="55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5" t="str">
        <f ca="1">IF(OFFSET(マスタ非採用削除!D$4,統合マスタ!$A815,0)="","",OFFSET(マスタ非採用削除!D$4,統合マスタ!$A815,0))</f>
        <v>ﾚｼｶﾙ</v>
      </c>
      <c r="R815" s="27">
        <f ca="1">IF(OFFSET(マスタ非採用削除!E$4,統合マスタ!$A815,0)="","",OFFSET(マスタ非採用削除!E$4,統合マスタ!$A815,0))</f>
        <v>1</v>
      </c>
      <c r="S815" s="55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5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5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/>
    </row>
    <row r="816" spans="1:27">
      <c r="A816" s="42">
        <f>元データ!P813</f>
        <v>209</v>
      </c>
      <c r="B816" s="27">
        <f t="shared" si="12"/>
        <v>812</v>
      </c>
      <c r="C816" s="27" t="str">
        <f>DBCS(元データ!A813)</f>
        <v>水溶性ハイドロコートン注射１００ｍｇ</v>
      </c>
      <c r="D816" s="55" t="str">
        <f>元データ!B813</f>
        <v>メディセオ</v>
      </c>
      <c r="E816" s="27" t="str">
        <f>元データ!C813</f>
        <v/>
      </c>
      <c r="F816" s="27" t="str">
        <f>元データ!D813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5" t="str">
        <f ca="1">IF(OFFSET(マスタ非採用削除!A$4,統合マスタ!$A816,0)="","",OFFSET(マスタ非採用削除!A$4,統合マスタ!$A816,0))</f>
        <v>ｽｲﾖ001</v>
      </c>
      <c r="O816" s="55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5" t="str">
        <f ca="1">IF(OFFSET(マスタ非採用削除!D$4,統合マスタ!$A816,0)="","",OFFSET(マスタ非採用削除!D$4,統合マスタ!$A816,0))</f>
        <v>ﾊｲﾄﾞﾛ</v>
      </c>
      <c r="R816" s="27">
        <f ca="1">IF(OFFSET(マスタ非採用削除!E$4,統合マスタ!$A816,0)="","",OFFSET(マスタ非採用削除!E$4,統合マスタ!$A816,0))</f>
        <v>1</v>
      </c>
      <c r="S816" s="55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5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5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/>
    </row>
    <row r="817" spans="1:27">
      <c r="A817" s="42">
        <f>元データ!P814</f>
        <v>486</v>
      </c>
      <c r="B817" s="27">
        <f t="shared" si="12"/>
        <v>813</v>
      </c>
      <c r="C817" s="27" t="str">
        <f>DBCS(元データ!A814)</f>
        <v>水溶性プレドニン１０ｍｇ</v>
      </c>
      <c r="D817" s="55" t="str">
        <f>元データ!B814</f>
        <v>スズケン</v>
      </c>
      <c r="E817" s="27" t="str">
        <f>元データ!C814</f>
        <v/>
      </c>
      <c r="F817" s="27" t="str">
        <f>元データ!D814</f>
        <v>10A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5" t="str">
        <f ca="1">IF(OFFSET(マスタ非採用削除!A$4,統合マスタ!$A817,0)="","",OFFSET(マスタ非採用削除!A$4,統合マスタ!$A817,0))</f>
        <v>ﾌﾚﾄ003</v>
      </c>
      <c r="O817" s="55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5" t="str">
        <f ca="1">IF(OFFSET(マスタ非採用削除!D$4,統合マスタ!$A817,0)="","",OFFSET(マスタ非採用削除!D$4,統合マスタ!$A817,0))</f>
        <v/>
      </c>
      <c r="R817" s="27">
        <f ca="1">IF(OFFSET(マスタ非採用削除!E$4,統合マスタ!$A817,0)="","",OFFSET(マスタ非採用削除!E$4,統合マスタ!$A817,0))</f>
        <v>2</v>
      </c>
      <c r="S817" s="55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5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5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/>
    </row>
    <row r="818" spans="1:27">
      <c r="A818" s="42">
        <f>元データ!P815</f>
        <v>0</v>
      </c>
      <c r="B818" s="27">
        <f t="shared" si="12"/>
        <v>814</v>
      </c>
      <c r="C818" s="27" t="str">
        <f>DBCS(元データ!A815)</f>
        <v>生食注シリンジ「ＮＰ」中口１０ｍｌ</v>
      </c>
      <c r="D818" s="55" t="str">
        <f>元データ!B815</f>
        <v>スズケン</v>
      </c>
      <c r="E818" s="27" t="str">
        <f>元データ!C815</f>
        <v/>
      </c>
      <c r="F818" s="27" t="str">
        <f>元データ!D815</f>
        <v>10ｍｌｘ10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5" t="str">
        <f ca="1">IF(OFFSET(マスタ非採用削除!A$4,統合マスタ!$A818,0)="","",OFFSET(マスタ非採用削除!A$4,統合マスタ!$A818,0))</f>
        <v>コード(区分値)</v>
      </c>
      <c r="O818" s="55" t="str">
        <f ca="1">IF(OFFSET(マスタ非採用削除!B$4,統合マスタ!$A818,0)="","",OFFSET(マスタ非採用削除!B$4,統合マスタ!$A818,0))</f>
        <v>コード</v>
      </c>
      <c r="P818" s="27" t="str">
        <f ca="1">IF(OFFSET(マスタ非採用削除!C$4,統合マスタ!$A818,0)="","",OFFSET(マスタ非採用削除!C$4,統合マスタ!$A818,0))</f>
        <v>名称</v>
      </c>
      <c r="Q818" s="55" t="str">
        <f ca="1">IF(OFFSET(マスタ非採用削除!D$4,統合マスタ!$A818,0)="","",OFFSET(マスタ非採用削除!D$4,統合マスタ!$A818,0))</f>
        <v>ホストコード</v>
      </c>
      <c r="R818" s="27" t="str">
        <f ca="1">IF(OFFSET(マスタ非採用削除!E$4,統合マスタ!$A818,0)="","",OFFSET(マスタ非採用削除!E$4,統合マスタ!$A818,0))</f>
        <v>採用区分（区分値）(区分値)</v>
      </c>
      <c r="S818" s="55" t="str">
        <f ca="1">IF(OFFSET(マスタ非採用削除!F$4,統合マスタ!$A818,0)="","",OFFSET(マスタ非採用削除!F$4,統合マスタ!$A818,0))</f>
        <v>採用区分（区分値）</v>
      </c>
      <c r="T818" s="27" t="str">
        <f ca="1">IF(OFFSET(マスタ非採用削除!G$4,統合マスタ!$A818,0)="","",OFFSET(マスタ非採用削除!G$4,統合マスタ!$A818,0))</f>
        <v>薬価</v>
      </c>
      <c r="U818" s="55" t="str">
        <f ca="1">IF(OFFSET(マスタ非採用削除!H$4,統合マスタ!$A818,0)="","",OFFSET(マスタ非採用削除!H$4,統合マスタ!$A818,0))</f>
        <v>カナ名称</v>
      </c>
      <c r="V818" s="27" t="str">
        <f ca="1">IF(OFFSET(マスタ非採用削除!I$4,統合マスタ!$A818,0)="","",OFFSET(マスタ非採用削除!I$4,統合マスタ!$A818,0))</f>
        <v>剤形(区分値)</v>
      </c>
      <c r="W818" s="27" t="str">
        <f ca="1">IF(OFFSET(マスタ非採用削除!J$4,統合マスタ!$A818,0)="","",OFFSET(マスタ非採用削除!J$4,統合マスタ!$A818,0))</f>
        <v>剤形</v>
      </c>
      <c r="X818" s="27" t="str">
        <f ca="1">IF(OFFSET(マスタ非採用削除!K$4,統合マスタ!$A818,0)="","",OFFSET(マスタ非採用削除!K$4,統合マスタ!$A818,0))</f>
        <v>毒劇薬（区分値）(区分値)</v>
      </c>
      <c r="Y818" s="55" t="str">
        <f ca="1">IF(OFFSET(マスタ非採用削除!L$4,統合マスタ!$A818,0)="","",OFFSET(マスタ非採用削除!L$4,統合マスタ!$A818,0))</f>
        <v>毒劇薬（区分値）</v>
      </c>
      <c r="Z818" s="27" t="str">
        <f ca="1">IF(OFFSET(マスタ非採用削除!M$4,統合マスタ!$A818,0)="","",OFFSET(マスタ非採用削除!M$4,統合マスタ!$A818,0))</f>
        <v>棚</v>
      </c>
      <c r="AA818" s="27"/>
    </row>
    <row r="819" spans="1:27">
      <c r="A819" s="42">
        <f>元データ!P816</f>
        <v>222</v>
      </c>
      <c r="B819" s="27">
        <f t="shared" si="12"/>
        <v>815</v>
      </c>
      <c r="C819" s="27" t="str">
        <f>DBCS(元データ!A816)</f>
        <v>生食溶解液キットＨ（１）</v>
      </c>
      <c r="D819" s="55" t="str">
        <f>元データ!B816</f>
        <v>アルフレッサ</v>
      </c>
      <c r="E819" s="27" t="str">
        <f>元データ!C816</f>
        <v/>
      </c>
      <c r="F819" s="27" t="str">
        <f>元データ!D816</f>
        <v>100ｍｌｘ10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5" t="str">
        <f ca="1">IF(OFFSET(マスタ非採用削除!A$4,統合マスタ!$A819,0)="","",OFFSET(マスタ非採用削除!A$4,統合マスタ!$A819,0))</f>
        <v>ｾｲｼ003</v>
      </c>
      <c r="O819" s="55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5" t="str">
        <f ca="1">IF(OFFSET(マスタ非採用削除!D$4,統合マスタ!$A819,0)="","",OFFSET(マスタ非採用削除!D$4,統合マスタ!$A819,0))</f>
        <v>ｾｲｼｮｸ6</v>
      </c>
      <c r="R819" s="27">
        <f ca="1">IF(OFFSET(マスタ非採用削除!E$4,統合マスタ!$A819,0)="","",OFFSET(マスタ非採用削除!E$4,統合マスタ!$A819,0))</f>
        <v>1</v>
      </c>
      <c r="S819" s="55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5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5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/>
    </row>
    <row r="820" spans="1:27">
      <c r="A820" s="42">
        <f>元データ!P817</f>
        <v>224</v>
      </c>
      <c r="B820" s="27">
        <f t="shared" si="12"/>
        <v>816</v>
      </c>
      <c r="C820" s="27" t="str">
        <f>DBCS(元データ!A817)</f>
        <v>生理食塩液「ＶＴＲＳ」１００ｍｌ</v>
      </c>
      <c r="D820" s="55" t="str">
        <f>元データ!B817</f>
        <v>メディセオ</v>
      </c>
      <c r="E820" s="27" t="str">
        <f>元データ!C817</f>
        <v/>
      </c>
      <c r="F820" s="27" t="str">
        <f>元データ!D817</f>
        <v>100ｍｌｘ10Ｖ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5" t="str">
        <f ca="1">IF(OFFSET(マスタ非採用削除!A$4,統合マスタ!$A820,0)="","",OFFSET(マスタ非採用削除!A$4,統合マスタ!$A820,0))</f>
        <v>ｾｲﾘ001</v>
      </c>
      <c r="O820" s="55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5" t="str">
        <f ca="1">IF(OFFSET(マスタ非採用削除!D$4,統合マスタ!$A820,0)="","",OFFSET(マスタ非採用削除!D$4,統合マスタ!$A820,0))</f>
        <v>ｾｲｼｮｸ9</v>
      </c>
      <c r="R820" s="27">
        <f ca="1">IF(OFFSET(マスタ非採用削除!E$4,統合マスタ!$A820,0)="","",OFFSET(マスタ非採用削除!E$4,統合マスタ!$A820,0))</f>
        <v>1</v>
      </c>
      <c r="S820" s="55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5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5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/>
    </row>
    <row r="821" spans="1:27">
      <c r="A821" s="42">
        <f>元データ!P818</f>
        <v>0</v>
      </c>
      <c r="B821" s="27">
        <f t="shared" si="12"/>
        <v>817</v>
      </c>
      <c r="C821" s="27" t="str">
        <f>DBCS(元データ!A818)</f>
        <v>生理食塩液「ＶＴＲＳ」２０ｍｌ</v>
      </c>
      <c r="D821" s="55" t="str">
        <f>元データ!B818</f>
        <v/>
      </c>
      <c r="E821" s="27" t="str">
        <f>元データ!C818</f>
        <v/>
      </c>
      <c r="F821" s="27" t="str">
        <f>元データ!D818</f>
        <v>20ｍｌ×100A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5" t="str">
        <f ca="1">IF(OFFSET(マスタ非採用削除!A$4,統合マスタ!$A821,0)="","",OFFSET(マスタ非採用削除!A$4,統合マスタ!$A821,0))</f>
        <v>コード(区分値)</v>
      </c>
      <c r="O821" s="55" t="str">
        <f ca="1">IF(OFFSET(マスタ非採用削除!B$4,統合マスタ!$A821,0)="","",OFFSET(マスタ非採用削除!B$4,統合マスタ!$A821,0))</f>
        <v>コード</v>
      </c>
      <c r="P821" s="27" t="str">
        <f ca="1">IF(OFFSET(マスタ非採用削除!C$4,統合マスタ!$A821,0)="","",OFFSET(マスタ非採用削除!C$4,統合マスタ!$A821,0))</f>
        <v>名称</v>
      </c>
      <c r="Q821" s="55" t="str">
        <f ca="1">IF(OFFSET(マスタ非採用削除!D$4,統合マスタ!$A821,0)="","",OFFSET(マスタ非採用削除!D$4,統合マスタ!$A821,0))</f>
        <v>ホストコード</v>
      </c>
      <c r="R821" s="27" t="str">
        <f ca="1">IF(OFFSET(マスタ非採用削除!E$4,統合マスタ!$A821,0)="","",OFFSET(マスタ非採用削除!E$4,統合マスタ!$A821,0))</f>
        <v>採用区分（区分値）(区分値)</v>
      </c>
      <c r="S821" s="55" t="str">
        <f ca="1">IF(OFFSET(マスタ非採用削除!F$4,統合マスタ!$A821,0)="","",OFFSET(マスタ非採用削除!F$4,統合マスタ!$A821,0))</f>
        <v>採用区分（区分値）</v>
      </c>
      <c r="T821" s="27" t="str">
        <f ca="1">IF(OFFSET(マスタ非採用削除!G$4,統合マスタ!$A821,0)="","",OFFSET(マスタ非採用削除!G$4,統合マスタ!$A821,0))</f>
        <v>薬価</v>
      </c>
      <c r="U821" s="55" t="str">
        <f ca="1">IF(OFFSET(マスタ非採用削除!H$4,統合マスタ!$A821,0)="","",OFFSET(マスタ非採用削除!H$4,統合マスタ!$A821,0))</f>
        <v>カナ名称</v>
      </c>
      <c r="V821" s="27" t="str">
        <f ca="1">IF(OFFSET(マスタ非採用削除!I$4,統合マスタ!$A821,0)="","",OFFSET(マスタ非採用削除!I$4,統合マスタ!$A821,0))</f>
        <v>剤形(区分値)</v>
      </c>
      <c r="W821" s="27" t="str">
        <f ca="1">IF(OFFSET(マスタ非採用削除!J$4,統合マスタ!$A821,0)="","",OFFSET(マスタ非採用削除!J$4,統合マスタ!$A821,0))</f>
        <v>剤形</v>
      </c>
      <c r="X821" s="27" t="str">
        <f ca="1">IF(OFFSET(マスタ非採用削除!K$4,統合マスタ!$A821,0)="","",OFFSET(マスタ非採用削除!K$4,統合マスタ!$A821,0))</f>
        <v>毒劇薬（区分値）(区分値)</v>
      </c>
      <c r="Y821" s="55" t="str">
        <f ca="1">IF(OFFSET(マスタ非採用削除!L$4,統合マスタ!$A821,0)="","",OFFSET(マスタ非採用削除!L$4,統合マスタ!$A821,0))</f>
        <v>毒劇薬（区分値）</v>
      </c>
      <c r="Z821" s="27" t="str">
        <f ca="1">IF(OFFSET(マスタ非採用削除!M$4,統合マスタ!$A821,0)="","",OFFSET(マスタ非採用削除!M$4,統合マスタ!$A821,0))</f>
        <v>棚</v>
      </c>
      <c r="AA821" s="27"/>
    </row>
    <row r="822" spans="1:27">
      <c r="A822" s="42">
        <f>元データ!P819</f>
        <v>0</v>
      </c>
      <c r="B822" s="27">
        <f t="shared" si="12"/>
        <v>818</v>
      </c>
      <c r="C822" s="27" t="str">
        <f>DBCS(元データ!A819)</f>
        <v>精製水「ケンエー」</v>
      </c>
      <c r="D822" s="55" t="str">
        <f>元データ!B819</f>
        <v>アルフレッサ</v>
      </c>
      <c r="E822" s="27" t="str">
        <f>元データ!C819</f>
        <v/>
      </c>
      <c r="F822" s="27" t="str">
        <f>元データ!D819</f>
        <v>500ｍｌ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5" t="str">
        <f ca="1">IF(OFFSET(マスタ非採用削除!A$4,統合マスタ!$A822,0)="","",OFFSET(マスタ非採用削除!A$4,統合マスタ!$A822,0))</f>
        <v>コード(区分値)</v>
      </c>
      <c r="O822" s="55" t="str">
        <f ca="1">IF(OFFSET(マスタ非採用削除!B$4,統合マスタ!$A822,0)="","",OFFSET(マスタ非採用削除!B$4,統合マスタ!$A822,0))</f>
        <v>コード</v>
      </c>
      <c r="P822" s="27" t="str">
        <f ca="1">IF(OFFSET(マスタ非採用削除!C$4,統合マスタ!$A822,0)="","",OFFSET(マスタ非採用削除!C$4,統合マスタ!$A822,0))</f>
        <v>名称</v>
      </c>
      <c r="Q822" s="55" t="str">
        <f ca="1">IF(OFFSET(マスタ非採用削除!D$4,統合マスタ!$A822,0)="","",OFFSET(マスタ非採用削除!D$4,統合マスタ!$A822,0))</f>
        <v>ホストコード</v>
      </c>
      <c r="R822" s="27" t="str">
        <f ca="1">IF(OFFSET(マスタ非採用削除!E$4,統合マスタ!$A822,0)="","",OFFSET(マスタ非採用削除!E$4,統合マスタ!$A822,0))</f>
        <v>採用区分（区分値）(区分値)</v>
      </c>
      <c r="S822" s="55" t="str">
        <f ca="1">IF(OFFSET(マスタ非採用削除!F$4,統合マスタ!$A822,0)="","",OFFSET(マスタ非採用削除!F$4,統合マスタ!$A822,0))</f>
        <v>採用区分（区分値）</v>
      </c>
      <c r="T822" s="27" t="str">
        <f ca="1">IF(OFFSET(マスタ非採用削除!G$4,統合マスタ!$A822,0)="","",OFFSET(マスタ非採用削除!G$4,統合マスタ!$A822,0))</f>
        <v>薬価</v>
      </c>
      <c r="U822" s="55" t="str">
        <f ca="1">IF(OFFSET(マスタ非採用削除!H$4,統合マスタ!$A822,0)="","",OFFSET(マスタ非採用削除!H$4,統合マスタ!$A822,0))</f>
        <v>カナ名称</v>
      </c>
      <c r="V822" s="27" t="str">
        <f ca="1">IF(OFFSET(マスタ非採用削除!I$4,統合マスタ!$A822,0)="","",OFFSET(マスタ非採用削除!I$4,統合マスタ!$A822,0))</f>
        <v>剤形(区分値)</v>
      </c>
      <c r="W822" s="27" t="str">
        <f ca="1">IF(OFFSET(マスタ非採用削除!J$4,統合マスタ!$A822,0)="","",OFFSET(マスタ非採用削除!J$4,統合マスタ!$A822,0))</f>
        <v>剤形</v>
      </c>
      <c r="X822" s="27" t="str">
        <f ca="1">IF(OFFSET(マスタ非採用削除!K$4,統合マスタ!$A822,0)="","",OFFSET(マスタ非採用削除!K$4,統合マスタ!$A822,0))</f>
        <v>毒劇薬（区分値）(区分値)</v>
      </c>
      <c r="Y822" s="55" t="str">
        <f ca="1">IF(OFFSET(マスタ非採用削除!L$4,統合マスタ!$A822,0)="","",OFFSET(マスタ非採用削除!L$4,統合マスタ!$A822,0))</f>
        <v>毒劇薬（区分値）</v>
      </c>
      <c r="Z822" s="27" t="str">
        <f ca="1">IF(OFFSET(マスタ非採用削除!M$4,統合マスタ!$A822,0)="","",OFFSET(マスタ非採用削除!M$4,統合マスタ!$A822,0))</f>
        <v>棚</v>
      </c>
      <c r="AA822" s="27"/>
    </row>
    <row r="823" spans="1:27">
      <c r="A823" s="42" t="str">
        <f>元データ!P820</f>
        <v>非採用</v>
      </c>
      <c r="B823" s="27">
        <f t="shared" si="12"/>
        <v>819</v>
      </c>
      <c r="C823" s="27" t="str">
        <f>DBCS(元データ!A820)</f>
        <v>静注用キシロカイン２％</v>
      </c>
      <c r="D823" s="55" t="str">
        <f>元データ!B820</f>
        <v>メディセオ</v>
      </c>
      <c r="E823" s="27" t="str">
        <f>元データ!C820</f>
        <v/>
      </c>
      <c r="F823" s="27" t="str">
        <f>元データ!D820</f>
        <v>5ｘ10A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5" t="e">
        <f ca="1">IF(OFFSET(マスタ非採用削除!A$4,統合マスタ!$A823,0)="","",OFFSET(マスタ非採用削除!A$4,統合マスタ!$A823,0))</f>
        <v>#VALUE!</v>
      </c>
      <c r="O823" s="55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5" t="e">
        <f ca="1">IF(OFFSET(マスタ非採用削除!D$4,統合マスタ!$A823,0)="","",OFFSET(マスタ非採用削除!D$4,統合マスタ!$A823,0))</f>
        <v>#VALUE!</v>
      </c>
      <c r="R823" s="27" t="e">
        <f ca="1">IF(OFFSET(マスタ非採用削除!E$4,統合マスタ!$A823,0)="","",OFFSET(マスタ非採用削除!E$4,統合マスタ!$A823,0))</f>
        <v>#VALUE!</v>
      </c>
      <c r="S823" s="55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5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5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">
        <v>4076</v>
      </c>
    </row>
    <row r="824" spans="1:27">
      <c r="A824" s="42">
        <f>元データ!P821</f>
        <v>0</v>
      </c>
      <c r="B824" s="27">
        <f t="shared" si="12"/>
        <v>820</v>
      </c>
      <c r="C824" s="27" t="str">
        <f>DBCS(元データ!A821)</f>
        <v>大塚生食注　　プラ細口　</v>
      </c>
      <c r="D824" s="55" t="str">
        <f>元データ!B821</f>
        <v/>
      </c>
      <c r="E824" s="27" t="str">
        <f>元データ!C821</f>
        <v/>
      </c>
      <c r="F824" s="27" t="str">
        <f>元データ!D821</f>
        <v>500ml×20Ｂ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5" t="str">
        <f ca="1">IF(OFFSET(マスタ非採用削除!A$4,統合マスタ!$A824,0)="","",OFFSET(マスタ非採用削除!A$4,統合マスタ!$A824,0))</f>
        <v>コード(区分値)</v>
      </c>
      <c r="O824" s="55" t="str">
        <f ca="1">IF(OFFSET(マスタ非採用削除!B$4,統合マスタ!$A824,0)="","",OFFSET(マスタ非採用削除!B$4,統合マスタ!$A824,0))</f>
        <v>コード</v>
      </c>
      <c r="P824" s="27" t="str">
        <f ca="1">IF(OFFSET(マスタ非採用削除!C$4,統合マスタ!$A824,0)="","",OFFSET(マスタ非採用削除!C$4,統合マスタ!$A824,0))</f>
        <v>名称</v>
      </c>
      <c r="Q824" s="55" t="str">
        <f ca="1">IF(OFFSET(マスタ非採用削除!D$4,統合マスタ!$A824,0)="","",OFFSET(マスタ非採用削除!D$4,統合マスタ!$A824,0))</f>
        <v>ホストコード</v>
      </c>
      <c r="R824" s="27" t="str">
        <f ca="1">IF(OFFSET(マスタ非採用削除!E$4,統合マスタ!$A824,0)="","",OFFSET(マスタ非採用削除!E$4,統合マスタ!$A824,0))</f>
        <v>採用区分（区分値）(区分値)</v>
      </c>
      <c r="S824" s="55" t="str">
        <f ca="1">IF(OFFSET(マスタ非採用削除!F$4,統合マスタ!$A824,0)="","",OFFSET(マスタ非採用削除!F$4,統合マスタ!$A824,0))</f>
        <v>採用区分（区分値）</v>
      </c>
      <c r="T824" s="27" t="str">
        <f ca="1">IF(OFFSET(マスタ非採用削除!G$4,統合マスタ!$A824,0)="","",OFFSET(マスタ非採用削除!G$4,統合マスタ!$A824,0))</f>
        <v>薬価</v>
      </c>
      <c r="U824" s="55" t="str">
        <f ca="1">IF(OFFSET(マスタ非採用削除!H$4,統合マスタ!$A824,0)="","",OFFSET(マスタ非採用削除!H$4,統合マスタ!$A824,0))</f>
        <v>カナ名称</v>
      </c>
      <c r="V824" s="27" t="str">
        <f ca="1">IF(OFFSET(マスタ非採用削除!I$4,統合マスタ!$A824,0)="","",OFFSET(マスタ非採用削除!I$4,統合マスタ!$A824,0))</f>
        <v>剤形(区分値)</v>
      </c>
      <c r="W824" s="27" t="str">
        <f ca="1">IF(OFFSET(マスタ非採用削除!J$4,統合マスタ!$A824,0)="","",OFFSET(マスタ非採用削除!J$4,統合マスタ!$A824,0))</f>
        <v>剤形</v>
      </c>
      <c r="X824" s="27" t="str">
        <f ca="1">IF(OFFSET(マスタ非採用削除!K$4,統合マスタ!$A824,0)="","",OFFSET(マスタ非採用削除!K$4,統合マスタ!$A824,0))</f>
        <v>毒劇薬（区分値）(区分値)</v>
      </c>
      <c r="Y824" s="55" t="str">
        <f ca="1">IF(OFFSET(マスタ非採用削除!L$4,統合マスタ!$A824,0)="","",OFFSET(マスタ非採用削除!L$4,統合マスタ!$A824,0))</f>
        <v>毒劇薬（区分値）</v>
      </c>
      <c r="Z824" s="27" t="str">
        <f ca="1">IF(OFFSET(マスタ非採用削除!M$4,統合マスタ!$A824,0)="","",OFFSET(マスタ非採用削除!M$4,統合マスタ!$A824,0))</f>
        <v>棚</v>
      </c>
      <c r="AA824" s="27"/>
    </row>
    <row r="825" spans="1:27">
      <c r="A825" s="42">
        <f>元データ!P822</f>
        <v>0</v>
      </c>
      <c r="B825" s="27">
        <f t="shared" si="12"/>
        <v>821</v>
      </c>
      <c r="C825" s="27" t="str">
        <f>DBCS(元データ!A822)</f>
        <v>大塚生食注　ソフトバッグ</v>
      </c>
      <c r="D825" s="55" t="str">
        <f>元データ!B822</f>
        <v>メディセオ</v>
      </c>
      <c r="E825" s="27" t="str">
        <f>元データ!C822</f>
        <v/>
      </c>
      <c r="F825" s="27" t="str">
        <f>元データ!D822</f>
        <v>500mlx20袋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5" t="str">
        <f ca="1">IF(OFFSET(マスタ非採用削除!A$4,統合マスタ!$A825,0)="","",OFFSET(マスタ非採用削除!A$4,統合マスタ!$A825,0))</f>
        <v>コード(区分値)</v>
      </c>
      <c r="O825" s="55" t="str">
        <f ca="1">IF(OFFSET(マスタ非採用削除!B$4,統合マスタ!$A825,0)="","",OFFSET(マスタ非採用削除!B$4,統合マスタ!$A825,0))</f>
        <v>コード</v>
      </c>
      <c r="P825" s="27" t="str">
        <f ca="1">IF(OFFSET(マスタ非採用削除!C$4,統合マスタ!$A825,0)="","",OFFSET(マスタ非採用削除!C$4,統合マスタ!$A825,0))</f>
        <v>名称</v>
      </c>
      <c r="Q825" s="55" t="str">
        <f ca="1">IF(OFFSET(マスタ非採用削除!D$4,統合マスタ!$A825,0)="","",OFFSET(マスタ非採用削除!D$4,統合マスタ!$A825,0))</f>
        <v>ホストコード</v>
      </c>
      <c r="R825" s="27" t="str">
        <f ca="1">IF(OFFSET(マスタ非採用削除!E$4,統合マスタ!$A825,0)="","",OFFSET(マスタ非採用削除!E$4,統合マスタ!$A825,0))</f>
        <v>採用区分（区分値）(区分値)</v>
      </c>
      <c r="S825" s="55" t="str">
        <f ca="1">IF(OFFSET(マスタ非採用削除!F$4,統合マスタ!$A825,0)="","",OFFSET(マスタ非採用削除!F$4,統合マスタ!$A825,0))</f>
        <v>採用区分（区分値）</v>
      </c>
      <c r="T825" s="27" t="str">
        <f ca="1">IF(OFFSET(マスタ非採用削除!G$4,統合マスタ!$A825,0)="","",OFFSET(マスタ非採用削除!G$4,統合マスタ!$A825,0))</f>
        <v>薬価</v>
      </c>
      <c r="U825" s="55" t="str">
        <f ca="1">IF(OFFSET(マスタ非採用削除!H$4,統合マスタ!$A825,0)="","",OFFSET(マスタ非採用削除!H$4,統合マスタ!$A825,0))</f>
        <v>カナ名称</v>
      </c>
      <c r="V825" s="27" t="str">
        <f ca="1">IF(OFFSET(マスタ非採用削除!I$4,統合マスタ!$A825,0)="","",OFFSET(マスタ非採用削除!I$4,統合マスタ!$A825,0))</f>
        <v>剤形(区分値)</v>
      </c>
      <c r="W825" s="27" t="str">
        <f ca="1">IF(OFFSET(マスタ非採用削除!J$4,統合マスタ!$A825,0)="","",OFFSET(マスタ非採用削除!J$4,統合マスタ!$A825,0))</f>
        <v>剤形</v>
      </c>
      <c r="X825" s="27" t="str">
        <f ca="1">IF(OFFSET(マスタ非採用削除!K$4,統合マスタ!$A825,0)="","",OFFSET(マスタ非採用削除!K$4,統合マスタ!$A825,0))</f>
        <v>毒劇薬（区分値）(区分値)</v>
      </c>
      <c r="Y825" s="55" t="str">
        <f ca="1">IF(OFFSET(マスタ非採用削除!L$4,統合マスタ!$A825,0)="","",OFFSET(マスタ非採用削除!L$4,統合マスタ!$A825,0))</f>
        <v>毒劇薬（区分値）</v>
      </c>
      <c r="Z825" s="27" t="str">
        <f ca="1">IF(OFFSET(マスタ非採用削除!M$4,統合マスタ!$A825,0)="","",OFFSET(マスタ非採用削除!M$4,統合マスタ!$A825,0))</f>
        <v>棚</v>
      </c>
      <c r="AA825" s="27"/>
    </row>
    <row r="826" spans="1:27">
      <c r="A826" s="42">
        <f>元データ!P823</f>
        <v>335</v>
      </c>
      <c r="B826" s="27">
        <f t="shared" si="12"/>
        <v>822</v>
      </c>
      <c r="C826" s="27" t="str">
        <f>DBCS(元データ!A823)</f>
        <v>大塚糖液５％　　　　　　　　　　　　　</v>
      </c>
      <c r="D826" s="55" t="str">
        <f>元データ!B823</f>
        <v>アルフレッサ</v>
      </c>
      <c r="E826" s="27" t="str">
        <f>元データ!C823</f>
        <v/>
      </c>
      <c r="F826" s="27" t="str">
        <f>元データ!D823</f>
        <v>500ｍｌｘ20袋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5" t="str">
        <f ca="1">IF(OFFSET(マスタ非採用削除!A$4,統合マスタ!$A826,0)="","",OFFSET(マスタ非採用削除!A$4,統合マスタ!$A826,0))</f>
        <v>ﾄｳｴ002</v>
      </c>
      <c r="O826" s="55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5" t="str">
        <f ca="1">IF(OFFSET(マスタ非採用削除!D$4,統合マスタ!$A826,0)="","",OFFSET(マスタ非採用削除!D$4,統合マスタ!$A826,0))</f>
        <v>ﾄｳｴｷ</v>
      </c>
      <c r="R826" s="27">
        <f ca="1">IF(OFFSET(マスタ非採用削除!E$4,統合マスタ!$A826,0)="","",OFFSET(マスタ非採用削除!E$4,統合マスタ!$A826,0))</f>
        <v>1</v>
      </c>
      <c r="S826" s="55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5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5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/>
    </row>
    <row r="827" spans="1:27">
      <c r="A827" s="42">
        <f>元データ!P824</f>
        <v>0</v>
      </c>
      <c r="B827" s="27">
        <f t="shared" si="12"/>
        <v>823</v>
      </c>
      <c r="C827" s="27" t="str">
        <f>DBCS(元データ!A824)</f>
        <v>大塚糖液５％　　　　　　　　　　　　　</v>
      </c>
      <c r="D827" s="55" t="str">
        <f>元データ!B824</f>
        <v>KSK</v>
      </c>
      <c r="E827" s="27" t="str">
        <f>元データ!C824</f>
        <v/>
      </c>
      <c r="F827" s="27" t="str">
        <f>元データ!D824</f>
        <v>100ｍｌｘ10B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5" t="str">
        <f ca="1">IF(OFFSET(マスタ非採用削除!A$4,統合マスタ!$A827,0)="","",OFFSET(マスタ非採用削除!A$4,統合マスタ!$A827,0))</f>
        <v>コード(区分値)</v>
      </c>
      <c r="O827" s="55" t="str">
        <f ca="1">IF(OFFSET(マスタ非採用削除!B$4,統合マスタ!$A827,0)="","",OFFSET(マスタ非採用削除!B$4,統合マスタ!$A827,0))</f>
        <v>コード</v>
      </c>
      <c r="P827" s="27" t="str">
        <f ca="1">IF(OFFSET(マスタ非採用削除!C$4,統合マスタ!$A827,0)="","",OFFSET(マスタ非採用削除!C$4,統合マスタ!$A827,0))</f>
        <v>名称</v>
      </c>
      <c r="Q827" s="55" t="str">
        <f ca="1">IF(OFFSET(マスタ非採用削除!D$4,統合マスタ!$A827,0)="","",OFFSET(マスタ非採用削除!D$4,統合マスタ!$A827,0))</f>
        <v>ホストコード</v>
      </c>
      <c r="R827" s="27" t="str">
        <f ca="1">IF(OFFSET(マスタ非採用削除!E$4,統合マスタ!$A827,0)="","",OFFSET(マスタ非採用削除!E$4,統合マスタ!$A827,0))</f>
        <v>採用区分（区分値）(区分値)</v>
      </c>
      <c r="S827" s="55" t="str">
        <f ca="1">IF(OFFSET(マスタ非採用削除!F$4,統合マスタ!$A827,0)="","",OFFSET(マスタ非採用削除!F$4,統合マスタ!$A827,0))</f>
        <v>採用区分（区分値）</v>
      </c>
      <c r="T827" s="27" t="str">
        <f ca="1">IF(OFFSET(マスタ非採用削除!G$4,統合マスタ!$A827,0)="","",OFFSET(マスタ非採用削除!G$4,統合マスタ!$A827,0))</f>
        <v>薬価</v>
      </c>
      <c r="U827" s="55" t="str">
        <f ca="1">IF(OFFSET(マスタ非採用削除!H$4,統合マスタ!$A827,0)="","",OFFSET(マスタ非採用削除!H$4,統合マスタ!$A827,0))</f>
        <v>カナ名称</v>
      </c>
      <c r="V827" s="27" t="str">
        <f ca="1">IF(OFFSET(マスタ非採用削除!I$4,統合マスタ!$A827,0)="","",OFFSET(マスタ非採用削除!I$4,統合マスタ!$A827,0))</f>
        <v>剤形(区分値)</v>
      </c>
      <c r="W827" s="27" t="str">
        <f ca="1">IF(OFFSET(マスタ非採用削除!J$4,統合マスタ!$A827,0)="","",OFFSET(マスタ非採用削除!J$4,統合マスタ!$A827,0))</f>
        <v>剤形</v>
      </c>
      <c r="X827" s="27" t="str">
        <f ca="1">IF(OFFSET(マスタ非採用削除!K$4,統合マスタ!$A827,0)="","",OFFSET(マスタ非採用削除!K$4,統合マスタ!$A827,0))</f>
        <v>毒劇薬（区分値）(区分値)</v>
      </c>
      <c r="Y827" s="55" t="str">
        <f ca="1">IF(OFFSET(マスタ非採用削除!L$4,統合マスタ!$A827,0)="","",OFFSET(マスタ非採用削除!L$4,統合マスタ!$A827,0))</f>
        <v>毒劇薬（区分値）</v>
      </c>
      <c r="Z827" s="27" t="str">
        <f ca="1">IF(OFFSET(マスタ非採用削除!M$4,統合マスタ!$A827,0)="","",OFFSET(マスタ非採用削除!M$4,統合マスタ!$A827,0))</f>
        <v>棚</v>
      </c>
      <c r="AA827" s="27"/>
    </row>
    <row r="828" spans="1:27">
      <c r="A828" s="42">
        <f>元データ!P825</f>
        <v>280</v>
      </c>
      <c r="B828" s="27">
        <f t="shared" si="12"/>
        <v>824</v>
      </c>
      <c r="C828" s="27" t="str">
        <f>DBCS(元データ!A825)</f>
        <v>炭酸リチウム錠１００ｍｇ「大正」</v>
      </c>
      <c r="D828" s="55" t="str">
        <f>元データ!B825</f>
        <v>アルフレッサ</v>
      </c>
      <c r="E828" s="27" t="str">
        <f>元データ!C825</f>
        <v>PTP</v>
      </c>
      <c r="F828" s="27" t="str">
        <f>元データ!D825</f>
        <v>100Ｔ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5" t="str">
        <f ca="1">IF(OFFSET(マスタ非採用削除!A$4,統合マスタ!$A828,0)="","",OFFSET(マスタ非採用削除!A$4,統合マスタ!$A828,0))</f>
        <v>ﾀﾝｻ005</v>
      </c>
      <c r="O828" s="55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5" t="str">
        <f ca="1">IF(OFFSET(マスタ非採用削除!D$4,統合マスタ!$A828,0)="","",OFFSET(マスタ非採用削除!D$4,統合マスタ!$A828,0))</f>
        <v/>
      </c>
      <c r="R828" s="27">
        <f ca="1">IF(OFFSET(マスタ非採用削除!E$4,統合マスタ!$A828,0)="","",OFFSET(マスタ非採用削除!E$4,統合マスタ!$A828,0))</f>
        <v>1</v>
      </c>
      <c r="S828" s="55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5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5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6</v>
      </c>
      <c r="AA828" s="27"/>
    </row>
    <row r="829" spans="1:27">
      <c r="A829" s="42">
        <f>元データ!P826</f>
        <v>280</v>
      </c>
      <c r="B829" s="27">
        <f t="shared" si="12"/>
        <v>825</v>
      </c>
      <c r="C829" s="27" t="str">
        <f>DBCS(元データ!A826)</f>
        <v>炭酸リチウム錠１００ｍｇ「大正」</v>
      </c>
      <c r="D829" s="55" t="str">
        <f>元データ!B826</f>
        <v/>
      </c>
      <c r="E829" s="27" t="str">
        <f>元データ!C826</f>
        <v>バラ</v>
      </c>
      <c r="F829" s="27" t="str">
        <f>元データ!D826</f>
        <v>1000Ｔ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5" t="str">
        <f ca="1">IF(OFFSET(マスタ非採用削除!A$4,統合マスタ!$A829,0)="","",OFFSET(マスタ非採用削除!A$4,統合マスタ!$A829,0))</f>
        <v>ﾀﾝｻ005</v>
      </c>
      <c r="O829" s="55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5" t="str">
        <f ca="1">IF(OFFSET(マスタ非採用削除!D$4,統合マスタ!$A829,0)="","",OFFSET(マスタ非採用削除!D$4,統合マスタ!$A829,0))</f>
        <v/>
      </c>
      <c r="R829" s="27">
        <f ca="1">IF(OFFSET(マスタ非採用削除!E$4,統合マスタ!$A829,0)="","",OFFSET(マスタ非採用削除!E$4,統合マスタ!$A829,0))</f>
        <v>1</v>
      </c>
      <c r="S829" s="55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5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5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6</v>
      </c>
      <c r="AA829" s="27"/>
    </row>
    <row r="830" spans="1:27">
      <c r="A830" s="42">
        <f>元データ!P827</f>
        <v>279</v>
      </c>
      <c r="B830" s="27">
        <f t="shared" si="12"/>
        <v>826</v>
      </c>
      <c r="C830" s="27" t="str">
        <f>DBCS(元データ!A827)</f>
        <v>炭酸リチウム錠２００ｍｇ「大正」</v>
      </c>
      <c r="D830" s="55" t="str">
        <f>元データ!B827</f>
        <v>アルフレッサ</v>
      </c>
      <c r="E830" s="27" t="str">
        <f>元データ!C827</f>
        <v>PTP</v>
      </c>
      <c r="F830" s="27" t="str">
        <f>元データ!D827</f>
        <v>100T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5" t="str">
        <f ca="1">IF(OFFSET(マスタ非採用削除!A$4,統合マスタ!$A830,0)="","",OFFSET(マスタ非採用削除!A$4,統合マスタ!$A830,0))</f>
        <v>ﾀﾝｻ004</v>
      </c>
      <c r="O830" s="55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5" t="str">
        <f ca="1">IF(OFFSET(マスタ非採用削除!D$4,統合マスタ!$A830,0)="","",OFFSET(マスタ非採用削除!D$4,統合マスタ!$A830,0))</f>
        <v/>
      </c>
      <c r="R830" s="27">
        <f ca="1">IF(OFFSET(マスタ非採用削除!E$4,統合マスタ!$A830,0)="","",OFFSET(マスタ非採用削除!E$4,統合マスタ!$A830,0))</f>
        <v>1</v>
      </c>
      <c r="S830" s="55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5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5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6</v>
      </c>
      <c r="AA830" s="27"/>
    </row>
    <row r="831" spans="1:27">
      <c r="A831" s="42">
        <f>元データ!P828</f>
        <v>279</v>
      </c>
      <c r="B831" s="27">
        <f t="shared" si="12"/>
        <v>827</v>
      </c>
      <c r="C831" s="27" t="str">
        <f>DBCS(元データ!A828)</f>
        <v>炭酸リチウム錠２００ｍｇ「大正」</v>
      </c>
      <c r="D831" s="55" t="str">
        <f>元データ!B828</f>
        <v>アルフレッサ</v>
      </c>
      <c r="E831" s="27" t="str">
        <f>元データ!C828</f>
        <v>バラ</v>
      </c>
      <c r="F831" s="27" t="str">
        <f>元データ!D828</f>
        <v>1000T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5" t="str">
        <f ca="1">IF(OFFSET(マスタ非採用削除!A$4,統合マスタ!$A831,0)="","",OFFSET(マスタ非採用削除!A$4,統合マスタ!$A831,0))</f>
        <v>ﾀﾝｻ004</v>
      </c>
      <c r="O831" s="55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5" t="str">
        <f ca="1">IF(OFFSET(マスタ非採用削除!D$4,統合マスタ!$A831,0)="","",OFFSET(マスタ非採用削除!D$4,統合マスタ!$A831,0))</f>
        <v/>
      </c>
      <c r="R831" s="27">
        <f ca="1">IF(OFFSET(マスタ非採用削除!E$4,統合マスタ!$A831,0)="","",OFFSET(マスタ非採用削除!E$4,統合マスタ!$A831,0))</f>
        <v>1</v>
      </c>
      <c r="S831" s="55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5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5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6</v>
      </c>
      <c r="AA831" s="27"/>
    </row>
    <row r="832" spans="1:27">
      <c r="A832" s="42">
        <f>元データ!P829</f>
        <v>278</v>
      </c>
      <c r="B832" s="27">
        <f t="shared" si="12"/>
        <v>828</v>
      </c>
      <c r="C832" s="27" t="str">
        <f>DBCS(元データ!A829)</f>
        <v>炭酸水素ナトリウム</v>
      </c>
      <c r="D832" s="55" t="str">
        <f>元データ!B829</f>
        <v>アルフレッサ</v>
      </c>
      <c r="E832" s="27" t="str">
        <f>元データ!C829</f>
        <v>粉</v>
      </c>
      <c r="F832" s="27" t="str">
        <f>元データ!D829</f>
        <v>500ｇ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5" t="str">
        <f ca="1">IF(OFFSET(マスタ非採用削除!A$4,統合マスタ!$A832,0)="","",OFFSET(マスタ非採用削除!A$4,統合マスタ!$A832,0))</f>
        <v>ﾀﾝｻ003</v>
      </c>
      <c r="O832" s="55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5" t="str">
        <f ca="1">IF(OFFSET(マスタ非採用削除!D$4,統合マスタ!$A832,0)="","",OFFSET(マスタ非採用削除!D$4,統合マスタ!$A832,0))</f>
        <v>ﾀﾝｻﾝｽ*</v>
      </c>
      <c r="R832" s="27">
        <f ca="1">IF(OFFSET(マスタ非採用削除!E$4,統合マスタ!$A832,0)="","",OFFSET(マスタ非採用削除!E$4,統合マスタ!$A832,0))</f>
        <v>1</v>
      </c>
      <c r="S832" s="55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5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5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/>
    </row>
    <row r="833" spans="1:27">
      <c r="A833" s="42">
        <f>元データ!P830</f>
        <v>0</v>
      </c>
      <c r="B833" s="27">
        <f t="shared" si="12"/>
        <v>829</v>
      </c>
      <c r="C833" s="27" t="str">
        <f>DBCS(元データ!A830)</f>
        <v>注射用水ＰＬ「フソー」１００ｍｌ（スタンタフル）</v>
      </c>
      <c r="D833" s="55" t="str">
        <f>元データ!B830</f>
        <v/>
      </c>
      <c r="E833" s="27" t="str">
        <f>元データ!C830</f>
        <v/>
      </c>
      <c r="F833" s="27" t="str">
        <f>元データ!D830</f>
        <v>100ml×10P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5" t="str">
        <f ca="1">IF(OFFSET(マスタ非採用削除!A$4,統合マスタ!$A833,0)="","",OFFSET(マスタ非採用削除!A$4,統合マスタ!$A833,0))</f>
        <v>コード(区分値)</v>
      </c>
      <c r="O833" s="55" t="str">
        <f ca="1">IF(OFFSET(マスタ非採用削除!B$4,統合マスタ!$A833,0)="","",OFFSET(マスタ非採用削除!B$4,統合マスタ!$A833,0))</f>
        <v>コード</v>
      </c>
      <c r="P833" s="27" t="str">
        <f ca="1">IF(OFFSET(マスタ非採用削除!C$4,統合マスタ!$A833,0)="","",OFFSET(マスタ非採用削除!C$4,統合マスタ!$A833,0))</f>
        <v>名称</v>
      </c>
      <c r="Q833" s="55" t="str">
        <f ca="1">IF(OFFSET(マスタ非採用削除!D$4,統合マスタ!$A833,0)="","",OFFSET(マスタ非採用削除!D$4,統合マスタ!$A833,0))</f>
        <v>ホストコード</v>
      </c>
      <c r="R833" s="27" t="str">
        <f ca="1">IF(OFFSET(マスタ非採用削除!E$4,統合マスタ!$A833,0)="","",OFFSET(マスタ非採用削除!E$4,統合マスタ!$A833,0))</f>
        <v>採用区分（区分値）(区分値)</v>
      </c>
      <c r="S833" s="55" t="str">
        <f ca="1">IF(OFFSET(マスタ非採用削除!F$4,統合マスタ!$A833,0)="","",OFFSET(マスタ非採用削除!F$4,統合マスタ!$A833,0))</f>
        <v>採用区分（区分値）</v>
      </c>
      <c r="T833" s="27" t="str">
        <f ca="1">IF(OFFSET(マスタ非採用削除!G$4,統合マスタ!$A833,0)="","",OFFSET(マスタ非採用削除!G$4,統合マスタ!$A833,0))</f>
        <v>薬価</v>
      </c>
      <c r="U833" s="55" t="str">
        <f ca="1">IF(OFFSET(マスタ非採用削除!H$4,統合マスタ!$A833,0)="","",OFFSET(マスタ非採用削除!H$4,統合マスタ!$A833,0))</f>
        <v>カナ名称</v>
      </c>
      <c r="V833" s="27" t="str">
        <f ca="1">IF(OFFSET(マスタ非採用削除!I$4,統合マスタ!$A833,0)="","",OFFSET(マスタ非採用削除!I$4,統合マスタ!$A833,0))</f>
        <v>剤形(区分値)</v>
      </c>
      <c r="W833" s="27" t="str">
        <f ca="1">IF(OFFSET(マスタ非採用削除!J$4,統合マスタ!$A833,0)="","",OFFSET(マスタ非採用削除!J$4,統合マスタ!$A833,0))</f>
        <v>剤形</v>
      </c>
      <c r="X833" s="27" t="str">
        <f ca="1">IF(OFFSET(マスタ非採用削除!K$4,統合マスタ!$A833,0)="","",OFFSET(マスタ非採用削除!K$4,統合マスタ!$A833,0))</f>
        <v>毒劇薬（区分値）(区分値)</v>
      </c>
      <c r="Y833" s="55" t="str">
        <f ca="1">IF(OFFSET(マスタ非採用削除!L$4,統合マスタ!$A833,0)="","",OFFSET(マスタ非採用削除!L$4,統合マスタ!$A833,0))</f>
        <v>毒劇薬（区分値）</v>
      </c>
      <c r="Z833" s="27" t="str">
        <f ca="1">IF(OFFSET(マスタ非採用削除!M$4,統合マスタ!$A833,0)="","",OFFSET(マスタ非採用削除!M$4,統合マスタ!$A833,0))</f>
        <v>棚</v>
      </c>
      <c r="AA833" s="27"/>
    </row>
    <row r="834" spans="1:27">
      <c r="A834" s="42">
        <f>元データ!P831</f>
        <v>0</v>
      </c>
      <c r="B834" s="27">
        <f t="shared" si="12"/>
        <v>830</v>
      </c>
      <c r="C834" s="27" t="str">
        <f>DBCS(元データ!A831)</f>
        <v>注射用水ＰＬ「フソー」２０ｍｌ（スノープル）</v>
      </c>
      <c r="D834" s="55" t="str">
        <f>元データ!B831</f>
        <v>メディセオ</v>
      </c>
      <c r="E834" s="27" t="str">
        <f>元データ!C831</f>
        <v/>
      </c>
      <c r="F834" s="27" t="str">
        <f>元データ!D831</f>
        <v>20ml×50P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5" t="str">
        <f ca="1">IF(OFFSET(マスタ非採用削除!A$4,統合マスタ!$A834,0)="","",OFFSET(マスタ非採用削除!A$4,統合マスタ!$A834,0))</f>
        <v>コード(区分値)</v>
      </c>
      <c r="O834" s="55" t="str">
        <f ca="1">IF(OFFSET(マスタ非採用削除!B$4,統合マスタ!$A834,0)="","",OFFSET(マスタ非採用削除!B$4,統合マスタ!$A834,0))</f>
        <v>コード</v>
      </c>
      <c r="P834" s="27" t="str">
        <f ca="1">IF(OFFSET(マスタ非採用削除!C$4,統合マスタ!$A834,0)="","",OFFSET(マスタ非採用削除!C$4,統合マスタ!$A834,0))</f>
        <v>名称</v>
      </c>
      <c r="Q834" s="55" t="str">
        <f ca="1">IF(OFFSET(マスタ非採用削除!D$4,統合マスタ!$A834,0)="","",OFFSET(マスタ非採用削除!D$4,統合マスタ!$A834,0))</f>
        <v>ホストコード</v>
      </c>
      <c r="R834" s="27" t="str">
        <f ca="1">IF(OFFSET(マスタ非採用削除!E$4,統合マスタ!$A834,0)="","",OFFSET(マスタ非採用削除!E$4,統合マスタ!$A834,0))</f>
        <v>採用区分（区分値）(区分値)</v>
      </c>
      <c r="S834" s="55" t="str">
        <f ca="1">IF(OFFSET(マスタ非採用削除!F$4,統合マスタ!$A834,0)="","",OFFSET(マスタ非採用削除!F$4,統合マスタ!$A834,0))</f>
        <v>採用区分（区分値）</v>
      </c>
      <c r="T834" s="27" t="str">
        <f ca="1">IF(OFFSET(マスタ非採用削除!G$4,統合マスタ!$A834,0)="","",OFFSET(マスタ非採用削除!G$4,統合マスタ!$A834,0))</f>
        <v>薬価</v>
      </c>
      <c r="U834" s="55" t="str">
        <f ca="1">IF(OFFSET(マスタ非採用削除!H$4,統合マスタ!$A834,0)="","",OFFSET(マスタ非採用削除!H$4,統合マスタ!$A834,0))</f>
        <v>カナ名称</v>
      </c>
      <c r="V834" s="27" t="str">
        <f ca="1">IF(OFFSET(マスタ非採用削除!I$4,統合マスタ!$A834,0)="","",OFFSET(マスタ非採用削除!I$4,統合マスタ!$A834,0))</f>
        <v>剤形(区分値)</v>
      </c>
      <c r="W834" s="27" t="str">
        <f ca="1">IF(OFFSET(マスタ非採用削除!J$4,統合マスタ!$A834,0)="","",OFFSET(マスタ非採用削除!J$4,統合マスタ!$A834,0))</f>
        <v>剤形</v>
      </c>
      <c r="X834" s="27" t="str">
        <f ca="1">IF(OFFSET(マスタ非採用削除!K$4,統合マスタ!$A834,0)="","",OFFSET(マスタ非採用削除!K$4,統合マスタ!$A834,0))</f>
        <v>毒劇薬（区分値）(区分値)</v>
      </c>
      <c r="Y834" s="55" t="str">
        <f ca="1">IF(OFFSET(マスタ非採用削除!L$4,統合マスタ!$A834,0)="","",OFFSET(マスタ非採用削除!L$4,統合マスタ!$A834,0))</f>
        <v>毒劇薬（区分値）</v>
      </c>
      <c r="Z834" s="27" t="str">
        <f ca="1">IF(OFFSET(マスタ非採用削除!M$4,統合マスタ!$A834,0)="","",OFFSET(マスタ非採用削除!M$4,統合マスタ!$A834,0))</f>
        <v>棚</v>
      </c>
      <c r="AA834" s="27"/>
    </row>
    <row r="835" spans="1:27">
      <c r="A835" s="42">
        <f>元データ!P832</f>
        <v>0</v>
      </c>
      <c r="B835" s="27">
        <f t="shared" si="12"/>
        <v>831</v>
      </c>
      <c r="C835" s="27" t="str">
        <f>DBCS(元データ!A832)</f>
        <v>乳糖水和物「ケンエー」粒状</v>
      </c>
      <c r="D835" s="55" t="str">
        <f>元データ!B832</f>
        <v>アルフレッサ</v>
      </c>
      <c r="E835" s="27" t="str">
        <f>元データ!C832</f>
        <v>粉</v>
      </c>
      <c r="F835" s="27" t="str">
        <f>元データ!D832</f>
        <v>500ｇ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5" t="str">
        <f ca="1">IF(OFFSET(マスタ非採用削除!A$4,統合マスタ!$A835,0)="","",OFFSET(マスタ非採用削除!A$4,統合マスタ!$A835,0))</f>
        <v>コード(区分値)</v>
      </c>
      <c r="O835" s="55" t="str">
        <f ca="1">IF(OFFSET(マスタ非採用削除!B$4,統合マスタ!$A835,0)="","",OFFSET(マスタ非採用削除!B$4,統合マスタ!$A835,0))</f>
        <v>コード</v>
      </c>
      <c r="P835" s="27" t="str">
        <f ca="1">IF(OFFSET(マスタ非採用削除!C$4,統合マスタ!$A835,0)="","",OFFSET(マスタ非採用削除!C$4,統合マスタ!$A835,0))</f>
        <v>名称</v>
      </c>
      <c r="Q835" s="55" t="str">
        <f ca="1">IF(OFFSET(マスタ非採用削除!D$4,統合マスタ!$A835,0)="","",OFFSET(マスタ非採用削除!D$4,統合マスタ!$A835,0))</f>
        <v>ホストコード</v>
      </c>
      <c r="R835" s="27" t="str">
        <f ca="1">IF(OFFSET(マスタ非採用削除!E$4,統合マスタ!$A835,0)="","",OFFSET(マスタ非採用削除!E$4,統合マスタ!$A835,0))</f>
        <v>採用区分（区分値）(区分値)</v>
      </c>
      <c r="S835" s="55" t="str">
        <f ca="1">IF(OFFSET(マスタ非採用削除!F$4,統合マスタ!$A835,0)="","",OFFSET(マスタ非採用削除!F$4,統合マスタ!$A835,0))</f>
        <v>採用区分（区分値）</v>
      </c>
      <c r="T835" s="27" t="str">
        <f ca="1">IF(OFFSET(マスタ非採用削除!G$4,統合マスタ!$A835,0)="","",OFFSET(マスタ非採用削除!G$4,統合マスタ!$A835,0))</f>
        <v>薬価</v>
      </c>
      <c r="U835" s="55" t="str">
        <f ca="1">IF(OFFSET(マスタ非採用削除!H$4,統合マスタ!$A835,0)="","",OFFSET(マスタ非採用削除!H$4,統合マスタ!$A835,0))</f>
        <v>カナ名称</v>
      </c>
      <c r="V835" s="27" t="str">
        <f ca="1">IF(OFFSET(マスタ非採用削除!I$4,統合マスタ!$A835,0)="","",OFFSET(マスタ非採用削除!I$4,統合マスタ!$A835,0))</f>
        <v>剤形(区分値)</v>
      </c>
      <c r="W835" s="27" t="str">
        <f ca="1">IF(OFFSET(マスタ非採用削除!J$4,統合マスタ!$A835,0)="","",OFFSET(マスタ非採用削除!J$4,統合マスタ!$A835,0))</f>
        <v>剤形</v>
      </c>
      <c r="X835" s="27" t="str">
        <f ca="1">IF(OFFSET(マスタ非採用削除!K$4,統合マスタ!$A835,0)="","",OFFSET(マスタ非採用削除!K$4,統合マスタ!$A835,0))</f>
        <v>毒劇薬（区分値）(区分値)</v>
      </c>
      <c r="Y835" s="55" t="str">
        <f ca="1">IF(OFFSET(マスタ非採用削除!L$4,統合マスタ!$A835,0)="","",OFFSET(マスタ非採用削除!L$4,統合マスタ!$A835,0))</f>
        <v>毒劇薬（区分値）</v>
      </c>
      <c r="Z835" s="27" t="str">
        <f ca="1">IF(OFFSET(マスタ非採用削除!M$4,統合マスタ!$A835,0)="","",OFFSET(マスタ非採用削除!M$4,統合マスタ!$A835,0))</f>
        <v>棚</v>
      </c>
      <c r="AA835" s="27"/>
    </row>
    <row r="836" spans="1:27">
      <c r="A836" s="42">
        <f>元データ!P833</f>
        <v>381</v>
      </c>
      <c r="B836" s="27">
        <f t="shared" si="12"/>
        <v>832</v>
      </c>
      <c r="C836" s="27" t="str">
        <f>DBCS(元データ!A833)</f>
        <v>尿素クリーム１０％「日医工」</v>
      </c>
      <c r="D836" s="55" t="str">
        <f>元データ!B833</f>
        <v>メディセオ</v>
      </c>
      <c r="E836" s="27" t="str">
        <f>元データ!C833</f>
        <v/>
      </c>
      <c r="F836" s="27" t="str">
        <f>元データ!D833</f>
        <v>20ｇX10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5" t="str">
        <f ca="1">IF(OFFSET(マスタ非採用削除!A$4,統合マスタ!$A836,0)="","",OFFSET(マスタ非採用削除!A$4,統合マスタ!$A836,0))</f>
        <v>ﾆﾖｳ001</v>
      </c>
      <c r="O836" s="55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5" t="str">
        <f ca="1">IF(OFFSET(マスタ非採用削除!D$4,統合マスタ!$A836,0)="","",OFFSET(マスタ非採用削除!D$4,統合マスタ!$A836,0))</f>
        <v>ﾆｮｳｿ</v>
      </c>
      <c r="R836" s="27">
        <f ca="1">IF(OFFSET(マスタ非採用削除!E$4,統合マスタ!$A836,0)="","",OFFSET(マスタ非採用削除!E$4,統合マスタ!$A836,0))</f>
        <v>1</v>
      </c>
      <c r="S836" s="55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5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5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/>
    </row>
  </sheetData>
  <autoFilter ref="A4:AA836" xr:uid="{C6429F29-E88E-486B-9255-D1035979C151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292B-ACA8-4808-9491-3DDE6DEB60BE}">
  <dimension ref="A1:F533"/>
  <sheetViews>
    <sheetView workbookViewId="0">
      <selection activeCell="H22" sqref="H22"/>
    </sheetView>
  </sheetViews>
  <sheetFormatPr defaultRowHeight="13.2"/>
  <cols>
    <col min="1" max="1" width="8.88671875" bestFit="1" customWidth="1"/>
    <col min="2" max="2" width="8.88671875" customWidth="1"/>
    <col min="3" max="3" width="45" bestFit="1" customWidth="1"/>
    <col min="4" max="4" width="13.77734375" bestFit="1" customWidth="1"/>
    <col min="5" max="5" width="47.44140625" bestFit="1" customWidth="1"/>
    <col min="6" max="6" width="13.88671875" bestFit="1" customWidth="1"/>
  </cols>
  <sheetData>
    <row r="1" spans="1:6">
      <c r="A1" t="s">
        <v>3776</v>
      </c>
      <c r="C1" t="s">
        <v>3777</v>
      </c>
      <c r="D1" t="s">
        <v>3778</v>
      </c>
      <c r="E1" t="s">
        <v>3779</v>
      </c>
      <c r="F1" t="s">
        <v>3780</v>
      </c>
    </row>
    <row r="2" spans="1:6">
      <c r="A2">
        <v>1</v>
      </c>
      <c r="B2" t="e">
        <f>MATCH(C2,統合マスタ!$C$5:$C$1000,0)</f>
        <v>#N/A</v>
      </c>
      <c r="C2" t="s">
        <v>49</v>
      </c>
      <c r="D2" t="s">
        <v>3860</v>
      </c>
      <c r="E2" t="s">
        <v>4068</v>
      </c>
      <c r="F2">
        <v>98</v>
      </c>
    </row>
    <row r="3" spans="1:6">
      <c r="A3">
        <v>2</v>
      </c>
      <c r="B3" t="e">
        <f>MATCH(C3,統合マスタ!$C$5:$C$1000,0)</f>
        <v>#N/A</v>
      </c>
      <c r="C3" t="s">
        <v>73</v>
      </c>
      <c r="D3" t="s">
        <v>3860</v>
      </c>
      <c r="E3" t="s">
        <v>1244</v>
      </c>
      <c r="F3">
        <v>1</v>
      </c>
    </row>
    <row r="4" spans="1:6">
      <c r="A4">
        <v>3</v>
      </c>
      <c r="B4" t="e">
        <f>MATCH(C4,統合マスタ!$C$5:$C$1000,0)</f>
        <v>#N/A</v>
      </c>
      <c r="C4" t="s">
        <v>77</v>
      </c>
      <c r="D4" t="s">
        <v>3860</v>
      </c>
      <c r="E4" t="s">
        <v>4069</v>
      </c>
      <c r="F4">
        <v>2</v>
      </c>
    </row>
    <row r="5" spans="1:6">
      <c r="A5">
        <v>4</v>
      </c>
      <c r="B5" t="e">
        <f>MATCH(C5,統合マスタ!$C$5:$C$1000,0)</f>
        <v>#N/A</v>
      </c>
      <c r="C5" t="s">
        <v>82</v>
      </c>
      <c r="D5" t="s">
        <v>3860</v>
      </c>
      <c r="E5" t="s">
        <v>1246</v>
      </c>
      <c r="F5">
        <v>3</v>
      </c>
    </row>
    <row r="6" spans="1:6">
      <c r="A6">
        <v>5</v>
      </c>
      <c r="B6" t="e">
        <f>MATCH(C6,統合マスタ!$C$5:$C$1000,0)</f>
        <v>#N/A</v>
      </c>
      <c r="C6" t="s">
        <v>124</v>
      </c>
      <c r="D6" t="s">
        <v>3878</v>
      </c>
    </row>
    <row r="7" spans="1:6">
      <c r="A7">
        <v>6</v>
      </c>
      <c r="B7" t="e">
        <f>MATCH(C7,統合マスタ!$C$5:$C$1000,0)</f>
        <v>#N/A</v>
      </c>
      <c r="C7" t="s">
        <v>204</v>
      </c>
      <c r="D7" t="s">
        <v>3860</v>
      </c>
      <c r="E7" t="s">
        <v>1280</v>
      </c>
      <c r="F7">
        <v>19</v>
      </c>
    </row>
    <row r="8" spans="1:6">
      <c r="A8">
        <v>7</v>
      </c>
      <c r="B8" t="e">
        <f>MATCH(C8,統合マスタ!$C$5:$C$1000,0)</f>
        <v>#N/A</v>
      </c>
      <c r="C8" t="s">
        <v>214</v>
      </c>
      <c r="D8" t="s">
        <v>3878</v>
      </c>
    </row>
    <row r="9" spans="1:6">
      <c r="A9">
        <v>8</v>
      </c>
      <c r="B9">
        <f>MATCH(C9,統合マスタ!$C$5:$C$1000,0)</f>
        <v>93</v>
      </c>
      <c r="C9" t="s">
        <v>239</v>
      </c>
      <c r="D9" t="s">
        <v>3883</v>
      </c>
      <c r="E9" t="s">
        <v>239</v>
      </c>
      <c r="F9">
        <v>32</v>
      </c>
    </row>
    <row r="10" spans="1:6">
      <c r="A10">
        <v>9</v>
      </c>
      <c r="B10" t="e">
        <f>MATCH(C10,統合マスタ!$C$5:$C$1000,0)</f>
        <v>#N/A</v>
      </c>
      <c r="C10" t="s">
        <v>242</v>
      </c>
      <c r="D10" t="s">
        <v>3860</v>
      </c>
      <c r="E10" t="s">
        <v>4070</v>
      </c>
      <c r="F10">
        <v>33</v>
      </c>
    </row>
    <row r="11" spans="1:6">
      <c r="A11">
        <v>10</v>
      </c>
      <c r="B11" t="e">
        <f>MATCH(C11,統合マスタ!$C$5:$C$1000,0)</f>
        <v>#N/A</v>
      </c>
      <c r="C11" t="s">
        <v>247</v>
      </c>
      <c r="D11" t="s">
        <v>3878</v>
      </c>
    </row>
    <row r="12" spans="1:6">
      <c r="A12">
        <v>11</v>
      </c>
      <c r="B12">
        <f>MATCH(C12,統合マスタ!$C$5:$C$1000,0)</f>
        <v>104</v>
      </c>
      <c r="C12" t="s">
        <v>265</v>
      </c>
      <c r="D12" t="s">
        <v>3860</v>
      </c>
      <c r="E12" t="s">
        <v>4071</v>
      </c>
      <c r="F12">
        <v>335</v>
      </c>
    </row>
    <row r="13" spans="1:6">
      <c r="A13">
        <v>12</v>
      </c>
      <c r="B13" t="e">
        <f>MATCH(C13,統合マスタ!$C$5:$C$1000,0)</f>
        <v>#N/A</v>
      </c>
      <c r="C13" t="s">
        <v>318</v>
      </c>
      <c r="D13" t="s">
        <v>3878</v>
      </c>
    </row>
    <row r="14" spans="1:6">
      <c r="A14">
        <v>13</v>
      </c>
      <c r="B14" t="e">
        <f>MATCH(C14,統合マスタ!$C$5:$C$1000,0)</f>
        <v>#N/A</v>
      </c>
      <c r="C14" t="s">
        <v>345</v>
      </c>
      <c r="D14" t="s">
        <v>3860</v>
      </c>
      <c r="E14" t="s">
        <v>1340</v>
      </c>
      <c r="F14">
        <v>68</v>
      </c>
    </row>
    <row r="15" spans="1:6">
      <c r="A15">
        <v>14</v>
      </c>
      <c r="B15" t="e">
        <f>MATCH(C15,統合マスタ!$C$5:$C$1000,0)</f>
        <v>#N/A</v>
      </c>
      <c r="C15" t="s">
        <v>349</v>
      </c>
      <c r="D15" t="s">
        <v>3878</v>
      </c>
    </row>
    <row r="16" spans="1:6">
      <c r="A16">
        <v>15</v>
      </c>
      <c r="B16">
        <f>MATCH(C16,統合マスタ!$C$5:$C$1000,0)</f>
        <v>164</v>
      </c>
      <c r="C16" t="s">
        <v>365</v>
      </c>
      <c r="D16" t="s">
        <v>3878</v>
      </c>
    </row>
    <row r="17" spans="1:6">
      <c r="A17">
        <v>16</v>
      </c>
      <c r="B17" t="e">
        <f>MATCH(C17,統合マスタ!$C$5:$C$1000,0)</f>
        <v>#N/A</v>
      </c>
      <c r="C17" t="s">
        <v>408</v>
      </c>
      <c r="D17" t="s">
        <v>3860</v>
      </c>
      <c r="E17" t="s">
        <v>1387</v>
      </c>
      <c r="F17">
        <v>101</v>
      </c>
    </row>
    <row r="18" spans="1:6">
      <c r="A18">
        <v>17</v>
      </c>
      <c r="B18" t="e">
        <f>MATCH(C18,統合マスタ!$C$5:$C$1000,0)</f>
        <v>#N/A</v>
      </c>
      <c r="C18" t="s">
        <v>428</v>
      </c>
      <c r="D18" t="s">
        <v>3860</v>
      </c>
      <c r="E18" t="s">
        <v>4072</v>
      </c>
      <c r="F18">
        <v>106</v>
      </c>
    </row>
    <row r="19" spans="1:6">
      <c r="A19">
        <v>18</v>
      </c>
      <c r="B19">
        <f>MATCH(C19,統合マスタ!$C$5:$C$1000,0)</f>
        <v>241</v>
      </c>
      <c r="C19" t="s">
        <v>476</v>
      </c>
      <c r="D19" t="s">
        <v>3883</v>
      </c>
      <c r="E19" t="s">
        <v>476</v>
      </c>
      <c r="F19">
        <v>122</v>
      </c>
    </row>
    <row r="20" spans="1:6">
      <c r="A20">
        <v>19</v>
      </c>
      <c r="B20" t="e">
        <f>MATCH(C20,統合マスタ!$C$5:$C$1000,0)</f>
        <v>#N/A</v>
      </c>
      <c r="C20" t="s">
        <v>499</v>
      </c>
      <c r="D20" t="s">
        <v>3878</v>
      </c>
    </row>
    <row r="21" spans="1:6">
      <c r="A21">
        <v>20</v>
      </c>
      <c r="B21" t="e">
        <f>MATCH(C21,統合マスタ!$C$5:$C$1000,0)</f>
        <v>#N/A</v>
      </c>
      <c r="C21" t="s">
        <v>509</v>
      </c>
      <c r="D21" t="s">
        <v>3860</v>
      </c>
      <c r="E21" t="s">
        <v>1429</v>
      </c>
      <c r="F21">
        <v>124</v>
      </c>
    </row>
    <row r="22" spans="1:6">
      <c r="A22">
        <v>21</v>
      </c>
      <c r="B22" t="e">
        <f>MATCH(C22,統合マスタ!$C$5:$C$1000,0)</f>
        <v>#N/A</v>
      </c>
      <c r="C22" t="s">
        <v>538</v>
      </c>
      <c r="D22" t="s">
        <v>3860</v>
      </c>
      <c r="E22" t="s">
        <v>1445</v>
      </c>
      <c r="F22">
        <v>131</v>
      </c>
    </row>
    <row r="23" spans="1:6">
      <c r="A23">
        <v>22</v>
      </c>
      <c r="B23" t="e">
        <f>MATCH(C23,統合マスタ!$C$5:$C$1000,0)</f>
        <v>#N/A</v>
      </c>
      <c r="C23" t="s">
        <v>656</v>
      </c>
      <c r="D23" t="s">
        <v>3878</v>
      </c>
    </row>
    <row r="24" spans="1:6">
      <c r="A24">
        <v>23</v>
      </c>
      <c r="B24" t="e">
        <f>MATCH(C24,統合マスタ!$C$5:$C$1000,0)</f>
        <v>#N/A</v>
      </c>
      <c r="C24" t="s">
        <v>735</v>
      </c>
      <c r="D24" t="s">
        <v>3860</v>
      </c>
      <c r="E24" t="s">
        <v>1578</v>
      </c>
      <c r="F24">
        <v>209</v>
      </c>
    </row>
    <row r="25" spans="1:6">
      <c r="A25">
        <v>24</v>
      </c>
      <c r="B25" t="e">
        <f>MATCH(C25,統合マスタ!$C$5:$C$1000,0)</f>
        <v>#N/A</v>
      </c>
      <c r="C25" t="s">
        <v>761</v>
      </c>
      <c r="D25" t="s">
        <v>3878</v>
      </c>
    </row>
    <row r="26" spans="1:6">
      <c r="A26">
        <v>25</v>
      </c>
      <c r="B26" t="e">
        <f>MATCH(C26,統合マスタ!$C$5:$C$1000,0)</f>
        <v>#N/A</v>
      </c>
      <c r="C26" t="s">
        <v>766</v>
      </c>
      <c r="D26" t="s">
        <v>3860</v>
      </c>
      <c r="E26" t="s">
        <v>1600</v>
      </c>
      <c r="F26">
        <v>226</v>
      </c>
    </row>
    <row r="27" spans="1:6">
      <c r="A27">
        <v>26</v>
      </c>
      <c r="B27" t="e">
        <f>MATCH(C27,統合マスタ!$C$5:$C$1000,0)</f>
        <v>#N/A</v>
      </c>
      <c r="C27" t="s">
        <v>803</v>
      </c>
      <c r="D27" t="s">
        <v>3878</v>
      </c>
    </row>
    <row r="28" spans="1:6">
      <c r="A28">
        <v>27</v>
      </c>
      <c r="B28" t="e">
        <f>MATCH(C28,統合マスタ!$C$5:$C$1000,0)</f>
        <v>#N/A</v>
      </c>
      <c r="C28" t="s">
        <v>832</v>
      </c>
      <c r="D28" t="s">
        <v>3860</v>
      </c>
      <c r="E28" t="s">
        <v>1641</v>
      </c>
      <c r="F28">
        <v>249</v>
      </c>
    </row>
    <row r="29" spans="1:6">
      <c r="A29">
        <v>28</v>
      </c>
      <c r="B29" t="e">
        <f>MATCH(C29,統合マスタ!$C$5:$C$1000,0)</f>
        <v>#N/A</v>
      </c>
      <c r="C29" t="s">
        <v>833</v>
      </c>
      <c r="D29" t="s">
        <v>3860</v>
      </c>
      <c r="E29" t="s">
        <v>4073</v>
      </c>
      <c r="F29">
        <v>248</v>
      </c>
    </row>
    <row r="30" spans="1:6">
      <c r="A30">
        <v>29</v>
      </c>
      <c r="B30" t="e">
        <f>MATCH(C30,統合マスタ!$C$5:$C$1000,0)</f>
        <v>#N/A</v>
      </c>
      <c r="C30" t="s">
        <v>839</v>
      </c>
      <c r="D30" t="s">
        <v>3860</v>
      </c>
      <c r="E30" t="s">
        <v>4074</v>
      </c>
      <c r="F30">
        <v>251</v>
      </c>
    </row>
    <row r="31" spans="1:6">
      <c r="A31">
        <v>30</v>
      </c>
      <c r="B31" t="e">
        <f>MATCH(C31,統合マスタ!$C$5:$C$1000,0)</f>
        <v>#N/A</v>
      </c>
      <c r="C31" t="s">
        <v>929</v>
      </c>
      <c r="D31" t="s">
        <v>3860</v>
      </c>
      <c r="E31" t="s">
        <v>1710</v>
      </c>
      <c r="F31">
        <v>284</v>
      </c>
    </row>
    <row r="32" spans="1:6">
      <c r="A32">
        <v>31</v>
      </c>
      <c r="B32" t="e">
        <f>MATCH(C32,統合マスタ!$C$5:$C$1000,0)</f>
        <v>#N/A</v>
      </c>
      <c r="C32" t="s">
        <v>1034</v>
      </c>
      <c r="D32" t="s">
        <v>3860</v>
      </c>
      <c r="E32" t="s">
        <v>1769</v>
      </c>
      <c r="F32">
        <v>309</v>
      </c>
    </row>
    <row r="33" spans="1:6">
      <c r="A33">
        <v>32</v>
      </c>
      <c r="B33" t="e">
        <f>MATCH(C33,統合マスタ!$C$5:$C$1000,0)</f>
        <v>#N/A</v>
      </c>
      <c r="C33" t="s">
        <v>1061</v>
      </c>
      <c r="D33" t="s">
        <v>3860</v>
      </c>
      <c r="E33" t="s">
        <v>4075</v>
      </c>
      <c r="F33">
        <v>314</v>
      </c>
    </row>
    <row r="34" spans="1:6">
      <c r="A34">
        <v>33</v>
      </c>
      <c r="B34" t="e">
        <f>MATCH(C34,統合マスタ!$C$5:$C$1000,0)</f>
        <v>#N/A</v>
      </c>
      <c r="C34" t="s">
        <v>1086</v>
      </c>
      <c r="D34" t="s">
        <v>3860</v>
      </c>
      <c r="E34" t="s">
        <v>1806</v>
      </c>
      <c r="F34">
        <v>321</v>
      </c>
    </row>
    <row r="35" spans="1:6">
      <c r="A35">
        <v>34</v>
      </c>
      <c r="B35" t="e">
        <f>MATCH(C35,統合マスタ!$C$5:$C$1000,0)</f>
        <v>#N/A</v>
      </c>
      <c r="C35" t="s">
        <v>1100</v>
      </c>
      <c r="D35" t="s">
        <v>3860</v>
      </c>
      <c r="E35" t="s">
        <v>1818</v>
      </c>
      <c r="F35">
        <v>329</v>
      </c>
    </row>
    <row r="36" spans="1:6">
      <c r="A36">
        <v>35</v>
      </c>
      <c r="B36" t="e">
        <f>MATCH(C36,統合マスタ!$C$5:$C$1000,0)</f>
        <v>#N/A</v>
      </c>
      <c r="C36" t="s">
        <v>1148</v>
      </c>
      <c r="D36" t="s">
        <v>3878</v>
      </c>
    </row>
    <row r="37" spans="1:6">
      <c r="A37">
        <v>36</v>
      </c>
      <c r="B37">
        <f>MATCH(C37,統合マスタ!$C$5:$C$1000,0)</f>
        <v>809</v>
      </c>
      <c r="C37" t="s">
        <v>1183</v>
      </c>
      <c r="D37" t="s">
        <v>3878</v>
      </c>
    </row>
    <row r="38" spans="1:6">
      <c r="A38">
        <v>37</v>
      </c>
      <c r="B38">
        <f>MATCH(C38,統合マスタ!$C$5:$C$1000,0)</f>
        <v>818</v>
      </c>
      <c r="C38" t="s">
        <v>1198</v>
      </c>
      <c r="D38" t="s">
        <v>3878</v>
      </c>
    </row>
    <row r="39" spans="1:6">
      <c r="A39">
        <v>38</v>
      </c>
      <c r="B39">
        <f>MATCH(C39,統合マスタ!$C$5:$C$1000,0)</f>
        <v>819</v>
      </c>
      <c r="C39" t="s">
        <v>1200</v>
      </c>
      <c r="D39" t="s">
        <v>3883</v>
      </c>
      <c r="E39" t="s">
        <v>1200</v>
      </c>
      <c r="F39">
        <v>94</v>
      </c>
    </row>
    <row r="40" spans="1:6">
      <c r="A40">
        <v>39</v>
      </c>
      <c r="B40" t="e">
        <f>MATCH(C40,統合マスタ!$C$5:$C$1000,0)</f>
        <v>#N/A</v>
      </c>
      <c r="C40" t="s">
        <v>4077</v>
      </c>
      <c r="D40" t="s">
        <v>3878</v>
      </c>
    </row>
    <row r="41" spans="1:6">
      <c r="A41">
        <v>40</v>
      </c>
      <c r="B41" t="e">
        <f>MATCH(C41,統合マスタ!$C$5:$C$1000,0)</f>
        <v>#N/A</v>
      </c>
    </row>
    <row r="42" spans="1:6">
      <c r="A42">
        <v>41</v>
      </c>
      <c r="B42" t="e">
        <f>MATCH(C42,統合マスタ!$C$5:$C$1000,0)</f>
        <v>#N/A</v>
      </c>
    </row>
    <row r="43" spans="1:6">
      <c r="A43">
        <v>42</v>
      </c>
      <c r="B43" t="e">
        <f>MATCH(C43,統合マスタ!$C$5:$C$1000,0)</f>
        <v>#N/A</v>
      </c>
    </row>
    <row r="44" spans="1:6">
      <c r="A44">
        <v>43</v>
      </c>
      <c r="B44" t="e">
        <f>MATCH(C44,統合マスタ!$C$5:$C$1000,0)</f>
        <v>#N/A</v>
      </c>
    </row>
    <row r="45" spans="1:6">
      <c r="A45">
        <v>44</v>
      </c>
      <c r="B45" t="e">
        <f>MATCH(C45,統合マスタ!$C$5:$C$1000,0)</f>
        <v>#N/A</v>
      </c>
    </row>
    <row r="46" spans="1:6">
      <c r="A46">
        <v>45</v>
      </c>
      <c r="B46" t="e">
        <f>MATCH(C46,統合マスタ!$C$5:$C$1000,0)</f>
        <v>#N/A</v>
      </c>
    </row>
    <row r="47" spans="1:6">
      <c r="A47">
        <v>46</v>
      </c>
      <c r="B47" t="e">
        <f>MATCH(C47,統合マスタ!$C$5:$C$1000,0)</f>
        <v>#N/A</v>
      </c>
    </row>
    <row r="48" spans="1:6">
      <c r="A48">
        <v>47</v>
      </c>
      <c r="B48" t="e">
        <f>MATCH(C48,統合マスタ!$C$5:$C$1000,0)</f>
        <v>#N/A</v>
      </c>
    </row>
    <row r="49" spans="1:2">
      <c r="A49">
        <v>48</v>
      </c>
      <c r="B49" t="e">
        <f>MATCH(C49,統合マスタ!$C$5:$C$1000,0)</f>
        <v>#N/A</v>
      </c>
    </row>
    <row r="50" spans="1:2">
      <c r="A50">
        <v>49</v>
      </c>
      <c r="B50" t="e">
        <f>MATCH(C50,統合マスタ!$C$5:$C$1000,0)</f>
        <v>#N/A</v>
      </c>
    </row>
    <row r="51" spans="1:2">
      <c r="A51">
        <v>50</v>
      </c>
      <c r="B51" t="e">
        <f>MATCH(C51,統合マスタ!$C$5:$C$1000,0)</f>
        <v>#N/A</v>
      </c>
    </row>
    <row r="52" spans="1:2">
      <c r="A52">
        <v>51</v>
      </c>
      <c r="B52" t="e">
        <f>MATCH(C52,統合マスタ!$C$5:$C$1000,0)</f>
        <v>#N/A</v>
      </c>
    </row>
    <row r="53" spans="1:2">
      <c r="A53">
        <v>52</v>
      </c>
      <c r="B53" t="e">
        <f>MATCH(C53,統合マスタ!$C$5:$C$1000,0)</f>
        <v>#N/A</v>
      </c>
    </row>
    <row r="54" spans="1:2">
      <c r="A54">
        <v>53</v>
      </c>
      <c r="B54" t="e">
        <f>MATCH(C54,統合マスタ!$C$5:$C$1000,0)</f>
        <v>#N/A</v>
      </c>
    </row>
    <row r="55" spans="1:2">
      <c r="A55">
        <v>54</v>
      </c>
      <c r="B55" t="e">
        <f>MATCH(C55,統合マスタ!$C$5:$C$1000,0)</f>
        <v>#N/A</v>
      </c>
    </row>
    <row r="56" spans="1:2">
      <c r="A56">
        <v>55</v>
      </c>
      <c r="B56" t="e">
        <f>MATCH(C56,統合マスタ!$C$5:$C$1000,0)</f>
        <v>#N/A</v>
      </c>
    </row>
    <row r="57" spans="1:2">
      <c r="A57">
        <v>56</v>
      </c>
      <c r="B57" t="e">
        <f>MATCH(C57,統合マスタ!$C$5:$C$1000,0)</f>
        <v>#N/A</v>
      </c>
    </row>
    <row r="58" spans="1:2">
      <c r="A58">
        <v>57</v>
      </c>
      <c r="B58" t="e">
        <f>MATCH(C58,統合マスタ!$C$5:$C$1000,0)</f>
        <v>#N/A</v>
      </c>
    </row>
    <row r="59" spans="1:2">
      <c r="A59">
        <v>58</v>
      </c>
      <c r="B59" t="e">
        <f>MATCH(C59,統合マスタ!$C$5:$C$1000,0)</f>
        <v>#N/A</v>
      </c>
    </row>
    <row r="60" spans="1:2">
      <c r="A60">
        <v>59</v>
      </c>
      <c r="B60" t="e">
        <f>MATCH(C60,統合マスタ!$C$5:$C$1000,0)</f>
        <v>#N/A</v>
      </c>
    </row>
    <row r="61" spans="1:2">
      <c r="A61">
        <v>60</v>
      </c>
      <c r="B61" t="e">
        <f>MATCH(C61,統合マスタ!$C$5:$C$1000,0)</f>
        <v>#N/A</v>
      </c>
    </row>
    <row r="62" spans="1:2">
      <c r="A62">
        <v>61</v>
      </c>
      <c r="B62" t="e">
        <f>MATCH(C62,統合マスタ!$C$5:$C$1000,0)</f>
        <v>#N/A</v>
      </c>
    </row>
    <row r="63" spans="1:2">
      <c r="A63">
        <v>62</v>
      </c>
      <c r="B63" t="e">
        <f>MATCH(C63,統合マスタ!$C$5:$C$1000,0)</f>
        <v>#N/A</v>
      </c>
    </row>
    <row r="64" spans="1:2">
      <c r="A64">
        <v>63</v>
      </c>
      <c r="B64" t="e">
        <f>MATCH(C64,統合マスタ!$C$5:$C$1000,0)</f>
        <v>#N/A</v>
      </c>
    </row>
    <row r="65" spans="1:2">
      <c r="A65">
        <v>64</v>
      </c>
      <c r="B65" t="e">
        <f>MATCH(C65,統合マスタ!$C$5:$C$1000,0)</f>
        <v>#N/A</v>
      </c>
    </row>
    <row r="66" spans="1:2">
      <c r="A66">
        <v>65</v>
      </c>
      <c r="B66" t="e">
        <f>MATCH(C66,統合マスタ!$C$5:$C$1000,0)</f>
        <v>#N/A</v>
      </c>
    </row>
    <row r="67" spans="1:2">
      <c r="A67">
        <v>66</v>
      </c>
      <c r="B67" t="e">
        <f>MATCH(C67,統合マスタ!$C$5:$C$1000,0)</f>
        <v>#N/A</v>
      </c>
    </row>
    <row r="68" spans="1:2">
      <c r="A68">
        <v>67</v>
      </c>
      <c r="B68" t="e">
        <f>MATCH(C68,統合マスタ!$C$5:$C$1000,0)</f>
        <v>#N/A</v>
      </c>
    </row>
    <row r="69" spans="1:2">
      <c r="A69">
        <v>68</v>
      </c>
      <c r="B69" t="e">
        <f>MATCH(C69,統合マスタ!$C$5:$C$1000,0)</f>
        <v>#N/A</v>
      </c>
    </row>
    <row r="70" spans="1:2">
      <c r="A70">
        <v>69</v>
      </c>
      <c r="B70" t="e">
        <f>MATCH(C70,統合マスタ!$C$5:$C$1000,0)</f>
        <v>#N/A</v>
      </c>
    </row>
    <row r="71" spans="1:2">
      <c r="A71">
        <v>70</v>
      </c>
      <c r="B71" t="e">
        <f>MATCH(C71,統合マスタ!$C$5:$C$1000,0)</f>
        <v>#N/A</v>
      </c>
    </row>
    <row r="72" spans="1:2">
      <c r="A72">
        <v>71</v>
      </c>
      <c r="B72" t="e">
        <f>MATCH(C72,統合マスタ!$C$5:$C$1000,0)</f>
        <v>#N/A</v>
      </c>
    </row>
    <row r="73" spans="1:2">
      <c r="A73">
        <v>72</v>
      </c>
      <c r="B73" t="e">
        <f>MATCH(C73,統合マスタ!$C$5:$C$1000,0)</f>
        <v>#N/A</v>
      </c>
    </row>
    <row r="74" spans="1:2">
      <c r="A74">
        <v>73</v>
      </c>
      <c r="B74" t="e">
        <f>MATCH(C74,統合マスタ!$C$5:$C$1000,0)</f>
        <v>#N/A</v>
      </c>
    </row>
    <row r="75" spans="1:2">
      <c r="A75">
        <v>74</v>
      </c>
      <c r="B75" t="e">
        <f>MATCH(C75,統合マスタ!$C$5:$C$1000,0)</f>
        <v>#N/A</v>
      </c>
    </row>
    <row r="76" spans="1:2">
      <c r="A76">
        <v>75</v>
      </c>
      <c r="B76" t="e">
        <f>MATCH(C76,統合マスタ!$C$5:$C$1000,0)</f>
        <v>#N/A</v>
      </c>
    </row>
    <row r="77" spans="1:2">
      <c r="A77">
        <v>76</v>
      </c>
      <c r="B77" t="e">
        <f>MATCH(C77,統合マスタ!$C$5:$C$1000,0)</f>
        <v>#N/A</v>
      </c>
    </row>
    <row r="78" spans="1:2">
      <c r="A78">
        <v>77</v>
      </c>
      <c r="B78" t="e">
        <f>MATCH(C78,統合マスタ!$C$5:$C$1000,0)</f>
        <v>#N/A</v>
      </c>
    </row>
    <row r="79" spans="1:2">
      <c r="A79">
        <v>78</v>
      </c>
      <c r="B79" t="e">
        <f>MATCH(C79,統合マスタ!$C$5:$C$1000,0)</f>
        <v>#N/A</v>
      </c>
    </row>
    <row r="80" spans="1:2">
      <c r="A80">
        <v>79</v>
      </c>
      <c r="B80" t="e">
        <f>MATCH(C80,統合マスタ!$C$5:$C$1000,0)</f>
        <v>#N/A</v>
      </c>
    </row>
    <row r="81" spans="1:2">
      <c r="A81">
        <v>80</v>
      </c>
      <c r="B81" t="e">
        <f>MATCH(C81,統合マスタ!$C$5:$C$1000,0)</f>
        <v>#N/A</v>
      </c>
    </row>
    <row r="82" spans="1:2">
      <c r="A82">
        <v>81</v>
      </c>
      <c r="B82" t="e">
        <f>MATCH(C82,統合マスタ!$C$5:$C$1000,0)</f>
        <v>#N/A</v>
      </c>
    </row>
    <row r="83" spans="1:2">
      <c r="A83">
        <v>82</v>
      </c>
      <c r="B83" t="e">
        <f>MATCH(C83,統合マスタ!$C$5:$C$1000,0)</f>
        <v>#N/A</v>
      </c>
    </row>
    <row r="84" spans="1:2">
      <c r="A84">
        <v>83</v>
      </c>
      <c r="B84" t="e">
        <f>MATCH(C84,統合マスタ!$C$5:$C$1000,0)</f>
        <v>#N/A</v>
      </c>
    </row>
    <row r="85" spans="1:2">
      <c r="A85">
        <v>84</v>
      </c>
      <c r="B85" t="e">
        <f>MATCH(C85,統合マスタ!$C$5:$C$1000,0)</f>
        <v>#N/A</v>
      </c>
    </row>
    <row r="86" spans="1:2">
      <c r="A86">
        <v>85</v>
      </c>
      <c r="B86" t="e">
        <f>MATCH(C86,統合マスタ!$C$5:$C$1000,0)</f>
        <v>#N/A</v>
      </c>
    </row>
    <row r="87" spans="1:2">
      <c r="A87">
        <v>86</v>
      </c>
      <c r="B87" t="e">
        <f>MATCH(C87,統合マスタ!$C$5:$C$1000,0)</f>
        <v>#N/A</v>
      </c>
    </row>
    <row r="88" spans="1:2">
      <c r="A88">
        <v>87</v>
      </c>
      <c r="B88" t="e">
        <f>MATCH(C88,統合マスタ!$C$5:$C$1000,0)</f>
        <v>#N/A</v>
      </c>
    </row>
    <row r="89" spans="1:2">
      <c r="A89">
        <v>88</v>
      </c>
      <c r="B89" t="e">
        <f>MATCH(C89,統合マスタ!$C$5:$C$1000,0)</f>
        <v>#N/A</v>
      </c>
    </row>
    <row r="90" spans="1:2">
      <c r="A90">
        <v>89</v>
      </c>
      <c r="B90" t="e">
        <f>MATCH(C90,統合マスタ!$C$5:$C$1000,0)</f>
        <v>#N/A</v>
      </c>
    </row>
    <row r="91" spans="1:2">
      <c r="A91">
        <v>90</v>
      </c>
      <c r="B91" t="e">
        <f>MATCH(C91,統合マスタ!$C$5:$C$1000,0)</f>
        <v>#N/A</v>
      </c>
    </row>
    <row r="92" spans="1:2">
      <c r="A92">
        <v>91</v>
      </c>
      <c r="B92" t="e">
        <f>MATCH(C92,統合マスタ!$C$5:$C$1000,0)</f>
        <v>#N/A</v>
      </c>
    </row>
    <row r="93" spans="1:2">
      <c r="A93">
        <v>92</v>
      </c>
      <c r="B93" t="e">
        <f>MATCH(C93,統合マスタ!$C$5:$C$1000,0)</f>
        <v>#N/A</v>
      </c>
    </row>
    <row r="94" spans="1:2">
      <c r="A94">
        <v>93</v>
      </c>
      <c r="B94" t="e">
        <f>MATCH(C94,統合マスタ!$C$5:$C$1000,0)</f>
        <v>#N/A</v>
      </c>
    </row>
    <row r="95" spans="1:2">
      <c r="A95">
        <v>94</v>
      </c>
      <c r="B95" t="e">
        <f>MATCH(C95,統合マスタ!$C$5:$C$1000,0)</f>
        <v>#N/A</v>
      </c>
    </row>
    <row r="96" spans="1:2">
      <c r="A96">
        <v>95</v>
      </c>
      <c r="B96" t="e">
        <f>MATCH(C96,統合マスタ!$C$5:$C$1000,0)</f>
        <v>#N/A</v>
      </c>
    </row>
    <row r="97" spans="1:2">
      <c r="A97">
        <v>96</v>
      </c>
      <c r="B97" t="e">
        <f>MATCH(C97,統合マスタ!$C$5:$C$1000,0)</f>
        <v>#N/A</v>
      </c>
    </row>
    <row r="98" spans="1:2">
      <c r="A98">
        <v>97</v>
      </c>
      <c r="B98" t="e">
        <f>MATCH(C98,統合マスタ!$C$5:$C$1000,0)</f>
        <v>#N/A</v>
      </c>
    </row>
    <row r="99" spans="1:2">
      <c r="A99">
        <v>98</v>
      </c>
      <c r="B99" t="e">
        <f>MATCH(C99,統合マスタ!$C$5:$C$1000,0)</f>
        <v>#N/A</v>
      </c>
    </row>
    <row r="100" spans="1:2">
      <c r="A100">
        <v>99</v>
      </c>
      <c r="B100" t="e">
        <f>MATCH(C100,統合マスタ!$C$5:$C$1000,0)</f>
        <v>#N/A</v>
      </c>
    </row>
    <row r="101" spans="1:2">
      <c r="A101">
        <v>100</v>
      </c>
      <c r="B101" t="e">
        <f>MATCH(C101,統合マスタ!$C$5:$C$1000,0)</f>
        <v>#N/A</v>
      </c>
    </row>
    <row r="102" spans="1:2">
      <c r="A102">
        <v>101</v>
      </c>
      <c r="B102" t="e">
        <f>MATCH(C102,統合マスタ!$C$5:$C$1000,0)</f>
        <v>#N/A</v>
      </c>
    </row>
    <row r="103" spans="1:2">
      <c r="A103">
        <v>102</v>
      </c>
      <c r="B103" t="e">
        <f>MATCH(C103,統合マスタ!$C$5:$C$1000,0)</f>
        <v>#N/A</v>
      </c>
    </row>
    <row r="104" spans="1:2">
      <c r="A104">
        <v>103</v>
      </c>
      <c r="B104" t="e">
        <f>MATCH(C104,統合マスタ!$C$5:$C$1000,0)</f>
        <v>#N/A</v>
      </c>
    </row>
    <row r="105" spans="1:2">
      <c r="A105">
        <v>104</v>
      </c>
      <c r="B105" t="e">
        <f>MATCH(C105,統合マスタ!$C$5:$C$1000,0)</f>
        <v>#N/A</v>
      </c>
    </row>
    <row r="106" spans="1:2">
      <c r="A106">
        <v>105</v>
      </c>
      <c r="B106" t="e">
        <f>MATCH(C106,統合マスタ!$C$5:$C$1000,0)</f>
        <v>#N/A</v>
      </c>
    </row>
    <row r="107" spans="1:2">
      <c r="A107">
        <v>106</v>
      </c>
      <c r="B107" t="e">
        <f>MATCH(C107,統合マスタ!$C$5:$C$1000,0)</f>
        <v>#N/A</v>
      </c>
    </row>
    <row r="108" spans="1:2">
      <c r="A108">
        <v>107</v>
      </c>
      <c r="B108" t="e">
        <f>MATCH(C108,統合マスタ!$C$5:$C$1000,0)</f>
        <v>#N/A</v>
      </c>
    </row>
    <row r="109" spans="1:2">
      <c r="A109">
        <v>108</v>
      </c>
      <c r="B109" t="e">
        <f>MATCH(C109,統合マスタ!$C$5:$C$1000,0)</f>
        <v>#N/A</v>
      </c>
    </row>
    <row r="110" spans="1:2">
      <c r="A110">
        <v>109</v>
      </c>
      <c r="B110" t="e">
        <f>MATCH(C110,統合マスタ!$C$5:$C$1000,0)</f>
        <v>#N/A</v>
      </c>
    </row>
    <row r="111" spans="1:2">
      <c r="A111">
        <v>110</v>
      </c>
      <c r="B111" t="e">
        <f>MATCH(C111,統合マスタ!$C$5:$C$1000,0)</f>
        <v>#N/A</v>
      </c>
    </row>
    <row r="112" spans="1:2">
      <c r="A112">
        <v>111</v>
      </c>
      <c r="B112" t="e">
        <f>MATCH(C112,統合マスタ!$C$5:$C$1000,0)</f>
        <v>#N/A</v>
      </c>
    </row>
    <row r="113" spans="1:2">
      <c r="A113">
        <v>112</v>
      </c>
      <c r="B113" t="e">
        <f>MATCH(C113,統合マスタ!$C$5:$C$1000,0)</f>
        <v>#N/A</v>
      </c>
    </row>
    <row r="114" spans="1:2">
      <c r="A114">
        <v>113</v>
      </c>
      <c r="B114" t="e">
        <f>MATCH(C114,統合マスタ!$C$5:$C$1000,0)</f>
        <v>#N/A</v>
      </c>
    </row>
    <row r="115" spans="1:2">
      <c r="A115">
        <v>114</v>
      </c>
      <c r="B115" t="e">
        <f>MATCH(C115,統合マスタ!$C$5:$C$1000,0)</f>
        <v>#N/A</v>
      </c>
    </row>
    <row r="116" spans="1:2">
      <c r="A116">
        <v>115</v>
      </c>
      <c r="B116" t="e">
        <f>MATCH(C116,統合マスタ!$C$5:$C$1000,0)</f>
        <v>#N/A</v>
      </c>
    </row>
    <row r="117" spans="1:2">
      <c r="A117">
        <v>116</v>
      </c>
      <c r="B117" t="e">
        <f>MATCH(C117,統合マスタ!$C$5:$C$1000,0)</f>
        <v>#N/A</v>
      </c>
    </row>
    <row r="118" spans="1:2">
      <c r="A118">
        <v>117</v>
      </c>
      <c r="B118" t="e">
        <f>MATCH(C118,統合マスタ!$C$5:$C$1000,0)</f>
        <v>#N/A</v>
      </c>
    </row>
    <row r="119" spans="1:2">
      <c r="A119">
        <v>118</v>
      </c>
      <c r="B119" t="e">
        <f>MATCH(C119,統合マスタ!$C$5:$C$1000,0)</f>
        <v>#N/A</v>
      </c>
    </row>
    <row r="120" spans="1:2">
      <c r="A120">
        <v>119</v>
      </c>
      <c r="B120" t="e">
        <f>MATCH(C120,統合マスタ!$C$5:$C$1000,0)</f>
        <v>#N/A</v>
      </c>
    </row>
    <row r="121" spans="1:2">
      <c r="A121">
        <v>120</v>
      </c>
      <c r="B121" t="e">
        <f>MATCH(C121,統合マスタ!$C$5:$C$1000,0)</f>
        <v>#N/A</v>
      </c>
    </row>
    <row r="122" spans="1:2">
      <c r="A122">
        <v>121</v>
      </c>
      <c r="B122" t="e">
        <f>MATCH(C122,統合マスタ!$C$5:$C$1000,0)</f>
        <v>#N/A</v>
      </c>
    </row>
    <row r="123" spans="1:2">
      <c r="A123">
        <v>122</v>
      </c>
      <c r="B123" t="e">
        <f>MATCH(C123,統合マスタ!$C$5:$C$1000,0)</f>
        <v>#N/A</v>
      </c>
    </row>
    <row r="124" spans="1:2">
      <c r="A124">
        <v>123</v>
      </c>
      <c r="B124" t="e">
        <f>MATCH(C124,統合マスタ!$C$5:$C$1000,0)</f>
        <v>#N/A</v>
      </c>
    </row>
    <row r="125" spans="1:2">
      <c r="A125">
        <v>124</v>
      </c>
      <c r="B125" t="e">
        <f>MATCH(C125,統合マスタ!$C$5:$C$1000,0)</f>
        <v>#N/A</v>
      </c>
    </row>
    <row r="126" spans="1:2">
      <c r="A126">
        <v>125</v>
      </c>
      <c r="B126" t="e">
        <f>MATCH(C126,統合マスタ!$C$5:$C$1000,0)</f>
        <v>#N/A</v>
      </c>
    </row>
    <row r="127" spans="1:2">
      <c r="A127">
        <v>126</v>
      </c>
      <c r="B127" t="e">
        <f>MATCH(C127,統合マスタ!$C$5:$C$1000,0)</f>
        <v>#N/A</v>
      </c>
    </row>
    <row r="128" spans="1:2">
      <c r="A128">
        <v>127</v>
      </c>
      <c r="B128" t="e">
        <f>MATCH(C128,統合マスタ!$C$5:$C$1000,0)</f>
        <v>#N/A</v>
      </c>
    </row>
    <row r="129" spans="1:2">
      <c r="A129">
        <v>128</v>
      </c>
      <c r="B129" t="e">
        <f>MATCH(C129,統合マスタ!$C$5:$C$1000,0)</f>
        <v>#N/A</v>
      </c>
    </row>
    <row r="130" spans="1:2">
      <c r="A130">
        <v>129</v>
      </c>
      <c r="B130" t="e">
        <f>MATCH(C130,統合マスタ!$C$5:$C$1000,0)</f>
        <v>#N/A</v>
      </c>
    </row>
    <row r="131" spans="1:2">
      <c r="A131">
        <v>130</v>
      </c>
      <c r="B131" t="e">
        <f>MATCH(C131,統合マスタ!$C$5:$C$1000,0)</f>
        <v>#N/A</v>
      </c>
    </row>
    <row r="132" spans="1:2">
      <c r="A132">
        <v>131</v>
      </c>
      <c r="B132" t="e">
        <f>MATCH(C132,統合マスタ!$C$5:$C$1000,0)</f>
        <v>#N/A</v>
      </c>
    </row>
    <row r="133" spans="1:2">
      <c r="A133">
        <v>132</v>
      </c>
      <c r="B133" t="e">
        <f>MATCH(C133,統合マスタ!$C$5:$C$1000,0)</f>
        <v>#N/A</v>
      </c>
    </row>
    <row r="134" spans="1:2">
      <c r="A134">
        <v>133</v>
      </c>
      <c r="B134" t="e">
        <f>MATCH(C134,統合マスタ!$C$5:$C$1000,0)</f>
        <v>#N/A</v>
      </c>
    </row>
    <row r="135" spans="1:2">
      <c r="A135">
        <v>134</v>
      </c>
      <c r="B135" t="e">
        <f>MATCH(C135,統合マスタ!$C$5:$C$1000,0)</f>
        <v>#N/A</v>
      </c>
    </row>
    <row r="136" spans="1:2">
      <c r="A136">
        <v>135</v>
      </c>
      <c r="B136" t="e">
        <f>MATCH(C136,統合マスタ!$C$5:$C$1000,0)</f>
        <v>#N/A</v>
      </c>
    </row>
    <row r="137" spans="1:2">
      <c r="A137">
        <v>136</v>
      </c>
      <c r="B137" t="e">
        <f>MATCH(C137,統合マスタ!$C$5:$C$1000,0)</f>
        <v>#N/A</v>
      </c>
    </row>
    <row r="138" spans="1:2">
      <c r="A138">
        <v>137</v>
      </c>
      <c r="B138" t="e">
        <f>MATCH(C138,統合マスタ!$C$5:$C$1000,0)</f>
        <v>#N/A</v>
      </c>
    </row>
    <row r="139" spans="1:2">
      <c r="A139">
        <v>138</v>
      </c>
      <c r="B139" t="e">
        <f>MATCH(C139,統合マスタ!$C$5:$C$1000,0)</f>
        <v>#N/A</v>
      </c>
    </row>
    <row r="140" spans="1:2">
      <c r="A140">
        <v>139</v>
      </c>
      <c r="B140" t="e">
        <f>MATCH(C140,統合マスタ!$C$5:$C$1000,0)</f>
        <v>#N/A</v>
      </c>
    </row>
    <row r="141" spans="1:2">
      <c r="A141">
        <v>140</v>
      </c>
      <c r="B141" t="e">
        <f>MATCH(C141,統合マスタ!$C$5:$C$1000,0)</f>
        <v>#N/A</v>
      </c>
    </row>
    <row r="142" spans="1:2">
      <c r="A142">
        <v>141</v>
      </c>
      <c r="B142" t="e">
        <f>MATCH(C142,統合マスタ!$C$5:$C$1000,0)</f>
        <v>#N/A</v>
      </c>
    </row>
    <row r="143" spans="1:2">
      <c r="A143">
        <v>142</v>
      </c>
      <c r="B143" t="e">
        <f>MATCH(C143,統合マスタ!$C$5:$C$1000,0)</f>
        <v>#N/A</v>
      </c>
    </row>
    <row r="144" spans="1:2">
      <c r="A144">
        <v>143</v>
      </c>
      <c r="B144" t="e">
        <f>MATCH(C144,統合マスタ!$C$5:$C$1000,0)</f>
        <v>#N/A</v>
      </c>
    </row>
    <row r="145" spans="1:2">
      <c r="A145">
        <v>144</v>
      </c>
      <c r="B145" t="e">
        <f>MATCH(C145,統合マスタ!$C$5:$C$1000,0)</f>
        <v>#N/A</v>
      </c>
    </row>
    <row r="146" spans="1:2">
      <c r="A146">
        <v>145</v>
      </c>
      <c r="B146" t="e">
        <f>MATCH(C146,統合マスタ!$C$5:$C$1000,0)</f>
        <v>#N/A</v>
      </c>
    </row>
    <row r="147" spans="1:2">
      <c r="A147">
        <v>146</v>
      </c>
      <c r="B147" t="e">
        <f>MATCH(C147,統合マスタ!$C$5:$C$1000,0)</f>
        <v>#N/A</v>
      </c>
    </row>
    <row r="148" spans="1:2">
      <c r="A148">
        <v>147</v>
      </c>
      <c r="B148" t="e">
        <f>MATCH(C148,統合マスタ!$C$5:$C$1000,0)</f>
        <v>#N/A</v>
      </c>
    </row>
    <row r="149" spans="1:2">
      <c r="A149">
        <v>148</v>
      </c>
      <c r="B149" t="e">
        <f>MATCH(C149,統合マスタ!$C$5:$C$1000,0)</f>
        <v>#N/A</v>
      </c>
    </row>
    <row r="150" spans="1:2">
      <c r="A150">
        <v>149</v>
      </c>
      <c r="B150" t="e">
        <f>MATCH(C150,統合マスタ!$C$5:$C$1000,0)</f>
        <v>#N/A</v>
      </c>
    </row>
    <row r="151" spans="1:2">
      <c r="A151">
        <v>150</v>
      </c>
      <c r="B151" t="e">
        <f>MATCH(C151,統合マスタ!$C$5:$C$1000,0)</f>
        <v>#N/A</v>
      </c>
    </row>
    <row r="152" spans="1:2">
      <c r="A152">
        <v>151</v>
      </c>
      <c r="B152" t="e">
        <f>MATCH(C152,統合マスタ!$C$5:$C$1000,0)</f>
        <v>#N/A</v>
      </c>
    </row>
    <row r="153" spans="1:2">
      <c r="A153">
        <v>152</v>
      </c>
      <c r="B153" t="e">
        <f>MATCH(C153,統合マスタ!$C$5:$C$1000,0)</f>
        <v>#N/A</v>
      </c>
    </row>
    <row r="154" spans="1:2">
      <c r="A154">
        <v>153</v>
      </c>
      <c r="B154" t="e">
        <f>MATCH(C154,統合マスタ!$C$5:$C$1000,0)</f>
        <v>#N/A</v>
      </c>
    </row>
    <row r="155" spans="1:2">
      <c r="A155">
        <v>154</v>
      </c>
      <c r="B155" t="e">
        <f>MATCH(C155,統合マスタ!$C$5:$C$1000,0)</f>
        <v>#N/A</v>
      </c>
    </row>
    <row r="156" spans="1:2">
      <c r="A156">
        <v>155</v>
      </c>
      <c r="B156" t="e">
        <f>MATCH(C156,統合マスタ!$C$5:$C$1000,0)</f>
        <v>#N/A</v>
      </c>
    </row>
    <row r="157" spans="1:2">
      <c r="A157">
        <v>156</v>
      </c>
      <c r="B157" t="e">
        <f>MATCH(C157,統合マスタ!$C$5:$C$1000,0)</f>
        <v>#N/A</v>
      </c>
    </row>
    <row r="158" spans="1:2">
      <c r="A158">
        <v>157</v>
      </c>
      <c r="B158" t="e">
        <f>MATCH(C158,統合マスタ!$C$5:$C$1000,0)</f>
        <v>#N/A</v>
      </c>
    </row>
    <row r="159" spans="1:2">
      <c r="A159">
        <v>158</v>
      </c>
      <c r="B159" t="e">
        <f>MATCH(C159,統合マスタ!$C$5:$C$1000,0)</f>
        <v>#N/A</v>
      </c>
    </row>
    <row r="160" spans="1:2">
      <c r="A160">
        <v>159</v>
      </c>
      <c r="B160" t="e">
        <f>MATCH(C160,統合マスタ!$C$5:$C$1000,0)</f>
        <v>#N/A</v>
      </c>
    </row>
    <row r="161" spans="1:2">
      <c r="A161">
        <v>160</v>
      </c>
      <c r="B161" t="e">
        <f>MATCH(C161,統合マスタ!$C$5:$C$1000,0)</f>
        <v>#N/A</v>
      </c>
    </row>
    <row r="162" spans="1:2">
      <c r="A162">
        <v>161</v>
      </c>
      <c r="B162" t="e">
        <f>MATCH(C162,統合マスタ!$C$5:$C$1000,0)</f>
        <v>#N/A</v>
      </c>
    </row>
    <row r="163" spans="1:2">
      <c r="A163">
        <v>162</v>
      </c>
      <c r="B163" t="e">
        <f>MATCH(C163,統合マスタ!$C$5:$C$1000,0)</f>
        <v>#N/A</v>
      </c>
    </row>
    <row r="164" spans="1:2">
      <c r="A164">
        <v>163</v>
      </c>
      <c r="B164" t="e">
        <f>MATCH(C164,統合マスタ!$C$5:$C$1000,0)</f>
        <v>#N/A</v>
      </c>
    </row>
    <row r="165" spans="1:2">
      <c r="A165">
        <v>164</v>
      </c>
      <c r="B165" t="e">
        <f>MATCH(C165,統合マスタ!$C$5:$C$1000,0)</f>
        <v>#N/A</v>
      </c>
    </row>
    <row r="166" spans="1:2">
      <c r="A166">
        <v>165</v>
      </c>
      <c r="B166" t="e">
        <f>MATCH(C166,統合マスタ!$C$5:$C$1000,0)</f>
        <v>#N/A</v>
      </c>
    </row>
    <row r="167" spans="1:2">
      <c r="A167">
        <v>166</v>
      </c>
      <c r="B167" t="e">
        <f>MATCH(C167,統合マスタ!$C$5:$C$1000,0)</f>
        <v>#N/A</v>
      </c>
    </row>
    <row r="168" spans="1:2">
      <c r="A168">
        <v>167</v>
      </c>
      <c r="B168" t="e">
        <f>MATCH(C168,統合マスタ!$C$5:$C$1000,0)</f>
        <v>#N/A</v>
      </c>
    </row>
    <row r="169" spans="1:2">
      <c r="A169">
        <v>168</v>
      </c>
      <c r="B169" t="e">
        <f>MATCH(C169,統合マスタ!$C$5:$C$1000,0)</f>
        <v>#N/A</v>
      </c>
    </row>
    <row r="170" spans="1:2">
      <c r="A170">
        <v>169</v>
      </c>
      <c r="B170" t="e">
        <f>MATCH(C170,統合マスタ!$C$5:$C$1000,0)</f>
        <v>#N/A</v>
      </c>
    </row>
    <row r="171" spans="1:2">
      <c r="A171">
        <v>170</v>
      </c>
      <c r="B171" t="e">
        <f>MATCH(C171,統合マスタ!$C$5:$C$1000,0)</f>
        <v>#N/A</v>
      </c>
    </row>
    <row r="172" spans="1:2">
      <c r="A172">
        <v>171</v>
      </c>
      <c r="B172" t="e">
        <f>MATCH(C172,統合マスタ!$C$5:$C$1000,0)</f>
        <v>#N/A</v>
      </c>
    </row>
    <row r="173" spans="1:2">
      <c r="A173">
        <v>172</v>
      </c>
      <c r="B173" t="e">
        <f>MATCH(C173,統合マスタ!$C$5:$C$1000,0)</f>
        <v>#N/A</v>
      </c>
    </row>
    <row r="174" spans="1:2">
      <c r="A174">
        <v>173</v>
      </c>
      <c r="B174" t="e">
        <f>MATCH(C174,統合マスタ!$C$5:$C$1000,0)</f>
        <v>#N/A</v>
      </c>
    </row>
    <row r="175" spans="1:2">
      <c r="A175">
        <v>174</v>
      </c>
      <c r="B175" t="e">
        <f>MATCH(C175,統合マスタ!$C$5:$C$1000,0)</f>
        <v>#N/A</v>
      </c>
    </row>
    <row r="176" spans="1:2">
      <c r="A176">
        <v>175</v>
      </c>
      <c r="B176" t="e">
        <f>MATCH(C176,統合マスタ!$C$5:$C$1000,0)</f>
        <v>#N/A</v>
      </c>
    </row>
    <row r="177" spans="1:2">
      <c r="A177">
        <v>176</v>
      </c>
      <c r="B177" t="e">
        <f>MATCH(C177,統合マスタ!$C$5:$C$1000,0)</f>
        <v>#N/A</v>
      </c>
    </row>
    <row r="178" spans="1:2">
      <c r="A178">
        <v>177</v>
      </c>
      <c r="B178" t="e">
        <f>MATCH(C178,統合マスタ!$C$5:$C$1000,0)</f>
        <v>#N/A</v>
      </c>
    </row>
    <row r="179" spans="1:2">
      <c r="A179">
        <v>178</v>
      </c>
      <c r="B179" t="e">
        <f>MATCH(C179,統合マスタ!$C$5:$C$1000,0)</f>
        <v>#N/A</v>
      </c>
    </row>
    <row r="180" spans="1:2">
      <c r="A180">
        <v>179</v>
      </c>
      <c r="B180" t="e">
        <f>MATCH(C180,統合マスタ!$C$5:$C$1000,0)</f>
        <v>#N/A</v>
      </c>
    </row>
    <row r="181" spans="1:2">
      <c r="A181">
        <v>180</v>
      </c>
      <c r="B181" t="e">
        <f>MATCH(C181,統合マスタ!$C$5:$C$1000,0)</f>
        <v>#N/A</v>
      </c>
    </row>
    <row r="182" spans="1:2">
      <c r="A182">
        <v>181</v>
      </c>
      <c r="B182" t="e">
        <f>MATCH(C182,統合マスタ!$C$5:$C$1000,0)</f>
        <v>#N/A</v>
      </c>
    </row>
    <row r="183" spans="1:2">
      <c r="A183">
        <v>182</v>
      </c>
      <c r="B183" t="e">
        <f>MATCH(C183,統合マスタ!$C$5:$C$1000,0)</f>
        <v>#N/A</v>
      </c>
    </row>
    <row r="184" spans="1:2">
      <c r="A184">
        <v>183</v>
      </c>
      <c r="B184" t="e">
        <f>MATCH(C184,統合マスタ!$C$5:$C$1000,0)</f>
        <v>#N/A</v>
      </c>
    </row>
    <row r="185" spans="1:2">
      <c r="A185">
        <v>184</v>
      </c>
      <c r="B185" t="e">
        <f>MATCH(C185,統合マスタ!$C$5:$C$1000,0)</f>
        <v>#N/A</v>
      </c>
    </row>
    <row r="186" spans="1:2">
      <c r="A186">
        <v>185</v>
      </c>
      <c r="B186" t="e">
        <f>MATCH(C186,統合マスタ!$C$5:$C$1000,0)</f>
        <v>#N/A</v>
      </c>
    </row>
    <row r="187" spans="1:2">
      <c r="A187">
        <v>186</v>
      </c>
      <c r="B187" t="e">
        <f>MATCH(C187,統合マスタ!$C$5:$C$1000,0)</f>
        <v>#N/A</v>
      </c>
    </row>
    <row r="188" spans="1:2">
      <c r="A188">
        <v>187</v>
      </c>
      <c r="B188" t="e">
        <f>MATCH(C188,統合マスタ!$C$5:$C$1000,0)</f>
        <v>#N/A</v>
      </c>
    </row>
    <row r="189" spans="1:2">
      <c r="A189">
        <v>188</v>
      </c>
      <c r="B189" t="e">
        <f>MATCH(C189,統合マスタ!$C$5:$C$1000,0)</f>
        <v>#N/A</v>
      </c>
    </row>
    <row r="190" spans="1:2">
      <c r="A190">
        <v>189</v>
      </c>
      <c r="B190" t="e">
        <f>MATCH(C190,統合マスタ!$C$5:$C$1000,0)</f>
        <v>#N/A</v>
      </c>
    </row>
    <row r="191" spans="1:2">
      <c r="A191">
        <v>190</v>
      </c>
      <c r="B191" t="e">
        <f>MATCH(C191,統合マスタ!$C$5:$C$1000,0)</f>
        <v>#N/A</v>
      </c>
    </row>
    <row r="192" spans="1:2">
      <c r="A192">
        <v>191</v>
      </c>
      <c r="B192" t="e">
        <f>MATCH(C192,統合マスタ!$C$5:$C$1000,0)</f>
        <v>#N/A</v>
      </c>
    </row>
    <row r="193" spans="1:2">
      <c r="A193">
        <v>192</v>
      </c>
      <c r="B193" t="e">
        <f>MATCH(C193,統合マスタ!$C$5:$C$1000,0)</f>
        <v>#N/A</v>
      </c>
    </row>
    <row r="194" spans="1:2">
      <c r="A194">
        <v>193</v>
      </c>
      <c r="B194" t="e">
        <f>MATCH(C194,統合マスタ!$C$5:$C$1000,0)</f>
        <v>#N/A</v>
      </c>
    </row>
    <row r="195" spans="1:2">
      <c r="A195">
        <v>194</v>
      </c>
      <c r="B195" t="e">
        <f>MATCH(C195,統合マスタ!$C$5:$C$1000,0)</f>
        <v>#N/A</v>
      </c>
    </row>
    <row r="196" spans="1:2">
      <c r="A196">
        <v>195</v>
      </c>
      <c r="B196" t="e">
        <f>MATCH(C196,統合マスタ!$C$5:$C$1000,0)</f>
        <v>#N/A</v>
      </c>
    </row>
    <row r="197" spans="1:2">
      <c r="A197">
        <v>196</v>
      </c>
      <c r="B197" t="e">
        <f>MATCH(C197,統合マスタ!$C$5:$C$1000,0)</f>
        <v>#N/A</v>
      </c>
    </row>
    <row r="198" spans="1:2">
      <c r="A198">
        <v>197</v>
      </c>
      <c r="B198" t="e">
        <f>MATCH(C198,統合マスタ!$C$5:$C$1000,0)</f>
        <v>#N/A</v>
      </c>
    </row>
    <row r="199" spans="1:2">
      <c r="A199">
        <v>198</v>
      </c>
      <c r="B199" t="e">
        <f>MATCH(C199,統合マスタ!$C$5:$C$1000,0)</f>
        <v>#N/A</v>
      </c>
    </row>
    <row r="200" spans="1:2">
      <c r="A200">
        <v>199</v>
      </c>
      <c r="B200" t="e">
        <f>MATCH(C200,統合マスタ!$C$5:$C$1000,0)</f>
        <v>#N/A</v>
      </c>
    </row>
    <row r="201" spans="1:2">
      <c r="A201">
        <v>200</v>
      </c>
      <c r="B201" t="e">
        <f>MATCH(C201,統合マスタ!$C$5:$C$1000,0)</f>
        <v>#N/A</v>
      </c>
    </row>
    <row r="202" spans="1:2">
      <c r="A202">
        <v>201</v>
      </c>
      <c r="B202" t="e">
        <f>MATCH(C202,統合マスタ!$C$5:$C$1000,0)</f>
        <v>#N/A</v>
      </c>
    </row>
    <row r="203" spans="1:2">
      <c r="A203">
        <v>202</v>
      </c>
      <c r="B203" t="e">
        <f>MATCH(C203,統合マスタ!$C$5:$C$1000,0)</f>
        <v>#N/A</v>
      </c>
    </row>
    <row r="204" spans="1:2">
      <c r="A204">
        <v>203</v>
      </c>
      <c r="B204" t="e">
        <f>MATCH(C204,統合マスタ!$C$5:$C$1000,0)</f>
        <v>#N/A</v>
      </c>
    </row>
    <row r="205" spans="1:2">
      <c r="A205">
        <v>204</v>
      </c>
      <c r="B205" t="e">
        <f>MATCH(C205,統合マスタ!$C$5:$C$1000,0)</f>
        <v>#N/A</v>
      </c>
    </row>
    <row r="206" spans="1:2">
      <c r="A206">
        <v>205</v>
      </c>
      <c r="B206" t="e">
        <f>MATCH(C206,統合マスタ!$C$5:$C$1000,0)</f>
        <v>#N/A</v>
      </c>
    </row>
    <row r="207" spans="1:2">
      <c r="A207">
        <v>206</v>
      </c>
      <c r="B207" t="e">
        <f>MATCH(C207,統合マスタ!$C$5:$C$1000,0)</f>
        <v>#N/A</v>
      </c>
    </row>
    <row r="208" spans="1:2">
      <c r="A208">
        <v>207</v>
      </c>
      <c r="B208" t="e">
        <f>MATCH(C208,統合マスタ!$C$5:$C$1000,0)</f>
        <v>#N/A</v>
      </c>
    </row>
    <row r="209" spans="1:2">
      <c r="A209">
        <v>208</v>
      </c>
      <c r="B209" t="e">
        <f>MATCH(C209,統合マスタ!$C$5:$C$1000,0)</f>
        <v>#N/A</v>
      </c>
    </row>
    <row r="210" spans="1:2">
      <c r="A210">
        <v>209</v>
      </c>
      <c r="B210" t="e">
        <f>MATCH(C210,統合マスタ!$C$5:$C$1000,0)</f>
        <v>#N/A</v>
      </c>
    </row>
    <row r="211" spans="1:2">
      <c r="A211">
        <v>210</v>
      </c>
      <c r="B211" t="e">
        <f>MATCH(C211,統合マスタ!$C$5:$C$1000,0)</f>
        <v>#N/A</v>
      </c>
    </row>
    <row r="212" spans="1:2">
      <c r="A212">
        <v>211</v>
      </c>
      <c r="B212" t="e">
        <f>MATCH(C212,統合マスタ!$C$5:$C$1000,0)</f>
        <v>#N/A</v>
      </c>
    </row>
    <row r="213" spans="1:2">
      <c r="A213">
        <v>212</v>
      </c>
      <c r="B213" t="e">
        <f>MATCH(C213,統合マスタ!$C$5:$C$1000,0)</f>
        <v>#N/A</v>
      </c>
    </row>
    <row r="214" spans="1:2">
      <c r="A214">
        <v>213</v>
      </c>
      <c r="B214" t="e">
        <f>MATCH(C214,統合マスタ!$C$5:$C$1000,0)</f>
        <v>#N/A</v>
      </c>
    </row>
    <row r="215" spans="1:2">
      <c r="A215">
        <v>214</v>
      </c>
      <c r="B215" t="e">
        <f>MATCH(C215,統合マスタ!$C$5:$C$1000,0)</f>
        <v>#N/A</v>
      </c>
    </row>
    <row r="216" spans="1:2">
      <c r="A216">
        <v>215</v>
      </c>
      <c r="B216" t="e">
        <f>MATCH(C216,統合マスタ!$C$5:$C$1000,0)</f>
        <v>#N/A</v>
      </c>
    </row>
    <row r="217" spans="1:2">
      <c r="A217">
        <v>216</v>
      </c>
      <c r="B217" t="e">
        <f>MATCH(C217,統合マスタ!$C$5:$C$1000,0)</f>
        <v>#N/A</v>
      </c>
    </row>
    <row r="218" spans="1:2">
      <c r="A218">
        <v>217</v>
      </c>
      <c r="B218" t="e">
        <f>MATCH(C218,統合マスタ!$C$5:$C$1000,0)</f>
        <v>#N/A</v>
      </c>
    </row>
    <row r="219" spans="1:2">
      <c r="A219">
        <v>218</v>
      </c>
      <c r="B219" t="e">
        <f>MATCH(C219,統合マスタ!$C$5:$C$1000,0)</f>
        <v>#N/A</v>
      </c>
    </row>
    <row r="220" spans="1:2">
      <c r="A220">
        <v>219</v>
      </c>
      <c r="B220" t="e">
        <f>MATCH(C220,統合マスタ!$C$5:$C$1000,0)</f>
        <v>#N/A</v>
      </c>
    </row>
    <row r="221" spans="1:2">
      <c r="A221">
        <v>220</v>
      </c>
      <c r="B221" t="e">
        <f>MATCH(C221,統合マスタ!$C$5:$C$1000,0)</f>
        <v>#N/A</v>
      </c>
    </row>
    <row r="222" spans="1:2">
      <c r="A222">
        <v>221</v>
      </c>
      <c r="B222" t="e">
        <f>MATCH(C222,統合マスタ!$C$5:$C$1000,0)</f>
        <v>#N/A</v>
      </c>
    </row>
    <row r="223" spans="1:2">
      <c r="A223">
        <v>222</v>
      </c>
      <c r="B223" t="e">
        <f>MATCH(C223,統合マスタ!$C$5:$C$1000,0)</f>
        <v>#N/A</v>
      </c>
    </row>
    <row r="224" spans="1:2">
      <c r="A224">
        <v>223</v>
      </c>
      <c r="B224" t="e">
        <f>MATCH(C224,統合マスタ!$C$5:$C$1000,0)</f>
        <v>#N/A</v>
      </c>
    </row>
    <row r="225" spans="1:2">
      <c r="A225">
        <v>224</v>
      </c>
      <c r="B225" t="e">
        <f>MATCH(C225,統合マスタ!$C$5:$C$1000,0)</f>
        <v>#N/A</v>
      </c>
    </row>
    <row r="226" spans="1:2">
      <c r="A226">
        <v>225</v>
      </c>
      <c r="B226" t="e">
        <f>MATCH(C226,統合マスタ!$C$5:$C$1000,0)</f>
        <v>#N/A</v>
      </c>
    </row>
    <row r="227" spans="1:2">
      <c r="A227">
        <v>226</v>
      </c>
      <c r="B227" t="e">
        <f>MATCH(C227,統合マスタ!$C$5:$C$1000,0)</f>
        <v>#N/A</v>
      </c>
    </row>
    <row r="228" spans="1:2">
      <c r="A228">
        <v>227</v>
      </c>
      <c r="B228" t="e">
        <f>MATCH(C228,統合マスタ!$C$5:$C$1000,0)</f>
        <v>#N/A</v>
      </c>
    </row>
    <row r="229" spans="1:2">
      <c r="A229">
        <v>228</v>
      </c>
      <c r="B229" t="e">
        <f>MATCH(C229,統合マスタ!$C$5:$C$1000,0)</f>
        <v>#N/A</v>
      </c>
    </row>
    <row r="230" spans="1:2">
      <c r="A230">
        <v>229</v>
      </c>
      <c r="B230" t="e">
        <f>MATCH(C230,統合マスタ!$C$5:$C$1000,0)</f>
        <v>#N/A</v>
      </c>
    </row>
    <row r="231" spans="1:2">
      <c r="A231">
        <v>230</v>
      </c>
      <c r="B231" t="e">
        <f>MATCH(C231,統合マスタ!$C$5:$C$1000,0)</f>
        <v>#N/A</v>
      </c>
    </row>
    <row r="232" spans="1:2">
      <c r="A232">
        <v>231</v>
      </c>
      <c r="B232" t="e">
        <f>MATCH(C232,統合マスタ!$C$5:$C$1000,0)</f>
        <v>#N/A</v>
      </c>
    </row>
    <row r="233" spans="1:2">
      <c r="A233">
        <v>232</v>
      </c>
      <c r="B233" t="e">
        <f>MATCH(C233,統合マスタ!$C$5:$C$1000,0)</f>
        <v>#N/A</v>
      </c>
    </row>
    <row r="234" spans="1:2">
      <c r="A234">
        <v>233</v>
      </c>
      <c r="B234" t="e">
        <f>MATCH(C234,統合マスタ!$C$5:$C$1000,0)</f>
        <v>#N/A</v>
      </c>
    </row>
    <row r="235" spans="1:2">
      <c r="A235">
        <v>234</v>
      </c>
      <c r="B235" t="e">
        <f>MATCH(C235,統合マスタ!$C$5:$C$1000,0)</f>
        <v>#N/A</v>
      </c>
    </row>
    <row r="236" spans="1:2">
      <c r="A236">
        <v>235</v>
      </c>
      <c r="B236" t="e">
        <f>MATCH(C236,統合マスタ!$C$5:$C$1000,0)</f>
        <v>#N/A</v>
      </c>
    </row>
    <row r="237" spans="1:2">
      <c r="A237">
        <v>236</v>
      </c>
      <c r="B237" t="e">
        <f>MATCH(C237,統合マスタ!$C$5:$C$1000,0)</f>
        <v>#N/A</v>
      </c>
    </row>
    <row r="238" spans="1:2">
      <c r="A238">
        <v>237</v>
      </c>
      <c r="B238" t="e">
        <f>MATCH(C238,統合マスタ!$C$5:$C$1000,0)</f>
        <v>#N/A</v>
      </c>
    </row>
    <row r="239" spans="1:2">
      <c r="A239">
        <v>238</v>
      </c>
      <c r="B239" t="e">
        <f>MATCH(C239,統合マスタ!$C$5:$C$1000,0)</f>
        <v>#N/A</v>
      </c>
    </row>
    <row r="240" spans="1:2">
      <c r="A240">
        <v>239</v>
      </c>
      <c r="B240" t="e">
        <f>MATCH(C240,統合マスタ!$C$5:$C$1000,0)</f>
        <v>#N/A</v>
      </c>
    </row>
    <row r="241" spans="1:2">
      <c r="A241">
        <v>240</v>
      </c>
      <c r="B241" t="e">
        <f>MATCH(C241,統合マスタ!$C$5:$C$1000,0)</f>
        <v>#N/A</v>
      </c>
    </row>
    <row r="242" spans="1:2">
      <c r="A242">
        <v>241</v>
      </c>
      <c r="B242" t="e">
        <f>MATCH(C242,統合マスタ!$C$5:$C$1000,0)</f>
        <v>#N/A</v>
      </c>
    </row>
    <row r="243" spans="1:2">
      <c r="A243">
        <v>242</v>
      </c>
      <c r="B243" t="e">
        <f>MATCH(C243,統合マスタ!$C$5:$C$1000,0)</f>
        <v>#N/A</v>
      </c>
    </row>
    <row r="244" spans="1:2">
      <c r="A244">
        <v>243</v>
      </c>
      <c r="B244" t="e">
        <f>MATCH(C244,統合マスタ!$C$5:$C$1000,0)</f>
        <v>#N/A</v>
      </c>
    </row>
    <row r="245" spans="1:2">
      <c r="A245">
        <v>244</v>
      </c>
      <c r="B245" t="e">
        <f>MATCH(C245,統合マスタ!$C$5:$C$1000,0)</f>
        <v>#N/A</v>
      </c>
    </row>
    <row r="246" spans="1:2">
      <c r="A246">
        <v>245</v>
      </c>
      <c r="B246" t="e">
        <f>MATCH(C246,統合マスタ!$C$5:$C$1000,0)</f>
        <v>#N/A</v>
      </c>
    </row>
    <row r="247" spans="1:2">
      <c r="A247">
        <v>246</v>
      </c>
      <c r="B247" t="e">
        <f>MATCH(C247,統合マスタ!$C$5:$C$1000,0)</f>
        <v>#N/A</v>
      </c>
    </row>
    <row r="248" spans="1:2">
      <c r="A248">
        <v>247</v>
      </c>
      <c r="B248" t="e">
        <f>MATCH(C248,統合マスタ!$C$5:$C$1000,0)</f>
        <v>#N/A</v>
      </c>
    </row>
    <row r="249" spans="1:2">
      <c r="A249">
        <v>248</v>
      </c>
      <c r="B249" t="e">
        <f>MATCH(C249,統合マスタ!$C$5:$C$1000,0)</f>
        <v>#N/A</v>
      </c>
    </row>
    <row r="250" spans="1:2">
      <c r="A250">
        <v>249</v>
      </c>
      <c r="B250" t="e">
        <f>MATCH(C250,統合マスタ!$C$5:$C$1000,0)</f>
        <v>#N/A</v>
      </c>
    </row>
    <row r="251" spans="1:2">
      <c r="A251">
        <v>250</v>
      </c>
      <c r="B251" t="e">
        <f>MATCH(C251,統合マスタ!$C$5:$C$1000,0)</f>
        <v>#N/A</v>
      </c>
    </row>
    <row r="252" spans="1:2">
      <c r="A252">
        <v>251</v>
      </c>
      <c r="B252" t="e">
        <f>MATCH(C252,統合マスタ!$C$5:$C$1000,0)</f>
        <v>#N/A</v>
      </c>
    </row>
    <row r="253" spans="1:2">
      <c r="A253">
        <v>252</v>
      </c>
      <c r="B253" t="e">
        <f>MATCH(C253,統合マスタ!$C$5:$C$1000,0)</f>
        <v>#N/A</v>
      </c>
    </row>
    <row r="254" spans="1:2">
      <c r="A254">
        <v>253</v>
      </c>
      <c r="B254" t="e">
        <f>MATCH(C254,統合マスタ!$C$5:$C$1000,0)</f>
        <v>#N/A</v>
      </c>
    </row>
    <row r="255" spans="1:2">
      <c r="A255">
        <v>254</v>
      </c>
      <c r="B255" t="e">
        <f>MATCH(C255,統合マスタ!$C$5:$C$1000,0)</f>
        <v>#N/A</v>
      </c>
    </row>
    <row r="256" spans="1:2">
      <c r="A256">
        <v>255</v>
      </c>
      <c r="B256" t="e">
        <f>MATCH(C256,統合マスタ!$C$5:$C$1000,0)</f>
        <v>#N/A</v>
      </c>
    </row>
    <row r="257" spans="1:2">
      <c r="A257">
        <v>256</v>
      </c>
      <c r="B257" t="e">
        <f>MATCH(C257,統合マスタ!$C$5:$C$1000,0)</f>
        <v>#N/A</v>
      </c>
    </row>
    <row r="258" spans="1:2">
      <c r="A258">
        <v>257</v>
      </c>
      <c r="B258" t="e">
        <f>MATCH(C258,統合マスタ!$C$5:$C$1000,0)</f>
        <v>#N/A</v>
      </c>
    </row>
    <row r="259" spans="1:2">
      <c r="A259">
        <v>258</v>
      </c>
      <c r="B259" t="e">
        <f>MATCH(C259,統合マスタ!$C$5:$C$1000,0)</f>
        <v>#N/A</v>
      </c>
    </row>
    <row r="260" spans="1:2">
      <c r="A260">
        <v>259</v>
      </c>
      <c r="B260" t="e">
        <f>MATCH(C260,統合マスタ!$C$5:$C$1000,0)</f>
        <v>#N/A</v>
      </c>
    </row>
    <row r="261" spans="1:2">
      <c r="A261">
        <v>260</v>
      </c>
      <c r="B261" t="e">
        <f>MATCH(C261,統合マスタ!$C$5:$C$1000,0)</f>
        <v>#N/A</v>
      </c>
    </row>
    <row r="262" spans="1:2">
      <c r="A262">
        <v>261</v>
      </c>
      <c r="B262" t="e">
        <f>MATCH(C262,統合マスタ!$C$5:$C$1000,0)</f>
        <v>#N/A</v>
      </c>
    </row>
    <row r="263" spans="1:2">
      <c r="A263">
        <v>262</v>
      </c>
      <c r="B263" t="e">
        <f>MATCH(C263,統合マスタ!$C$5:$C$1000,0)</f>
        <v>#N/A</v>
      </c>
    </row>
    <row r="264" spans="1:2">
      <c r="A264">
        <v>263</v>
      </c>
      <c r="B264" t="e">
        <f>MATCH(C264,統合マスタ!$C$5:$C$1000,0)</f>
        <v>#N/A</v>
      </c>
    </row>
    <row r="265" spans="1:2">
      <c r="A265">
        <v>264</v>
      </c>
      <c r="B265" t="e">
        <f>MATCH(C265,統合マスタ!$C$5:$C$1000,0)</f>
        <v>#N/A</v>
      </c>
    </row>
    <row r="266" spans="1:2">
      <c r="A266">
        <v>265</v>
      </c>
      <c r="B266" t="e">
        <f>MATCH(C266,統合マスタ!$C$5:$C$1000,0)</f>
        <v>#N/A</v>
      </c>
    </row>
    <row r="267" spans="1:2">
      <c r="A267">
        <v>266</v>
      </c>
      <c r="B267" t="e">
        <f>MATCH(C267,統合マスタ!$C$5:$C$1000,0)</f>
        <v>#N/A</v>
      </c>
    </row>
    <row r="268" spans="1:2">
      <c r="A268">
        <v>267</v>
      </c>
      <c r="B268" t="e">
        <f>MATCH(C268,統合マスタ!$C$5:$C$1000,0)</f>
        <v>#N/A</v>
      </c>
    </row>
    <row r="269" spans="1:2">
      <c r="A269">
        <v>268</v>
      </c>
      <c r="B269" t="e">
        <f>MATCH(C269,統合マスタ!$C$5:$C$1000,0)</f>
        <v>#N/A</v>
      </c>
    </row>
    <row r="270" spans="1:2">
      <c r="A270">
        <v>269</v>
      </c>
      <c r="B270" t="e">
        <f>MATCH(C270,統合マスタ!$C$5:$C$1000,0)</f>
        <v>#N/A</v>
      </c>
    </row>
    <row r="271" spans="1:2">
      <c r="A271">
        <v>270</v>
      </c>
      <c r="B271" t="e">
        <f>MATCH(C271,統合マスタ!$C$5:$C$1000,0)</f>
        <v>#N/A</v>
      </c>
    </row>
    <row r="272" spans="1:2">
      <c r="A272">
        <v>271</v>
      </c>
      <c r="B272" t="e">
        <f>MATCH(C272,統合マスタ!$C$5:$C$1000,0)</f>
        <v>#N/A</v>
      </c>
    </row>
    <row r="273" spans="1:2">
      <c r="A273">
        <v>272</v>
      </c>
      <c r="B273" t="e">
        <f>MATCH(C273,統合マスタ!$C$5:$C$1000,0)</f>
        <v>#N/A</v>
      </c>
    </row>
    <row r="274" spans="1:2">
      <c r="A274">
        <v>273</v>
      </c>
      <c r="B274" t="e">
        <f>MATCH(C274,統合マスタ!$C$5:$C$1000,0)</f>
        <v>#N/A</v>
      </c>
    </row>
    <row r="275" spans="1:2">
      <c r="A275">
        <v>274</v>
      </c>
      <c r="B275" t="e">
        <f>MATCH(C275,統合マスタ!$C$5:$C$1000,0)</f>
        <v>#N/A</v>
      </c>
    </row>
    <row r="276" spans="1:2">
      <c r="A276">
        <v>275</v>
      </c>
      <c r="B276" t="e">
        <f>MATCH(C276,統合マスタ!$C$5:$C$1000,0)</f>
        <v>#N/A</v>
      </c>
    </row>
    <row r="277" spans="1:2">
      <c r="A277">
        <v>276</v>
      </c>
      <c r="B277" t="e">
        <f>MATCH(C277,統合マスタ!$C$5:$C$1000,0)</f>
        <v>#N/A</v>
      </c>
    </row>
    <row r="278" spans="1:2">
      <c r="A278">
        <v>277</v>
      </c>
      <c r="B278" t="e">
        <f>MATCH(C278,統合マスタ!$C$5:$C$1000,0)</f>
        <v>#N/A</v>
      </c>
    </row>
    <row r="279" spans="1:2">
      <c r="A279">
        <v>278</v>
      </c>
      <c r="B279" t="e">
        <f>MATCH(C279,統合マスタ!$C$5:$C$1000,0)</f>
        <v>#N/A</v>
      </c>
    </row>
    <row r="280" spans="1:2">
      <c r="A280">
        <v>279</v>
      </c>
      <c r="B280" t="e">
        <f>MATCH(C280,統合マスタ!$C$5:$C$1000,0)</f>
        <v>#N/A</v>
      </c>
    </row>
    <row r="281" spans="1:2">
      <c r="A281">
        <v>280</v>
      </c>
      <c r="B281" t="e">
        <f>MATCH(C281,統合マスタ!$C$5:$C$1000,0)</f>
        <v>#N/A</v>
      </c>
    </row>
    <row r="282" spans="1:2">
      <c r="A282">
        <v>281</v>
      </c>
      <c r="B282" t="e">
        <f>MATCH(C282,統合マスタ!$C$5:$C$1000,0)</f>
        <v>#N/A</v>
      </c>
    </row>
    <row r="283" spans="1:2">
      <c r="A283">
        <v>282</v>
      </c>
      <c r="B283" t="e">
        <f>MATCH(C283,統合マスタ!$C$5:$C$1000,0)</f>
        <v>#N/A</v>
      </c>
    </row>
    <row r="284" spans="1:2">
      <c r="A284">
        <v>283</v>
      </c>
      <c r="B284" t="e">
        <f>MATCH(C284,統合マスタ!$C$5:$C$1000,0)</f>
        <v>#N/A</v>
      </c>
    </row>
    <row r="285" spans="1:2">
      <c r="A285">
        <v>284</v>
      </c>
      <c r="B285" t="e">
        <f>MATCH(C285,統合マスタ!$C$5:$C$1000,0)</f>
        <v>#N/A</v>
      </c>
    </row>
    <row r="286" spans="1:2">
      <c r="A286">
        <v>285</v>
      </c>
      <c r="B286" t="e">
        <f>MATCH(C286,統合マスタ!$C$5:$C$1000,0)</f>
        <v>#N/A</v>
      </c>
    </row>
    <row r="287" spans="1:2">
      <c r="A287">
        <v>286</v>
      </c>
      <c r="B287" t="e">
        <f>MATCH(C287,統合マスタ!$C$5:$C$1000,0)</f>
        <v>#N/A</v>
      </c>
    </row>
    <row r="288" spans="1:2">
      <c r="A288">
        <v>287</v>
      </c>
      <c r="B288" t="e">
        <f>MATCH(C288,統合マスタ!$C$5:$C$1000,0)</f>
        <v>#N/A</v>
      </c>
    </row>
    <row r="289" spans="1:2">
      <c r="A289">
        <v>288</v>
      </c>
      <c r="B289" t="e">
        <f>MATCH(C289,統合マスタ!$C$5:$C$1000,0)</f>
        <v>#N/A</v>
      </c>
    </row>
    <row r="290" spans="1:2">
      <c r="A290">
        <v>289</v>
      </c>
      <c r="B290" t="e">
        <f>MATCH(C290,統合マスタ!$C$5:$C$1000,0)</f>
        <v>#N/A</v>
      </c>
    </row>
    <row r="291" spans="1:2">
      <c r="A291">
        <v>290</v>
      </c>
      <c r="B291" t="e">
        <f>MATCH(C291,統合マスタ!$C$5:$C$1000,0)</f>
        <v>#N/A</v>
      </c>
    </row>
    <row r="292" spans="1:2">
      <c r="A292">
        <v>291</v>
      </c>
      <c r="B292" t="e">
        <f>MATCH(C292,統合マスタ!$C$5:$C$1000,0)</f>
        <v>#N/A</v>
      </c>
    </row>
    <row r="293" spans="1:2">
      <c r="A293">
        <v>292</v>
      </c>
      <c r="B293" t="e">
        <f>MATCH(C293,統合マスタ!$C$5:$C$1000,0)</f>
        <v>#N/A</v>
      </c>
    </row>
    <row r="294" spans="1:2">
      <c r="A294">
        <v>293</v>
      </c>
      <c r="B294" t="e">
        <f>MATCH(C294,統合マスタ!$C$5:$C$1000,0)</f>
        <v>#N/A</v>
      </c>
    </row>
    <row r="295" spans="1:2">
      <c r="A295">
        <v>294</v>
      </c>
      <c r="B295" t="e">
        <f>MATCH(C295,統合マスタ!$C$5:$C$1000,0)</f>
        <v>#N/A</v>
      </c>
    </row>
    <row r="296" spans="1:2">
      <c r="A296">
        <v>295</v>
      </c>
      <c r="B296" t="e">
        <f>MATCH(C296,統合マスタ!$C$5:$C$1000,0)</f>
        <v>#N/A</v>
      </c>
    </row>
    <row r="297" spans="1:2">
      <c r="A297">
        <v>296</v>
      </c>
      <c r="B297" t="e">
        <f>MATCH(C297,統合マスタ!$C$5:$C$1000,0)</f>
        <v>#N/A</v>
      </c>
    </row>
    <row r="298" spans="1:2">
      <c r="A298">
        <v>297</v>
      </c>
      <c r="B298" t="e">
        <f>MATCH(C298,統合マスタ!$C$5:$C$1000,0)</f>
        <v>#N/A</v>
      </c>
    </row>
    <row r="299" spans="1:2">
      <c r="A299">
        <v>298</v>
      </c>
      <c r="B299" t="e">
        <f>MATCH(C299,統合マスタ!$C$5:$C$1000,0)</f>
        <v>#N/A</v>
      </c>
    </row>
    <row r="300" spans="1:2">
      <c r="A300">
        <v>299</v>
      </c>
      <c r="B300" t="e">
        <f>MATCH(C300,統合マスタ!$C$5:$C$1000,0)</f>
        <v>#N/A</v>
      </c>
    </row>
    <row r="301" spans="1:2">
      <c r="A301">
        <v>300</v>
      </c>
      <c r="B301" t="e">
        <f>MATCH(C301,統合マスタ!$C$5:$C$1000,0)</f>
        <v>#N/A</v>
      </c>
    </row>
    <row r="302" spans="1:2">
      <c r="A302">
        <v>301</v>
      </c>
      <c r="B302" t="e">
        <f>MATCH(C302,統合マスタ!$C$5:$C$1000,0)</f>
        <v>#N/A</v>
      </c>
    </row>
    <row r="303" spans="1:2">
      <c r="A303">
        <v>302</v>
      </c>
      <c r="B303" t="e">
        <f>MATCH(C303,統合マスタ!$C$5:$C$1000,0)</f>
        <v>#N/A</v>
      </c>
    </row>
    <row r="304" spans="1:2">
      <c r="A304">
        <v>303</v>
      </c>
      <c r="B304" t="e">
        <f>MATCH(C304,統合マスタ!$C$5:$C$1000,0)</f>
        <v>#N/A</v>
      </c>
    </row>
    <row r="305" spans="1:2">
      <c r="A305">
        <v>304</v>
      </c>
      <c r="B305" t="e">
        <f>MATCH(C305,統合マスタ!$C$5:$C$1000,0)</f>
        <v>#N/A</v>
      </c>
    </row>
    <row r="306" spans="1:2">
      <c r="A306">
        <v>305</v>
      </c>
      <c r="B306" t="e">
        <f>MATCH(C306,統合マスタ!$C$5:$C$1000,0)</f>
        <v>#N/A</v>
      </c>
    </row>
    <row r="307" spans="1:2">
      <c r="A307">
        <v>306</v>
      </c>
      <c r="B307" t="e">
        <f>MATCH(C307,統合マスタ!$C$5:$C$1000,0)</f>
        <v>#N/A</v>
      </c>
    </row>
    <row r="308" spans="1:2">
      <c r="A308">
        <v>307</v>
      </c>
      <c r="B308" t="e">
        <f>MATCH(C308,統合マスタ!$C$5:$C$1000,0)</f>
        <v>#N/A</v>
      </c>
    </row>
    <row r="309" spans="1:2">
      <c r="A309">
        <v>308</v>
      </c>
      <c r="B309" t="e">
        <f>MATCH(C309,統合マスタ!$C$5:$C$1000,0)</f>
        <v>#N/A</v>
      </c>
    </row>
    <row r="310" spans="1:2">
      <c r="A310">
        <v>309</v>
      </c>
      <c r="B310" t="e">
        <f>MATCH(C310,統合マスタ!$C$5:$C$1000,0)</f>
        <v>#N/A</v>
      </c>
    </row>
    <row r="311" spans="1:2">
      <c r="A311">
        <v>310</v>
      </c>
      <c r="B311" t="e">
        <f>MATCH(C311,統合マスタ!$C$5:$C$1000,0)</f>
        <v>#N/A</v>
      </c>
    </row>
    <row r="312" spans="1:2">
      <c r="A312">
        <v>311</v>
      </c>
      <c r="B312" t="e">
        <f>MATCH(C312,統合マスタ!$C$5:$C$1000,0)</f>
        <v>#N/A</v>
      </c>
    </row>
    <row r="313" spans="1:2">
      <c r="A313">
        <v>312</v>
      </c>
      <c r="B313" t="e">
        <f>MATCH(C313,統合マスタ!$C$5:$C$1000,0)</f>
        <v>#N/A</v>
      </c>
    </row>
    <row r="314" spans="1:2">
      <c r="A314">
        <v>313</v>
      </c>
      <c r="B314" t="e">
        <f>MATCH(C314,統合マスタ!$C$5:$C$1000,0)</f>
        <v>#N/A</v>
      </c>
    </row>
    <row r="315" spans="1:2">
      <c r="A315">
        <v>314</v>
      </c>
      <c r="B315" t="e">
        <f>MATCH(C315,統合マスタ!$C$5:$C$1000,0)</f>
        <v>#N/A</v>
      </c>
    </row>
    <row r="316" spans="1:2">
      <c r="A316">
        <v>315</v>
      </c>
      <c r="B316" t="e">
        <f>MATCH(C316,統合マスタ!$C$5:$C$1000,0)</f>
        <v>#N/A</v>
      </c>
    </row>
    <row r="317" spans="1:2">
      <c r="A317">
        <v>316</v>
      </c>
      <c r="B317" t="e">
        <f>MATCH(C317,統合マスタ!$C$5:$C$1000,0)</f>
        <v>#N/A</v>
      </c>
    </row>
    <row r="318" spans="1:2">
      <c r="A318">
        <v>317</v>
      </c>
      <c r="B318" t="e">
        <f>MATCH(C318,統合マスタ!$C$5:$C$1000,0)</f>
        <v>#N/A</v>
      </c>
    </row>
    <row r="319" spans="1:2">
      <c r="A319">
        <v>318</v>
      </c>
      <c r="B319" t="e">
        <f>MATCH(C319,統合マスタ!$C$5:$C$1000,0)</f>
        <v>#N/A</v>
      </c>
    </row>
    <row r="320" spans="1:2">
      <c r="A320">
        <v>319</v>
      </c>
      <c r="B320" t="e">
        <f>MATCH(C320,統合マスタ!$C$5:$C$1000,0)</f>
        <v>#N/A</v>
      </c>
    </row>
    <row r="321" spans="1:2">
      <c r="A321">
        <v>320</v>
      </c>
      <c r="B321" t="e">
        <f>MATCH(C321,統合マスタ!$C$5:$C$1000,0)</f>
        <v>#N/A</v>
      </c>
    </row>
    <row r="322" spans="1:2">
      <c r="A322">
        <v>321</v>
      </c>
      <c r="B322" t="e">
        <f>MATCH(C322,統合マスタ!$C$5:$C$1000,0)</f>
        <v>#N/A</v>
      </c>
    </row>
    <row r="323" spans="1:2">
      <c r="A323">
        <v>322</v>
      </c>
      <c r="B323" t="e">
        <f>MATCH(C323,統合マスタ!$C$5:$C$1000,0)</f>
        <v>#N/A</v>
      </c>
    </row>
    <row r="324" spans="1:2">
      <c r="A324">
        <v>323</v>
      </c>
      <c r="B324" t="e">
        <f>MATCH(C324,統合マスタ!$C$5:$C$1000,0)</f>
        <v>#N/A</v>
      </c>
    </row>
    <row r="325" spans="1:2">
      <c r="A325">
        <v>324</v>
      </c>
      <c r="B325" t="e">
        <f>MATCH(C325,統合マスタ!$C$5:$C$1000,0)</f>
        <v>#N/A</v>
      </c>
    </row>
    <row r="326" spans="1:2">
      <c r="A326">
        <v>325</v>
      </c>
      <c r="B326" t="e">
        <f>MATCH(C326,統合マスタ!$C$5:$C$1000,0)</f>
        <v>#N/A</v>
      </c>
    </row>
    <row r="327" spans="1:2">
      <c r="A327">
        <v>326</v>
      </c>
      <c r="B327" t="e">
        <f>MATCH(C327,統合マスタ!$C$5:$C$1000,0)</f>
        <v>#N/A</v>
      </c>
    </row>
    <row r="328" spans="1:2">
      <c r="A328">
        <v>327</v>
      </c>
      <c r="B328" t="e">
        <f>MATCH(C328,統合マスタ!$C$5:$C$1000,0)</f>
        <v>#N/A</v>
      </c>
    </row>
    <row r="329" spans="1:2">
      <c r="A329">
        <v>328</v>
      </c>
      <c r="B329" t="e">
        <f>MATCH(C329,統合マスタ!$C$5:$C$1000,0)</f>
        <v>#N/A</v>
      </c>
    </row>
    <row r="330" spans="1:2">
      <c r="A330">
        <v>329</v>
      </c>
      <c r="B330" t="e">
        <f>MATCH(C330,統合マスタ!$C$5:$C$1000,0)</f>
        <v>#N/A</v>
      </c>
    </row>
    <row r="331" spans="1:2">
      <c r="A331">
        <v>330</v>
      </c>
      <c r="B331" t="e">
        <f>MATCH(C331,統合マスタ!$C$5:$C$1000,0)</f>
        <v>#N/A</v>
      </c>
    </row>
    <row r="332" spans="1:2">
      <c r="A332">
        <v>331</v>
      </c>
      <c r="B332" t="e">
        <f>MATCH(C332,統合マスタ!$C$5:$C$1000,0)</f>
        <v>#N/A</v>
      </c>
    </row>
    <row r="333" spans="1:2">
      <c r="A333">
        <v>332</v>
      </c>
      <c r="B333" t="e">
        <f>MATCH(C333,統合マスタ!$C$5:$C$1000,0)</f>
        <v>#N/A</v>
      </c>
    </row>
    <row r="334" spans="1:2">
      <c r="A334">
        <v>333</v>
      </c>
      <c r="B334" t="e">
        <f>MATCH(C334,統合マスタ!$C$5:$C$1000,0)</f>
        <v>#N/A</v>
      </c>
    </row>
    <row r="335" spans="1:2">
      <c r="A335">
        <v>334</v>
      </c>
      <c r="B335" t="e">
        <f>MATCH(C335,統合マスタ!$C$5:$C$1000,0)</f>
        <v>#N/A</v>
      </c>
    </row>
    <row r="336" spans="1:2">
      <c r="A336">
        <v>335</v>
      </c>
      <c r="B336" t="e">
        <f>MATCH(C336,統合マスタ!$C$5:$C$1000,0)</f>
        <v>#N/A</v>
      </c>
    </row>
    <row r="337" spans="1:2">
      <c r="A337">
        <v>336</v>
      </c>
      <c r="B337" t="e">
        <f>MATCH(C337,統合マスタ!$C$5:$C$1000,0)</f>
        <v>#N/A</v>
      </c>
    </row>
    <row r="338" spans="1:2">
      <c r="A338">
        <v>337</v>
      </c>
      <c r="B338" t="e">
        <f>MATCH(C338,統合マスタ!$C$5:$C$1000,0)</f>
        <v>#N/A</v>
      </c>
    </row>
    <row r="339" spans="1:2">
      <c r="A339">
        <v>338</v>
      </c>
      <c r="B339" t="e">
        <f>MATCH(C339,統合マスタ!$C$5:$C$1000,0)</f>
        <v>#N/A</v>
      </c>
    </row>
    <row r="340" spans="1:2">
      <c r="A340">
        <v>339</v>
      </c>
      <c r="B340" t="e">
        <f>MATCH(C340,統合マスタ!$C$5:$C$1000,0)</f>
        <v>#N/A</v>
      </c>
    </row>
    <row r="341" spans="1:2">
      <c r="A341">
        <v>340</v>
      </c>
      <c r="B341" t="e">
        <f>MATCH(C341,統合マスタ!$C$5:$C$1000,0)</f>
        <v>#N/A</v>
      </c>
    </row>
    <row r="342" spans="1:2">
      <c r="A342">
        <v>341</v>
      </c>
      <c r="B342" t="e">
        <f>MATCH(C342,統合マスタ!$C$5:$C$1000,0)</f>
        <v>#N/A</v>
      </c>
    </row>
    <row r="343" spans="1:2">
      <c r="A343">
        <v>342</v>
      </c>
      <c r="B343" t="e">
        <f>MATCH(C343,統合マスタ!$C$5:$C$1000,0)</f>
        <v>#N/A</v>
      </c>
    </row>
    <row r="344" spans="1:2">
      <c r="A344">
        <v>343</v>
      </c>
      <c r="B344" t="e">
        <f>MATCH(C344,統合マスタ!$C$5:$C$1000,0)</f>
        <v>#N/A</v>
      </c>
    </row>
    <row r="345" spans="1:2">
      <c r="A345">
        <v>344</v>
      </c>
      <c r="B345" t="e">
        <f>MATCH(C345,統合マスタ!$C$5:$C$1000,0)</f>
        <v>#N/A</v>
      </c>
    </row>
    <row r="346" spans="1:2">
      <c r="A346">
        <v>345</v>
      </c>
      <c r="B346" t="e">
        <f>MATCH(C346,統合マスタ!$C$5:$C$1000,0)</f>
        <v>#N/A</v>
      </c>
    </row>
    <row r="347" spans="1:2">
      <c r="A347">
        <v>346</v>
      </c>
      <c r="B347" t="e">
        <f>MATCH(C347,統合マスタ!$C$5:$C$1000,0)</f>
        <v>#N/A</v>
      </c>
    </row>
    <row r="348" spans="1:2">
      <c r="A348">
        <v>347</v>
      </c>
      <c r="B348" t="e">
        <f>MATCH(C348,統合マスタ!$C$5:$C$1000,0)</f>
        <v>#N/A</v>
      </c>
    </row>
    <row r="349" spans="1:2">
      <c r="A349">
        <v>348</v>
      </c>
      <c r="B349" t="e">
        <f>MATCH(C349,統合マスタ!$C$5:$C$1000,0)</f>
        <v>#N/A</v>
      </c>
    </row>
    <row r="350" spans="1:2">
      <c r="A350">
        <v>349</v>
      </c>
      <c r="B350" t="e">
        <f>MATCH(C350,統合マスタ!$C$5:$C$1000,0)</f>
        <v>#N/A</v>
      </c>
    </row>
    <row r="351" spans="1:2">
      <c r="A351">
        <v>350</v>
      </c>
      <c r="B351" t="e">
        <f>MATCH(C351,統合マスタ!$C$5:$C$1000,0)</f>
        <v>#N/A</v>
      </c>
    </row>
    <row r="352" spans="1:2">
      <c r="A352">
        <v>351</v>
      </c>
      <c r="B352" t="e">
        <f>MATCH(C352,統合マスタ!$C$5:$C$1000,0)</f>
        <v>#N/A</v>
      </c>
    </row>
    <row r="353" spans="1:2">
      <c r="A353">
        <v>352</v>
      </c>
      <c r="B353" t="e">
        <f>MATCH(C353,統合マスタ!$C$5:$C$1000,0)</f>
        <v>#N/A</v>
      </c>
    </row>
    <row r="354" spans="1:2">
      <c r="A354">
        <v>353</v>
      </c>
      <c r="B354" t="e">
        <f>MATCH(C354,統合マスタ!$C$5:$C$1000,0)</f>
        <v>#N/A</v>
      </c>
    </row>
    <row r="355" spans="1:2">
      <c r="A355">
        <v>354</v>
      </c>
      <c r="B355" t="e">
        <f>MATCH(C355,統合マスタ!$C$5:$C$1000,0)</f>
        <v>#N/A</v>
      </c>
    </row>
    <row r="356" spans="1:2">
      <c r="A356">
        <v>355</v>
      </c>
      <c r="B356" t="e">
        <f>MATCH(C356,統合マスタ!$C$5:$C$1000,0)</f>
        <v>#N/A</v>
      </c>
    </row>
    <row r="357" spans="1:2">
      <c r="A357">
        <v>356</v>
      </c>
      <c r="B357" t="e">
        <f>MATCH(C357,統合マスタ!$C$5:$C$1000,0)</f>
        <v>#N/A</v>
      </c>
    </row>
    <row r="358" spans="1:2">
      <c r="A358">
        <v>357</v>
      </c>
      <c r="B358" t="e">
        <f>MATCH(C358,統合マスタ!$C$5:$C$1000,0)</f>
        <v>#N/A</v>
      </c>
    </row>
    <row r="359" spans="1:2">
      <c r="A359">
        <v>358</v>
      </c>
      <c r="B359" t="e">
        <f>MATCH(C359,統合マスタ!$C$5:$C$1000,0)</f>
        <v>#N/A</v>
      </c>
    </row>
    <row r="360" spans="1:2">
      <c r="A360">
        <v>359</v>
      </c>
      <c r="B360" t="e">
        <f>MATCH(C360,統合マスタ!$C$5:$C$1000,0)</f>
        <v>#N/A</v>
      </c>
    </row>
    <row r="361" spans="1:2">
      <c r="A361">
        <v>360</v>
      </c>
      <c r="B361" t="e">
        <f>MATCH(C361,統合マスタ!$C$5:$C$1000,0)</f>
        <v>#N/A</v>
      </c>
    </row>
    <row r="362" spans="1:2">
      <c r="A362">
        <v>361</v>
      </c>
      <c r="B362" t="e">
        <f>MATCH(C362,統合マスタ!$C$5:$C$1000,0)</f>
        <v>#N/A</v>
      </c>
    </row>
    <row r="363" spans="1:2">
      <c r="A363">
        <v>362</v>
      </c>
      <c r="B363" t="e">
        <f>MATCH(C363,統合マスタ!$C$5:$C$1000,0)</f>
        <v>#N/A</v>
      </c>
    </row>
    <row r="364" spans="1:2">
      <c r="A364">
        <v>363</v>
      </c>
      <c r="B364" t="e">
        <f>MATCH(C364,統合マスタ!$C$5:$C$1000,0)</f>
        <v>#N/A</v>
      </c>
    </row>
    <row r="365" spans="1:2">
      <c r="A365">
        <v>364</v>
      </c>
      <c r="B365" t="e">
        <f>MATCH(C365,統合マスタ!$C$5:$C$1000,0)</f>
        <v>#N/A</v>
      </c>
    </row>
    <row r="366" spans="1:2">
      <c r="A366">
        <v>365</v>
      </c>
      <c r="B366" t="e">
        <f>MATCH(C366,統合マスタ!$C$5:$C$1000,0)</f>
        <v>#N/A</v>
      </c>
    </row>
    <row r="367" spans="1:2">
      <c r="A367">
        <v>366</v>
      </c>
      <c r="B367" t="e">
        <f>MATCH(C367,統合マスタ!$C$5:$C$1000,0)</f>
        <v>#N/A</v>
      </c>
    </row>
    <row r="368" spans="1:2">
      <c r="A368">
        <v>367</v>
      </c>
      <c r="B368" t="e">
        <f>MATCH(C368,統合マスタ!$C$5:$C$1000,0)</f>
        <v>#N/A</v>
      </c>
    </row>
    <row r="369" spans="1:2">
      <c r="A369">
        <v>368</v>
      </c>
      <c r="B369" t="e">
        <f>MATCH(C369,統合マスタ!$C$5:$C$1000,0)</f>
        <v>#N/A</v>
      </c>
    </row>
    <row r="370" spans="1:2">
      <c r="A370">
        <v>369</v>
      </c>
      <c r="B370" t="e">
        <f>MATCH(C370,統合マスタ!$C$5:$C$1000,0)</f>
        <v>#N/A</v>
      </c>
    </row>
    <row r="371" spans="1:2">
      <c r="A371">
        <v>370</v>
      </c>
      <c r="B371" t="e">
        <f>MATCH(C371,統合マスタ!$C$5:$C$1000,0)</f>
        <v>#N/A</v>
      </c>
    </row>
    <row r="372" spans="1:2">
      <c r="A372">
        <v>371</v>
      </c>
      <c r="B372" t="e">
        <f>MATCH(C372,統合マスタ!$C$5:$C$1000,0)</f>
        <v>#N/A</v>
      </c>
    </row>
    <row r="373" spans="1:2">
      <c r="A373">
        <v>372</v>
      </c>
      <c r="B373" t="e">
        <f>MATCH(C373,統合マスタ!$C$5:$C$1000,0)</f>
        <v>#N/A</v>
      </c>
    </row>
    <row r="374" spans="1:2">
      <c r="A374">
        <v>373</v>
      </c>
      <c r="B374" t="e">
        <f>MATCH(C374,統合マスタ!$C$5:$C$1000,0)</f>
        <v>#N/A</v>
      </c>
    </row>
    <row r="375" spans="1:2">
      <c r="A375">
        <v>374</v>
      </c>
      <c r="B375" t="e">
        <f>MATCH(C375,統合マスタ!$C$5:$C$1000,0)</f>
        <v>#N/A</v>
      </c>
    </row>
    <row r="376" spans="1:2">
      <c r="A376">
        <v>375</v>
      </c>
      <c r="B376" t="e">
        <f>MATCH(C376,統合マスタ!$C$5:$C$1000,0)</f>
        <v>#N/A</v>
      </c>
    </row>
    <row r="377" spans="1:2">
      <c r="A377">
        <v>376</v>
      </c>
      <c r="B377" t="e">
        <f>MATCH(C377,統合マスタ!$C$5:$C$1000,0)</f>
        <v>#N/A</v>
      </c>
    </row>
    <row r="378" spans="1:2">
      <c r="A378">
        <v>377</v>
      </c>
      <c r="B378" t="e">
        <f>MATCH(C378,統合マスタ!$C$5:$C$1000,0)</f>
        <v>#N/A</v>
      </c>
    </row>
    <row r="379" spans="1:2">
      <c r="A379">
        <v>378</v>
      </c>
      <c r="B379" t="e">
        <f>MATCH(C379,統合マスタ!$C$5:$C$1000,0)</f>
        <v>#N/A</v>
      </c>
    </row>
    <row r="380" spans="1:2">
      <c r="A380">
        <v>379</v>
      </c>
      <c r="B380" t="e">
        <f>MATCH(C380,統合マスタ!$C$5:$C$1000,0)</f>
        <v>#N/A</v>
      </c>
    </row>
    <row r="381" spans="1:2">
      <c r="A381">
        <v>380</v>
      </c>
      <c r="B381" t="e">
        <f>MATCH(C381,統合マスタ!$C$5:$C$1000,0)</f>
        <v>#N/A</v>
      </c>
    </row>
    <row r="382" spans="1:2">
      <c r="A382">
        <v>381</v>
      </c>
      <c r="B382" t="e">
        <f>MATCH(C382,統合マスタ!$C$5:$C$1000,0)</f>
        <v>#N/A</v>
      </c>
    </row>
    <row r="383" spans="1:2">
      <c r="A383">
        <v>382</v>
      </c>
      <c r="B383" t="e">
        <f>MATCH(C383,統合マスタ!$C$5:$C$1000,0)</f>
        <v>#N/A</v>
      </c>
    </row>
    <row r="384" spans="1:2">
      <c r="A384">
        <v>383</v>
      </c>
      <c r="B384" t="e">
        <f>MATCH(C384,統合マスタ!$C$5:$C$1000,0)</f>
        <v>#N/A</v>
      </c>
    </row>
    <row r="385" spans="1:2">
      <c r="A385">
        <v>384</v>
      </c>
      <c r="B385" t="e">
        <f>MATCH(C385,統合マスタ!$C$5:$C$1000,0)</f>
        <v>#N/A</v>
      </c>
    </row>
    <row r="386" spans="1:2">
      <c r="A386">
        <v>385</v>
      </c>
      <c r="B386" t="e">
        <f>MATCH(C386,統合マスタ!$C$5:$C$1000,0)</f>
        <v>#N/A</v>
      </c>
    </row>
    <row r="387" spans="1:2">
      <c r="A387">
        <v>386</v>
      </c>
      <c r="B387" t="e">
        <f>MATCH(C387,統合マスタ!$C$5:$C$1000,0)</f>
        <v>#N/A</v>
      </c>
    </row>
    <row r="388" spans="1:2">
      <c r="A388">
        <v>387</v>
      </c>
      <c r="B388" t="e">
        <f>MATCH(C388,統合マスタ!$C$5:$C$1000,0)</f>
        <v>#N/A</v>
      </c>
    </row>
    <row r="389" spans="1:2">
      <c r="A389">
        <v>388</v>
      </c>
      <c r="B389" t="e">
        <f>MATCH(C389,統合マスタ!$C$5:$C$1000,0)</f>
        <v>#N/A</v>
      </c>
    </row>
    <row r="390" spans="1:2">
      <c r="A390">
        <v>389</v>
      </c>
      <c r="B390" t="e">
        <f>MATCH(C390,統合マスタ!$C$5:$C$1000,0)</f>
        <v>#N/A</v>
      </c>
    </row>
    <row r="391" spans="1:2">
      <c r="A391">
        <v>390</v>
      </c>
      <c r="B391" t="e">
        <f>MATCH(C391,統合マスタ!$C$5:$C$1000,0)</f>
        <v>#N/A</v>
      </c>
    </row>
    <row r="392" spans="1:2">
      <c r="A392">
        <v>391</v>
      </c>
      <c r="B392" t="e">
        <f>MATCH(C392,統合マスタ!$C$5:$C$1000,0)</f>
        <v>#N/A</v>
      </c>
    </row>
    <row r="393" spans="1:2">
      <c r="A393">
        <v>392</v>
      </c>
      <c r="B393" t="e">
        <f>MATCH(C393,統合マスタ!$C$5:$C$1000,0)</f>
        <v>#N/A</v>
      </c>
    </row>
    <row r="394" spans="1:2">
      <c r="A394">
        <v>393</v>
      </c>
      <c r="B394" t="e">
        <f>MATCH(C394,統合マスタ!$C$5:$C$1000,0)</f>
        <v>#N/A</v>
      </c>
    </row>
    <row r="395" spans="1:2">
      <c r="A395">
        <v>394</v>
      </c>
      <c r="B395" t="e">
        <f>MATCH(C395,統合マスタ!$C$5:$C$1000,0)</f>
        <v>#N/A</v>
      </c>
    </row>
    <row r="396" spans="1:2">
      <c r="A396">
        <v>395</v>
      </c>
      <c r="B396" t="e">
        <f>MATCH(C396,統合マスタ!$C$5:$C$1000,0)</f>
        <v>#N/A</v>
      </c>
    </row>
    <row r="397" spans="1:2">
      <c r="A397">
        <v>396</v>
      </c>
      <c r="B397" t="e">
        <f>MATCH(C397,統合マスタ!$C$5:$C$1000,0)</f>
        <v>#N/A</v>
      </c>
    </row>
    <row r="398" spans="1:2">
      <c r="A398">
        <v>397</v>
      </c>
      <c r="B398" t="e">
        <f>MATCH(C398,統合マスタ!$C$5:$C$1000,0)</f>
        <v>#N/A</v>
      </c>
    </row>
    <row r="399" spans="1:2">
      <c r="A399">
        <v>398</v>
      </c>
      <c r="B399" t="e">
        <f>MATCH(C399,統合マスタ!$C$5:$C$1000,0)</f>
        <v>#N/A</v>
      </c>
    </row>
    <row r="400" spans="1:2">
      <c r="A400">
        <v>399</v>
      </c>
      <c r="B400" t="e">
        <f>MATCH(C400,統合マスタ!$C$5:$C$1000,0)</f>
        <v>#N/A</v>
      </c>
    </row>
    <row r="401" spans="1:2">
      <c r="A401">
        <v>400</v>
      </c>
      <c r="B401" t="e">
        <f>MATCH(C401,統合マスタ!$C$5:$C$1000,0)</f>
        <v>#N/A</v>
      </c>
    </row>
    <row r="402" spans="1:2">
      <c r="A402">
        <v>401</v>
      </c>
      <c r="B402" t="e">
        <f>MATCH(C402,統合マスタ!$C$5:$C$1000,0)</f>
        <v>#N/A</v>
      </c>
    </row>
    <row r="403" spans="1:2">
      <c r="A403">
        <v>402</v>
      </c>
      <c r="B403" t="e">
        <f>MATCH(C403,統合マスタ!$C$5:$C$1000,0)</f>
        <v>#N/A</v>
      </c>
    </row>
    <row r="404" spans="1:2">
      <c r="A404">
        <v>403</v>
      </c>
      <c r="B404" t="e">
        <f>MATCH(C404,統合マスタ!$C$5:$C$1000,0)</f>
        <v>#N/A</v>
      </c>
    </row>
    <row r="405" spans="1:2">
      <c r="A405">
        <v>404</v>
      </c>
      <c r="B405" t="e">
        <f>MATCH(C405,統合マスタ!$C$5:$C$1000,0)</f>
        <v>#N/A</v>
      </c>
    </row>
    <row r="406" spans="1:2">
      <c r="A406">
        <v>405</v>
      </c>
      <c r="B406" t="e">
        <f>MATCH(C406,統合マスタ!$C$5:$C$1000,0)</f>
        <v>#N/A</v>
      </c>
    </row>
    <row r="407" spans="1:2">
      <c r="A407">
        <v>406</v>
      </c>
      <c r="B407" t="e">
        <f>MATCH(C407,統合マスタ!$C$5:$C$1000,0)</f>
        <v>#N/A</v>
      </c>
    </row>
    <row r="408" spans="1:2">
      <c r="A408">
        <v>407</v>
      </c>
      <c r="B408" t="e">
        <f>MATCH(C408,統合マスタ!$C$5:$C$1000,0)</f>
        <v>#N/A</v>
      </c>
    </row>
    <row r="409" spans="1:2">
      <c r="A409">
        <v>408</v>
      </c>
      <c r="B409" t="e">
        <f>MATCH(C409,統合マスタ!$C$5:$C$1000,0)</f>
        <v>#N/A</v>
      </c>
    </row>
    <row r="410" spans="1:2">
      <c r="A410">
        <v>409</v>
      </c>
      <c r="B410" t="e">
        <f>MATCH(C410,統合マスタ!$C$5:$C$1000,0)</f>
        <v>#N/A</v>
      </c>
    </row>
    <row r="411" spans="1:2">
      <c r="A411">
        <v>410</v>
      </c>
      <c r="B411" t="e">
        <f>MATCH(C411,統合マスタ!$C$5:$C$1000,0)</f>
        <v>#N/A</v>
      </c>
    </row>
    <row r="412" spans="1:2">
      <c r="A412">
        <v>411</v>
      </c>
      <c r="B412" t="e">
        <f>MATCH(C412,統合マスタ!$C$5:$C$1000,0)</f>
        <v>#N/A</v>
      </c>
    </row>
    <row r="413" spans="1:2">
      <c r="A413">
        <v>412</v>
      </c>
      <c r="B413" t="e">
        <f>MATCH(C413,統合マスタ!$C$5:$C$1000,0)</f>
        <v>#N/A</v>
      </c>
    </row>
    <row r="414" spans="1:2">
      <c r="A414">
        <v>413</v>
      </c>
      <c r="B414" t="e">
        <f>MATCH(C414,統合マスタ!$C$5:$C$1000,0)</f>
        <v>#N/A</v>
      </c>
    </row>
    <row r="415" spans="1:2">
      <c r="A415">
        <v>414</v>
      </c>
      <c r="B415" t="e">
        <f>MATCH(C415,統合マスタ!$C$5:$C$1000,0)</f>
        <v>#N/A</v>
      </c>
    </row>
    <row r="416" spans="1:2">
      <c r="A416">
        <v>415</v>
      </c>
      <c r="B416" t="e">
        <f>MATCH(C416,統合マスタ!$C$5:$C$1000,0)</f>
        <v>#N/A</v>
      </c>
    </row>
    <row r="417" spans="1:2">
      <c r="A417">
        <v>416</v>
      </c>
      <c r="B417" t="e">
        <f>MATCH(C417,統合マスタ!$C$5:$C$1000,0)</f>
        <v>#N/A</v>
      </c>
    </row>
    <row r="418" spans="1:2">
      <c r="A418">
        <v>417</v>
      </c>
      <c r="B418" t="e">
        <f>MATCH(C418,統合マスタ!$C$5:$C$1000,0)</f>
        <v>#N/A</v>
      </c>
    </row>
    <row r="419" spans="1:2">
      <c r="A419">
        <v>418</v>
      </c>
      <c r="B419" t="e">
        <f>MATCH(C419,統合マスタ!$C$5:$C$1000,0)</f>
        <v>#N/A</v>
      </c>
    </row>
    <row r="420" spans="1:2">
      <c r="A420">
        <v>419</v>
      </c>
      <c r="B420" t="e">
        <f>MATCH(C420,統合マスタ!$C$5:$C$1000,0)</f>
        <v>#N/A</v>
      </c>
    </row>
    <row r="421" spans="1:2">
      <c r="A421">
        <v>420</v>
      </c>
      <c r="B421" t="e">
        <f>MATCH(C421,統合マスタ!$C$5:$C$1000,0)</f>
        <v>#N/A</v>
      </c>
    </row>
    <row r="422" spans="1:2">
      <c r="A422">
        <v>421</v>
      </c>
      <c r="B422" t="e">
        <f>MATCH(C422,統合マスタ!$C$5:$C$1000,0)</f>
        <v>#N/A</v>
      </c>
    </row>
    <row r="423" spans="1:2">
      <c r="A423">
        <v>422</v>
      </c>
      <c r="B423" t="e">
        <f>MATCH(C423,統合マスタ!$C$5:$C$1000,0)</f>
        <v>#N/A</v>
      </c>
    </row>
    <row r="424" spans="1:2">
      <c r="A424">
        <v>423</v>
      </c>
      <c r="B424" t="e">
        <f>MATCH(C424,統合マスタ!$C$5:$C$1000,0)</f>
        <v>#N/A</v>
      </c>
    </row>
    <row r="425" spans="1:2">
      <c r="A425">
        <v>424</v>
      </c>
      <c r="B425" t="e">
        <f>MATCH(C425,統合マスタ!$C$5:$C$1000,0)</f>
        <v>#N/A</v>
      </c>
    </row>
    <row r="426" spans="1:2">
      <c r="A426">
        <v>425</v>
      </c>
      <c r="B426" t="e">
        <f>MATCH(C426,統合マスタ!$C$5:$C$1000,0)</f>
        <v>#N/A</v>
      </c>
    </row>
    <row r="427" spans="1:2">
      <c r="A427">
        <v>426</v>
      </c>
      <c r="B427" t="e">
        <f>MATCH(C427,統合マスタ!$C$5:$C$1000,0)</f>
        <v>#N/A</v>
      </c>
    </row>
    <row r="428" spans="1:2">
      <c r="A428">
        <v>427</v>
      </c>
      <c r="B428" t="e">
        <f>MATCH(C428,統合マスタ!$C$5:$C$1000,0)</f>
        <v>#N/A</v>
      </c>
    </row>
    <row r="429" spans="1:2">
      <c r="A429">
        <v>428</v>
      </c>
      <c r="B429" t="e">
        <f>MATCH(C429,統合マスタ!$C$5:$C$1000,0)</f>
        <v>#N/A</v>
      </c>
    </row>
    <row r="430" spans="1:2">
      <c r="A430">
        <v>429</v>
      </c>
      <c r="B430" t="e">
        <f>MATCH(C430,統合マスタ!$C$5:$C$1000,0)</f>
        <v>#N/A</v>
      </c>
    </row>
    <row r="431" spans="1:2">
      <c r="A431">
        <v>430</v>
      </c>
      <c r="B431" t="e">
        <f>MATCH(C431,統合マスタ!$C$5:$C$1000,0)</f>
        <v>#N/A</v>
      </c>
    </row>
    <row r="432" spans="1:2">
      <c r="A432">
        <v>431</v>
      </c>
      <c r="B432" t="e">
        <f>MATCH(C432,統合マスタ!$C$5:$C$1000,0)</f>
        <v>#N/A</v>
      </c>
    </row>
    <row r="433" spans="1:2">
      <c r="A433">
        <v>432</v>
      </c>
      <c r="B433" t="e">
        <f>MATCH(C433,統合マスタ!$C$5:$C$1000,0)</f>
        <v>#N/A</v>
      </c>
    </row>
    <row r="434" spans="1:2">
      <c r="A434">
        <v>433</v>
      </c>
      <c r="B434" t="e">
        <f>MATCH(C434,統合マスタ!$C$5:$C$1000,0)</f>
        <v>#N/A</v>
      </c>
    </row>
    <row r="435" spans="1:2">
      <c r="A435">
        <v>434</v>
      </c>
      <c r="B435" t="e">
        <f>MATCH(C435,統合マスタ!$C$5:$C$1000,0)</f>
        <v>#N/A</v>
      </c>
    </row>
    <row r="436" spans="1:2">
      <c r="A436">
        <v>435</v>
      </c>
      <c r="B436" t="e">
        <f>MATCH(C436,統合マスタ!$C$5:$C$1000,0)</f>
        <v>#N/A</v>
      </c>
    </row>
    <row r="437" spans="1:2">
      <c r="A437">
        <v>436</v>
      </c>
      <c r="B437" t="e">
        <f>MATCH(C437,統合マスタ!$C$5:$C$1000,0)</f>
        <v>#N/A</v>
      </c>
    </row>
    <row r="438" spans="1:2">
      <c r="A438">
        <v>437</v>
      </c>
      <c r="B438" t="e">
        <f>MATCH(C438,統合マスタ!$C$5:$C$1000,0)</f>
        <v>#N/A</v>
      </c>
    </row>
    <row r="439" spans="1:2">
      <c r="A439">
        <v>438</v>
      </c>
      <c r="B439" t="e">
        <f>MATCH(C439,統合マスタ!$C$5:$C$1000,0)</f>
        <v>#N/A</v>
      </c>
    </row>
    <row r="440" spans="1:2">
      <c r="A440">
        <v>439</v>
      </c>
      <c r="B440" t="e">
        <f>MATCH(C440,統合マスタ!$C$5:$C$1000,0)</f>
        <v>#N/A</v>
      </c>
    </row>
    <row r="441" spans="1:2">
      <c r="A441">
        <v>440</v>
      </c>
      <c r="B441" t="e">
        <f>MATCH(C441,統合マスタ!$C$5:$C$1000,0)</f>
        <v>#N/A</v>
      </c>
    </row>
    <row r="442" spans="1:2">
      <c r="A442">
        <v>441</v>
      </c>
      <c r="B442" t="e">
        <f>MATCH(C442,統合マスタ!$C$5:$C$1000,0)</f>
        <v>#N/A</v>
      </c>
    </row>
    <row r="443" spans="1:2">
      <c r="A443">
        <v>442</v>
      </c>
      <c r="B443" t="e">
        <f>MATCH(C443,統合マスタ!$C$5:$C$1000,0)</f>
        <v>#N/A</v>
      </c>
    </row>
    <row r="444" spans="1:2">
      <c r="A444">
        <v>443</v>
      </c>
      <c r="B444" t="e">
        <f>MATCH(C444,統合マスタ!$C$5:$C$1000,0)</f>
        <v>#N/A</v>
      </c>
    </row>
    <row r="445" spans="1:2">
      <c r="A445">
        <v>444</v>
      </c>
      <c r="B445" t="e">
        <f>MATCH(C445,統合マスタ!$C$5:$C$1000,0)</f>
        <v>#N/A</v>
      </c>
    </row>
    <row r="446" spans="1:2">
      <c r="A446">
        <v>445</v>
      </c>
      <c r="B446" t="e">
        <f>MATCH(C446,統合マスタ!$C$5:$C$1000,0)</f>
        <v>#N/A</v>
      </c>
    </row>
    <row r="447" spans="1:2">
      <c r="A447">
        <v>446</v>
      </c>
      <c r="B447" t="e">
        <f>MATCH(C447,統合マスタ!$C$5:$C$1000,0)</f>
        <v>#N/A</v>
      </c>
    </row>
    <row r="448" spans="1:2">
      <c r="A448">
        <v>447</v>
      </c>
      <c r="B448" t="e">
        <f>MATCH(C448,統合マスタ!$C$5:$C$1000,0)</f>
        <v>#N/A</v>
      </c>
    </row>
    <row r="449" spans="1:2">
      <c r="A449">
        <v>448</v>
      </c>
      <c r="B449" t="e">
        <f>MATCH(C449,統合マスタ!$C$5:$C$1000,0)</f>
        <v>#N/A</v>
      </c>
    </row>
    <row r="450" spans="1:2">
      <c r="A450">
        <v>449</v>
      </c>
      <c r="B450" t="e">
        <f>MATCH(C450,統合マスタ!$C$5:$C$1000,0)</f>
        <v>#N/A</v>
      </c>
    </row>
    <row r="451" spans="1:2">
      <c r="A451">
        <v>450</v>
      </c>
      <c r="B451" t="e">
        <f>MATCH(C451,統合マスタ!$C$5:$C$1000,0)</f>
        <v>#N/A</v>
      </c>
    </row>
    <row r="452" spans="1:2">
      <c r="A452">
        <v>451</v>
      </c>
      <c r="B452" t="e">
        <f>MATCH(C452,統合マスタ!$C$5:$C$1000,0)</f>
        <v>#N/A</v>
      </c>
    </row>
    <row r="453" spans="1:2">
      <c r="A453">
        <v>452</v>
      </c>
      <c r="B453" t="e">
        <f>MATCH(C453,統合マスタ!$C$5:$C$1000,0)</f>
        <v>#N/A</v>
      </c>
    </row>
    <row r="454" spans="1:2">
      <c r="A454">
        <v>453</v>
      </c>
      <c r="B454" t="e">
        <f>MATCH(C454,統合マスタ!$C$5:$C$1000,0)</f>
        <v>#N/A</v>
      </c>
    </row>
    <row r="455" spans="1:2">
      <c r="A455">
        <v>454</v>
      </c>
      <c r="B455" t="e">
        <f>MATCH(C455,統合マスタ!$C$5:$C$1000,0)</f>
        <v>#N/A</v>
      </c>
    </row>
    <row r="456" spans="1:2">
      <c r="A456">
        <v>455</v>
      </c>
      <c r="B456" t="e">
        <f>MATCH(C456,統合マスタ!$C$5:$C$1000,0)</f>
        <v>#N/A</v>
      </c>
    </row>
    <row r="457" spans="1:2">
      <c r="A457">
        <v>456</v>
      </c>
      <c r="B457" t="e">
        <f>MATCH(C457,統合マスタ!$C$5:$C$1000,0)</f>
        <v>#N/A</v>
      </c>
    </row>
    <row r="458" spans="1:2">
      <c r="A458">
        <v>457</v>
      </c>
      <c r="B458" t="e">
        <f>MATCH(C458,統合マスタ!$C$5:$C$1000,0)</f>
        <v>#N/A</v>
      </c>
    </row>
    <row r="459" spans="1:2">
      <c r="A459">
        <v>458</v>
      </c>
      <c r="B459" t="e">
        <f>MATCH(C459,統合マスタ!$C$5:$C$1000,0)</f>
        <v>#N/A</v>
      </c>
    </row>
    <row r="460" spans="1:2">
      <c r="A460">
        <v>459</v>
      </c>
      <c r="B460" t="e">
        <f>MATCH(C460,統合マスタ!$C$5:$C$1000,0)</f>
        <v>#N/A</v>
      </c>
    </row>
    <row r="461" spans="1:2">
      <c r="A461">
        <v>460</v>
      </c>
      <c r="B461" t="e">
        <f>MATCH(C461,統合マスタ!$C$5:$C$1000,0)</f>
        <v>#N/A</v>
      </c>
    </row>
    <row r="462" spans="1:2">
      <c r="A462">
        <v>461</v>
      </c>
      <c r="B462" t="e">
        <f>MATCH(C462,統合マスタ!$C$5:$C$1000,0)</f>
        <v>#N/A</v>
      </c>
    </row>
    <row r="463" spans="1:2">
      <c r="A463">
        <v>462</v>
      </c>
      <c r="B463" t="e">
        <f>MATCH(C463,統合マスタ!$C$5:$C$1000,0)</f>
        <v>#N/A</v>
      </c>
    </row>
    <row r="464" spans="1:2">
      <c r="A464">
        <v>463</v>
      </c>
      <c r="B464" t="e">
        <f>MATCH(C464,統合マスタ!$C$5:$C$1000,0)</f>
        <v>#N/A</v>
      </c>
    </row>
    <row r="465" spans="1:2">
      <c r="A465">
        <v>464</v>
      </c>
      <c r="B465" t="e">
        <f>MATCH(C465,統合マスタ!$C$5:$C$1000,0)</f>
        <v>#N/A</v>
      </c>
    </row>
    <row r="466" spans="1:2">
      <c r="A466">
        <v>465</v>
      </c>
      <c r="B466" t="e">
        <f>MATCH(C466,統合マスタ!$C$5:$C$1000,0)</f>
        <v>#N/A</v>
      </c>
    </row>
    <row r="467" spans="1:2">
      <c r="A467">
        <v>466</v>
      </c>
      <c r="B467" t="e">
        <f>MATCH(C467,統合マスタ!$C$5:$C$1000,0)</f>
        <v>#N/A</v>
      </c>
    </row>
    <row r="468" spans="1:2">
      <c r="A468">
        <v>467</v>
      </c>
      <c r="B468" t="e">
        <f>MATCH(C468,統合マスタ!$C$5:$C$1000,0)</f>
        <v>#N/A</v>
      </c>
    </row>
    <row r="469" spans="1:2">
      <c r="A469">
        <v>468</v>
      </c>
      <c r="B469" t="e">
        <f>MATCH(C469,統合マスタ!$C$5:$C$1000,0)</f>
        <v>#N/A</v>
      </c>
    </row>
    <row r="470" spans="1:2">
      <c r="A470">
        <v>469</v>
      </c>
      <c r="B470" t="e">
        <f>MATCH(C470,統合マスタ!$C$5:$C$1000,0)</f>
        <v>#N/A</v>
      </c>
    </row>
    <row r="471" spans="1:2">
      <c r="A471">
        <v>470</v>
      </c>
      <c r="B471" t="e">
        <f>MATCH(C471,統合マスタ!$C$5:$C$1000,0)</f>
        <v>#N/A</v>
      </c>
    </row>
    <row r="472" spans="1:2">
      <c r="A472">
        <v>471</v>
      </c>
      <c r="B472" t="e">
        <f>MATCH(C472,統合マスタ!$C$5:$C$1000,0)</f>
        <v>#N/A</v>
      </c>
    </row>
    <row r="473" spans="1:2">
      <c r="A473">
        <v>472</v>
      </c>
      <c r="B473" t="e">
        <f>MATCH(C473,統合マスタ!$C$5:$C$1000,0)</f>
        <v>#N/A</v>
      </c>
    </row>
    <row r="474" spans="1:2">
      <c r="A474">
        <v>473</v>
      </c>
      <c r="B474" t="e">
        <f>MATCH(C474,統合マスタ!$C$5:$C$1000,0)</f>
        <v>#N/A</v>
      </c>
    </row>
    <row r="475" spans="1:2">
      <c r="A475">
        <v>474</v>
      </c>
      <c r="B475" t="e">
        <f>MATCH(C475,統合マスタ!$C$5:$C$1000,0)</f>
        <v>#N/A</v>
      </c>
    </row>
    <row r="476" spans="1:2">
      <c r="A476">
        <v>475</v>
      </c>
      <c r="B476" t="e">
        <f>MATCH(C476,統合マスタ!$C$5:$C$1000,0)</f>
        <v>#N/A</v>
      </c>
    </row>
    <row r="477" spans="1:2">
      <c r="A477">
        <v>476</v>
      </c>
      <c r="B477" t="e">
        <f>MATCH(C477,統合マスタ!$C$5:$C$1000,0)</f>
        <v>#N/A</v>
      </c>
    </row>
    <row r="478" spans="1:2">
      <c r="A478">
        <v>477</v>
      </c>
      <c r="B478" t="e">
        <f>MATCH(C478,統合マスタ!$C$5:$C$1000,0)</f>
        <v>#N/A</v>
      </c>
    </row>
    <row r="479" spans="1:2">
      <c r="A479">
        <v>478</v>
      </c>
      <c r="B479" t="e">
        <f>MATCH(C479,統合マスタ!$C$5:$C$1000,0)</f>
        <v>#N/A</v>
      </c>
    </row>
    <row r="480" spans="1:2">
      <c r="A480">
        <v>479</v>
      </c>
      <c r="B480" t="e">
        <f>MATCH(C480,統合マスタ!$C$5:$C$1000,0)</f>
        <v>#N/A</v>
      </c>
    </row>
    <row r="481" spans="1:2">
      <c r="A481">
        <v>480</v>
      </c>
      <c r="B481" t="e">
        <f>MATCH(C481,統合マスタ!$C$5:$C$1000,0)</f>
        <v>#N/A</v>
      </c>
    </row>
    <row r="482" spans="1:2">
      <c r="A482">
        <v>481</v>
      </c>
      <c r="B482" t="e">
        <f>MATCH(C482,統合マスタ!$C$5:$C$1000,0)</f>
        <v>#N/A</v>
      </c>
    </row>
    <row r="483" spans="1:2">
      <c r="A483">
        <v>482</v>
      </c>
      <c r="B483" t="e">
        <f>MATCH(C483,統合マスタ!$C$5:$C$1000,0)</f>
        <v>#N/A</v>
      </c>
    </row>
    <row r="484" spans="1:2">
      <c r="A484">
        <v>483</v>
      </c>
      <c r="B484" t="e">
        <f>MATCH(C484,統合マスタ!$C$5:$C$1000,0)</f>
        <v>#N/A</v>
      </c>
    </row>
    <row r="485" spans="1:2">
      <c r="A485">
        <v>484</v>
      </c>
      <c r="B485" t="e">
        <f>MATCH(C485,統合マスタ!$C$5:$C$1000,0)</f>
        <v>#N/A</v>
      </c>
    </row>
    <row r="486" spans="1:2">
      <c r="A486">
        <v>485</v>
      </c>
      <c r="B486" t="e">
        <f>MATCH(C486,統合マスタ!$C$5:$C$1000,0)</f>
        <v>#N/A</v>
      </c>
    </row>
    <row r="487" spans="1:2">
      <c r="A487">
        <v>486</v>
      </c>
      <c r="B487" t="e">
        <f>MATCH(C487,統合マスタ!$C$5:$C$1000,0)</f>
        <v>#N/A</v>
      </c>
    </row>
    <row r="488" spans="1:2">
      <c r="A488">
        <v>487</v>
      </c>
      <c r="B488" t="e">
        <f>MATCH(C488,統合マスタ!$C$5:$C$1000,0)</f>
        <v>#N/A</v>
      </c>
    </row>
    <row r="489" spans="1:2">
      <c r="A489">
        <v>488</v>
      </c>
      <c r="B489" t="e">
        <f>MATCH(C489,統合マスタ!$C$5:$C$1000,0)</f>
        <v>#N/A</v>
      </c>
    </row>
    <row r="490" spans="1:2">
      <c r="A490">
        <v>489</v>
      </c>
      <c r="B490" t="e">
        <f>MATCH(C490,統合マスタ!$C$5:$C$1000,0)</f>
        <v>#N/A</v>
      </c>
    </row>
    <row r="491" spans="1:2">
      <c r="A491">
        <v>490</v>
      </c>
      <c r="B491" t="e">
        <f>MATCH(C491,統合マスタ!$C$5:$C$1000,0)</f>
        <v>#N/A</v>
      </c>
    </row>
    <row r="492" spans="1:2">
      <c r="A492">
        <v>491</v>
      </c>
      <c r="B492" t="e">
        <f>MATCH(C492,統合マスタ!$C$5:$C$1000,0)</f>
        <v>#N/A</v>
      </c>
    </row>
    <row r="493" spans="1:2">
      <c r="A493">
        <v>492</v>
      </c>
      <c r="B493" t="e">
        <f>MATCH(C493,統合マスタ!$C$5:$C$1000,0)</f>
        <v>#N/A</v>
      </c>
    </row>
    <row r="494" spans="1:2">
      <c r="A494">
        <v>493</v>
      </c>
      <c r="B494" t="e">
        <f>MATCH(C494,統合マスタ!$C$5:$C$1000,0)</f>
        <v>#N/A</v>
      </c>
    </row>
    <row r="495" spans="1:2">
      <c r="A495">
        <v>494</v>
      </c>
      <c r="B495" t="e">
        <f>MATCH(C495,統合マスタ!$C$5:$C$1000,0)</f>
        <v>#N/A</v>
      </c>
    </row>
    <row r="496" spans="1:2">
      <c r="A496">
        <v>495</v>
      </c>
      <c r="B496" t="e">
        <f>MATCH(C496,統合マスタ!$C$5:$C$1000,0)</f>
        <v>#N/A</v>
      </c>
    </row>
    <row r="497" spans="1:2">
      <c r="A497">
        <v>496</v>
      </c>
      <c r="B497" t="e">
        <f>MATCH(C497,統合マスタ!$C$5:$C$1000,0)</f>
        <v>#N/A</v>
      </c>
    </row>
    <row r="498" spans="1:2">
      <c r="A498">
        <v>497</v>
      </c>
      <c r="B498" t="e">
        <f>MATCH(C498,統合マスタ!$C$5:$C$1000,0)</f>
        <v>#N/A</v>
      </c>
    </row>
    <row r="499" spans="1:2">
      <c r="A499">
        <v>498</v>
      </c>
      <c r="B499" t="e">
        <f>MATCH(C499,統合マスタ!$C$5:$C$1000,0)</f>
        <v>#N/A</v>
      </c>
    </row>
    <row r="500" spans="1:2">
      <c r="A500">
        <v>499</v>
      </c>
      <c r="B500" t="e">
        <f>MATCH(C500,統合マスタ!$C$5:$C$1000,0)</f>
        <v>#N/A</v>
      </c>
    </row>
    <row r="501" spans="1:2">
      <c r="A501">
        <v>500</v>
      </c>
      <c r="B501" t="e">
        <f>MATCH(C501,統合マスタ!$C$5:$C$1000,0)</f>
        <v>#N/A</v>
      </c>
    </row>
    <row r="502" spans="1:2">
      <c r="A502">
        <v>501</v>
      </c>
      <c r="B502" t="e">
        <f>MATCH(C502,統合マスタ!$C$5:$C$1000,0)</f>
        <v>#N/A</v>
      </c>
    </row>
    <row r="503" spans="1:2">
      <c r="A503">
        <v>502</v>
      </c>
      <c r="B503" t="e">
        <f>MATCH(C503,統合マスタ!$C$5:$C$1000,0)</f>
        <v>#N/A</v>
      </c>
    </row>
    <row r="504" spans="1:2">
      <c r="A504">
        <v>503</v>
      </c>
      <c r="B504" t="e">
        <f>MATCH(C504,統合マスタ!$C$5:$C$1000,0)</f>
        <v>#N/A</v>
      </c>
    </row>
    <row r="505" spans="1:2">
      <c r="A505">
        <v>504</v>
      </c>
      <c r="B505" t="e">
        <f>MATCH(C505,統合マスタ!$C$5:$C$1000,0)</f>
        <v>#N/A</v>
      </c>
    </row>
    <row r="506" spans="1:2">
      <c r="A506">
        <v>505</v>
      </c>
      <c r="B506" t="e">
        <f>MATCH(C506,統合マスタ!$C$5:$C$1000,0)</f>
        <v>#N/A</v>
      </c>
    </row>
    <row r="507" spans="1:2">
      <c r="A507">
        <v>506</v>
      </c>
      <c r="B507" t="e">
        <f>MATCH(C507,統合マスタ!$C$5:$C$1000,0)</f>
        <v>#N/A</v>
      </c>
    </row>
    <row r="508" spans="1:2">
      <c r="A508">
        <v>507</v>
      </c>
      <c r="B508" t="e">
        <f>MATCH(C508,統合マスタ!$C$5:$C$1000,0)</f>
        <v>#N/A</v>
      </c>
    </row>
    <row r="509" spans="1:2">
      <c r="A509">
        <v>508</v>
      </c>
      <c r="B509" t="e">
        <f>MATCH(C509,統合マスタ!$C$5:$C$1000,0)</f>
        <v>#N/A</v>
      </c>
    </row>
    <row r="510" spans="1:2">
      <c r="A510">
        <v>509</v>
      </c>
      <c r="B510" t="e">
        <f>MATCH(C510,統合マスタ!$C$5:$C$1000,0)</f>
        <v>#N/A</v>
      </c>
    </row>
    <row r="511" spans="1:2">
      <c r="A511">
        <v>510</v>
      </c>
      <c r="B511" t="e">
        <f>MATCH(C511,統合マスタ!$C$5:$C$1000,0)</f>
        <v>#N/A</v>
      </c>
    </row>
    <row r="512" spans="1:2">
      <c r="A512">
        <v>511</v>
      </c>
      <c r="B512" t="e">
        <f>MATCH(C512,統合マスタ!$C$5:$C$1000,0)</f>
        <v>#N/A</v>
      </c>
    </row>
    <row r="513" spans="1:2">
      <c r="A513">
        <v>512</v>
      </c>
      <c r="B513" t="e">
        <f>MATCH(C513,統合マスタ!$C$5:$C$1000,0)</f>
        <v>#N/A</v>
      </c>
    </row>
    <row r="514" spans="1:2">
      <c r="A514">
        <v>513</v>
      </c>
      <c r="B514" t="e">
        <f>MATCH(C514,統合マスタ!$C$5:$C$1000,0)</f>
        <v>#N/A</v>
      </c>
    </row>
    <row r="515" spans="1:2">
      <c r="A515">
        <v>514</v>
      </c>
      <c r="B515" t="e">
        <f>MATCH(C515,統合マスタ!$C$5:$C$1000,0)</f>
        <v>#N/A</v>
      </c>
    </row>
    <row r="516" spans="1:2">
      <c r="A516">
        <v>515</v>
      </c>
      <c r="B516" t="e">
        <f>MATCH(C516,統合マスタ!$C$5:$C$1000,0)</f>
        <v>#N/A</v>
      </c>
    </row>
    <row r="517" spans="1:2">
      <c r="A517">
        <v>516</v>
      </c>
      <c r="B517" t="e">
        <f>MATCH(C517,統合マスタ!$C$5:$C$1000,0)</f>
        <v>#N/A</v>
      </c>
    </row>
    <row r="518" spans="1:2">
      <c r="A518">
        <v>517</v>
      </c>
      <c r="B518" t="e">
        <f>MATCH(C518,統合マスタ!$C$5:$C$1000,0)</f>
        <v>#N/A</v>
      </c>
    </row>
    <row r="519" spans="1:2">
      <c r="A519">
        <v>518</v>
      </c>
      <c r="B519" t="e">
        <f>MATCH(C519,統合マスタ!$C$5:$C$1000,0)</f>
        <v>#N/A</v>
      </c>
    </row>
    <row r="520" spans="1:2">
      <c r="A520">
        <v>519</v>
      </c>
      <c r="B520" t="e">
        <f>MATCH(C520,統合マスタ!$C$5:$C$1000,0)</f>
        <v>#N/A</v>
      </c>
    </row>
    <row r="521" spans="1:2">
      <c r="A521">
        <v>520</v>
      </c>
      <c r="B521" t="e">
        <f>MATCH(C521,統合マスタ!$C$5:$C$1000,0)</f>
        <v>#N/A</v>
      </c>
    </row>
    <row r="522" spans="1:2">
      <c r="A522">
        <v>521</v>
      </c>
      <c r="B522" t="e">
        <f>MATCH(C522,統合マスタ!$C$5:$C$1000,0)</f>
        <v>#N/A</v>
      </c>
    </row>
    <row r="523" spans="1:2">
      <c r="A523">
        <v>522</v>
      </c>
      <c r="B523" t="e">
        <f>MATCH(C523,統合マスタ!$C$5:$C$1000,0)</f>
        <v>#N/A</v>
      </c>
    </row>
    <row r="524" spans="1:2">
      <c r="A524">
        <v>523</v>
      </c>
      <c r="B524" t="e">
        <f>MATCH(C524,統合マスタ!$C$5:$C$1000,0)</f>
        <v>#N/A</v>
      </c>
    </row>
    <row r="525" spans="1:2">
      <c r="A525">
        <v>524</v>
      </c>
      <c r="B525" t="e">
        <f>MATCH(C525,統合マスタ!$C$5:$C$1000,0)</f>
        <v>#N/A</v>
      </c>
    </row>
    <row r="526" spans="1:2">
      <c r="A526">
        <v>525</v>
      </c>
      <c r="B526" t="e">
        <f>MATCH(C526,統合マスタ!$C$5:$C$1000,0)</f>
        <v>#N/A</v>
      </c>
    </row>
    <row r="527" spans="1:2">
      <c r="A527">
        <v>526</v>
      </c>
      <c r="B527" t="e">
        <f>MATCH(C527,統合マスタ!$C$5:$C$1000,0)</f>
        <v>#N/A</v>
      </c>
    </row>
    <row r="528" spans="1:2">
      <c r="A528">
        <v>527</v>
      </c>
      <c r="B528" t="e">
        <f>MATCH(C528,統合マスタ!$C$5:$C$1000,0)</f>
        <v>#N/A</v>
      </c>
    </row>
    <row r="529" spans="1:2">
      <c r="A529">
        <v>528</v>
      </c>
      <c r="B529" t="e">
        <f>MATCH(C529,統合マスタ!$C$5:$C$1000,0)</f>
        <v>#N/A</v>
      </c>
    </row>
    <row r="530" spans="1:2">
      <c r="A530">
        <v>529</v>
      </c>
      <c r="B530" t="e">
        <f>MATCH(C530,統合マスタ!$C$5:$C$1000,0)</f>
        <v>#N/A</v>
      </c>
    </row>
    <row r="531" spans="1:2">
      <c r="A531">
        <v>530</v>
      </c>
      <c r="B531" t="e">
        <f>MATCH(C531,統合マスタ!$C$5:$C$1000,0)</f>
        <v>#N/A</v>
      </c>
    </row>
    <row r="532" spans="1:2">
      <c r="A532">
        <v>531</v>
      </c>
      <c r="B532" t="e">
        <f>MATCH(C532,統合マスタ!$C$5:$C$1000,0)</f>
        <v>#N/A</v>
      </c>
    </row>
    <row r="533" spans="1:2">
      <c r="A533">
        <v>532</v>
      </c>
      <c r="B533" t="e">
        <f>MATCH(C533,統合マスタ!$C$5:$C$1000,0)</f>
        <v>#N/A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863E-BB04-455E-AE34-AE9F1EE809D4}">
  <sheetPr>
    <tabColor rgb="FFFFFF00"/>
  </sheetPr>
  <dimension ref="B2:G304"/>
  <sheetViews>
    <sheetView workbookViewId="0">
      <selection activeCell="I9" sqref="I9"/>
    </sheetView>
  </sheetViews>
  <sheetFormatPr defaultRowHeight="13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16384" width="8.88671875" style="29"/>
  </cols>
  <sheetData>
    <row r="2" spans="2:7" ht="16.2">
      <c r="B2" s="28" t="str" cm="1">
        <f t="array" aca="1" ref="B2" ca="1">RIGHT(CELL("filename",A1),LEN(CELL("filename",A1))-FIND("]",CELL("filename",A1)))</f>
        <v>臨時</v>
      </c>
    </row>
    <row r="4" spans="2:7">
      <c r="B4" s="30" t="s">
        <v>4040</v>
      </c>
      <c r="C4" s="30" t="s">
        <v>4041</v>
      </c>
      <c r="D4" s="30" t="s">
        <v>4042</v>
      </c>
      <c r="E4" s="30" t="s">
        <v>4064</v>
      </c>
      <c r="F4" s="30" t="s">
        <v>4066</v>
      </c>
      <c r="G4" s="30" t="s">
        <v>4067</v>
      </c>
    </row>
    <row r="5" spans="2:7">
      <c r="B5" s="31">
        <v>1</v>
      </c>
      <c r="C5" s="27" t="str" cm="1">
        <f t="array" aca="1" ref="C5:G148" ca="1">_xlfn._xlws.SORT(_xlfn.CHOOSECOLS(_xlfn._xlws.FILTER(IFERROR(統合マスタ!B5:Z1500,""),IFERROR(統合マスタ!R5:R1500=2,FALSE)),2,23,25,4,5),2,1)</f>
        <v>００７　ツムラ　ハチミジオウガン</v>
      </c>
      <c r="D5" s="27">
        <f ca="1"/>
        <v>0</v>
      </c>
      <c r="E5" s="56">
        <f ca="1"/>
        <v>4</v>
      </c>
      <c r="F5" s="56" t="str">
        <f ca="1"/>
        <v>粉</v>
      </c>
      <c r="G5" s="56" t="str">
        <f ca="1"/>
        <v>2.5ｇｘ189</v>
      </c>
    </row>
    <row r="6" spans="2:7">
      <c r="B6" s="27">
        <f>B5+1</f>
        <v>2</v>
      </c>
      <c r="C6" s="27" t="str">
        <f ca="1"/>
        <v>００７　ツムラ　ハチミジオウガン</v>
      </c>
      <c r="D6" s="27">
        <f ca="1"/>
        <v>0</v>
      </c>
      <c r="E6" s="56">
        <f ca="1"/>
        <v>4</v>
      </c>
      <c r="F6" s="56" t="str">
        <f ca="1"/>
        <v>粉</v>
      </c>
      <c r="G6" s="56" t="str">
        <f ca="1"/>
        <v>2.5ｇｘ42</v>
      </c>
    </row>
    <row r="7" spans="2:7">
      <c r="B7" s="27">
        <f t="shared" ref="B7:B70" si="0">B6+1</f>
        <v>3</v>
      </c>
      <c r="C7" s="27" t="str">
        <f ca="1"/>
        <v>０１２　ツムラ　サイコカリュウコツボレイトウ</v>
      </c>
      <c r="D7" s="27">
        <f ca="1"/>
        <v>0</v>
      </c>
      <c r="E7" s="56">
        <f ca="1"/>
        <v>4</v>
      </c>
      <c r="F7" s="56" t="str">
        <f ca="1"/>
        <v>粉</v>
      </c>
      <c r="G7" s="56" t="str">
        <f ca="1"/>
        <v>2.5ｇｘ189</v>
      </c>
    </row>
    <row r="8" spans="2:7">
      <c r="B8" s="27">
        <f t="shared" si="0"/>
        <v>4</v>
      </c>
      <c r="C8" s="27" t="str">
        <f ca="1"/>
        <v>０１６　ツムラ　ハンゲコウボクトウ</v>
      </c>
      <c r="D8" s="27">
        <f ca="1"/>
        <v>0</v>
      </c>
      <c r="E8" s="56">
        <f ca="1"/>
        <v>4</v>
      </c>
      <c r="F8" s="56" t="str">
        <f ca="1"/>
        <v>粉</v>
      </c>
      <c r="G8" s="56" t="str">
        <f ca="1"/>
        <v>2.5ｇｘ189</v>
      </c>
    </row>
    <row r="9" spans="2:7">
      <c r="B9" s="27">
        <f t="shared" si="0"/>
        <v>5</v>
      </c>
      <c r="C9" s="27" t="str">
        <f ca="1"/>
        <v>０１９　ツムラ　ショウセイリュウトウ</v>
      </c>
      <c r="D9" s="27">
        <f ca="1"/>
        <v>0</v>
      </c>
      <c r="E9" s="56">
        <f ca="1"/>
        <v>4</v>
      </c>
      <c r="F9" s="56" t="str">
        <f ca="1"/>
        <v>粉</v>
      </c>
      <c r="G9" s="56" t="str">
        <f ca="1"/>
        <v>3ｇX42</v>
      </c>
    </row>
    <row r="10" spans="2:7">
      <c r="B10" s="27">
        <f t="shared" si="0"/>
        <v>6</v>
      </c>
      <c r="C10" s="27" t="str">
        <f ca="1"/>
        <v>０４３　ツムラ　リツクンシトウ</v>
      </c>
      <c r="D10" s="27">
        <f ca="1"/>
        <v>0</v>
      </c>
      <c r="E10" s="56">
        <f ca="1"/>
        <v>4</v>
      </c>
      <c r="F10" s="56" t="str">
        <f ca="1"/>
        <v>粉</v>
      </c>
      <c r="G10" s="56" t="str">
        <f ca="1"/>
        <v>2.5ｇｘ189</v>
      </c>
    </row>
    <row r="11" spans="2:7">
      <c r="B11" s="27">
        <f t="shared" si="0"/>
        <v>7</v>
      </c>
      <c r="C11" s="27" t="str">
        <f ca="1"/>
        <v>１０８　ツムラ　ニンジンヨウエイトウ</v>
      </c>
      <c r="D11" s="27">
        <f ca="1"/>
        <v>0</v>
      </c>
      <c r="E11" s="56">
        <f ca="1"/>
        <v>4</v>
      </c>
      <c r="F11" s="56" t="str">
        <f ca="1"/>
        <v>粉</v>
      </c>
      <c r="G11" s="56" t="str">
        <f ca="1"/>
        <v>3ｇｘ42包</v>
      </c>
    </row>
    <row r="12" spans="2:7">
      <c r="B12" s="27">
        <f t="shared" si="0"/>
        <v>8</v>
      </c>
      <c r="C12" s="27" t="str">
        <f ca="1"/>
        <v>１１２　ツムラ　チョレイトウゴウシモットウ</v>
      </c>
      <c r="D12" s="27">
        <f ca="1"/>
        <v>0</v>
      </c>
      <c r="E12" s="56">
        <f ca="1"/>
        <v>4</v>
      </c>
      <c r="F12" s="56" t="str">
        <f ca="1"/>
        <v>粉</v>
      </c>
      <c r="G12" s="56" t="str">
        <f ca="1"/>
        <v>2.5ｇｘ42</v>
      </c>
    </row>
    <row r="13" spans="2:7">
      <c r="B13" s="27">
        <f t="shared" si="0"/>
        <v>9</v>
      </c>
      <c r="C13" s="27" t="str">
        <f ca="1"/>
        <v>ＥＫ１１４　柴苓湯　　　　　　　　　　　</v>
      </c>
      <c r="D13" s="27">
        <f ca="1"/>
        <v>0</v>
      </c>
      <c r="E13" s="56">
        <f ca="1"/>
        <v>4</v>
      </c>
      <c r="F13" s="56" t="str">
        <f ca="1"/>
        <v>粉</v>
      </c>
      <c r="G13" s="56" t="str">
        <f ca="1"/>
        <v>2.7ｇ×２９４</v>
      </c>
    </row>
    <row r="14" spans="2:7">
      <c r="B14" s="27">
        <f t="shared" si="0"/>
        <v>10</v>
      </c>
      <c r="C14" s="27" t="str">
        <f ca="1"/>
        <v>ＥＫ１５　黄連解毒湯エキス細粒</v>
      </c>
      <c r="D14" s="27">
        <f ca="1"/>
        <v>0</v>
      </c>
      <c r="E14" s="56">
        <f ca="1"/>
        <v>4</v>
      </c>
      <c r="F14" s="56" t="str">
        <f ca="1"/>
        <v>粉</v>
      </c>
      <c r="G14" s="56" t="str">
        <f ca="1"/>
        <v>2ｇｘ42包</v>
      </c>
    </row>
    <row r="15" spans="2:7">
      <c r="B15" s="27">
        <f t="shared" si="0"/>
        <v>11</v>
      </c>
      <c r="C15" s="27" t="str">
        <f ca="1"/>
        <v>ＥＫ４０　猪苓湯エキス細粒</v>
      </c>
      <c r="D15" s="27">
        <f ca="1"/>
        <v>0</v>
      </c>
      <c r="E15" s="56">
        <f ca="1"/>
        <v>4</v>
      </c>
      <c r="F15" s="56" t="str">
        <f ca="1"/>
        <v>粉</v>
      </c>
      <c r="G15" s="56" t="str">
        <f ca="1"/>
        <v>2ｇｘ42包</v>
      </c>
    </row>
    <row r="16" spans="2:7">
      <c r="B16" s="27">
        <f t="shared" si="0"/>
        <v>12</v>
      </c>
      <c r="C16" s="27" t="str">
        <f ca="1"/>
        <v>Ｔ７２　ヨクイニンエキス錠「コタロー」</v>
      </c>
      <c r="D16" s="27">
        <f ca="1"/>
        <v>0</v>
      </c>
      <c r="E16" s="56">
        <f ca="1"/>
        <v>15</v>
      </c>
      <c r="F16" s="56" t="str">
        <f ca="1"/>
        <v>バラ</v>
      </c>
      <c r="G16" s="56" t="str">
        <f ca="1"/>
        <v>126Tx10</v>
      </c>
    </row>
    <row r="17" spans="2:7">
      <c r="B17" s="27">
        <f t="shared" si="0"/>
        <v>13</v>
      </c>
      <c r="C17" s="27" t="str">
        <f ca="1"/>
        <v>アザルフィジンＥＮ錠５００ｍｇ</v>
      </c>
      <c r="D17" s="27">
        <f ca="1"/>
        <v>0</v>
      </c>
      <c r="E17" s="56">
        <f ca="1"/>
        <v>3</v>
      </c>
      <c r="F17" s="56" t="str">
        <f ca="1"/>
        <v>PTP</v>
      </c>
      <c r="G17" s="56" t="str">
        <f ca="1"/>
        <v>100Ｔ</v>
      </c>
    </row>
    <row r="18" spans="2:7">
      <c r="B18" s="27">
        <f t="shared" si="0"/>
        <v>14</v>
      </c>
      <c r="C18" s="27" t="str">
        <f ca="1"/>
        <v>アシクロビル点滴静注用２５０ｍｇ「サワイ」</v>
      </c>
      <c r="D18" s="27">
        <f ca="1"/>
        <v>0</v>
      </c>
      <c r="E18" s="56">
        <f ca="1"/>
        <v>9</v>
      </c>
      <c r="F18" s="56" t="str">
        <f ca="1"/>
        <v/>
      </c>
      <c r="G18" s="56" t="str">
        <f ca="1"/>
        <v>10V</v>
      </c>
    </row>
    <row r="19" spans="2:7">
      <c r="B19" s="27">
        <f t="shared" si="0"/>
        <v>15</v>
      </c>
      <c r="C19" s="27" t="str">
        <f ca="1"/>
        <v>アゾセミド錠３０ｍｇ「ＤＳＥＰ」</v>
      </c>
      <c r="D19" s="27">
        <f ca="1"/>
        <v>0</v>
      </c>
      <c r="E19" s="56">
        <f ca="1"/>
        <v>3</v>
      </c>
      <c r="F19" s="56" t="str">
        <f ca="1"/>
        <v>PTP</v>
      </c>
      <c r="G19" s="56" t="str">
        <f ca="1"/>
        <v>100T</v>
      </c>
    </row>
    <row r="20" spans="2:7">
      <c r="B20" s="27">
        <f t="shared" si="0"/>
        <v>16</v>
      </c>
      <c r="C20" s="27" t="str">
        <f ca="1"/>
        <v>アドエア５００ディスカス
６０吸入用</v>
      </c>
      <c r="D20" s="27">
        <f ca="1"/>
        <v>0</v>
      </c>
      <c r="E20" s="56">
        <f ca="1"/>
        <v>3</v>
      </c>
      <c r="F20" s="56" t="str">
        <f ca="1"/>
        <v/>
      </c>
      <c r="G20" s="56" t="str">
        <f ca="1"/>
        <v>60ﾌﾞﾘｽﾀｰｘ１</v>
      </c>
    </row>
    <row r="21" spans="2:7">
      <c r="B21" s="27">
        <f t="shared" si="0"/>
        <v>17</v>
      </c>
      <c r="C21" s="27" t="str">
        <f ca="1"/>
        <v>アミノレバン点滴静注</v>
      </c>
      <c r="D21" s="27">
        <f ca="1"/>
        <v>0</v>
      </c>
      <c r="E21" s="56">
        <f ca="1"/>
        <v>15</v>
      </c>
      <c r="F21" s="56" t="str">
        <f ca="1"/>
        <v/>
      </c>
      <c r="G21" s="56" t="str">
        <f ca="1"/>
        <v>500ｍｌｘ20</v>
      </c>
    </row>
    <row r="22" spans="2:7">
      <c r="B22" s="27">
        <f t="shared" si="0"/>
        <v>18</v>
      </c>
      <c r="C22" s="27" t="str">
        <f ca="1"/>
        <v>イノソリッド配合経腸用半固形剤</v>
      </c>
      <c r="D22" s="27">
        <f ca="1"/>
        <v>0</v>
      </c>
      <c r="E22" s="56">
        <f ca="1"/>
        <v>7</v>
      </c>
      <c r="F22" s="56" t="str">
        <f ca="1"/>
        <v/>
      </c>
      <c r="G22" s="56" t="str">
        <f ca="1"/>
        <v>300ｇｘ18バッグ</v>
      </c>
    </row>
    <row r="23" spans="2:7">
      <c r="B23" s="27">
        <f t="shared" si="0"/>
        <v>19</v>
      </c>
      <c r="C23" s="27" t="str">
        <f ca="1"/>
        <v>イントラリポス輸液２０％　　　　　　ソフトバッグ　１００ｍｌ</v>
      </c>
      <c r="D23" s="27">
        <f ca="1"/>
        <v>0</v>
      </c>
      <c r="E23" s="56">
        <f ca="1"/>
        <v>8</v>
      </c>
      <c r="F23" s="56" t="str">
        <f ca="1"/>
        <v/>
      </c>
      <c r="G23" s="56" t="str">
        <f ca="1"/>
        <v>100ｍｌｘ10</v>
      </c>
    </row>
    <row r="24" spans="2:7">
      <c r="B24" s="27">
        <f t="shared" si="0"/>
        <v>20</v>
      </c>
      <c r="C24" s="27" t="str">
        <f ca="1"/>
        <v>エイゾプト懸濁性点眼液１％</v>
      </c>
      <c r="D24" s="27">
        <f ca="1"/>
        <v>0</v>
      </c>
      <c r="E24" s="56">
        <f ca="1"/>
        <v>15</v>
      </c>
      <c r="F24" s="56" t="str">
        <f ca="1"/>
        <v/>
      </c>
      <c r="G24" s="56" t="str">
        <f ca="1"/>
        <v>5ｍｌｘ10</v>
      </c>
    </row>
    <row r="25" spans="2:7">
      <c r="B25" s="27">
        <f t="shared" si="0"/>
        <v>21</v>
      </c>
      <c r="C25" s="27" t="str">
        <f ca="1"/>
        <v>エゼチミブＯＤ錠１０ｍｇ「トーワ」</v>
      </c>
      <c r="D25" s="27">
        <f ca="1"/>
        <v>0</v>
      </c>
      <c r="E25" s="56">
        <f ca="1"/>
        <v>3</v>
      </c>
      <c r="F25" s="56" t="str">
        <f ca="1"/>
        <v>PTP</v>
      </c>
      <c r="G25" s="56" t="str">
        <f ca="1"/>
        <v>100T</v>
      </c>
    </row>
    <row r="26" spans="2:7">
      <c r="B26" s="27">
        <f t="shared" si="0"/>
        <v>22</v>
      </c>
      <c r="C26" s="27" t="str">
        <f ca="1"/>
        <v>エフィエント錠２．５ｍｇ</v>
      </c>
      <c r="D26" s="27">
        <f ca="1"/>
        <v>0</v>
      </c>
      <c r="E26" s="56">
        <f ca="1"/>
        <v>15</v>
      </c>
      <c r="F26" s="56" t="str">
        <f ca="1"/>
        <v>PTP</v>
      </c>
      <c r="G26" s="56" t="str">
        <f ca="1"/>
        <v>100Ｔ</v>
      </c>
    </row>
    <row r="27" spans="2:7">
      <c r="B27" s="27">
        <f t="shared" si="0"/>
        <v>23</v>
      </c>
      <c r="C27" s="27" t="str">
        <f ca="1"/>
        <v>エフィナコナゾール爪外用液１０％「サワイ」　３．５６ｇ</v>
      </c>
      <c r="D27" s="27">
        <f ca="1"/>
        <v>0</v>
      </c>
      <c r="E27" s="56">
        <f ca="1"/>
        <v>3</v>
      </c>
      <c r="F27" s="56" t="str">
        <f ca="1"/>
        <v/>
      </c>
      <c r="G27" s="56" t="str">
        <f ca="1"/>
        <v>4.1ｍｌｘ5</v>
      </c>
    </row>
    <row r="28" spans="2:7">
      <c r="B28" s="27">
        <f t="shared" si="0"/>
        <v>24</v>
      </c>
      <c r="C28" s="27" t="str">
        <f ca="1"/>
        <v>エリキュース錠２．５ｍｇ</v>
      </c>
      <c r="D28" s="27">
        <f ca="1"/>
        <v>0</v>
      </c>
      <c r="E28" s="56">
        <f ca="1"/>
        <v>3</v>
      </c>
      <c r="F28" s="56" t="str">
        <f ca="1"/>
        <v>PTP</v>
      </c>
      <c r="G28" s="56" t="str">
        <f ca="1"/>
        <v>100T</v>
      </c>
    </row>
    <row r="29" spans="2:7">
      <c r="B29" s="27">
        <f t="shared" si="0"/>
        <v>25</v>
      </c>
      <c r="C29" s="27" t="str">
        <f ca="1"/>
        <v>エリスロシン錠２００ｍｇ</v>
      </c>
      <c r="D29" s="27">
        <f ca="1"/>
        <v>0</v>
      </c>
      <c r="E29" s="56">
        <f ca="1"/>
        <v>15</v>
      </c>
      <c r="F29" s="56" t="str">
        <f ca="1"/>
        <v>PTP</v>
      </c>
      <c r="G29" s="56" t="str">
        <f ca="1"/>
        <v>100T</v>
      </c>
    </row>
    <row r="30" spans="2:7">
      <c r="B30" s="27">
        <f t="shared" si="0"/>
        <v>26</v>
      </c>
      <c r="C30" s="27" t="str">
        <f ca="1"/>
        <v>エンレスト錠１００ｍｇ</v>
      </c>
      <c r="D30" s="27">
        <f ca="1"/>
        <v>0</v>
      </c>
      <c r="E30" s="56">
        <f ca="1"/>
        <v>3</v>
      </c>
      <c r="F30" s="56" t="str">
        <f ca="1"/>
        <v>ＰＴＰ</v>
      </c>
      <c r="G30" s="56" t="str">
        <f ca="1"/>
        <v>100Ｔ</v>
      </c>
    </row>
    <row r="31" spans="2:7">
      <c r="B31" s="27">
        <f t="shared" si="0"/>
        <v>27</v>
      </c>
      <c r="C31" s="27" t="str">
        <f ca="1"/>
        <v>オーグメンチン配合錠２５０ＲＳ（３７５ｍｇ）</v>
      </c>
      <c r="D31" s="27">
        <f ca="1"/>
        <v>0</v>
      </c>
      <c r="E31" s="56">
        <f ca="1"/>
        <v>15</v>
      </c>
      <c r="F31" s="56" t="str">
        <f ca="1"/>
        <v>ＰＴＰ</v>
      </c>
      <c r="G31" s="56" t="str">
        <f ca="1"/>
        <v>30Ｔ</v>
      </c>
    </row>
    <row r="32" spans="2:7">
      <c r="B32" s="27">
        <f t="shared" si="0"/>
        <v>28</v>
      </c>
      <c r="C32" s="27" t="str">
        <f ca="1"/>
        <v>オルメテックＯＤ錠１０ｍｇ</v>
      </c>
      <c r="D32" s="27">
        <f ca="1"/>
        <v>0</v>
      </c>
      <c r="E32" s="56">
        <f ca="1"/>
        <v>3</v>
      </c>
      <c r="F32" s="56" t="str">
        <f ca="1"/>
        <v>ＰＴＰ</v>
      </c>
      <c r="G32" s="56" t="str">
        <f ca="1"/>
        <v>100T</v>
      </c>
    </row>
    <row r="33" spans="2:7">
      <c r="B33" s="27">
        <f t="shared" si="0"/>
        <v>29</v>
      </c>
      <c r="C33" s="27" t="str">
        <f ca="1"/>
        <v>カリメートドライシロップ９２．５９％</v>
      </c>
      <c r="D33" s="27">
        <f ca="1"/>
        <v>0</v>
      </c>
      <c r="E33" s="56">
        <f ca="1"/>
        <v>15</v>
      </c>
      <c r="F33" s="56" t="str">
        <f ca="1"/>
        <v/>
      </c>
      <c r="G33" s="56" t="str">
        <f ca="1"/>
        <v>5.4ｇｘ126包</v>
      </c>
    </row>
    <row r="34" spans="2:7">
      <c r="B34" s="27">
        <f t="shared" si="0"/>
        <v>30</v>
      </c>
      <c r="C34" s="27" t="str">
        <f ca="1"/>
        <v>グラアルファ配合点眼液</v>
      </c>
      <c r="D34" s="27">
        <f ca="1"/>
        <v>0</v>
      </c>
      <c r="E34" s="56">
        <f ca="1"/>
        <v>3</v>
      </c>
      <c r="F34" s="56" t="str">
        <f ca="1"/>
        <v/>
      </c>
      <c r="G34" s="56" t="str">
        <f ca="1"/>
        <v>5ｍｌｘ5</v>
      </c>
    </row>
    <row r="35" spans="2:7">
      <c r="B35" s="27">
        <f t="shared" si="0"/>
        <v>31</v>
      </c>
      <c r="C35" s="27" t="str">
        <f ca="1"/>
        <v>クロピドグレル錠２５ｍｇ「ＪＧ」</v>
      </c>
      <c r="D35" s="27">
        <f ca="1"/>
        <v>0</v>
      </c>
      <c r="E35" s="56">
        <f ca="1"/>
        <v>3</v>
      </c>
      <c r="F35" s="56" t="str">
        <f ca="1"/>
        <v>PTP</v>
      </c>
      <c r="G35" s="56" t="str">
        <f ca="1"/>
        <v>100Ｔ</v>
      </c>
    </row>
    <row r="36" spans="2:7">
      <c r="B36" s="27">
        <f t="shared" si="0"/>
        <v>32</v>
      </c>
      <c r="C36" s="27" t="str">
        <f ca="1"/>
        <v>クロフェクトン錠２５ｍｇ</v>
      </c>
      <c r="D36" s="27">
        <f ca="1"/>
        <v>0</v>
      </c>
      <c r="E36" s="56">
        <f ca="1"/>
        <v>3</v>
      </c>
      <c r="F36" s="56" t="str">
        <f ca="1"/>
        <v>PTP</v>
      </c>
      <c r="G36" s="56" t="str">
        <f ca="1"/>
        <v>100T</v>
      </c>
    </row>
    <row r="37" spans="2:7">
      <c r="B37" s="27">
        <f t="shared" si="0"/>
        <v>33</v>
      </c>
      <c r="C37" s="27" t="str">
        <f ca="1"/>
        <v>コソプト配合点眼液</v>
      </c>
      <c r="D37" s="27">
        <f ca="1"/>
        <v>0</v>
      </c>
      <c r="E37" s="56">
        <f ca="1"/>
        <v>3</v>
      </c>
      <c r="F37" s="56" t="str">
        <f ca="1"/>
        <v/>
      </c>
      <c r="G37" s="56" t="str">
        <f ca="1"/>
        <v>5ｍｌｘ10</v>
      </c>
    </row>
    <row r="38" spans="2:7">
      <c r="B38" s="27">
        <f t="shared" si="0"/>
        <v>34</v>
      </c>
      <c r="C38" s="27" t="str">
        <f ca="1"/>
        <v>ジクアス点眼液３％</v>
      </c>
      <c r="D38" s="27">
        <f ca="1"/>
        <v>0</v>
      </c>
      <c r="E38" s="56">
        <f ca="1"/>
        <v>3</v>
      </c>
      <c r="F38" s="56" t="str">
        <f ca="1"/>
        <v/>
      </c>
      <c r="G38" s="56" t="str">
        <f ca="1"/>
        <v>5ｍｌｘ10</v>
      </c>
    </row>
    <row r="39" spans="2:7">
      <c r="B39" s="27">
        <f t="shared" si="0"/>
        <v>35</v>
      </c>
      <c r="C39" s="27" t="str">
        <f ca="1"/>
        <v>スミスリンローション５％</v>
      </c>
      <c r="D39" s="27">
        <f ca="1"/>
        <v>0</v>
      </c>
      <c r="E39" s="56">
        <f ca="1"/>
        <v>3</v>
      </c>
      <c r="F39" s="56" t="str">
        <f ca="1"/>
        <v/>
      </c>
      <c r="G39" s="56" t="str">
        <f ca="1"/>
        <v>30ｇｘ2</v>
      </c>
    </row>
    <row r="40" spans="2:7">
      <c r="B40" s="27">
        <f t="shared" si="0"/>
        <v>36</v>
      </c>
      <c r="C40" s="27" t="str">
        <f ca="1"/>
        <v>セララ錠５０ｍｇ</v>
      </c>
      <c r="D40" s="27">
        <f ca="1"/>
        <v>0</v>
      </c>
      <c r="E40" s="56">
        <f ca="1"/>
        <v>3</v>
      </c>
      <c r="F40" s="56" t="str">
        <f ca="1"/>
        <v>PTP</v>
      </c>
      <c r="G40" s="56" t="str">
        <f ca="1"/>
        <v>100T</v>
      </c>
    </row>
    <row r="41" spans="2:7">
      <c r="B41" s="27">
        <f t="shared" si="0"/>
        <v>37</v>
      </c>
      <c r="C41" s="27" t="str">
        <f ca="1"/>
        <v>ソタロール塩酸塩錠８０ｍｇ「ＴＥ」</v>
      </c>
      <c r="D41" s="27">
        <f ca="1"/>
        <v>0</v>
      </c>
      <c r="E41" s="56">
        <f ca="1"/>
        <v>15</v>
      </c>
      <c r="F41" s="56" t="str">
        <f ca="1"/>
        <v>PTP</v>
      </c>
      <c r="G41" s="56" t="str">
        <f ca="1"/>
        <v>140T</v>
      </c>
    </row>
    <row r="42" spans="2:7">
      <c r="B42" s="27">
        <f t="shared" si="0"/>
        <v>38</v>
      </c>
      <c r="C42" s="27" t="str">
        <f ca="1"/>
        <v>ダイフェン配合錠</v>
      </c>
      <c r="D42" s="27">
        <f ca="1"/>
        <v>0</v>
      </c>
      <c r="E42" s="56">
        <f ca="1"/>
        <v>15</v>
      </c>
      <c r="F42" s="56" t="str">
        <f ca="1"/>
        <v>PTP</v>
      </c>
      <c r="G42" s="56" t="str">
        <f ca="1"/>
        <v>100T</v>
      </c>
    </row>
    <row r="43" spans="2:7">
      <c r="B43" s="27">
        <f t="shared" si="0"/>
        <v>39</v>
      </c>
      <c r="C43" s="27" t="str">
        <f ca="1"/>
        <v>タチオン錠５０ｍｇ</v>
      </c>
      <c r="D43" s="27">
        <f ca="1"/>
        <v>0</v>
      </c>
      <c r="E43" s="56">
        <f ca="1"/>
        <v>3</v>
      </c>
      <c r="F43" s="56" t="str">
        <f ca="1"/>
        <v>PTP</v>
      </c>
      <c r="G43" s="56" t="str">
        <f ca="1"/>
        <v>120T</v>
      </c>
    </row>
    <row r="44" spans="2:7">
      <c r="B44" s="27">
        <f t="shared" si="0"/>
        <v>40</v>
      </c>
      <c r="C44" s="27" t="str">
        <f ca="1"/>
        <v>ダラシンカプセル１５０ｍｇ</v>
      </c>
      <c r="D44" s="27">
        <f ca="1"/>
        <v>0</v>
      </c>
      <c r="E44" s="56">
        <f ca="1"/>
        <v>15</v>
      </c>
      <c r="F44" s="56" t="str">
        <f ca="1"/>
        <v>PTP</v>
      </c>
      <c r="G44" s="56" t="str">
        <f ca="1"/>
        <v>100T</v>
      </c>
    </row>
    <row r="45" spans="2:7">
      <c r="B45" s="27">
        <f t="shared" si="0"/>
        <v>41</v>
      </c>
      <c r="C45" s="27" t="str">
        <f ca="1"/>
        <v>タリージェ錠５ｍｇ</v>
      </c>
      <c r="D45" s="27">
        <f ca="1"/>
        <v>0</v>
      </c>
      <c r="E45" s="56">
        <f ca="1"/>
        <v>3</v>
      </c>
      <c r="F45" s="56" t="str">
        <f ca="1"/>
        <v>PTP</v>
      </c>
      <c r="G45" s="56" t="str">
        <f ca="1"/>
        <v>100T</v>
      </c>
    </row>
    <row r="46" spans="2:7">
      <c r="B46" s="27">
        <f t="shared" si="0"/>
        <v>42</v>
      </c>
      <c r="C46" s="27" t="str">
        <f ca="1"/>
        <v>チエナム点滴静注用０．５ｇ</v>
      </c>
      <c r="D46" s="27">
        <f ca="1"/>
        <v>0</v>
      </c>
      <c r="E46" s="56">
        <f ca="1"/>
        <v>8</v>
      </c>
      <c r="F46" s="56" t="str">
        <f ca="1"/>
        <v/>
      </c>
      <c r="G46" s="56" t="str">
        <f ca="1"/>
        <v>10瓶</v>
      </c>
    </row>
    <row r="47" spans="2:7">
      <c r="B47" s="27">
        <f t="shared" si="0"/>
        <v>43</v>
      </c>
      <c r="C47" s="27" t="str">
        <f ca="1"/>
        <v>チモロール点眼液０．５％「ニッテン」</v>
      </c>
      <c r="D47" s="27">
        <f ca="1"/>
        <v>0</v>
      </c>
      <c r="E47" s="56">
        <f ca="1"/>
        <v>3</v>
      </c>
      <c r="F47" s="56" t="str">
        <f ca="1"/>
        <v/>
      </c>
      <c r="G47" s="56" t="str">
        <f ca="1"/>
        <v>5MLX10</v>
      </c>
    </row>
    <row r="48" spans="2:7">
      <c r="B48" s="27">
        <f t="shared" si="0"/>
        <v>44</v>
      </c>
      <c r="C48" s="27" t="str">
        <f ca="1"/>
        <v>ツイミーグ錠５００ｍｇ</v>
      </c>
      <c r="D48" s="27">
        <f ca="1"/>
        <v>0</v>
      </c>
      <c r="E48" s="56">
        <f ca="1"/>
        <v>3</v>
      </c>
      <c r="F48" s="56" t="str">
        <f ca="1"/>
        <v>PTP</v>
      </c>
      <c r="G48" s="56" t="str">
        <f ca="1"/>
        <v>100Ｔ</v>
      </c>
    </row>
    <row r="49" spans="2:7">
      <c r="B49" s="27">
        <f t="shared" si="0"/>
        <v>45</v>
      </c>
      <c r="C49" s="27" t="str">
        <f ca="1"/>
        <v>デキストロメトルファン臭化水素酸塩錠１５ｍｇ「トーワ」</v>
      </c>
      <c r="D49" s="27">
        <f ca="1"/>
        <v>0</v>
      </c>
      <c r="E49" s="56">
        <f ca="1"/>
        <v>3</v>
      </c>
      <c r="F49" s="56" t="str">
        <f ca="1"/>
        <v>バラ</v>
      </c>
      <c r="G49" s="56" t="str">
        <f ca="1"/>
        <v>1000Ｔ</v>
      </c>
    </row>
    <row r="50" spans="2:7">
      <c r="B50" s="27">
        <f t="shared" si="0"/>
        <v>46</v>
      </c>
      <c r="C50" s="27" t="str">
        <f ca="1"/>
        <v>デパス細粒１％</v>
      </c>
      <c r="D50" s="27">
        <f ca="1"/>
        <v>0</v>
      </c>
      <c r="E50" s="56">
        <f ca="1"/>
        <v>2</v>
      </c>
      <c r="F50" s="56" t="str">
        <f ca="1"/>
        <v>粉</v>
      </c>
      <c r="G50" s="56" t="str">
        <f ca="1"/>
        <v>100ｇ</v>
      </c>
    </row>
    <row r="51" spans="2:7">
      <c r="B51" s="27">
        <f t="shared" si="0"/>
        <v>47</v>
      </c>
      <c r="C51" s="27" t="str">
        <f ca="1"/>
        <v>テリボン皮下注用５６．５μｇ　溶解液付</v>
      </c>
      <c r="D51" s="27">
        <f ca="1"/>
        <v>0</v>
      </c>
      <c r="E51" s="56">
        <f ca="1"/>
        <v>15</v>
      </c>
      <c r="F51" s="56" t="str">
        <f ca="1"/>
        <v/>
      </c>
      <c r="G51" s="56" t="str">
        <f ca="1"/>
        <v>1瓶</v>
      </c>
    </row>
    <row r="52" spans="2:7">
      <c r="B52" s="27">
        <f t="shared" si="0"/>
        <v>48</v>
      </c>
      <c r="C52" s="27" t="str">
        <f ca="1"/>
        <v>ドパストン静注５０ｍｇ</v>
      </c>
      <c r="D52" s="27">
        <f ca="1"/>
        <v>0</v>
      </c>
      <c r="E52" s="56">
        <f ca="1"/>
        <v>9</v>
      </c>
      <c r="F52" s="56" t="str">
        <f ca="1"/>
        <v/>
      </c>
      <c r="G52" s="56" t="str">
        <f ca="1"/>
        <v>20ｍｌｘ10A</v>
      </c>
    </row>
    <row r="53" spans="2:7">
      <c r="B53" s="27">
        <f t="shared" si="0"/>
        <v>49</v>
      </c>
      <c r="C53" s="27" t="str">
        <f ca="1"/>
        <v>トラセミド錠４ｍｇ「ＫＯ」</v>
      </c>
      <c r="D53" s="27">
        <f ca="1"/>
        <v>0</v>
      </c>
      <c r="E53" s="56">
        <f ca="1"/>
        <v>3</v>
      </c>
      <c r="F53" s="56" t="str">
        <f ca="1"/>
        <v>ＰＴＰ</v>
      </c>
      <c r="G53" s="56" t="str">
        <f ca="1"/>
        <v>100Ｔ</v>
      </c>
    </row>
    <row r="54" spans="2:7">
      <c r="B54" s="27">
        <f t="shared" si="0"/>
        <v>50</v>
      </c>
      <c r="C54" s="27" t="str">
        <f ca="1"/>
        <v>トラゼンタ錠５ｍｇ</v>
      </c>
      <c r="D54" s="27">
        <f ca="1"/>
        <v>0</v>
      </c>
      <c r="E54" s="56">
        <f ca="1"/>
        <v>3</v>
      </c>
      <c r="F54" s="56" t="str">
        <f ca="1"/>
        <v>PTP</v>
      </c>
      <c r="G54" s="56" t="str">
        <f ca="1"/>
        <v>100Ｔ</v>
      </c>
    </row>
    <row r="55" spans="2:7">
      <c r="B55" s="27">
        <f t="shared" si="0"/>
        <v>51</v>
      </c>
      <c r="C55" s="27" t="str">
        <f ca="1"/>
        <v>ドルミカム注射液１０ｍｇ</v>
      </c>
      <c r="D55" s="27">
        <f ca="1"/>
        <v>0</v>
      </c>
      <c r="E55" s="56">
        <f ca="1"/>
        <v>15</v>
      </c>
      <c r="F55" s="56" t="str">
        <f ca="1"/>
        <v/>
      </c>
      <c r="G55" s="56" t="str">
        <f ca="1"/>
        <v>2ｍｌｘ10A</v>
      </c>
    </row>
    <row r="56" spans="2:7">
      <c r="B56" s="27">
        <f t="shared" si="0"/>
        <v>52</v>
      </c>
      <c r="C56" s="27" t="str">
        <f ca="1"/>
        <v>ネイリンカプセル１００ｍｇ</v>
      </c>
      <c r="D56" s="27">
        <f ca="1"/>
        <v>0</v>
      </c>
      <c r="E56" s="56">
        <f ca="1"/>
        <v>3</v>
      </c>
      <c r="F56" s="56" t="str">
        <f ca="1"/>
        <v>PTP</v>
      </c>
      <c r="G56" s="56" t="str">
        <f ca="1"/>
        <v>84T</v>
      </c>
    </row>
    <row r="57" spans="2:7">
      <c r="B57" s="27">
        <f t="shared" si="0"/>
        <v>53</v>
      </c>
      <c r="C57" s="27" t="str">
        <f ca="1"/>
        <v>バルプロ酸ＮＡ徐放顆粒４０％「フジナガ」</v>
      </c>
      <c r="D57" s="27">
        <f ca="1"/>
        <v>0</v>
      </c>
      <c r="E57" s="56">
        <f ca="1"/>
        <v>15</v>
      </c>
      <c r="F57" s="56" t="str">
        <f ca="1"/>
        <v>粉</v>
      </c>
      <c r="G57" s="56" t="str">
        <f ca="1"/>
        <v>500ｇ</v>
      </c>
    </row>
    <row r="58" spans="2:7">
      <c r="B58" s="27">
        <f t="shared" si="0"/>
        <v>54</v>
      </c>
      <c r="C58" s="27" t="str">
        <f ca="1"/>
        <v>ピーゼットシー糖衣錠４ｍｇ</v>
      </c>
      <c r="D58" s="27">
        <f ca="1"/>
        <v>0</v>
      </c>
      <c r="E58" s="56">
        <f ca="1"/>
        <v>3</v>
      </c>
      <c r="F58" s="56" t="str">
        <f ca="1"/>
        <v>PTP</v>
      </c>
      <c r="G58" s="56" t="str">
        <f ca="1"/>
        <v>100T</v>
      </c>
    </row>
    <row r="59" spans="2:7">
      <c r="B59" s="27">
        <f t="shared" si="0"/>
        <v>55</v>
      </c>
      <c r="C59" s="27" t="str">
        <f ca="1"/>
        <v>ビソノテープ２ｍｇ</v>
      </c>
      <c r="D59" s="27">
        <f ca="1"/>
        <v>0</v>
      </c>
      <c r="E59" s="56">
        <f ca="1"/>
        <v>3</v>
      </c>
      <c r="F59" s="56" t="str">
        <f ca="1"/>
        <v/>
      </c>
      <c r="G59" s="56" t="str">
        <f ca="1"/>
        <v>70枚</v>
      </c>
    </row>
    <row r="60" spans="2:7">
      <c r="B60" s="27">
        <f t="shared" si="0"/>
        <v>56</v>
      </c>
      <c r="C60" s="27" t="str">
        <f ca="1"/>
        <v>ビソノテープ４ｍｇ</v>
      </c>
      <c r="D60" s="27">
        <f ca="1"/>
        <v>0</v>
      </c>
      <c r="E60" s="56">
        <f ca="1"/>
        <v>3</v>
      </c>
      <c r="F60" s="56" t="str">
        <f ca="1"/>
        <v/>
      </c>
      <c r="G60" s="56" t="str">
        <f ca="1"/>
        <v>70枚</v>
      </c>
    </row>
    <row r="61" spans="2:7">
      <c r="B61" s="27">
        <f t="shared" si="0"/>
        <v>57</v>
      </c>
      <c r="C61" s="27" t="str">
        <f ca="1"/>
        <v>ピモベンダン錠１．２５ｍｇ「ＴＥ」</v>
      </c>
      <c r="D61" s="27">
        <f ca="1"/>
        <v>0</v>
      </c>
      <c r="E61" s="56">
        <f ca="1"/>
        <v>15</v>
      </c>
      <c r="F61" s="56" t="str">
        <f ca="1"/>
        <v>PTP</v>
      </c>
      <c r="G61" s="56" t="str">
        <f ca="1"/>
        <v>100T</v>
      </c>
    </row>
    <row r="62" spans="2:7">
      <c r="B62" s="27">
        <f t="shared" si="0"/>
        <v>58</v>
      </c>
      <c r="C62" s="27" t="str">
        <f ca="1"/>
        <v>ピレノキシン懸濁性点眼液０．００５％「参天」</v>
      </c>
      <c r="D62" s="27">
        <f ca="1"/>
        <v>0</v>
      </c>
      <c r="E62" s="56">
        <f ca="1"/>
        <v>3</v>
      </c>
      <c r="F62" s="56" t="str">
        <f ca="1"/>
        <v/>
      </c>
      <c r="G62" s="56" t="str">
        <f ca="1"/>
        <v>5ｍｌｘ10</v>
      </c>
    </row>
    <row r="63" spans="2:7">
      <c r="B63" s="27">
        <f t="shared" si="0"/>
        <v>59</v>
      </c>
      <c r="C63" s="27" t="str">
        <f ca="1"/>
        <v>フラジール内服錠２５０ｍｇ</v>
      </c>
      <c r="D63" s="27">
        <f ca="1"/>
        <v>0</v>
      </c>
      <c r="E63" s="56">
        <f ca="1"/>
        <v>3</v>
      </c>
      <c r="F63" s="56" t="str">
        <f ca="1"/>
        <v>PTP</v>
      </c>
      <c r="G63" s="56" t="str">
        <f ca="1"/>
        <v>100錠</v>
      </c>
    </row>
    <row r="64" spans="2:7">
      <c r="B64" s="27">
        <f t="shared" si="0"/>
        <v>60</v>
      </c>
      <c r="C64" s="27" t="str">
        <f ca="1"/>
        <v>フラジール腟錠２５０ｍｇ</v>
      </c>
      <c r="D64" s="27">
        <f ca="1"/>
        <v>0</v>
      </c>
      <c r="E64" s="56">
        <f ca="1"/>
        <v>15</v>
      </c>
      <c r="F64" s="56" t="str">
        <f ca="1"/>
        <v>PTP</v>
      </c>
      <c r="G64" s="56" t="str">
        <f ca="1"/>
        <v>60T</v>
      </c>
    </row>
    <row r="65" spans="2:7">
      <c r="B65" s="27">
        <f t="shared" si="0"/>
        <v>61</v>
      </c>
      <c r="C65" s="27" t="str">
        <f ca="1"/>
        <v>フルイトラン錠２ｍｇ</v>
      </c>
      <c r="D65" s="27">
        <f ca="1"/>
        <v>0</v>
      </c>
      <c r="E65" s="56">
        <f ca="1"/>
        <v>3</v>
      </c>
      <c r="F65" s="56" t="str">
        <f ca="1"/>
        <v>PTP</v>
      </c>
      <c r="G65" s="56" t="str">
        <f ca="1"/>
        <v>100T</v>
      </c>
    </row>
    <row r="66" spans="2:7">
      <c r="B66" s="27">
        <f t="shared" si="0"/>
        <v>62</v>
      </c>
      <c r="C66" s="27" t="str">
        <f ca="1"/>
        <v>フルオロメトロン点眼液０．１％「ＮＩＴ」</v>
      </c>
      <c r="D66" s="27">
        <f ca="1"/>
        <v>0</v>
      </c>
      <c r="E66" s="56">
        <f ca="1"/>
        <v>3</v>
      </c>
      <c r="F66" s="56" t="str">
        <f ca="1"/>
        <v/>
      </c>
      <c r="G66" s="56" t="str">
        <f ca="1"/>
        <v>5ｍｌｘ10</v>
      </c>
    </row>
    <row r="67" spans="2:7">
      <c r="B67" s="27">
        <f t="shared" si="0"/>
        <v>63</v>
      </c>
      <c r="C67" s="27" t="str">
        <f ca="1"/>
        <v>プレガバリンＯＤ錠２５ｍｇ「サワイ」</v>
      </c>
      <c r="D67" s="27">
        <f ca="1"/>
        <v>0</v>
      </c>
      <c r="E67" s="56">
        <f ca="1"/>
        <v>1</v>
      </c>
      <c r="F67" s="56" t="str">
        <f ca="1"/>
        <v>ＰＴＰ</v>
      </c>
      <c r="G67" s="56" t="str">
        <f ca="1"/>
        <v>100Ｔ</v>
      </c>
    </row>
    <row r="68" spans="2:7">
      <c r="B68" s="27">
        <f t="shared" si="0"/>
        <v>64</v>
      </c>
      <c r="C68" s="27" t="str">
        <f ca="1"/>
        <v>プレガバリンＯＤ錠７５ｍｇ「サワイ」</v>
      </c>
      <c r="D68" s="27">
        <f ca="1"/>
        <v>0</v>
      </c>
      <c r="E68" s="56">
        <f ca="1"/>
        <v>1</v>
      </c>
      <c r="F68" s="56" t="str">
        <f ca="1"/>
        <v>PTP</v>
      </c>
      <c r="G68" s="56" t="str">
        <f ca="1"/>
        <v>100T</v>
      </c>
    </row>
    <row r="69" spans="2:7">
      <c r="B69" s="27">
        <f t="shared" si="0"/>
        <v>65</v>
      </c>
      <c r="C69" s="27" t="str">
        <f ca="1"/>
        <v>プレドニゾロン錠１ｍｇ「ＶＴＲＳ」</v>
      </c>
      <c r="D69" s="27">
        <f ca="1"/>
        <v>0</v>
      </c>
      <c r="E69" s="56">
        <f ca="1"/>
        <v>1</v>
      </c>
      <c r="F69" s="56" t="str">
        <f ca="1"/>
        <v>PTP</v>
      </c>
      <c r="G69" s="56" t="str">
        <f ca="1"/>
        <v>100T</v>
      </c>
    </row>
    <row r="70" spans="2:7">
      <c r="B70" s="27">
        <f t="shared" si="0"/>
        <v>66</v>
      </c>
      <c r="C70" s="27" t="str">
        <f ca="1"/>
        <v>ブロナック点眼液０．１％</v>
      </c>
      <c r="D70" s="27">
        <f ca="1"/>
        <v>0</v>
      </c>
      <c r="E70" s="56">
        <f ca="1"/>
        <v>3</v>
      </c>
      <c r="F70" s="56" t="str">
        <f ca="1"/>
        <v/>
      </c>
      <c r="G70" s="56" t="str">
        <f ca="1"/>
        <v>5ｍｌｘ10</v>
      </c>
    </row>
    <row r="71" spans="2:7">
      <c r="B71" s="27">
        <f t="shared" ref="B71:B134" si="1">B70+1</f>
        <v>67</v>
      </c>
      <c r="C71" s="27" t="str">
        <f ca="1"/>
        <v>ベタナミン錠１０ｍｇ</v>
      </c>
      <c r="D71" s="27">
        <f ca="1"/>
        <v>0</v>
      </c>
      <c r="E71" s="56">
        <f ca="1"/>
        <v>15</v>
      </c>
      <c r="F71" s="56" t="str">
        <f ca="1"/>
        <v>PTP</v>
      </c>
      <c r="G71" s="56" t="str">
        <f ca="1"/>
        <v>100T</v>
      </c>
    </row>
    <row r="72" spans="2:7">
      <c r="B72" s="27">
        <f t="shared" si="1"/>
        <v>68</v>
      </c>
      <c r="C72" s="27" t="str">
        <f ca="1"/>
        <v>ペンタサ顆粒９４％　５００ｍｇ含有</v>
      </c>
      <c r="D72" s="27">
        <f ca="1"/>
        <v>0</v>
      </c>
      <c r="E72" s="56">
        <f ca="1"/>
        <v>1</v>
      </c>
      <c r="F72" s="56" t="str">
        <f ca="1"/>
        <v>粉</v>
      </c>
      <c r="G72" s="56" t="str">
        <f ca="1"/>
        <v>0.53ｇｘ100包</v>
      </c>
    </row>
    <row r="73" spans="2:7">
      <c r="B73" s="27">
        <f t="shared" si="1"/>
        <v>69</v>
      </c>
      <c r="C73" s="27" t="str">
        <f ca="1"/>
        <v>ホーリンＶ膣用錠１ｍｇ</v>
      </c>
      <c r="D73" s="27">
        <f ca="1"/>
        <v>0</v>
      </c>
      <c r="E73" s="56">
        <f ca="1"/>
        <v>3</v>
      </c>
      <c r="F73" s="56" t="str">
        <f ca="1"/>
        <v>PTP</v>
      </c>
      <c r="G73" s="56" t="str">
        <f ca="1"/>
        <v>100T</v>
      </c>
    </row>
    <row r="74" spans="2:7">
      <c r="B74" s="27">
        <f t="shared" si="1"/>
        <v>70</v>
      </c>
      <c r="C74" s="27" t="str">
        <f ca="1"/>
        <v>ホスリボン配合顆粒</v>
      </c>
      <c r="D74" s="27">
        <f ca="1"/>
        <v>0</v>
      </c>
      <c r="E74" s="56">
        <f ca="1"/>
        <v>15</v>
      </c>
      <c r="F74" s="56" t="str">
        <f ca="1"/>
        <v>粉</v>
      </c>
      <c r="G74" s="56" t="str">
        <f ca="1"/>
        <v>200包</v>
      </c>
    </row>
    <row r="75" spans="2:7">
      <c r="B75" s="27">
        <f t="shared" si="1"/>
        <v>71</v>
      </c>
      <c r="C75" s="27" t="str">
        <f ca="1"/>
        <v>ポララミン注５ｍｇ</v>
      </c>
      <c r="D75" s="27">
        <f ca="1"/>
        <v>0</v>
      </c>
      <c r="E75" s="56">
        <f ca="1"/>
        <v>15</v>
      </c>
      <c r="F75" s="56" t="str">
        <f ca="1"/>
        <v/>
      </c>
      <c r="G75" s="56" t="str">
        <f ca="1"/>
        <v>1ｍｌｘ10Ａ</v>
      </c>
    </row>
    <row r="76" spans="2:7">
      <c r="B76" s="27">
        <f t="shared" si="1"/>
        <v>72</v>
      </c>
      <c r="C76" s="27" t="str">
        <f ca="1"/>
        <v>ボルズイ錠５ｍｇ</v>
      </c>
      <c r="D76" s="27">
        <f ca="1"/>
        <v>0</v>
      </c>
      <c r="E76" s="56">
        <f ca="1"/>
        <v>3</v>
      </c>
      <c r="F76" s="56" t="str">
        <f ca="1"/>
        <v>PTP</v>
      </c>
      <c r="G76" s="56" t="str">
        <f ca="1"/>
        <v>100T</v>
      </c>
    </row>
    <row r="77" spans="2:7">
      <c r="B77" s="27">
        <f t="shared" si="1"/>
        <v>73</v>
      </c>
      <c r="C77" s="27" t="str">
        <f ca="1"/>
        <v>ミケルナ配合点眼液</v>
      </c>
      <c r="D77" s="27">
        <f ca="1"/>
        <v>0</v>
      </c>
      <c r="E77" s="56">
        <f ca="1"/>
        <v>3</v>
      </c>
      <c r="F77" s="56" t="str">
        <f ca="1"/>
        <v/>
      </c>
      <c r="G77" s="56" t="str">
        <f ca="1"/>
        <v>2.5ｍｌｘ10</v>
      </c>
    </row>
    <row r="78" spans="2:7">
      <c r="B78" s="27">
        <f t="shared" si="1"/>
        <v>74</v>
      </c>
      <c r="C78" s="27" t="str">
        <f ca="1"/>
        <v>ムコスタ点眼液ＵＤ２％</v>
      </c>
      <c r="D78" s="27">
        <f ca="1"/>
        <v>0</v>
      </c>
      <c r="E78" s="56">
        <f ca="1"/>
        <v>3</v>
      </c>
      <c r="F78" s="56" t="str">
        <f ca="1"/>
        <v/>
      </c>
      <c r="G78" s="56" t="str">
        <f ca="1"/>
        <v>0.35ｍｌｘ112</v>
      </c>
    </row>
    <row r="79" spans="2:7">
      <c r="B79" s="27">
        <f t="shared" si="1"/>
        <v>75</v>
      </c>
      <c r="C79" s="27" t="str">
        <f ca="1"/>
        <v>メリスロン錠６ｍｇ</v>
      </c>
      <c r="D79" s="27">
        <f ca="1"/>
        <v>0</v>
      </c>
      <c r="E79" s="56">
        <f ca="1"/>
        <v>3</v>
      </c>
      <c r="F79" s="56" t="str">
        <f ca="1"/>
        <v>ＰＴＰ</v>
      </c>
      <c r="G79" s="56" t="str">
        <f ca="1"/>
        <v>100Ｔ</v>
      </c>
    </row>
    <row r="80" spans="2:7">
      <c r="B80" s="27">
        <f t="shared" si="1"/>
        <v>76</v>
      </c>
      <c r="C80" s="27" t="str">
        <f ca="1"/>
        <v>メルカゾール錠５ｍｇ</v>
      </c>
      <c r="D80" s="27">
        <f ca="1"/>
        <v>0</v>
      </c>
      <c r="E80" s="56">
        <f ca="1"/>
        <v>3</v>
      </c>
      <c r="F80" s="56" t="str">
        <f ca="1"/>
        <v>ＰＴＰ</v>
      </c>
      <c r="G80" s="56" t="str">
        <f ca="1"/>
        <v>100Ｔ</v>
      </c>
    </row>
    <row r="81" spans="2:7">
      <c r="B81" s="27">
        <f t="shared" si="1"/>
        <v>77</v>
      </c>
      <c r="C81" s="27" t="str">
        <f ca="1"/>
        <v>ユリス錠２ｍｇ</v>
      </c>
      <c r="D81" s="27">
        <f ca="1"/>
        <v>0</v>
      </c>
      <c r="E81" s="56">
        <f ca="1"/>
        <v>1</v>
      </c>
      <c r="F81" s="56" t="str">
        <f ca="1"/>
        <v>PTP</v>
      </c>
      <c r="G81" s="56" t="str">
        <f ca="1"/>
        <v>100T</v>
      </c>
    </row>
    <row r="82" spans="2:7">
      <c r="B82" s="27">
        <f t="shared" si="1"/>
        <v>78</v>
      </c>
      <c r="C82" s="27" t="str">
        <f ca="1"/>
        <v>ヨウ化カリウム丸５０ｍｇ「日医工」</v>
      </c>
      <c r="D82" s="27">
        <f ca="1"/>
        <v>0</v>
      </c>
      <c r="E82" s="56">
        <f ca="1"/>
        <v>15</v>
      </c>
      <c r="F82" s="56" t="str">
        <f ca="1"/>
        <v>PTP</v>
      </c>
      <c r="G82" s="56" t="str">
        <f ca="1"/>
        <v>1000丸</v>
      </c>
    </row>
    <row r="83" spans="2:7">
      <c r="B83" s="27">
        <f t="shared" si="1"/>
        <v>79</v>
      </c>
      <c r="C83" s="27" t="str">
        <f ca="1"/>
        <v>ラジカット内用懸濁液２．１％　　　３５ｍｌ</v>
      </c>
      <c r="D83" s="27">
        <f ca="1"/>
        <v>0</v>
      </c>
      <c r="E83" s="56">
        <f ca="1"/>
        <v>15</v>
      </c>
      <c r="F83" s="56" t="str">
        <f ca="1"/>
        <v/>
      </c>
      <c r="G83" s="56" t="str">
        <f ca="1"/>
        <v>35ｍｌｘ1</v>
      </c>
    </row>
    <row r="84" spans="2:7">
      <c r="B84" s="27">
        <f t="shared" si="1"/>
        <v>80</v>
      </c>
      <c r="C84" s="27" t="str">
        <f ca="1"/>
        <v>ラジカット内用懸濁液２．１％　　　５０ｍｌ</v>
      </c>
      <c r="D84" s="27">
        <f ca="1"/>
        <v>0</v>
      </c>
      <c r="E84" s="56">
        <f ca="1"/>
        <v>15</v>
      </c>
      <c r="F84" s="56" t="str">
        <f ca="1"/>
        <v/>
      </c>
      <c r="G84" s="56" t="str">
        <f ca="1"/>
        <v>50ｍｌｘ1</v>
      </c>
    </row>
    <row r="85" spans="2:7">
      <c r="B85" s="27">
        <f t="shared" si="1"/>
        <v>81</v>
      </c>
      <c r="C85" s="27" t="str">
        <f ca="1"/>
        <v>ラピアクタ点滴静注バッグ３００ｍｇ</v>
      </c>
      <c r="D85" s="27">
        <f ca="1"/>
        <v>0</v>
      </c>
      <c r="E85" s="56">
        <f ca="1"/>
        <v>6</v>
      </c>
      <c r="F85" s="56" t="str">
        <f ca="1"/>
        <v/>
      </c>
      <c r="G85" s="56" t="str">
        <f ca="1"/>
        <v>60ｍｌｘ1</v>
      </c>
    </row>
    <row r="86" spans="2:7">
      <c r="B86" s="27">
        <f t="shared" si="1"/>
        <v>82</v>
      </c>
      <c r="C86" s="27" t="str">
        <f ca="1"/>
        <v>リドメックスコーワ軟膏０．３％</v>
      </c>
      <c r="D86" s="27">
        <f ca="1"/>
        <v>0</v>
      </c>
      <c r="E86" s="56">
        <f ca="1"/>
        <v>3</v>
      </c>
      <c r="F86" s="56" t="str">
        <f ca="1"/>
        <v/>
      </c>
      <c r="G86" s="56" t="str">
        <f ca="1"/>
        <v>10ｇｘ10</v>
      </c>
    </row>
    <row r="87" spans="2:7">
      <c r="B87" s="27">
        <f t="shared" si="1"/>
        <v>83</v>
      </c>
      <c r="C87" s="27" t="str">
        <f ca="1"/>
        <v>リルゾール錠５０ｍｇ「ニプロ」</v>
      </c>
      <c r="D87" s="27">
        <f ca="1"/>
        <v>0</v>
      </c>
      <c r="E87" s="56">
        <f ca="1"/>
        <v>15</v>
      </c>
      <c r="F87" s="56" t="str">
        <f ca="1"/>
        <v>PTP</v>
      </c>
      <c r="G87" s="56" t="str">
        <f ca="1"/>
        <v>56T</v>
      </c>
    </row>
    <row r="88" spans="2:7">
      <c r="B88" s="27">
        <f t="shared" si="1"/>
        <v>84</v>
      </c>
      <c r="C88" s="27" t="str">
        <f ca="1"/>
        <v>リンデロン懸濁注２．５ｍｇ</v>
      </c>
      <c r="D88" s="27">
        <f ca="1"/>
        <v>0</v>
      </c>
      <c r="E88" s="56">
        <f ca="1"/>
        <v>11</v>
      </c>
      <c r="F88" s="56" t="str">
        <f ca="1"/>
        <v/>
      </c>
      <c r="G88" s="56" t="str">
        <f ca="1"/>
        <v>0.5ｘ10A</v>
      </c>
    </row>
    <row r="89" spans="2:7">
      <c r="B89" s="27">
        <f t="shared" si="1"/>
        <v>85</v>
      </c>
      <c r="C89" s="27" t="str">
        <f ca="1"/>
        <v>レボカルニチンＦＦ錠２５０ｍｇ「アメル」</v>
      </c>
      <c r="D89" s="27">
        <f ca="1"/>
        <v>0</v>
      </c>
      <c r="E89" s="56">
        <f ca="1"/>
        <v>15</v>
      </c>
      <c r="F89" s="56" t="str">
        <f ca="1"/>
        <v>PTP</v>
      </c>
      <c r="G89" s="56" t="str">
        <f ca="1"/>
        <v>100T</v>
      </c>
    </row>
    <row r="90" spans="2:7">
      <c r="B90" s="27">
        <f t="shared" si="1"/>
        <v>86</v>
      </c>
      <c r="C90" s="27" t="str">
        <f ca="1"/>
        <v>レボフロキサシン細粒１０％「ＤＳＥＰ」</v>
      </c>
      <c r="D90" s="27">
        <f ca="1"/>
        <v>0</v>
      </c>
      <c r="E90" s="56">
        <f ca="1"/>
        <v>2</v>
      </c>
      <c r="F90" s="56" t="str">
        <f ca="1"/>
        <v>粉</v>
      </c>
      <c r="G90" s="56" t="str">
        <f ca="1"/>
        <v>100ｇ</v>
      </c>
    </row>
    <row r="91" spans="2:7">
      <c r="B91" s="27">
        <f t="shared" si="1"/>
        <v>87</v>
      </c>
      <c r="C91" s="27" t="str">
        <f ca="1"/>
        <v>レボフロキサシン点眼液１．５％「ニットー」</v>
      </c>
      <c r="D91" s="27">
        <f ca="1"/>
        <v>0</v>
      </c>
      <c r="E91" s="56">
        <f ca="1"/>
        <v>3</v>
      </c>
      <c r="F91" s="56" t="str">
        <f ca="1"/>
        <v/>
      </c>
      <c r="G91" s="56" t="str">
        <f ca="1"/>
        <v>5ｍｌｘ10</v>
      </c>
    </row>
    <row r="92" spans="2:7">
      <c r="B92" s="27">
        <f t="shared" si="1"/>
        <v>88</v>
      </c>
      <c r="C92" s="27" t="str">
        <f ca="1"/>
        <v>レルベア１００エリプタ３０吸入用</v>
      </c>
      <c r="D92" s="27">
        <f ca="1"/>
        <v>0</v>
      </c>
      <c r="E92" s="56">
        <f ca="1"/>
        <v>3</v>
      </c>
      <c r="F92" s="56" t="str">
        <f ca="1"/>
        <v/>
      </c>
      <c r="G92" s="56" t="str">
        <f ca="1"/>
        <v>1個</v>
      </c>
    </row>
    <row r="93" spans="2:7">
      <c r="B93" s="27">
        <f t="shared" si="1"/>
        <v>89</v>
      </c>
      <c r="C93" s="27" t="str">
        <f ca="1"/>
        <v>レルベア２００エリプタ３０吸入用</v>
      </c>
      <c r="D93" s="27">
        <f ca="1"/>
        <v>0</v>
      </c>
      <c r="E93" s="56">
        <f ca="1"/>
        <v>3</v>
      </c>
      <c r="F93" s="56" t="str">
        <f ca="1"/>
        <v/>
      </c>
      <c r="G93" s="56" t="str">
        <f ca="1"/>
        <v>1個</v>
      </c>
    </row>
    <row r="94" spans="2:7">
      <c r="B94" s="27">
        <f t="shared" si="1"/>
        <v>90</v>
      </c>
      <c r="C94" s="27" t="str">
        <f ca="1"/>
        <v>ロケルマ懸濁用散分包５ｇ</v>
      </c>
      <c r="D94" s="27">
        <f ca="1"/>
        <v>0</v>
      </c>
      <c r="E94" s="56">
        <f ca="1"/>
        <v>3</v>
      </c>
      <c r="F94" s="56" t="str">
        <f ca="1"/>
        <v>粉</v>
      </c>
      <c r="G94" s="56" t="str">
        <f ca="1"/>
        <v>28包</v>
      </c>
    </row>
    <row r="95" spans="2:7">
      <c r="B95" s="27">
        <f t="shared" si="1"/>
        <v>91</v>
      </c>
      <c r="C95" s="27" t="str">
        <f ca="1"/>
        <v>ロゼレム錠８ｍｇ</v>
      </c>
      <c r="D95" s="27">
        <f ca="1"/>
        <v>0</v>
      </c>
      <c r="E95" s="56">
        <f ca="1"/>
        <v>3</v>
      </c>
      <c r="F95" s="56" t="str">
        <f ca="1"/>
        <v>PTP</v>
      </c>
      <c r="G95" s="56" t="str">
        <f ca="1"/>
        <v>100T</v>
      </c>
    </row>
    <row r="96" spans="2:7">
      <c r="B96" s="27">
        <f t="shared" si="1"/>
        <v>92</v>
      </c>
      <c r="C96" s="27" t="str">
        <f ca="1"/>
        <v>水溶性プレドニン１０ｍｇ</v>
      </c>
      <c r="D96" s="27">
        <f ca="1"/>
        <v>0</v>
      </c>
      <c r="E96" s="56">
        <f ca="1"/>
        <v>9</v>
      </c>
      <c r="F96" s="56" t="str">
        <f ca="1"/>
        <v/>
      </c>
      <c r="G96" s="56" t="str">
        <f ca="1"/>
        <v>10A</v>
      </c>
    </row>
    <row r="97" spans="2:7">
      <c r="B97" s="27">
        <f t="shared" si="1"/>
        <v>93</v>
      </c>
      <c r="C97" s="27" t="str">
        <f ca="1"/>
        <v>アセリオ静注液１０００ｍｇバッグ</v>
      </c>
      <c r="D97" s="27">
        <f ca="1"/>
        <v>2</v>
      </c>
      <c r="E97" s="56">
        <f ca="1"/>
        <v>8</v>
      </c>
      <c r="F97" s="56" t="str">
        <f ca="1"/>
        <v/>
      </c>
      <c r="G97" s="56" t="str">
        <f ca="1"/>
        <v>100ｍｌｘ20</v>
      </c>
    </row>
    <row r="98" spans="2:7">
      <c r="B98" s="27">
        <f t="shared" si="1"/>
        <v>94</v>
      </c>
      <c r="C98" s="27" t="str">
        <f ca="1"/>
        <v>アセレンド注１００μｇ</v>
      </c>
      <c r="D98" s="27">
        <f ca="1"/>
        <v>2</v>
      </c>
      <c r="E98" s="56">
        <f ca="1"/>
        <v>9</v>
      </c>
      <c r="F98" s="56" t="str">
        <f ca="1"/>
        <v/>
      </c>
      <c r="G98" s="56" t="str">
        <f ca="1"/>
        <v>2ｍｌｘ10A</v>
      </c>
    </row>
    <row r="99" spans="2:7">
      <c r="B99" s="27">
        <f t="shared" si="1"/>
        <v>95</v>
      </c>
      <c r="C99" s="27" t="str">
        <f ca="1"/>
        <v>アナストロゾール錠１ｍｇ「サワイ」</v>
      </c>
      <c r="D99" s="27">
        <f ca="1"/>
        <v>2</v>
      </c>
      <c r="E99" s="56">
        <f ca="1"/>
        <v>3</v>
      </c>
      <c r="F99" s="56" t="str">
        <f ca="1"/>
        <v>PTP</v>
      </c>
      <c r="G99" s="56" t="str">
        <f ca="1"/>
        <v>30Ｔ</v>
      </c>
    </row>
    <row r="100" spans="2:7">
      <c r="B100" s="27">
        <f t="shared" si="1"/>
        <v>96</v>
      </c>
      <c r="C100" s="27" t="str">
        <f ca="1"/>
        <v>イリボー錠５μｇ</v>
      </c>
      <c r="D100" s="27">
        <f ca="1"/>
        <v>2</v>
      </c>
      <c r="E100" s="56">
        <f ca="1"/>
        <v>15</v>
      </c>
      <c r="F100" s="56" t="str">
        <f ca="1"/>
        <v>PTP</v>
      </c>
      <c r="G100" s="56" t="str">
        <f ca="1"/>
        <v>100T</v>
      </c>
    </row>
    <row r="101" spans="2:7">
      <c r="B101" s="27">
        <f t="shared" si="1"/>
        <v>97</v>
      </c>
      <c r="C101" s="27" t="str">
        <f ca="1"/>
        <v>インチュニブ錠１ｍｇ</v>
      </c>
      <c r="D101" s="27">
        <f ca="1"/>
        <v>2</v>
      </c>
      <c r="E101" s="56">
        <f ca="1"/>
        <v>3</v>
      </c>
      <c r="F101" s="56" t="str">
        <f ca="1"/>
        <v>PTP</v>
      </c>
      <c r="G101" s="56" t="str">
        <f ca="1"/>
        <v>100T</v>
      </c>
    </row>
    <row r="102" spans="2:7">
      <c r="B102" s="27">
        <f t="shared" si="1"/>
        <v>98</v>
      </c>
      <c r="C102" s="27" t="str">
        <f ca="1"/>
        <v>コンサータ錠１８ｍｇ</v>
      </c>
      <c r="D102" s="27">
        <f ca="1"/>
        <v>2</v>
      </c>
      <c r="E102" s="56">
        <f ca="1"/>
        <v>3</v>
      </c>
      <c r="F102" s="56" t="str">
        <f ca="1"/>
        <v>PTP</v>
      </c>
      <c r="G102" s="56" t="str">
        <f ca="1"/>
        <v>100T</v>
      </c>
    </row>
    <row r="103" spans="2:7">
      <c r="B103" s="27">
        <f t="shared" si="1"/>
        <v>99</v>
      </c>
      <c r="C103" s="27" t="str">
        <f ca="1"/>
        <v>サンリズムカプセル２５ｍｇ</v>
      </c>
      <c r="D103" s="27">
        <f ca="1"/>
        <v>2</v>
      </c>
      <c r="E103" s="56">
        <f ca="1"/>
        <v>2</v>
      </c>
      <c r="F103" s="56" t="str">
        <f ca="1"/>
        <v>PTP</v>
      </c>
      <c r="G103" s="56" t="str">
        <f ca="1"/>
        <v>100P</v>
      </c>
    </row>
    <row r="104" spans="2:7">
      <c r="B104" s="27">
        <f t="shared" si="1"/>
        <v>100</v>
      </c>
      <c r="C104" s="27" t="str">
        <f ca="1"/>
        <v>シクロスポリンカプセル５０ｍｇ「トーワ」</v>
      </c>
      <c r="D104" s="27">
        <f ca="1"/>
        <v>2</v>
      </c>
      <c r="E104" s="56">
        <f ca="1"/>
        <v>3</v>
      </c>
      <c r="F104" s="56" t="str">
        <f ca="1"/>
        <v>PTP</v>
      </c>
      <c r="G104" s="56" t="str">
        <f ca="1"/>
        <v>100cap</v>
      </c>
    </row>
    <row r="105" spans="2:7">
      <c r="B105" s="27">
        <f t="shared" si="1"/>
        <v>101</v>
      </c>
      <c r="C105" s="27" t="str">
        <f ca="1"/>
        <v>シベンゾリンコハク酸塩錠１００ｍｇ「サワイ」</v>
      </c>
      <c r="D105" s="27">
        <f ca="1"/>
        <v>2</v>
      </c>
      <c r="E105" s="56">
        <f ca="1"/>
        <v>3</v>
      </c>
      <c r="F105" s="56" t="str">
        <f ca="1"/>
        <v>PTP</v>
      </c>
      <c r="G105" s="56" t="str">
        <f ca="1"/>
        <v>100T</v>
      </c>
    </row>
    <row r="106" spans="2:7">
      <c r="B106" s="27">
        <f t="shared" si="1"/>
        <v>102</v>
      </c>
      <c r="C106" s="27" t="str">
        <f ca="1"/>
        <v>ストロメクトール錠３ｍｇ</v>
      </c>
      <c r="D106" s="27">
        <f ca="1"/>
        <v>2</v>
      </c>
      <c r="E106" s="56">
        <f ca="1"/>
        <v>3</v>
      </c>
      <c r="F106" s="56" t="str">
        <f ca="1"/>
        <v>PTP</v>
      </c>
      <c r="G106" s="56" t="str">
        <f ca="1"/>
        <v>10T</v>
      </c>
    </row>
    <row r="107" spans="2:7">
      <c r="B107" s="27">
        <f t="shared" si="1"/>
        <v>103</v>
      </c>
      <c r="C107" s="27" t="str">
        <f ca="1"/>
        <v>セパミット細粒１％</v>
      </c>
      <c r="D107" s="27">
        <f ca="1"/>
        <v>2</v>
      </c>
      <c r="E107" s="56">
        <f ca="1"/>
        <v>3</v>
      </c>
      <c r="F107" s="56" t="str">
        <f ca="1"/>
        <v>粉</v>
      </c>
      <c r="G107" s="56" t="str">
        <f ca="1"/>
        <v>1ｇｘ300包</v>
      </c>
    </row>
    <row r="108" spans="2:7">
      <c r="B108" s="27">
        <f t="shared" si="1"/>
        <v>104</v>
      </c>
      <c r="C108" s="27" t="str">
        <f ca="1"/>
        <v>ソルダクトン静注用１００ｍｇ</v>
      </c>
      <c r="D108" s="27">
        <f ca="1"/>
        <v>2</v>
      </c>
      <c r="E108" s="56">
        <f ca="1"/>
        <v>9</v>
      </c>
      <c r="F108" s="56" t="str">
        <f ca="1"/>
        <v/>
      </c>
      <c r="G108" s="56" t="str">
        <f ca="1"/>
        <v>10管</v>
      </c>
    </row>
    <row r="109" spans="2:7">
      <c r="B109" s="27">
        <f t="shared" si="1"/>
        <v>105</v>
      </c>
      <c r="C109" s="27" t="str">
        <f ca="1"/>
        <v>ダーブロック錠２ｍｇ</v>
      </c>
      <c r="D109" s="27">
        <f ca="1"/>
        <v>2</v>
      </c>
      <c r="E109" s="56">
        <f ca="1"/>
        <v>15</v>
      </c>
      <c r="F109" s="56" t="str">
        <f ca="1"/>
        <v>PTP</v>
      </c>
      <c r="G109" s="56" t="str">
        <f ca="1"/>
        <v>100T</v>
      </c>
    </row>
    <row r="110" spans="2:7">
      <c r="B110" s="27">
        <f t="shared" si="1"/>
        <v>106</v>
      </c>
      <c r="C110" s="27" t="str">
        <f ca="1"/>
        <v>タクロリムスカプセル１ｍｇ「ニプロ」</v>
      </c>
      <c r="D110" s="27">
        <f ca="1"/>
        <v>2</v>
      </c>
      <c r="E110" s="56">
        <f ca="1"/>
        <v>15</v>
      </c>
      <c r="F110" s="56" t="str">
        <f ca="1"/>
        <v>PTP</v>
      </c>
      <c r="G110" s="56" t="str">
        <f ca="1"/>
        <v>100cap</v>
      </c>
    </row>
    <row r="111" spans="2:7">
      <c r="B111" s="27">
        <f t="shared" si="1"/>
        <v>107</v>
      </c>
      <c r="C111" s="27" t="str">
        <f ca="1"/>
        <v>ダルベポエチン　アルファＢＳ注１２０μｇシリンジ「三和」</v>
      </c>
      <c r="D111" s="27">
        <f ca="1"/>
        <v>2</v>
      </c>
      <c r="E111" s="56">
        <f ca="1"/>
        <v>11</v>
      </c>
      <c r="F111" s="56" t="str">
        <f ca="1"/>
        <v/>
      </c>
      <c r="G111" s="56" t="str">
        <f ca="1"/>
        <v>1シリンジ</v>
      </c>
    </row>
    <row r="112" spans="2:7">
      <c r="B112" s="27">
        <f t="shared" si="1"/>
        <v>108</v>
      </c>
      <c r="C112" s="27" t="str">
        <f ca="1"/>
        <v>ダルベポエチン　アルファＢＳ注３０μｇシリンジ「三和」</v>
      </c>
      <c r="D112" s="27">
        <f ca="1"/>
        <v>2</v>
      </c>
      <c r="E112" s="56">
        <f ca="1"/>
        <v>15</v>
      </c>
      <c r="F112" s="56" t="str">
        <f ca="1"/>
        <v/>
      </c>
      <c r="G112" s="56" t="str">
        <f ca="1"/>
        <v>1シリンジ</v>
      </c>
    </row>
    <row r="113" spans="2:7">
      <c r="B113" s="27">
        <f t="shared" si="1"/>
        <v>109</v>
      </c>
      <c r="C113" s="27" t="str">
        <f ca="1"/>
        <v>ダルベポエチンアルファＢＳ注６０μｇシリンジ「三和」</v>
      </c>
      <c r="D113" s="27">
        <f ca="1"/>
        <v>2</v>
      </c>
      <c r="E113" s="56">
        <f ca="1"/>
        <v>15</v>
      </c>
      <c r="F113" s="56" t="str">
        <f ca="1"/>
        <v/>
      </c>
      <c r="G113" s="56" t="str">
        <f ca="1"/>
        <v>1シリンジ</v>
      </c>
    </row>
    <row r="114" spans="2:7">
      <c r="B114" s="27">
        <f t="shared" si="1"/>
        <v>110</v>
      </c>
      <c r="C114" s="27" t="str">
        <f ca="1"/>
        <v>タンボコール錠５０ｍｇ</v>
      </c>
      <c r="D114" s="27">
        <f ca="1"/>
        <v>2</v>
      </c>
      <c r="E114" s="56">
        <f ca="1"/>
        <v>8</v>
      </c>
      <c r="F114" s="56" t="str">
        <f ca="1"/>
        <v>PTP</v>
      </c>
      <c r="G114" s="56" t="str">
        <f ca="1"/>
        <v>100T</v>
      </c>
    </row>
    <row r="115" spans="2:7">
      <c r="B115" s="27">
        <f t="shared" si="1"/>
        <v>111</v>
      </c>
      <c r="C115" s="27" t="str">
        <f ca="1"/>
        <v>チラーヂンＳ静注液２００μｇ</v>
      </c>
      <c r="D115" s="27">
        <f ca="1"/>
        <v>2</v>
      </c>
      <c r="E115" s="56">
        <f ca="1"/>
        <v>15</v>
      </c>
      <c r="F115" s="56" t="str">
        <f ca="1"/>
        <v/>
      </c>
      <c r="G115" s="56" t="str">
        <f ca="1"/>
        <v>1ｍｌｘ2A</v>
      </c>
    </row>
    <row r="116" spans="2:7">
      <c r="B116" s="27">
        <f t="shared" si="1"/>
        <v>112</v>
      </c>
      <c r="C116" s="27" t="str">
        <f ca="1"/>
        <v>デュタステリドカプセル０．５ｍｇＡＶ「サワイ」</v>
      </c>
      <c r="D116" s="27">
        <f ca="1"/>
        <v>2</v>
      </c>
      <c r="E116" s="56">
        <f ca="1"/>
        <v>3</v>
      </c>
      <c r="F116" s="56" t="str">
        <f ca="1"/>
        <v>PTP</v>
      </c>
      <c r="G116" s="56" t="str">
        <f ca="1"/>
        <v>30Ｐ</v>
      </c>
    </row>
    <row r="117" spans="2:7">
      <c r="B117" s="27">
        <f t="shared" si="1"/>
        <v>113</v>
      </c>
      <c r="C117" s="27" t="str">
        <f ca="1"/>
        <v>トアラセット配合錠「オーハラ」</v>
      </c>
      <c r="D117" s="27">
        <f ca="1"/>
        <v>2</v>
      </c>
      <c r="E117" s="56">
        <f ca="1"/>
        <v>3</v>
      </c>
      <c r="F117" s="56" t="str">
        <f ca="1"/>
        <v>PTP</v>
      </c>
      <c r="G117" s="56" t="str">
        <f ca="1"/>
        <v>100T</v>
      </c>
    </row>
    <row r="118" spans="2:7">
      <c r="B118" s="27">
        <f t="shared" si="1"/>
        <v>114</v>
      </c>
      <c r="C118" s="27" t="str">
        <f ca="1"/>
        <v>トラマールＯＤ錠２５ｍｇ</v>
      </c>
      <c r="D118" s="27">
        <f ca="1"/>
        <v>2</v>
      </c>
      <c r="E118" s="56">
        <f ca="1"/>
        <v>3</v>
      </c>
      <c r="F118" s="56" t="str">
        <f ca="1"/>
        <v>PTP</v>
      </c>
      <c r="G118" s="56" t="str">
        <f ca="1"/>
        <v>100T</v>
      </c>
    </row>
    <row r="119" spans="2:7">
      <c r="B119" s="27">
        <f t="shared" si="1"/>
        <v>115</v>
      </c>
      <c r="C119" s="27" t="str">
        <f ca="1"/>
        <v>トルバプタンＯＤ錠７．５ｍｇ「ＴＥ」</v>
      </c>
      <c r="D119" s="27">
        <f ca="1"/>
        <v>2</v>
      </c>
      <c r="E119" s="56">
        <f ca="1"/>
        <v>3</v>
      </c>
      <c r="F119" s="56" t="str">
        <f ca="1"/>
        <v>PTP</v>
      </c>
      <c r="G119" s="56" t="str">
        <f ca="1"/>
        <v>20T</v>
      </c>
    </row>
    <row r="120" spans="2:7">
      <c r="B120" s="27">
        <f t="shared" si="1"/>
        <v>116</v>
      </c>
      <c r="C120" s="27" t="str">
        <f ca="1"/>
        <v>トルリシティ皮下注０．７５ｍｇアテオス</v>
      </c>
      <c r="D120" s="27">
        <f ca="1"/>
        <v>2</v>
      </c>
      <c r="E120" s="56">
        <f ca="1"/>
        <v>11</v>
      </c>
      <c r="F120" s="56" t="str">
        <f ca="1"/>
        <v/>
      </c>
      <c r="G120" s="56" t="str">
        <f ca="1"/>
        <v>2kit</v>
      </c>
    </row>
    <row r="121" spans="2:7">
      <c r="B121" s="27">
        <f t="shared" si="1"/>
        <v>117</v>
      </c>
      <c r="C121" s="27" t="str">
        <f ca="1"/>
        <v>トレシーバ注フレックスタッチ</v>
      </c>
      <c r="D121" s="27">
        <f ca="1"/>
        <v>2</v>
      </c>
      <c r="E121" s="56">
        <f ca="1"/>
        <v>11</v>
      </c>
      <c r="F121" s="56" t="str">
        <f ca="1"/>
        <v/>
      </c>
      <c r="G121" s="56" t="str">
        <f ca="1"/>
        <v>3ｍｌｘ2</v>
      </c>
    </row>
    <row r="122" spans="2:7">
      <c r="B122" s="27">
        <f t="shared" si="1"/>
        <v>118</v>
      </c>
      <c r="C122" s="27" t="str">
        <f ca="1"/>
        <v>ニュープロパッチ４．５ｍｇ</v>
      </c>
      <c r="D122" s="27">
        <f ca="1"/>
        <v>2</v>
      </c>
      <c r="E122" s="56">
        <f ca="1"/>
        <v>3</v>
      </c>
      <c r="F122" s="56" t="str">
        <f ca="1"/>
        <v/>
      </c>
      <c r="G122" s="56" t="str">
        <f ca="1"/>
        <v>28枚</v>
      </c>
    </row>
    <row r="123" spans="2:7">
      <c r="B123" s="27">
        <f t="shared" si="1"/>
        <v>119</v>
      </c>
      <c r="C123" s="27" t="str">
        <f ca="1"/>
        <v>ニューモバックスＮＰシリンジ</v>
      </c>
      <c r="D123" s="27">
        <f ca="1"/>
        <v>2</v>
      </c>
      <c r="E123" s="56">
        <f ca="1"/>
        <v>15</v>
      </c>
      <c r="F123" s="56" t="str">
        <f ca="1"/>
        <v/>
      </c>
      <c r="G123" s="56" t="str">
        <f ca="1"/>
        <v>0.5ｍｌｘ１</v>
      </c>
    </row>
    <row r="124" spans="2:7">
      <c r="B124" s="27">
        <f t="shared" si="1"/>
        <v>120</v>
      </c>
      <c r="C124" s="27" t="str">
        <f ca="1"/>
        <v>ノベルジン錠２５ｍｇ</v>
      </c>
      <c r="D124" s="27">
        <f ca="1"/>
        <v>2</v>
      </c>
      <c r="E124" s="56">
        <f ca="1"/>
        <v>3</v>
      </c>
      <c r="F124" s="56" t="str">
        <f ca="1"/>
        <v>PTP</v>
      </c>
      <c r="G124" s="56" t="str">
        <f ca="1"/>
        <v>100T</v>
      </c>
    </row>
    <row r="125" spans="2:7">
      <c r="B125" s="27">
        <f t="shared" si="1"/>
        <v>121</v>
      </c>
      <c r="C125" s="27" t="str">
        <f ca="1"/>
        <v>ハーフジゴキシンＫＹ錠０．１２５</v>
      </c>
      <c r="D125" s="27">
        <f ca="1"/>
        <v>2</v>
      </c>
      <c r="E125" s="56">
        <f ca="1"/>
        <v>15</v>
      </c>
      <c r="F125" s="56" t="str">
        <f ca="1"/>
        <v>PTP</v>
      </c>
      <c r="G125" s="56" t="str">
        <f ca="1"/>
        <v>100Ｔ</v>
      </c>
    </row>
    <row r="126" spans="2:7">
      <c r="B126" s="27">
        <f t="shared" si="1"/>
        <v>122</v>
      </c>
      <c r="C126" s="27" t="str">
        <f ca="1"/>
        <v>ビ・シフロール錠０．１２５ｍｇ</v>
      </c>
      <c r="D126" s="27">
        <f ca="1"/>
        <v>2</v>
      </c>
      <c r="E126" s="56">
        <f ca="1"/>
        <v>3</v>
      </c>
      <c r="F126" s="56" t="str">
        <f ca="1"/>
        <v>PTP</v>
      </c>
      <c r="G126" s="56" t="str">
        <f ca="1"/>
        <v>100Ｔ</v>
      </c>
    </row>
    <row r="127" spans="2:7">
      <c r="B127" s="27">
        <f t="shared" si="1"/>
        <v>123</v>
      </c>
      <c r="C127" s="27" t="str">
        <f ca="1"/>
        <v>ビカルタミド錠８０ｍｇ「オーハラ」</v>
      </c>
      <c r="D127" s="27">
        <f ca="1"/>
        <v>2</v>
      </c>
      <c r="E127" s="56">
        <f ca="1"/>
        <v>3</v>
      </c>
      <c r="F127" s="56" t="str">
        <f ca="1"/>
        <v>PTP</v>
      </c>
      <c r="G127" s="56" t="str">
        <f ca="1"/>
        <v>30T</v>
      </c>
    </row>
    <row r="128" spans="2:7">
      <c r="B128" s="27">
        <f t="shared" si="1"/>
        <v>124</v>
      </c>
      <c r="C128" s="27" t="str">
        <f ca="1"/>
        <v>ビプレッソ徐放錠１５０ｍｇ</v>
      </c>
      <c r="D128" s="27">
        <f ca="1"/>
        <v>2</v>
      </c>
      <c r="E128" s="56">
        <f ca="1"/>
        <v>3</v>
      </c>
      <c r="F128" s="56" t="str">
        <f ca="1"/>
        <v>PTP</v>
      </c>
      <c r="G128" s="56" t="str">
        <f ca="1"/>
        <v>100Ｔ</v>
      </c>
    </row>
    <row r="129" spans="2:7">
      <c r="B129" s="27">
        <f t="shared" si="1"/>
        <v>125</v>
      </c>
      <c r="C129" s="27" t="str">
        <f ca="1"/>
        <v>ビプレッソ徐放錠１５０ｍｇ</v>
      </c>
      <c r="D129" s="27">
        <f ca="1"/>
        <v>2</v>
      </c>
      <c r="E129" s="56">
        <f ca="1"/>
        <v>3</v>
      </c>
      <c r="F129" s="56" t="str">
        <f ca="1"/>
        <v>バラ</v>
      </c>
      <c r="G129" s="56" t="str">
        <f ca="1"/>
        <v>100Ｔ</v>
      </c>
    </row>
    <row r="130" spans="2:7">
      <c r="B130" s="27">
        <f t="shared" si="1"/>
        <v>126</v>
      </c>
      <c r="C130" s="27" t="str">
        <f ca="1"/>
        <v>ビプレッソ徐放錠５０ｍｇ</v>
      </c>
      <c r="D130" s="27">
        <f ca="1"/>
        <v>2</v>
      </c>
      <c r="E130" s="56">
        <f ca="1"/>
        <v>3</v>
      </c>
      <c r="F130" s="56" t="str">
        <f ca="1"/>
        <v>PTP</v>
      </c>
      <c r="G130" s="56" t="str">
        <f ca="1"/>
        <v>100Ｔ</v>
      </c>
    </row>
    <row r="131" spans="2:7">
      <c r="B131" s="27">
        <f t="shared" si="1"/>
        <v>127</v>
      </c>
      <c r="C131" s="27" t="str">
        <f ca="1"/>
        <v>ビプレッソ徐放錠５０ｍｇ</v>
      </c>
      <c r="D131" s="27">
        <f ca="1"/>
        <v>2</v>
      </c>
      <c r="E131" s="56">
        <f ca="1"/>
        <v>3</v>
      </c>
      <c r="F131" s="56" t="str">
        <f ca="1"/>
        <v>バラ</v>
      </c>
      <c r="G131" s="56" t="str">
        <f ca="1"/>
        <v>100Ｔ</v>
      </c>
    </row>
    <row r="132" spans="2:7">
      <c r="B132" s="27">
        <f t="shared" si="1"/>
        <v>128</v>
      </c>
      <c r="C132" s="27" t="str">
        <f ca="1"/>
        <v>ピメノールカプセル５０ｍｇ</v>
      </c>
      <c r="D132" s="27">
        <f ca="1"/>
        <v>2</v>
      </c>
      <c r="E132" s="56">
        <f ca="1"/>
        <v>3</v>
      </c>
      <c r="F132" s="56" t="str">
        <f ca="1"/>
        <v>PTP</v>
      </c>
      <c r="G132" s="56" t="str">
        <f ca="1"/>
        <v>100T</v>
      </c>
    </row>
    <row r="133" spans="2:7">
      <c r="B133" s="27">
        <f t="shared" si="1"/>
        <v>129</v>
      </c>
      <c r="C133" s="27" t="str">
        <f ca="1"/>
        <v>ヒューマログミックス５０注ミリオペン　３００単位</v>
      </c>
      <c r="D133" s="27">
        <f ca="1"/>
        <v>2</v>
      </c>
      <c r="E133" s="56">
        <f ca="1"/>
        <v>11</v>
      </c>
      <c r="F133" s="56" t="str">
        <f ca="1"/>
        <v/>
      </c>
      <c r="G133" s="56" t="str">
        <f ca="1"/>
        <v>3ｍｌｘ2</v>
      </c>
    </row>
    <row r="134" spans="2:7">
      <c r="B134" s="27">
        <f t="shared" si="1"/>
        <v>130</v>
      </c>
      <c r="C134" s="27" t="str">
        <f ca="1"/>
        <v>フェノバール錠３０ｍｇ</v>
      </c>
      <c r="D134" s="27">
        <f ca="1"/>
        <v>2</v>
      </c>
      <c r="E134" s="56">
        <f ca="1"/>
        <v>3</v>
      </c>
      <c r="F134" s="56" t="str">
        <f ca="1"/>
        <v>PTP</v>
      </c>
      <c r="G134" s="56" t="str">
        <f ca="1"/>
        <v>100T</v>
      </c>
    </row>
    <row r="135" spans="2:7">
      <c r="B135" s="27">
        <f t="shared" ref="B135:B198" si="2">B134+1</f>
        <v>131</v>
      </c>
      <c r="C135" s="27" t="str">
        <f ca="1"/>
        <v>プラリア皮下注６０ｍｇシリンジ</v>
      </c>
      <c r="D135" s="27">
        <f ca="1"/>
        <v>2</v>
      </c>
      <c r="E135" s="56">
        <f ca="1"/>
        <v>15</v>
      </c>
      <c r="F135" s="56" t="str">
        <f ca="1"/>
        <v/>
      </c>
      <c r="G135" s="56" t="str">
        <f ca="1"/>
        <v>1ｍｌｘ1本</v>
      </c>
    </row>
    <row r="136" spans="2:7">
      <c r="B136" s="27">
        <f t="shared" si="2"/>
        <v>132</v>
      </c>
      <c r="C136" s="27" t="str">
        <f ca="1"/>
        <v>ベサコリン散５％</v>
      </c>
      <c r="D136" s="27">
        <f ca="1"/>
        <v>2</v>
      </c>
      <c r="E136" s="56">
        <f ca="1"/>
        <v>2</v>
      </c>
      <c r="F136" s="56" t="str">
        <f ca="1"/>
        <v>粉</v>
      </c>
      <c r="G136" s="56" t="str">
        <f ca="1"/>
        <v>100ｇ</v>
      </c>
    </row>
    <row r="137" spans="2:7">
      <c r="B137" s="27">
        <f t="shared" si="2"/>
        <v>133</v>
      </c>
      <c r="C137" s="27" t="str">
        <f ca="1"/>
        <v>ベプリコール錠５０ｍｇ</v>
      </c>
      <c r="D137" s="27">
        <f ca="1"/>
        <v>2</v>
      </c>
      <c r="E137" s="56">
        <f ca="1"/>
        <v>3</v>
      </c>
      <c r="F137" s="56" t="str">
        <f ca="1"/>
        <v>PTP</v>
      </c>
      <c r="G137" s="56" t="str">
        <f ca="1"/>
        <v>100T</v>
      </c>
    </row>
    <row r="138" spans="2:7">
      <c r="B138" s="27">
        <f t="shared" si="2"/>
        <v>134</v>
      </c>
      <c r="C138" s="27" t="str">
        <f ca="1"/>
        <v>ボルタレン錠２５ｍｇ</v>
      </c>
      <c r="D138" s="27">
        <f ca="1"/>
        <v>2</v>
      </c>
      <c r="E138" s="56">
        <f ca="1"/>
        <v>2</v>
      </c>
      <c r="F138" s="56" t="str">
        <f ca="1"/>
        <v>PTP</v>
      </c>
      <c r="G138" s="56" t="str">
        <f ca="1"/>
        <v>100Ｔ</v>
      </c>
    </row>
    <row r="139" spans="2:7">
      <c r="B139" s="27">
        <f t="shared" si="2"/>
        <v>135</v>
      </c>
      <c r="C139" s="27" t="str">
        <f ca="1"/>
        <v>メトトレキサート錠２ｍｇ「あゆみ」</v>
      </c>
      <c r="D139" s="27">
        <f ca="1"/>
        <v>2</v>
      </c>
      <c r="E139" s="56">
        <f ca="1"/>
        <v>3</v>
      </c>
      <c r="F139" s="56" t="str">
        <f ca="1"/>
        <v>PTP</v>
      </c>
      <c r="G139" s="56" t="str">
        <f ca="1"/>
        <v>48T</v>
      </c>
    </row>
    <row r="140" spans="2:7">
      <c r="B140" s="27">
        <f t="shared" si="2"/>
        <v>136</v>
      </c>
      <c r="C140" s="27" t="str">
        <f ca="1"/>
        <v>ラコサミド錠５０ｍｇ「ＪＧ」</v>
      </c>
      <c r="D140" s="27">
        <f ca="1"/>
        <v>2</v>
      </c>
      <c r="E140" s="56">
        <f ca="1"/>
        <v>3</v>
      </c>
      <c r="F140" s="56" t="str">
        <f ca="1"/>
        <v>PTP</v>
      </c>
      <c r="G140" s="56" t="str">
        <f ca="1"/>
        <v>100T</v>
      </c>
    </row>
    <row r="141" spans="2:7">
      <c r="B141" s="27">
        <f t="shared" si="2"/>
        <v>137</v>
      </c>
      <c r="C141" s="27" t="str">
        <f ca="1"/>
        <v>ランタス注ソロスター３００単位</v>
      </c>
      <c r="D141" s="27">
        <f ca="1"/>
        <v>2</v>
      </c>
      <c r="E141" s="56">
        <f ca="1"/>
        <v>11</v>
      </c>
      <c r="F141" s="56" t="str">
        <f ca="1"/>
        <v/>
      </c>
      <c r="G141" s="56" t="str">
        <f ca="1"/>
        <v>3ｍｌｘ2本</v>
      </c>
    </row>
    <row r="142" spans="2:7">
      <c r="B142" s="27">
        <f t="shared" si="2"/>
        <v>138</v>
      </c>
      <c r="C142" s="27" t="str">
        <f ca="1"/>
        <v>リオレサール錠５ｍｇ</v>
      </c>
      <c r="D142" s="27">
        <f ca="1"/>
        <v>2</v>
      </c>
      <c r="E142" s="56">
        <f ca="1"/>
        <v>3</v>
      </c>
      <c r="F142" s="56" t="str">
        <f ca="1"/>
        <v>PTP</v>
      </c>
      <c r="G142" s="56" t="str">
        <f ca="1"/>
        <v>100Ｔ</v>
      </c>
    </row>
    <row r="143" spans="2:7">
      <c r="B143" s="27">
        <f t="shared" si="2"/>
        <v>139</v>
      </c>
      <c r="C143" s="27" t="str">
        <f ca="1"/>
        <v>リクラスト点滴静注液５ｍｇ</v>
      </c>
      <c r="D143" s="27">
        <f ca="1"/>
        <v>2</v>
      </c>
      <c r="E143" s="56">
        <f ca="1"/>
        <v>9</v>
      </c>
      <c r="F143" s="56" t="str">
        <f ca="1"/>
        <v/>
      </c>
      <c r="G143" s="56" t="str">
        <f ca="1"/>
        <v>1袋</v>
      </c>
    </row>
    <row r="144" spans="2:7">
      <c r="B144" s="27">
        <f t="shared" si="2"/>
        <v>140</v>
      </c>
      <c r="C144" s="27" t="str">
        <f ca="1"/>
        <v>リマチル錠１００ｍｇ</v>
      </c>
      <c r="D144" s="27">
        <f ca="1"/>
        <v>2</v>
      </c>
      <c r="E144" s="56">
        <f ca="1"/>
        <v>1</v>
      </c>
      <c r="F144" s="56" t="str">
        <f ca="1"/>
        <v>PTP</v>
      </c>
      <c r="G144" s="56" t="str">
        <f ca="1"/>
        <v>100T</v>
      </c>
    </row>
    <row r="145" spans="2:7">
      <c r="B145" s="27">
        <f t="shared" si="2"/>
        <v>141</v>
      </c>
      <c r="C145" s="27" t="str">
        <f ca="1"/>
        <v>リュープロレリン酢酸塩注射用キット３．７５ｍｇ「あすか」</v>
      </c>
      <c r="D145" s="27">
        <f ca="1"/>
        <v>2</v>
      </c>
      <c r="E145" s="56">
        <f ca="1"/>
        <v>15</v>
      </c>
      <c r="F145" s="56" t="str">
        <f ca="1"/>
        <v/>
      </c>
      <c r="G145" s="56" t="str">
        <f ca="1"/>
        <v>1筒</v>
      </c>
    </row>
    <row r="146" spans="2:7">
      <c r="B146" s="27">
        <f t="shared" si="2"/>
        <v>142</v>
      </c>
      <c r="C146" s="27" t="str">
        <f ca="1"/>
        <v>レトロゾール錠２．５ｍｇ「サワイ」</v>
      </c>
      <c r="D146" s="27">
        <f ca="1"/>
        <v>2</v>
      </c>
      <c r="E146" s="56">
        <f ca="1"/>
        <v>3</v>
      </c>
      <c r="F146" s="56" t="str">
        <f ca="1"/>
        <v>PTP</v>
      </c>
      <c r="G146" s="56" t="str">
        <f ca="1"/>
        <v>30Ｔ</v>
      </c>
    </row>
    <row r="147" spans="2:7">
      <c r="B147" s="27">
        <f t="shared" si="2"/>
        <v>143</v>
      </c>
      <c r="C147" s="27" t="str">
        <f ca="1"/>
        <v>レボレード錠１２．５ｍｇ</v>
      </c>
      <c r="D147" s="27">
        <f ca="1"/>
        <v>2</v>
      </c>
      <c r="E147" s="56">
        <f ca="1"/>
        <v>15</v>
      </c>
      <c r="F147" s="56" t="str">
        <f ca="1"/>
        <v>PTP</v>
      </c>
      <c r="G147" s="56" t="str">
        <f ca="1"/>
        <v>70T</v>
      </c>
    </row>
    <row r="148" spans="2:7">
      <c r="B148" s="27">
        <f t="shared" si="2"/>
        <v>144</v>
      </c>
      <c r="C148" s="27" t="str">
        <f ca="1"/>
        <v>レルパックス錠２０ｍｇ</v>
      </c>
      <c r="D148" s="27">
        <f ca="1"/>
        <v>2</v>
      </c>
      <c r="E148" s="56">
        <f ca="1"/>
        <v>3</v>
      </c>
      <c r="F148" s="56" t="str">
        <f ca="1"/>
        <v>PTP</v>
      </c>
      <c r="G148" s="56" t="str">
        <f ca="1"/>
        <v>10T</v>
      </c>
    </row>
    <row r="149" spans="2:7">
      <c r="B149" s="27">
        <f t="shared" si="2"/>
        <v>145</v>
      </c>
      <c r="C149" s="27"/>
      <c r="D149" s="27"/>
      <c r="E149" s="56"/>
      <c r="F149" s="56"/>
      <c r="G149" s="56"/>
    </row>
    <row r="150" spans="2:7">
      <c r="B150" s="27">
        <f t="shared" si="2"/>
        <v>146</v>
      </c>
      <c r="C150" s="27"/>
      <c r="D150" s="27"/>
      <c r="E150" s="56"/>
      <c r="F150" s="56"/>
      <c r="G150" s="56"/>
    </row>
    <row r="151" spans="2:7">
      <c r="B151" s="27">
        <f t="shared" si="2"/>
        <v>147</v>
      </c>
      <c r="C151" s="27"/>
      <c r="D151" s="27"/>
      <c r="E151" s="56"/>
      <c r="F151" s="56"/>
      <c r="G151" s="56"/>
    </row>
    <row r="152" spans="2:7">
      <c r="B152" s="27">
        <f t="shared" si="2"/>
        <v>148</v>
      </c>
      <c r="C152" s="27"/>
      <c r="D152" s="27"/>
      <c r="E152" s="56"/>
      <c r="F152" s="56"/>
      <c r="G152" s="56"/>
    </row>
    <row r="153" spans="2:7">
      <c r="B153" s="27">
        <f t="shared" si="2"/>
        <v>149</v>
      </c>
      <c r="C153" s="27"/>
      <c r="D153" s="27"/>
      <c r="E153" s="56"/>
      <c r="F153" s="56"/>
      <c r="G153" s="56"/>
    </row>
    <row r="154" spans="2:7">
      <c r="B154" s="27">
        <f t="shared" si="2"/>
        <v>150</v>
      </c>
      <c r="C154" s="27"/>
      <c r="D154" s="27"/>
      <c r="E154" s="56"/>
      <c r="F154" s="56"/>
      <c r="G154" s="56"/>
    </row>
    <row r="155" spans="2:7">
      <c r="B155" s="27">
        <f t="shared" si="2"/>
        <v>151</v>
      </c>
      <c r="C155" s="27"/>
      <c r="D155" s="27"/>
      <c r="E155" s="56"/>
      <c r="F155" s="56"/>
      <c r="G155" s="56"/>
    </row>
    <row r="156" spans="2:7">
      <c r="B156" s="27">
        <f t="shared" si="2"/>
        <v>152</v>
      </c>
      <c r="C156" s="27"/>
      <c r="D156" s="27"/>
      <c r="E156" s="56"/>
      <c r="F156" s="56"/>
      <c r="G156" s="56"/>
    </row>
    <row r="157" spans="2:7">
      <c r="B157" s="27">
        <f t="shared" si="2"/>
        <v>153</v>
      </c>
      <c r="C157" s="27"/>
      <c r="D157" s="27"/>
      <c r="E157" s="56"/>
      <c r="F157" s="56"/>
      <c r="G157" s="56"/>
    </row>
    <row r="158" spans="2:7">
      <c r="B158" s="27">
        <f t="shared" si="2"/>
        <v>154</v>
      </c>
      <c r="C158" s="27"/>
      <c r="D158" s="27"/>
      <c r="E158" s="56"/>
      <c r="F158" s="56"/>
      <c r="G158" s="56"/>
    </row>
    <row r="159" spans="2:7">
      <c r="B159" s="27">
        <f t="shared" si="2"/>
        <v>155</v>
      </c>
      <c r="C159" s="27"/>
      <c r="D159" s="27"/>
      <c r="E159" s="56"/>
      <c r="F159" s="56"/>
      <c r="G159" s="56"/>
    </row>
    <row r="160" spans="2:7">
      <c r="B160" s="27">
        <f t="shared" si="2"/>
        <v>156</v>
      </c>
      <c r="C160" s="27"/>
      <c r="D160" s="27"/>
      <c r="E160" s="56"/>
      <c r="F160" s="56"/>
      <c r="G160" s="56"/>
    </row>
    <row r="161" spans="2:7">
      <c r="B161" s="27">
        <f t="shared" si="2"/>
        <v>157</v>
      </c>
      <c r="C161" s="27"/>
      <c r="D161" s="27"/>
      <c r="E161" s="56"/>
      <c r="F161" s="56"/>
      <c r="G161" s="56"/>
    </row>
    <row r="162" spans="2:7">
      <c r="B162" s="27">
        <f t="shared" si="2"/>
        <v>158</v>
      </c>
      <c r="C162" s="27"/>
      <c r="D162" s="27"/>
      <c r="E162" s="56"/>
      <c r="F162" s="56"/>
      <c r="G162" s="56"/>
    </row>
    <row r="163" spans="2:7">
      <c r="B163" s="27">
        <f t="shared" si="2"/>
        <v>159</v>
      </c>
      <c r="C163" s="27"/>
      <c r="D163" s="27"/>
      <c r="E163" s="56"/>
      <c r="F163" s="56"/>
      <c r="G163" s="56"/>
    </row>
    <row r="164" spans="2:7">
      <c r="B164" s="27">
        <f t="shared" si="2"/>
        <v>160</v>
      </c>
      <c r="C164" s="27"/>
      <c r="D164" s="27"/>
      <c r="E164" s="56"/>
      <c r="F164" s="56"/>
      <c r="G164" s="56"/>
    </row>
    <row r="165" spans="2:7">
      <c r="B165" s="27">
        <f t="shared" si="2"/>
        <v>161</v>
      </c>
      <c r="C165" s="27"/>
      <c r="D165" s="27"/>
      <c r="E165" s="56"/>
      <c r="F165" s="56"/>
      <c r="G165" s="56"/>
    </row>
    <row r="166" spans="2:7">
      <c r="B166" s="27">
        <f t="shared" si="2"/>
        <v>162</v>
      </c>
      <c r="C166" s="27"/>
      <c r="D166" s="27"/>
      <c r="E166" s="56"/>
      <c r="F166" s="56"/>
      <c r="G166" s="56"/>
    </row>
    <row r="167" spans="2:7">
      <c r="B167" s="27">
        <f t="shared" si="2"/>
        <v>163</v>
      </c>
      <c r="C167" s="27"/>
      <c r="D167" s="27"/>
      <c r="E167" s="56"/>
      <c r="F167" s="56"/>
      <c r="G167" s="56"/>
    </row>
    <row r="168" spans="2:7">
      <c r="B168" s="27">
        <f t="shared" si="2"/>
        <v>164</v>
      </c>
      <c r="C168" s="27"/>
      <c r="D168" s="27"/>
      <c r="E168" s="56"/>
      <c r="F168" s="56"/>
      <c r="G168" s="56"/>
    </row>
    <row r="169" spans="2:7">
      <c r="B169" s="27">
        <f t="shared" si="2"/>
        <v>165</v>
      </c>
      <c r="C169" s="27"/>
      <c r="D169" s="27"/>
      <c r="E169" s="56"/>
      <c r="F169" s="56"/>
      <c r="G169" s="56"/>
    </row>
    <row r="170" spans="2:7">
      <c r="B170" s="27">
        <f t="shared" si="2"/>
        <v>166</v>
      </c>
      <c r="C170" s="27"/>
      <c r="D170" s="27"/>
      <c r="E170" s="56"/>
      <c r="F170" s="56"/>
      <c r="G170" s="56"/>
    </row>
    <row r="171" spans="2:7">
      <c r="B171" s="27">
        <f t="shared" si="2"/>
        <v>167</v>
      </c>
      <c r="C171" s="27"/>
      <c r="D171" s="27"/>
      <c r="E171" s="56"/>
      <c r="F171" s="56"/>
      <c r="G171" s="56"/>
    </row>
    <row r="172" spans="2:7">
      <c r="B172" s="27">
        <f t="shared" si="2"/>
        <v>168</v>
      </c>
      <c r="C172" s="27"/>
      <c r="D172" s="27"/>
      <c r="E172" s="56"/>
      <c r="F172" s="56"/>
      <c r="G172" s="56"/>
    </row>
    <row r="173" spans="2:7">
      <c r="B173" s="27">
        <f t="shared" si="2"/>
        <v>169</v>
      </c>
      <c r="C173" s="27"/>
      <c r="D173" s="27"/>
      <c r="E173" s="56"/>
      <c r="F173" s="56"/>
      <c r="G173" s="56"/>
    </row>
    <row r="174" spans="2:7">
      <c r="B174" s="27">
        <f t="shared" si="2"/>
        <v>170</v>
      </c>
      <c r="C174" s="27"/>
      <c r="D174" s="27"/>
      <c r="E174" s="56"/>
      <c r="F174" s="56"/>
      <c r="G174" s="56"/>
    </row>
    <row r="175" spans="2:7">
      <c r="B175" s="27">
        <f t="shared" si="2"/>
        <v>171</v>
      </c>
      <c r="C175" s="27"/>
      <c r="D175" s="27"/>
      <c r="E175" s="56"/>
      <c r="F175" s="56"/>
      <c r="G175" s="56"/>
    </row>
    <row r="176" spans="2:7">
      <c r="B176" s="27">
        <f t="shared" si="2"/>
        <v>172</v>
      </c>
      <c r="C176" s="27"/>
      <c r="D176" s="27"/>
      <c r="E176" s="56"/>
      <c r="F176" s="56"/>
      <c r="G176" s="56"/>
    </row>
    <row r="177" spans="2:7">
      <c r="B177" s="27">
        <f t="shared" si="2"/>
        <v>173</v>
      </c>
      <c r="C177" s="27"/>
      <c r="D177" s="27"/>
      <c r="E177" s="56"/>
      <c r="F177" s="56"/>
      <c r="G177" s="56"/>
    </row>
    <row r="178" spans="2:7">
      <c r="B178" s="27">
        <f t="shared" si="2"/>
        <v>174</v>
      </c>
      <c r="C178" s="27"/>
      <c r="D178" s="27"/>
      <c r="E178" s="56"/>
      <c r="F178" s="56"/>
      <c r="G178" s="56"/>
    </row>
    <row r="179" spans="2:7">
      <c r="B179" s="27">
        <f t="shared" si="2"/>
        <v>175</v>
      </c>
      <c r="C179" s="27"/>
      <c r="D179" s="27"/>
      <c r="E179" s="56"/>
      <c r="F179" s="56"/>
      <c r="G179" s="56"/>
    </row>
    <row r="180" spans="2:7">
      <c r="B180" s="27">
        <f t="shared" si="2"/>
        <v>176</v>
      </c>
      <c r="C180" s="27"/>
      <c r="D180" s="27"/>
      <c r="E180" s="56"/>
      <c r="F180" s="56"/>
      <c r="G180" s="56"/>
    </row>
    <row r="181" spans="2:7">
      <c r="B181" s="27">
        <f t="shared" si="2"/>
        <v>177</v>
      </c>
      <c r="C181" s="27"/>
      <c r="D181" s="27"/>
      <c r="E181" s="56"/>
      <c r="F181" s="56"/>
      <c r="G181" s="56"/>
    </row>
    <row r="182" spans="2:7">
      <c r="B182" s="27">
        <f t="shared" si="2"/>
        <v>178</v>
      </c>
      <c r="C182" s="27"/>
      <c r="D182" s="27"/>
      <c r="E182" s="56"/>
      <c r="F182" s="56"/>
      <c r="G182" s="56"/>
    </row>
    <row r="183" spans="2:7">
      <c r="B183" s="27">
        <f t="shared" si="2"/>
        <v>179</v>
      </c>
      <c r="C183" s="27"/>
      <c r="D183" s="27"/>
      <c r="E183" s="56"/>
      <c r="F183" s="56"/>
      <c r="G183" s="56"/>
    </row>
    <row r="184" spans="2:7">
      <c r="B184" s="27">
        <f t="shared" si="2"/>
        <v>180</v>
      </c>
      <c r="C184" s="27"/>
      <c r="D184" s="27"/>
      <c r="E184" s="56"/>
      <c r="F184" s="56"/>
      <c r="G184" s="56"/>
    </row>
    <row r="185" spans="2:7">
      <c r="B185" s="27">
        <f t="shared" si="2"/>
        <v>181</v>
      </c>
      <c r="C185" s="27"/>
      <c r="D185" s="27"/>
      <c r="E185" s="56"/>
      <c r="F185" s="56"/>
      <c r="G185" s="56"/>
    </row>
    <row r="186" spans="2:7">
      <c r="B186" s="27">
        <f t="shared" si="2"/>
        <v>182</v>
      </c>
      <c r="C186" s="27"/>
      <c r="D186" s="27"/>
      <c r="E186" s="56"/>
      <c r="F186" s="56"/>
      <c r="G186" s="56"/>
    </row>
    <row r="187" spans="2:7">
      <c r="B187" s="27">
        <f t="shared" si="2"/>
        <v>183</v>
      </c>
      <c r="C187" s="27"/>
      <c r="D187" s="27"/>
      <c r="E187" s="56"/>
      <c r="F187" s="56"/>
      <c r="G187" s="56"/>
    </row>
    <row r="188" spans="2:7">
      <c r="B188" s="27">
        <f t="shared" si="2"/>
        <v>184</v>
      </c>
      <c r="C188" s="27"/>
      <c r="D188" s="27"/>
      <c r="E188" s="56"/>
      <c r="F188" s="56"/>
      <c r="G188" s="56"/>
    </row>
    <row r="189" spans="2:7">
      <c r="B189" s="27">
        <f t="shared" si="2"/>
        <v>185</v>
      </c>
      <c r="C189" s="27"/>
      <c r="D189" s="27"/>
      <c r="E189" s="56"/>
      <c r="F189" s="56"/>
      <c r="G189" s="56"/>
    </row>
    <row r="190" spans="2:7">
      <c r="B190" s="27">
        <f t="shared" si="2"/>
        <v>186</v>
      </c>
      <c r="C190" s="27"/>
      <c r="D190" s="27"/>
      <c r="E190" s="56"/>
      <c r="F190" s="56"/>
      <c r="G190" s="56"/>
    </row>
    <row r="191" spans="2:7">
      <c r="B191" s="27">
        <f t="shared" si="2"/>
        <v>187</v>
      </c>
      <c r="C191" s="27"/>
      <c r="D191" s="27"/>
      <c r="E191" s="56"/>
      <c r="F191" s="56"/>
      <c r="G191" s="56"/>
    </row>
    <row r="192" spans="2:7">
      <c r="B192" s="27">
        <f t="shared" si="2"/>
        <v>188</v>
      </c>
      <c r="C192" s="27"/>
      <c r="D192" s="27"/>
      <c r="E192" s="56"/>
      <c r="F192" s="56"/>
      <c r="G192" s="56"/>
    </row>
    <row r="193" spans="2:7">
      <c r="B193" s="27">
        <f t="shared" si="2"/>
        <v>189</v>
      </c>
      <c r="C193" s="27"/>
      <c r="D193" s="27"/>
      <c r="E193" s="56"/>
      <c r="F193" s="56"/>
      <c r="G193" s="56"/>
    </row>
    <row r="194" spans="2:7">
      <c r="B194" s="27">
        <f t="shared" si="2"/>
        <v>190</v>
      </c>
      <c r="C194" s="27"/>
      <c r="D194" s="27"/>
      <c r="E194" s="56"/>
      <c r="F194" s="56"/>
      <c r="G194" s="56"/>
    </row>
    <row r="195" spans="2:7">
      <c r="B195" s="27">
        <f t="shared" si="2"/>
        <v>191</v>
      </c>
      <c r="C195" s="27"/>
      <c r="D195" s="27"/>
      <c r="E195" s="56"/>
      <c r="F195" s="56"/>
      <c r="G195" s="56"/>
    </row>
    <row r="196" spans="2:7">
      <c r="B196" s="27">
        <f t="shared" si="2"/>
        <v>192</v>
      </c>
      <c r="C196" s="27"/>
      <c r="D196" s="27"/>
      <c r="E196" s="56"/>
      <c r="F196" s="56"/>
      <c r="G196" s="56"/>
    </row>
    <row r="197" spans="2:7">
      <c r="B197" s="27">
        <f t="shared" si="2"/>
        <v>193</v>
      </c>
      <c r="C197" s="27"/>
      <c r="D197" s="27"/>
      <c r="E197" s="56"/>
      <c r="F197" s="56"/>
      <c r="G197" s="56"/>
    </row>
    <row r="198" spans="2:7">
      <c r="B198" s="27">
        <f t="shared" si="2"/>
        <v>194</v>
      </c>
      <c r="C198" s="27"/>
      <c r="D198" s="27"/>
      <c r="E198" s="56"/>
      <c r="F198" s="56"/>
      <c r="G198" s="56"/>
    </row>
    <row r="199" spans="2:7">
      <c r="B199" s="27">
        <f t="shared" ref="B199:B262" si="3">B198+1</f>
        <v>195</v>
      </c>
      <c r="C199" s="27"/>
      <c r="D199" s="27"/>
      <c r="E199" s="56"/>
      <c r="F199" s="56"/>
      <c r="G199" s="56"/>
    </row>
    <row r="200" spans="2:7">
      <c r="B200" s="27">
        <f t="shared" si="3"/>
        <v>196</v>
      </c>
      <c r="C200" s="27"/>
      <c r="D200" s="27"/>
      <c r="E200" s="56"/>
      <c r="F200" s="56"/>
      <c r="G200" s="56"/>
    </row>
    <row r="201" spans="2:7">
      <c r="B201" s="27">
        <f t="shared" si="3"/>
        <v>197</v>
      </c>
      <c r="C201" s="27"/>
      <c r="D201" s="27"/>
      <c r="E201" s="56"/>
      <c r="F201" s="56"/>
      <c r="G201" s="56"/>
    </row>
    <row r="202" spans="2:7">
      <c r="B202" s="27">
        <f t="shared" si="3"/>
        <v>198</v>
      </c>
      <c r="C202" s="27"/>
      <c r="D202" s="27"/>
      <c r="E202" s="56"/>
      <c r="F202" s="56"/>
      <c r="G202" s="56"/>
    </row>
    <row r="203" spans="2:7">
      <c r="B203" s="27">
        <f t="shared" si="3"/>
        <v>199</v>
      </c>
      <c r="C203" s="27"/>
      <c r="D203" s="27"/>
      <c r="E203" s="56"/>
      <c r="F203" s="56"/>
      <c r="G203" s="56"/>
    </row>
    <row r="204" spans="2:7">
      <c r="B204" s="27">
        <f t="shared" si="3"/>
        <v>200</v>
      </c>
      <c r="C204" s="27"/>
      <c r="D204" s="27"/>
      <c r="E204" s="56"/>
      <c r="F204" s="56"/>
      <c r="G204" s="56"/>
    </row>
    <row r="205" spans="2:7">
      <c r="B205" s="27">
        <f t="shared" si="3"/>
        <v>201</v>
      </c>
      <c r="C205" s="27"/>
      <c r="D205" s="27"/>
      <c r="E205" s="56"/>
      <c r="F205" s="56"/>
      <c r="G205" s="56"/>
    </row>
    <row r="206" spans="2:7">
      <c r="B206" s="27">
        <f t="shared" si="3"/>
        <v>202</v>
      </c>
      <c r="C206" s="27"/>
      <c r="D206" s="27"/>
      <c r="E206" s="56"/>
      <c r="F206" s="56"/>
      <c r="G206" s="56"/>
    </row>
    <row r="207" spans="2:7">
      <c r="B207" s="27">
        <f t="shared" si="3"/>
        <v>203</v>
      </c>
      <c r="C207" s="27"/>
      <c r="D207" s="27"/>
      <c r="E207" s="56"/>
      <c r="F207" s="56"/>
      <c r="G207" s="56"/>
    </row>
    <row r="208" spans="2:7">
      <c r="B208" s="27">
        <f t="shared" si="3"/>
        <v>204</v>
      </c>
      <c r="C208" s="27"/>
      <c r="D208" s="27"/>
      <c r="E208" s="56"/>
      <c r="F208" s="56"/>
      <c r="G208" s="56"/>
    </row>
    <row r="209" spans="2:7">
      <c r="B209" s="27">
        <f t="shared" si="3"/>
        <v>205</v>
      </c>
      <c r="C209" s="27"/>
      <c r="D209" s="27"/>
      <c r="E209" s="56"/>
      <c r="F209" s="56"/>
      <c r="G209" s="56"/>
    </row>
    <row r="210" spans="2:7">
      <c r="B210" s="27">
        <f t="shared" si="3"/>
        <v>206</v>
      </c>
      <c r="C210" s="27"/>
      <c r="D210" s="27"/>
      <c r="E210" s="56"/>
      <c r="F210" s="56"/>
      <c r="G210" s="56"/>
    </row>
    <row r="211" spans="2:7">
      <c r="B211" s="27">
        <f t="shared" si="3"/>
        <v>207</v>
      </c>
      <c r="C211" s="27"/>
      <c r="D211" s="27"/>
      <c r="E211" s="56"/>
      <c r="F211" s="56"/>
      <c r="G211" s="56"/>
    </row>
    <row r="212" spans="2:7">
      <c r="B212" s="27">
        <f t="shared" si="3"/>
        <v>208</v>
      </c>
      <c r="C212" s="27"/>
      <c r="D212" s="27"/>
      <c r="E212" s="56"/>
      <c r="F212" s="56"/>
      <c r="G212" s="56"/>
    </row>
    <row r="213" spans="2:7">
      <c r="B213" s="27">
        <f t="shared" si="3"/>
        <v>209</v>
      </c>
      <c r="C213" s="27"/>
      <c r="D213" s="27"/>
      <c r="E213" s="56"/>
      <c r="F213" s="56"/>
      <c r="G213" s="56"/>
    </row>
    <row r="214" spans="2:7">
      <c r="B214" s="27">
        <f t="shared" si="3"/>
        <v>210</v>
      </c>
      <c r="C214" s="27"/>
      <c r="D214" s="27"/>
      <c r="E214" s="56"/>
      <c r="F214" s="56"/>
      <c r="G214" s="56"/>
    </row>
    <row r="215" spans="2:7">
      <c r="B215" s="27">
        <f t="shared" si="3"/>
        <v>211</v>
      </c>
      <c r="C215" s="27"/>
      <c r="D215" s="27"/>
      <c r="E215" s="56"/>
      <c r="F215" s="56"/>
      <c r="G215" s="56"/>
    </row>
    <row r="216" spans="2:7">
      <c r="B216" s="27">
        <f t="shared" si="3"/>
        <v>212</v>
      </c>
      <c r="C216" s="27"/>
      <c r="D216" s="27"/>
      <c r="E216" s="56"/>
      <c r="F216" s="56"/>
      <c r="G216" s="56"/>
    </row>
    <row r="217" spans="2:7">
      <c r="B217" s="27">
        <f t="shared" si="3"/>
        <v>213</v>
      </c>
      <c r="C217" s="27"/>
      <c r="D217" s="27"/>
      <c r="E217" s="56"/>
      <c r="F217" s="56"/>
      <c r="G217" s="56"/>
    </row>
    <row r="218" spans="2:7">
      <c r="B218" s="27">
        <f t="shared" si="3"/>
        <v>214</v>
      </c>
      <c r="C218" s="27"/>
      <c r="D218" s="27"/>
      <c r="E218" s="56"/>
      <c r="F218" s="56"/>
      <c r="G218" s="56"/>
    </row>
    <row r="219" spans="2:7">
      <c r="B219" s="27">
        <f t="shared" si="3"/>
        <v>215</v>
      </c>
      <c r="C219" s="27"/>
      <c r="D219" s="27"/>
      <c r="E219" s="56"/>
      <c r="F219" s="56"/>
      <c r="G219" s="56"/>
    </row>
    <row r="220" spans="2:7">
      <c r="B220" s="27">
        <f t="shared" si="3"/>
        <v>216</v>
      </c>
      <c r="C220" s="27"/>
      <c r="D220" s="27"/>
      <c r="E220" s="56"/>
      <c r="F220" s="56"/>
      <c r="G220" s="56"/>
    </row>
    <row r="221" spans="2:7">
      <c r="B221" s="27">
        <f t="shared" si="3"/>
        <v>217</v>
      </c>
      <c r="C221" s="27"/>
      <c r="D221" s="27"/>
      <c r="E221" s="56"/>
      <c r="F221" s="56"/>
      <c r="G221" s="56"/>
    </row>
    <row r="222" spans="2:7">
      <c r="B222" s="27">
        <f t="shared" si="3"/>
        <v>218</v>
      </c>
      <c r="C222" s="27"/>
      <c r="D222" s="27"/>
      <c r="E222" s="56"/>
      <c r="F222" s="56"/>
      <c r="G222" s="56"/>
    </row>
    <row r="223" spans="2:7">
      <c r="B223" s="27">
        <f t="shared" si="3"/>
        <v>219</v>
      </c>
      <c r="C223" s="27"/>
      <c r="D223" s="27"/>
      <c r="E223" s="56"/>
      <c r="F223" s="56"/>
      <c r="G223" s="56"/>
    </row>
    <row r="224" spans="2:7">
      <c r="B224" s="27">
        <f t="shared" si="3"/>
        <v>220</v>
      </c>
      <c r="C224" s="27"/>
      <c r="D224" s="27"/>
      <c r="E224" s="56"/>
      <c r="F224" s="56"/>
      <c r="G224" s="56"/>
    </row>
    <row r="225" spans="2:7">
      <c r="B225" s="27">
        <f t="shared" si="3"/>
        <v>221</v>
      </c>
      <c r="C225" s="27"/>
      <c r="D225" s="27"/>
      <c r="E225" s="56"/>
      <c r="F225" s="56"/>
      <c r="G225" s="56"/>
    </row>
    <row r="226" spans="2:7">
      <c r="B226" s="27">
        <f t="shared" si="3"/>
        <v>222</v>
      </c>
      <c r="C226" s="27"/>
      <c r="D226" s="27"/>
      <c r="E226" s="56"/>
      <c r="F226" s="56"/>
      <c r="G226" s="56"/>
    </row>
    <row r="227" spans="2:7">
      <c r="B227" s="27">
        <f t="shared" si="3"/>
        <v>223</v>
      </c>
      <c r="C227" s="27"/>
      <c r="D227" s="27"/>
      <c r="E227" s="56"/>
      <c r="F227" s="56"/>
      <c r="G227" s="56"/>
    </row>
    <row r="228" spans="2:7">
      <c r="B228" s="27">
        <f t="shared" si="3"/>
        <v>224</v>
      </c>
      <c r="C228" s="27"/>
      <c r="D228" s="27"/>
      <c r="E228" s="56"/>
      <c r="F228" s="56"/>
      <c r="G228" s="56"/>
    </row>
    <row r="229" spans="2:7">
      <c r="B229" s="27">
        <f t="shared" si="3"/>
        <v>225</v>
      </c>
      <c r="C229" s="27"/>
      <c r="D229" s="27"/>
      <c r="E229" s="56"/>
      <c r="F229" s="56"/>
      <c r="G229" s="56"/>
    </row>
    <row r="230" spans="2:7">
      <c r="B230" s="27">
        <f t="shared" si="3"/>
        <v>226</v>
      </c>
      <c r="C230" s="27"/>
      <c r="D230" s="27"/>
      <c r="E230" s="56"/>
      <c r="F230" s="56"/>
      <c r="G230" s="56"/>
    </row>
    <row r="231" spans="2:7">
      <c r="B231" s="27">
        <f t="shared" si="3"/>
        <v>227</v>
      </c>
      <c r="C231" s="27"/>
      <c r="D231" s="27"/>
      <c r="E231" s="56"/>
      <c r="F231" s="56"/>
      <c r="G231" s="56"/>
    </row>
    <row r="232" spans="2:7">
      <c r="B232" s="27">
        <f t="shared" si="3"/>
        <v>228</v>
      </c>
      <c r="C232" s="27"/>
      <c r="D232" s="27"/>
      <c r="E232" s="56"/>
      <c r="F232" s="56"/>
      <c r="G232" s="56"/>
    </row>
    <row r="233" spans="2:7">
      <c r="B233" s="27">
        <f t="shared" si="3"/>
        <v>229</v>
      </c>
      <c r="C233" s="27"/>
      <c r="D233" s="27"/>
      <c r="E233" s="56"/>
      <c r="F233" s="56"/>
      <c r="G233" s="56"/>
    </row>
    <row r="234" spans="2:7">
      <c r="B234" s="27">
        <f t="shared" si="3"/>
        <v>230</v>
      </c>
      <c r="C234" s="27"/>
      <c r="D234" s="27"/>
      <c r="E234" s="56"/>
      <c r="F234" s="56"/>
      <c r="G234" s="56"/>
    </row>
    <row r="235" spans="2:7">
      <c r="B235" s="27">
        <f t="shared" si="3"/>
        <v>231</v>
      </c>
      <c r="C235" s="27"/>
      <c r="D235" s="27"/>
      <c r="E235" s="56"/>
      <c r="F235" s="56"/>
      <c r="G235" s="56"/>
    </row>
    <row r="236" spans="2:7">
      <c r="B236" s="27">
        <f t="shared" si="3"/>
        <v>232</v>
      </c>
      <c r="C236" s="27"/>
      <c r="D236" s="27"/>
      <c r="E236" s="56"/>
      <c r="F236" s="56"/>
      <c r="G236" s="56"/>
    </row>
    <row r="237" spans="2:7">
      <c r="B237" s="27">
        <f t="shared" si="3"/>
        <v>233</v>
      </c>
      <c r="C237" s="27"/>
      <c r="D237" s="27"/>
      <c r="E237" s="56"/>
      <c r="F237" s="56"/>
      <c r="G237" s="56"/>
    </row>
    <row r="238" spans="2:7">
      <c r="B238" s="27">
        <f t="shared" si="3"/>
        <v>234</v>
      </c>
      <c r="C238" s="27"/>
      <c r="D238" s="27"/>
      <c r="E238" s="56"/>
      <c r="F238" s="56"/>
      <c r="G238" s="56"/>
    </row>
    <row r="239" spans="2:7">
      <c r="B239" s="27">
        <f t="shared" si="3"/>
        <v>235</v>
      </c>
      <c r="C239" s="27"/>
      <c r="D239" s="27"/>
      <c r="E239" s="56"/>
      <c r="F239" s="56"/>
      <c r="G239" s="56"/>
    </row>
    <row r="240" spans="2:7">
      <c r="B240" s="27">
        <f t="shared" si="3"/>
        <v>236</v>
      </c>
      <c r="C240" s="27"/>
      <c r="D240" s="27"/>
      <c r="E240" s="56"/>
      <c r="F240" s="56"/>
      <c r="G240" s="56"/>
    </row>
    <row r="241" spans="2:7">
      <c r="B241" s="27">
        <f t="shared" si="3"/>
        <v>237</v>
      </c>
      <c r="C241" s="27"/>
      <c r="D241" s="27"/>
      <c r="E241" s="56"/>
      <c r="F241" s="56"/>
      <c r="G241" s="56"/>
    </row>
    <row r="242" spans="2:7">
      <c r="B242" s="27">
        <f t="shared" si="3"/>
        <v>238</v>
      </c>
      <c r="C242" s="27"/>
      <c r="D242" s="27"/>
      <c r="E242" s="56"/>
      <c r="F242" s="56"/>
      <c r="G242" s="56"/>
    </row>
    <row r="243" spans="2:7">
      <c r="B243" s="27">
        <f t="shared" si="3"/>
        <v>239</v>
      </c>
      <c r="C243" s="27"/>
      <c r="D243" s="27"/>
      <c r="E243" s="56"/>
      <c r="F243" s="56"/>
      <c r="G243" s="56"/>
    </row>
    <row r="244" spans="2:7">
      <c r="B244" s="27">
        <f t="shared" si="3"/>
        <v>240</v>
      </c>
      <c r="C244" s="27"/>
      <c r="D244" s="27"/>
      <c r="E244" s="56"/>
      <c r="F244" s="56"/>
      <c r="G244" s="56"/>
    </row>
    <row r="245" spans="2:7">
      <c r="B245" s="27">
        <f t="shared" si="3"/>
        <v>241</v>
      </c>
      <c r="C245" s="27"/>
      <c r="D245" s="27"/>
      <c r="E245" s="56"/>
      <c r="F245" s="56"/>
      <c r="G245" s="56"/>
    </row>
    <row r="246" spans="2:7">
      <c r="B246" s="27">
        <f t="shared" si="3"/>
        <v>242</v>
      </c>
      <c r="C246" s="27"/>
      <c r="D246" s="27"/>
      <c r="E246" s="56"/>
      <c r="F246" s="56"/>
      <c r="G246" s="56"/>
    </row>
    <row r="247" spans="2:7">
      <c r="B247" s="27">
        <f t="shared" si="3"/>
        <v>243</v>
      </c>
      <c r="C247" s="27"/>
      <c r="D247" s="27"/>
      <c r="E247" s="56"/>
      <c r="F247" s="56"/>
      <c r="G247" s="56"/>
    </row>
    <row r="248" spans="2:7">
      <c r="B248" s="27">
        <f t="shared" si="3"/>
        <v>244</v>
      </c>
      <c r="C248" s="27"/>
      <c r="D248" s="27"/>
      <c r="E248" s="56"/>
      <c r="F248" s="56"/>
      <c r="G248" s="56"/>
    </row>
    <row r="249" spans="2:7">
      <c r="B249" s="27">
        <f t="shared" si="3"/>
        <v>245</v>
      </c>
      <c r="C249" s="27"/>
      <c r="D249" s="27"/>
      <c r="E249" s="56"/>
      <c r="F249" s="56"/>
      <c r="G249" s="56"/>
    </row>
    <row r="250" spans="2:7">
      <c r="B250" s="27">
        <f t="shared" si="3"/>
        <v>246</v>
      </c>
      <c r="C250" s="27"/>
      <c r="D250" s="27"/>
      <c r="E250" s="56"/>
      <c r="F250" s="56"/>
      <c r="G250" s="56"/>
    </row>
    <row r="251" spans="2:7">
      <c r="B251" s="27">
        <f t="shared" si="3"/>
        <v>247</v>
      </c>
      <c r="C251" s="27"/>
      <c r="D251" s="27"/>
      <c r="E251" s="56"/>
      <c r="F251" s="56"/>
      <c r="G251" s="56"/>
    </row>
    <row r="252" spans="2:7">
      <c r="B252" s="27">
        <f t="shared" si="3"/>
        <v>248</v>
      </c>
      <c r="C252" s="27"/>
      <c r="D252" s="27"/>
      <c r="E252" s="56"/>
      <c r="F252" s="56"/>
      <c r="G252" s="56"/>
    </row>
    <row r="253" spans="2:7">
      <c r="B253" s="27">
        <f t="shared" si="3"/>
        <v>249</v>
      </c>
      <c r="C253" s="27"/>
      <c r="D253" s="27"/>
      <c r="E253" s="56"/>
      <c r="F253" s="56"/>
      <c r="G253" s="56"/>
    </row>
    <row r="254" spans="2:7">
      <c r="B254" s="27">
        <f t="shared" si="3"/>
        <v>250</v>
      </c>
      <c r="C254" s="27"/>
      <c r="D254" s="27"/>
      <c r="E254" s="56"/>
      <c r="F254" s="56"/>
      <c r="G254" s="56"/>
    </row>
    <row r="255" spans="2:7">
      <c r="B255" s="27">
        <f t="shared" si="3"/>
        <v>251</v>
      </c>
      <c r="C255" s="27"/>
      <c r="D255" s="27"/>
      <c r="E255" s="56"/>
      <c r="F255" s="56"/>
      <c r="G255" s="56"/>
    </row>
    <row r="256" spans="2:7">
      <c r="B256" s="27">
        <f t="shared" si="3"/>
        <v>252</v>
      </c>
      <c r="C256" s="27"/>
      <c r="D256" s="27"/>
      <c r="E256" s="56"/>
      <c r="F256" s="56"/>
      <c r="G256" s="56"/>
    </row>
    <row r="257" spans="2:7">
      <c r="B257" s="27">
        <f t="shared" si="3"/>
        <v>253</v>
      </c>
      <c r="C257" s="27"/>
      <c r="D257" s="27"/>
      <c r="E257" s="56"/>
      <c r="F257" s="56"/>
      <c r="G257" s="56"/>
    </row>
    <row r="258" spans="2:7">
      <c r="B258" s="27">
        <f t="shared" si="3"/>
        <v>254</v>
      </c>
      <c r="C258" s="27"/>
      <c r="D258" s="27"/>
      <c r="E258" s="56"/>
      <c r="F258" s="56"/>
      <c r="G258" s="56"/>
    </row>
    <row r="259" spans="2:7">
      <c r="B259" s="27">
        <f t="shared" si="3"/>
        <v>255</v>
      </c>
      <c r="C259" s="27"/>
      <c r="D259" s="27"/>
      <c r="E259" s="56"/>
      <c r="F259" s="56"/>
      <c r="G259" s="56"/>
    </row>
    <row r="260" spans="2:7">
      <c r="B260" s="27">
        <f t="shared" si="3"/>
        <v>256</v>
      </c>
      <c r="C260" s="27"/>
      <c r="D260" s="27"/>
      <c r="E260" s="56"/>
      <c r="F260" s="56"/>
      <c r="G260" s="56"/>
    </row>
    <row r="261" spans="2:7">
      <c r="B261" s="27">
        <f t="shared" si="3"/>
        <v>257</v>
      </c>
      <c r="C261" s="27"/>
      <c r="D261" s="27"/>
      <c r="E261" s="56"/>
      <c r="F261" s="56"/>
      <c r="G261" s="56"/>
    </row>
    <row r="262" spans="2:7">
      <c r="B262" s="27">
        <f t="shared" si="3"/>
        <v>258</v>
      </c>
      <c r="C262" s="27"/>
      <c r="D262" s="27"/>
      <c r="E262" s="56"/>
      <c r="F262" s="56"/>
      <c r="G262" s="56"/>
    </row>
    <row r="263" spans="2:7">
      <c r="B263" s="27">
        <f t="shared" ref="B263:B304" si="4">B262+1</f>
        <v>259</v>
      </c>
      <c r="C263" s="27"/>
      <c r="D263" s="27"/>
      <c r="E263" s="56"/>
      <c r="F263" s="56"/>
      <c r="G263" s="56"/>
    </row>
    <row r="264" spans="2:7">
      <c r="B264" s="27">
        <f t="shared" si="4"/>
        <v>260</v>
      </c>
      <c r="C264" s="27"/>
      <c r="D264" s="27"/>
      <c r="E264" s="56"/>
      <c r="F264" s="56"/>
      <c r="G264" s="56"/>
    </row>
    <row r="265" spans="2:7">
      <c r="B265" s="27">
        <f t="shared" si="4"/>
        <v>261</v>
      </c>
      <c r="C265" s="27"/>
      <c r="D265" s="27"/>
      <c r="E265" s="56"/>
      <c r="F265" s="56"/>
      <c r="G265" s="56"/>
    </row>
    <row r="266" spans="2:7">
      <c r="B266" s="27">
        <f t="shared" si="4"/>
        <v>262</v>
      </c>
      <c r="C266" s="27"/>
      <c r="D266" s="27"/>
      <c r="E266" s="56"/>
      <c r="F266" s="56"/>
      <c r="G266" s="56"/>
    </row>
    <row r="267" spans="2:7">
      <c r="B267" s="27">
        <f t="shared" si="4"/>
        <v>263</v>
      </c>
      <c r="C267" s="27"/>
      <c r="D267" s="27"/>
      <c r="E267" s="56"/>
      <c r="F267" s="56"/>
      <c r="G267" s="56"/>
    </row>
    <row r="268" spans="2:7">
      <c r="B268" s="27">
        <f t="shared" si="4"/>
        <v>264</v>
      </c>
      <c r="C268" s="27"/>
      <c r="D268" s="27"/>
      <c r="E268" s="56"/>
      <c r="F268" s="56"/>
      <c r="G268" s="56"/>
    </row>
    <row r="269" spans="2:7">
      <c r="B269" s="27">
        <f t="shared" si="4"/>
        <v>265</v>
      </c>
      <c r="C269" s="27"/>
      <c r="D269" s="27"/>
      <c r="E269" s="56"/>
      <c r="F269" s="56"/>
      <c r="G269" s="56"/>
    </row>
    <row r="270" spans="2:7">
      <c r="B270" s="27">
        <f t="shared" si="4"/>
        <v>266</v>
      </c>
      <c r="C270" s="27"/>
      <c r="D270" s="27"/>
      <c r="E270" s="56"/>
      <c r="F270" s="56"/>
      <c r="G270" s="56"/>
    </row>
    <row r="271" spans="2:7">
      <c r="B271" s="27">
        <f t="shared" si="4"/>
        <v>267</v>
      </c>
      <c r="C271" s="27"/>
      <c r="D271" s="27"/>
      <c r="E271" s="56"/>
      <c r="F271" s="56"/>
      <c r="G271" s="56"/>
    </row>
    <row r="272" spans="2:7">
      <c r="B272" s="27">
        <f t="shared" si="4"/>
        <v>268</v>
      </c>
      <c r="C272" s="27"/>
      <c r="D272" s="27"/>
      <c r="E272" s="56"/>
      <c r="F272" s="56"/>
      <c r="G272" s="56"/>
    </row>
    <row r="273" spans="2:7">
      <c r="B273" s="27">
        <f t="shared" si="4"/>
        <v>269</v>
      </c>
      <c r="C273" s="27"/>
      <c r="D273" s="27"/>
      <c r="E273" s="56"/>
      <c r="F273" s="56"/>
      <c r="G273" s="56"/>
    </row>
    <row r="274" spans="2:7">
      <c r="B274" s="27">
        <f t="shared" si="4"/>
        <v>270</v>
      </c>
      <c r="C274" s="27"/>
      <c r="D274" s="27"/>
      <c r="E274" s="56"/>
      <c r="F274" s="56"/>
      <c r="G274" s="56"/>
    </row>
    <row r="275" spans="2:7">
      <c r="B275" s="27">
        <f t="shared" si="4"/>
        <v>271</v>
      </c>
      <c r="C275" s="27"/>
      <c r="D275" s="27"/>
      <c r="E275" s="56"/>
      <c r="F275" s="56"/>
      <c r="G275" s="56"/>
    </row>
    <row r="276" spans="2:7">
      <c r="B276" s="27">
        <f t="shared" si="4"/>
        <v>272</v>
      </c>
      <c r="C276" s="27"/>
      <c r="D276" s="27"/>
      <c r="E276" s="56"/>
      <c r="F276" s="56"/>
      <c r="G276" s="56"/>
    </row>
    <row r="277" spans="2:7">
      <c r="B277" s="27">
        <f t="shared" si="4"/>
        <v>273</v>
      </c>
      <c r="C277" s="27"/>
      <c r="D277" s="27"/>
      <c r="E277" s="56"/>
      <c r="F277" s="56"/>
      <c r="G277" s="56"/>
    </row>
    <row r="278" spans="2:7">
      <c r="B278" s="27">
        <f t="shared" si="4"/>
        <v>274</v>
      </c>
      <c r="C278" s="27"/>
      <c r="D278" s="27"/>
      <c r="E278" s="56"/>
      <c r="F278" s="56"/>
      <c r="G278" s="56"/>
    </row>
    <row r="279" spans="2:7">
      <c r="B279" s="27">
        <f t="shared" si="4"/>
        <v>275</v>
      </c>
      <c r="C279" s="27"/>
      <c r="D279" s="27"/>
      <c r="E279" s="56"/>
      <c r="F279" s="56"/>
      <c r="G279" s="56"/>
    </row>
    <row r="280" spans="2:7">
      <c r="B280" s="27">
        <f t="shared" si="4"/>
        <v>276</v>
      </c>
      <c r="C280" s="27"/>
      <c r="D280" s="27"/>
      <c r="E280" s="56"/>
      <c r="F280" s="56"/>
      <c r="G280" s="56"/>
    </row>
    <row r="281" spans="2:7">
      <c r="B281" s="27">
        <f t="shared" si="4"/>
        <v>277</v>
      </c>
      <c r="C281" s="27"/>
      <c r="D281" s="27"/>
      <c r="E281" s="56"/>
      <c r="F281" s="56"/>
      <c r="G281" s="56"/>
    </row>
    <row r="282" spans="2:7">
      <c r="B282" s="27">
        <f t="shared" si="4"/>
        <v>278</v>
      </c>
      <c r="C282" s="27"/>
      <c r="D282" s="27"/>
      <c r="E282" s="56"/>
      <c r="F282" s="56"/>
      <c r="G282" s="56"/>
    </row>
    <row r="283" spans="2:7">
      <c r="B283" s="27">
        <f t="shared" si="4"/>
        <v>279</v>
      </c>
      <c r="C283" s="27"/>
      <c r="D283" s="27"/>
      <c r="E283" s="56"/>
      <c r="F283" s="56"/>
      <c r="G283" s="56"/>
    </row>
    <row r="284" spans="2:7">
      <c r="B284" s="27">
        <f t="shared" si="4"/>
        <v>280</v>
      </c>
      <c r="C284" s="27"/>
      <c r="D284" s="27"/>
      <c r="E284" s="56"/>
      <c r="F284" s="56"/>
      <c r="G284" s="56"/>
    </row>
    <row r="285" spans="2:7">
      <c r="B285" s="27">
        <f t="shared" si="4"/>
        <v>281</v>
      </c>
      <c r="C285" s="27"/>
      <c r="D285" s="27"/>
      <c r="E285" s="56"/>
      <c r="F285" s="56"/>
      <c r="G285" s="56"/>
    </row>
    <row r="286" spans="2:7">
      <c r="B286" s="27">
        <f t="shared" si="4"/>
        <v>282</v>
      </c>
      <c r="C286" s="27"/>
      <c r="D286" s="27"/>
      <c r="E286" s="56"/>
      <c r="F286" s="56"/>
      <c r="G286" s="56"/>
    </row>
    <row r="287" spans="2:7">
      <c r="B287" s="27">
        <f t="shared" si="4"/>
        <v>283</v>
      </c>
      <c r="C287" s="27"/>
      <c r="D287" s="27"/>
      <c r="E287" s="56"/>
      <c r="F287" s="56"/>
      <c r="G287" s="56"/>
    </row>
    <row r="288" spans="2:7">
      <c r="B288" s="27">
        <f t="shared" si="4"/>
        <v>284</v>
      </c>
      <c r="C288" s="27"/>
      <c r="D288" s="27"/>
      <c r="E288" s="56"/>
      <c r="F288" s="56"/>
      <c r="G288" s="56"/>
    </row>
    <row r="289" spans="2:7">
      <c r="B289" s="27">
        <f t="shared" si="4"/>
        <v>285</v>
      </c>
      <c r="C289" s="27"/>
      <c r="D289" s="27"/>
      <c r="E289" s="56"/>
      <c r="F289" s="56"/>
      <c r="G289" s="56"/>
    </row>
    <row r="290" spans="2:7">
      <c r="B290" s="27">
        <f t="shared" si="4"/>
        <v>286</v>
      </c>
      <c r="C290" s="27"/>
      <c r="D290" s="27"/>
      <c r="E290" s="56"/>
      <c r="F290" s="56"/>
      <c r="G290" s="56"/>
    </row>
    <row r="291" spans="2:7">
      <c r="B291" s="27">
        <f t="shared" si="4"/>
        <v>287</v>
      </c>
      <c r="C291" s="27"/>
      <c r="D291" s="27"/>
      <c r="E291" s="56"/>
      <c r="F291" s="56"/>
      <c r="G291" s="56"/>
    </row>
    <row r="292" spans="2:7">
      <c r="B292" s="27">
        <f t="shared" si="4"/>
        <v>288</v>
      </c>
      <c r="C292" s="27"/>
      <c r="D292" s="27"/>
      <c r="E292" s="56"/>
      <c r="F292" s="56"/>
      <c r="G292" s="56"/>
    </row>
    <row r="293" spans="2:7">
      <c r="B293" s="27">
        <f t="shared" si="4"/>
        <v>289</v>
      </c>
      <c r="C293" s="27"/>
      <c r="D293" s="27"/>
      <c r="E293" s="56"/>
      <c r="F293" s="56"/>
      <c r="G293" s="56"/>
    </row>
    <row r="294" spans="2:7">
      <c r="B294" s="27">
        <f t="shared" si="4"/>
        <v>290</v>
      </c>
      <c r="C294" s="27"/>
      <c r="D294" s="27"/>
      <c r="E294" s="56"/>
      <c r="F294" s="56"/>
      <c r="G294" s="56"/>
    </row>
    <row r="295" spans="2:7">
      <c r="B295" s="27">
        <f t="shared" si="4"/>
        <v>291</v>
      </c>
      <c r="C295" s="27"/>
      <c r="D295" s="27"/>
      <c r="E295" s="56"/>
      <c r="F295" s="56"/>
      <c r="G295" s="56"/>
    </row>
    <row r="296" spans="2:7">
      <c r="B296" s="27">
        <f t="shared" si="4"/>
        <v>292</v>
      </c>
      <c r="C296" s="27"/>
      <c r="D296" s="27"/>
      <c r="E296" s="56"/>
      <c r="F296" s="56"/>
      <c r="G296" s="56"/>
    </row>
    <row r="297" spans="2:7">
      <c r="B297" s="27">
        <f t="shared" si="4"/>
        <v>293</v>
      </c>
      <c r="C297" s="27"/>
      <c r="D297" s="27"/>
      <c r="E297" s="56"/>
      <c r="F297" s="56"/>
      <c r="G297" s="56"/>
    </row>
    <row r="298" spans="2:7">
      <c r="B298" s="27">
        <f t="shared" si="4"/>
        <v>294</v>
      </c>
      <c r="C298" s="27"/>
      <c r="D298" s="27"/>
      <c r="E298" s="56"/>
      <c r="F298" s="56"/>
      <c r="G298" s="56"/>
    </row>
    <row r="299" spans="2:7">
      <c r="B299" s="27">
        <f t="shared" si="4"/>
        <v>295</v>
      </c>
      <c r="C299" s="27"/>
      <c r="D299" s="27"/>
      <c r="E299" s="56"/>
      <c r="F299" s="56"/>
      <c r="G299" s="56"/>
    </row>
    <row r="300" spans="2:7">
      <c r="B300" s="27">
        <f t="shared" si="4"/>
        <v>296</v>
      </c>
      <c r="C300" s="27"/>
      <c r="D300" s="27"/>
      <c r="E300" s="56"/>
      <c r="F300" s="56"/>
      <c r="G300" s="56"/>
    </row>
    <row r="301" spans="2:7">
      <c r="B301" s="27">
        <f t="shared" si="4"/>
        <v>297</v>
      </c>
      <c r="C301" s="27"/>
      <c r="D301" s="27"/>
      <c r="E301" s="56"/>
      <c r="F301" s="56"/>
      <c r="G301" s="56"/>
    </row>
    <row r="302" spans="2:7">
      <c r="B302" s="27">
        <f t="shared" si="4"/>
        <v>298</v>
      </c>
      <c r="C302" s="27"/>
      <c r="D302" s="27"/>
      <c r="E302" s="56"/>
      <c r="F302" s="56"/>
      <c r="G302" s="56"/>
    </row>
    <row r="303" spans="2:7">
      <c r="B303" s="27">
        <f t="shared" si="4"/>
        <v>299</v>
      </c>
      <c r="C303" s="27"/>
      <c r="D303" s="27"/>
      <c r="E303" s="56"/>
      <c r="F303" s="56"/>
      <c r="G303" s="56"/>
    </row>
    <row r="304" spans="2:7">
      <c r="B304" s="27">
        <f t="shared" si="4"/>
        <v>300</v>
      </c>
      <c r="C304" s="27"/>
      <c r="D304" s="27"/>
      <c r="E304" s="56"/>
      <c r="F304" s="56"/>
      <c r="G304" s="56"/>
    </row>
  </sheetData>
  <sheetProtection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8A94-6AC1-48D3-9923-79456B3C9DFC}">
  <sheetPr>
    <tabColor rgb="FFFFFF00"/>
  </sheetPr>
  <dimension ref="B2:G304"/>
  <sheetViews>
    <sheetView workbookViewId="0">
      <selection activeCell="J9" sqref="J9"/>
    </sheetView>
  </sheetViews>
  <sheetFormatPr defaultRowHeight="13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16384" width="8.88671875" style="29"/>
  </cols>
  <sheetData>
    <row r="2" spans="2:7" ht="16.2">
      <c r="B2" s="28" t="str" cm="1">
        <f t="array" aca="1" ref="B2" ca="1">RIGHT(CELL("filename",A1),LEN(CELL("filename",A1))-FIND("]",CELL("filename",A1)))</f>
        <v>外用</v>
      </c>
    </row>
    <row r="4" spans="2:7">
      <c r="B4" s="30" t="s">
        <v>4040</v>
      </c>
      <c r="C4" s="30" t="s">
        <v>4041</v>
      </c>
      <c r="D4" s="30" t="s">
        <v>4042</v>
      </c>
      <c r="E4" s="30" t="s">
        <v>4064</v>
      </c>
      <c r="F4" s="30" t="s">
        <v>4066</v>
      </c>
      <c r="G4" s="30" t="s">
        <v>4067</v>
      </c>
    </row>
    <row r="5" spans="2:7">
      <c r="B5" s="27">
        <v>1</v>
      </c>
      <c r="C5" s="27" t="str" cm="1">
        <f t="array" aca="1" ref="C5:G67" ca="1">_xlfn._xlws.SORT(_xlfn.CHOOSECOLS(_xlfn._xlws.FILTER(IFERROR(統合マスタ!B2:Z1500,""),IFERROR(統合マスタ!R2:R1500=1,FALSE)*IFERROR(ISNUMBER(MATCH(統合マスタ!V2:V1500,分類!H8:H15,0)),FALSE)),2,23,25,4,5),2,1)</f>
        <v>ＳＰトローチ０．２５ｍｇ「明治」</v>
      </c>
      <c r="D5" s="27">
        <f ca="1"/>
        <v>0</v>
      </c>
      <c r="E5" s="56">
        <f ca="1"/>
        <v>3</v>
      </c>
      <c r="F5" s="56" t="str">
        <f ca="1"/>
        <v>PTP</v>
      </c>
      <c r="G5" s="56" t="str">
        <f ca="1"/>
        <v>1200T</v>
      </c>
    </row>
    <row r="6" spans="2:7">
      <c r="B6" s="27">
        <f>B5+1</f>
        <v>2</v>
      </c>
      <c r="C6" s="27" t="str">
        <f ca="1"/>
        <v>アクアチムクリーム１％</v>
      </c>
      <c r="D6" s="27">
        <f ca="1"/>
        <v>0</v>
      </c>
      <c r="E6" s="56">
        <f ca="1"/>
        <v>3</v>
      </c>
      <c r="F6" s="56" t="str">
        <f ca="1"/>
        <v/>
      </c>
      <c r="G6" s="56" t="str">
        <f ca="1"/>
        <v>10ｇX10</v>
      </c>
    </row>
    <row r="7" spans="2:7">
      <c r="B7" s="27">
        <f t="shared" ref="B7:B70" si="0">B6+1</f>
        <v>3</v>
      </c>
      <c r="C7" s="27" t="str">
        <f ca="1"/>
        <v>アクトシン軟膏３％</v>
      </c>
      <c r="D7" s="27">
        <f ca="1"/>
        <v>0</v>
      </c>
      <c r="E7" s="56">
        <f ca="1"/>
        <v>15</v>
      </c>
      <c r="F7" s="56" t="str">
        <f ca="1"/>
        <v/>
      </c>
      <c r="G7" s="56" t="str">
        <f ca="1"/>
        <v>30ｇ</v>
      </c>
    </row>
    <row r="8" spans="2:7">
      <c r="B8" s="27">
        <f t="shared" si="0"/>
        <v>4</v>
      </c>
      <c r="C8" s="27" t="str">
        <f ca="1"/>
        <v>アズレン点眼液０．０２％「ニットー」</v>
      </c>
      <c r="D8" s="27">
        <f ca="1"/>
        <v>0</v>
      </c>
      <c r="E8" s="56">
        <f ca="1"/>
        <v>3</v>
      </c>
      <c r="F8" s="56" t="str">
        <f ca="1"/>
        <v/>
      </c>
      <c r="G8" s="56" t="str">
        <f ca="1"/>
        <v>5ｍｌｘ10</v>
      </c>
    </row>
    <row r="9" spans="2:7">
      <c r="B9" s="27">
        <f t="shared" si="0"/>
        <v>5</v>
      </c>
      <c r="C9" s="27" t="str">
        <f ca="1"/>
        <v>アドフィードパップ４０ｍｇ</v>
      </c>
      <c r="D9" s="27">
        <f ca="1"/>
        <v>0</v>
      </c>
      <c r="E9" s="56">
        <f ca="1"/>
        <v>12</v>
      </c>
      <c r="F9" s="56" t="str">
        <f ca="1"/>
        <v/>
      </c>
      <c r="G9" s="56" t="str">
        <f ca="1"/>
        <v>７枚ｘ50</v>
      </c>
    </row>
    <row r="10" spans="2:7">
      <c r="B10" s="27">
        <f t="shared" si="0"/>
        <v>6</v>
      </c>
      <c r="C10" s="27" t="str">
        <f ca="1"/>
        <v>インテバンクリーム１％　　　　　　　　　</v>
      </c>
      <c r="D10" s="27">
        <f ca="1"/>
        <v>0</v>
      </c>
      <c r="E10" s="56">
        <f ca="1"/>
        <v>1</v>
      </c>
      <c r="F10" s="56" t="str">
        <f ca="1"/>
        <v/>
      </c>
      <c r="G10" s="56" t="str">
        <f ca="1"/>
        <v>25ｇｌｘ10</v>
      </c>
    </row>
    <row r="11" spans="2:7">
      <c r="B11" s="27">
        <f t="shared" si="0"/>
        <v>7</v>
      </c>
      <c r="C11" s="27" t="str">
        <f ca="1"/>
        <v>インテバン外用液１％　　　　　　　　　</v>
      </c>
      <c r="D11" s="27">
        <f ca="1"/>
        <v>0</v>
      </c>
      <c r="E11" s="56">
        <f ca="1"/>
        <v>3</v>
      </c>
      <c r="F11" s="56" t="str">
        <f ca="1"/>
        <v/>
      </c>
      <c r="G11" s="56" t="str">
        <f ca="1"/>
        <v>50ｍｌｘ10</v>
      </c>
    </row>
    <row r="12" spans="2:7">
      <c r="B12" s="27">
        <f t="shared" si="0"/>
        <v>8</v>
      </c>
      <c r="C12" s="27" t="str">
        <f ca="1"/>
        <v>オイラックスクリーム１０％</v>
      </c>
      <c r="D12" s="27">
        <f ca="1"/>
        <v>0</v>
      </c>
      <c r="E12" s="56">
        <f ca="1"/>
        <v>3</v>
      </c>
      <c r="F12" s="56" t="str">
        <f ca="1"/>
        <v/>
      </c>
      <c r="G12" s="56" t="str">
        <f ca="1"/>
        <v>１０ｇＸ１０</v>
      </c>
    </row>
    <row r="13" spans="2:7">
      <c r="B13" s="27">
        <f t="shared" si="0"/>
        <v>9</v>
      </c>
      <c r="C13" s="27" t="str">
        <f ca="1"/>
        <v>オフロキサシン点眼液０．３％「ＪＧ」</v>
      </c>
      <c r="D13" s="27">
        <f ca="1"/>
        <v>0</v>
      </c>
      <c r="E13" s="56">
        <f ca="1"/>
        <v>3</v>
      </c>
      <c r="F13" s="56" t="str">
        <f ca="1"/>
        <v/>
      </c>
      <c r="G13" s="56" t="str">
        <f ca="1"/>
        <v>5ｍｌｘ10</v>
      </c>
    </row>
    <row r="14" spans="2:7">
      <c r="B14" s="27">
        <f t="shared" si="0"/>
        <v>10</v>
      </c>
      <c r="C14" s="27" t="str">
        <f ca="1"/>
        <v>キュバール１００エアゾール１５ｍｇ　　</v>
      </c>
      <c r="D14" s="27">
        <f ca="1"/>
        <v>0</v>
      </c>
      <c r="E14" s="56">
        <f ca="1"/>
        <v>3</v>
      </c>
      <c r="F14" s="56" t="str">
        <f ca="1"/>
        <v/>
      </c>
      <c r="G14" s="56" t="str">
        <f ca="1"/>
        <v>8.7ｇｘ1</v>
      </c>
    </row>
    <row r="15" spans="2:7">
      <c r="B15" s="27">
        <f t="shared" si="0"/>
        <v>11</v>
      </c>
      <c r="C15" s="27" t="str">
        <f ca="1"/>
        <v>クロモグリク酸Ｎａ点眼液２％「ニットー」　</v>
      </c>
      <c r="D15" s="27">
        <f ca="1"/>
        <v>0</v>
      </c>
      <c r="E15" s="56">
        <f ca="1"/>
        <v>3</v>
      </c>
      <c r="F15" s="56" t="str">
        <f ca="1"/>
        <v/>
      </c>
      <c r="G15" s="56" t="str">
        <f ca="1"/>
        <v>5MLX5V</v>
      </c>
    </row>
    <row r="16" spans="2:7">
      <c r="B16" s="27">
        <f t="shared" si="0"/>
        <v>12</v>
      </c>
      <c r="C16" s="27" t="str">
        <f ca="1"/>
        <v>クロモグリク酸Ｎａ点眼液２％「ニットー」　</v>
      </c>
      <c r="D16" s="27">
        <f ca="1"/>
        <v>0</v>
      </c>
      <c r="E16" s="56">
        <f ca="1"/>
        <v>3</v>
      </c>
      <c r="F16" s="56" t="str">
        <f ca="1"/>
        <v/>
      </c>
      <c r="G16" s="56" t="str">
        <f ca="1"/>
        <v>5MLX10V</v>
      </c>
    </row>
    <row r="17" spans="2:7">
      <c r="B17" s="27">
        <f t="shared" si="0"/>
        <v>13</v>
      </c>
      <c r="C17" s="27" t="str">
        <f ca="1"/>
        <v>ゲーベンクリーム１％　　　　　　　　　　</v>
      </c>
      <c r="D17" s="27">
        <f ca="1"/>
        <v>0</v>
      </c>
      <c r="E17" s="56">
        <f ca="1"/>
        <v>7</v>
      </c>
      <c r="F17" s="56" t="str">
        <f ca="1"/>
        <v/>
      </c>
      <c r="G17" s="56" t="str">
        <f ca="1"/>
        <v>１００ｇ</v>
      </c>
    </row>
    <row r="18" spans="2:7">
      <c r="B18" s="27">
        <f t="shared" si="0"/>
        <v>14</v>
      </c>
      <c r="C18" s="27" t="str">
        <f ca="1"/>
        <v>ケトチフェン点鼻液０．０５％「サワイ」</v>
      </c>
      <c r="D18" s="27">
        <f ca="1"/>
        <v>0</v>
      </c>
      <c r="E18" s="56">
        <f ca="1"/>
        <v>3</v>
      </c>
      <c r="F18" s="56" t="str">
        <f ca="1"/>
        <v/>
      </c>
      <c r="G18" s="56" t="str">
        <f ca="1"/>
        <v>6.048/8ｍｌｘ10</v>
      </c>
    </row>
    <row r="19" spans="2:7">
      <c r="B19" s="27">
        <f t="shared" si="0"/>
        <v>15</v>
      </c>
      <c r="C19" s="27" t="str">
        <f ca="1"/>
        <v>ケトプロフェンパップ３０ｍｇ　「三和」　　１０ｘ１４ｃｍ</v>
      </c>
      <c r="D19" s="27">
        <f ca="1"/>
        <v>0</v>
      </c>
      <c r="E19" s="56">
        <f ca="1"/>
        <v>12</v>
      </c>
      <c r="F19" s="56" t="str">
        <f ca="1"/>
        <v/>
      </c>
      <c r="G19" s="56" t="str">
        <f ca="1"/>
        <v>7枚ｘ100</v>
      </c>
    </row>
    <row r="20" spans="2:7">
      <c r="B20" s="27">
        <f t="shared" si="0"/>
        <v>16</v>
      </c>
      <c r="C20" s="27" t="str">
        <f ca="1"/>
        <v>ゲンタマイシン硫酸塩軟膏０．１％「イワキ」</v>
      </c>
      <c r="D20" s="27">
        <f ca="1"/>
        <v>0</v>
      </c>
      <c r="E20" s="56">
        <f ca="1"/>
        <v>3</v>
      </c>
      <c r="F20" s="56" t="str">
        <f ca="1"/>
        <v/>
      </c>
      <c r="G20" s="56" t="str">
        <f ca="1"/>
        <v>10ｇX10</v>
      </c>
    </row>
    <row r="21" spans="2:7">
      <c r="B21" s="27">
        <f t="shared" si="0"/>
        <v>17</v>
      </c>
      <c r="C21" s="27" t="str">
        <f ca="1"/>
        <v>コールタイジン点鼻液</v>
      </c>
      <c r="D21" s="27">
        <f ca="1"/>
        <v>0</v>
      </c>
      <c r="E21" s="56">
        <f ca="1"/>
        <v>3</v>
      </c>
      <c r="F21" s="56" t="str">
        <f ca="1"/>
        <v/>
      </c>
      <c r="G21" s="56" t="str">
        <f ca="1"/>
        <v>１５ｍＬＸ１０</v>
      </c>
    </row>
    <row r="22" spans="2:7">
      <c r="B22" s="27">
        <f t="shared" si="0"/>
        <v>18</v>
      </c>
      <c r="C22" s="27" t="str">
        <f ca="1"/>
        <v>シアノコバラミン点眼液０．０２％「日点」</v>
      </c>
      <c r="D22" s="27">
        <f ca="1"/>
        <v>0</v>
      </c>
      <c r="E22" s="56">
        <f ca="1"/>
        <v>3</v>
      </c>
      <c r="F22" s="56" t="str">
        <f ca="1"/>
        <v/>
      </c>
      <c r="G22" s="56" t="str">
        <f ca="1"/>
        <v>５ｍＬＸ１０</v>
      </c>
    </row>
    <row r="23" spans="2:7">
      <c r="B23" s="27">
        <f t="shared" si="0"/>
        <v>19</v>
      </c>
      <c r="C23" s="27" t="str">
        <f ca="1"/>
        <v>スクロードパスタ</v>
      </c>
      <c r="D23" s="27">
        <f ca="1"/>
        <v>0</v>
      </c>
      <c r="E23" s="56">
        <f ca="1"/>
        <v>7</v>
      </c>
      <c r="F23" s="56" t="str">
        <f ca="1"/>
        <v/>
      </c>
      <c r="G23" s="56" t="str">
        <f ca="1"/>
        <v>100ｇ</v>
      </c>
    </row>
    <row r="24" spans="2:7">
      <c r="B24" s="27">
        <f t="shared" si="0"/>
        <v>20</v>
      </c>
      <c r="C24" s="27" t="str">
        <f ca="1"/>
        <v>スタデルムクリーム５％</v>
      </c>
      <c r="D24" s="27">
        <f ca="1"/>
        <v>0</v>
      </c>
      <c r="E24" s="56">
        <f ca="1"/>
        <v>15</v>
      </c>
      <c r="F24" s="56" t="str">
        <f ca="1"/>
        <v/>
      </c>
      <c r="G24" s="56" t="str">
        <f ca="1"/>
        <v>10ｇｘ10本</v>
      </c>
    </row>
    <row r="25" spans="2:7">
      <c r="B25" s="27">
        <f t="shared" si="0"/>
        <v>21</v>
      </c>
      <c r="C25" s="27" t="str">
        <f ca="1"/>
        <v>スピール膏Ｍ　ＳＰＭ１６</v>
      </c>
      <c r="D25" s="27">
        <f ca="1"/>
        <v>0</v>
      </c>
      <c r="E25" s="56">
        <f ca="1"/>
        <v>3</v>
      </c>
      <c r="F25" s="56" t="str">
        <f ca="1"/>
        <v/>
      </c>
      <c r="G25" s="56" t="str">
        <f ca="1"/>
        <v>６枚</v>
      </c>
    </row>
    <row r="26" spans="2:7">
      <c r="B26" s="27">
        <f t="shared" si="0"/>
        <v>22</v>
      </c>
      <c r="C26" s="27" t="str">
        <f ca="1"/>
        <v>タリビッド眼軟膏０．３％</v>
      </c>
      <c r="D26" s="27">
        <f ca="1"/>
        <v>0</v>
      </c>
      <c r="E26" s="56">
        <f ca="1"/>
        <v>3</v>
      </c>
      <c r="F26" s="56" t="str">
        <f ca="1"/>
        <v/>
      </c>
      <c r="G26" s="56" t="str">
        <f ca="1"/>
        <v>3.5ｇｘ10</v>
      </c>
    </row>
    <row r="27" spans="2:7">
      <c r="B27" s="27">
        <f t="shared" si="0"/>
        <v>23</v>
      </c>
      <c r="C27" s="27" t="str">
        <f ca="1"/>
        <v>ツロブテロールテープ１ｍｇ「サワイ」</v>
      </c>
      <c r="D27" s="27">
        <f ca="1"/>
        <v>0</v>
      </c>
      <c r="E27" s="56">
        <f ca="1"/>
        <v>3</v>
      </c>
      <c r="F27" s="56" t="str">
        <f ca="1"/>
        <v/>
      </c>
      <c r="G27" s="56" t="str">
        <f ca="1"/>
        <v>70枚</v>
      </c>
    </row>
    <row r="28" spans="2:7">
      <c r="B28" s="27">
        <f t="shared" si="0"/>
        <v>24</v>
      </c>
      <c r="C28" s="27" t="str">
        <f ca="1"/>
        <v>デキサメタゾン口腔用軟膏０．１％「日医工」</v>
      </c>
      <c r="D28" s="27">
        <f ca="1"/>
        <v>0</v>
      </c>
      <c r="E28" s="56">
        <f ca="1"/>
        <v>3</v>
      </c>
      <c r="F28" s="56" t="str">
        <f ca="1"/>
        <v/>
      </c>
      <c r="G28" s="56" t="str">
        <f ca="1"/>
        <v>5ｇX10</v>
      </c>
    </row>
    <row r="29" spans="2:7">
      <c r="B29" s="27">
        <f t="shared" si="0"/>
        <v>25</v>
      </c>
      <c r="C29" s="27" t="str">
        <f ca="1"/>
        <v>テルビナフィン塩酸塩クリーム　１％「サワイ」</v>
      </c>
      <c r="D29" s="27">
        <f ca="1"/>
        <v>0</v>
      </c>
      <c r="E29" s="56">
        <f ca="1"/>
        <v>3</v>
      </c>
      <c r="F29" s="56" t="str">
        <f ca="1"/>
        <v/>
      </c>
      <c r="G29" s="56" t="str">
        <f ca="1"/>
        <v>10ｇX10</v>
      </c>
    </row>
    <row r="30" spans="2:7">
      <c r="B30" s="27">
        <f t="shared" si="0"/>
        <v>26</v>
      </c>
      <c r="C30" s="27" t="str">
        <f ca="1"/>
        <v>テルビナフィン塩酸塩外用液１％「サワイ」</v>
      </c>
      <c r="D30" s="27">
        <f ca="1"/>
        <v>0</v>
      </c>
      <c r="E30" s="56">
        <f ca="1"/>
        <v>3</v>
      </c>
      <c r="F30" s="56" t="str">
        <f ca="1"/>
        <v/>
      </c>
      <c r="G30" s="56" t="str">
        <f ca="1"/>
        <v>10ｇX10</v>
      </c>
    </row>
    <row r="31" spans="2:7">
      <c r="B31" s="27">
        <f t="shared" si="0"/>
        <v>27</v>
      </c>
      <c r="C31" s="27" t="str">
        <f ca="1"/>
        <v>デルモゾールＧ軟膏</v>
      </c>
      <c r="D31" s="27">
        <f ca="1"/>
        <v>0</v>
      </c>
      <c r="E31" s="56">
        <f ca="1"/>
        <v>3</v>
      </c>
      <c r="F31" s="56" t="str">
        <f ca="1"/>
        <v/>
      </c>
      <c r="G31" s="56" t="str">
        <f ca="1"/>
        <v>5ｇX50</v>
      </c>
    </row>
    <row r="32" spans="2:7">
      <c r="B32" s="27">
        <f t="shared" si="0"/>
        <v>28</v>
      </c>
      <c r="C32" s="27" t="str">
        <f ca="1"/>
        <v>デルモゾールＧ軟膏</v>
      </c>
      <c r="D32" s="27">
        <f ca="1"/>
        <v>0</v>
      </c>
      <c r="E32" s="56">
        <f ca="1"/>
        <v>3</v>
      </c>
      <c r="F32" s="56" t="str">
        <f ca="1"/>
        <v/>
      </c>
      <c r="G32" s="56" t="str">
        <f ca="1"/>
        <v>500ｇ</v>
      </c>
    </row>
    <row r="33" spans="2:7">
      <c r="B33" s="27">
        <f t="shared" si="0"/>
        <v>29</v>
      </c>
      <c r="C33" s="27" t="str">
        <f ca="1"/>
        <v>ニゾラールクリーム２％　　　　　　　　　</v>
      </c>
      <c r="D33" s="27">
        <f ca="1"/>
        <v>0</v>
      </c>
      <c r="E33" s="56">
        <f ca="1"/>
        <v>3</v>
      </c>
      <c r="F33" s="56" t="str">
        <f ca="1"/>
        <v/>
      </c>
      <c r="G33" s="56" t="str">
        <f ca="1"/>
        <v>１０gx20</v>
      </c>
    </row>
    <row r="34" spans="2:7">
      <c r="B34" s="27">
        <f t="shared" si="0"/>
        <v>30</v>
      </c>
      <c r="C34" s="27" t="str">
        <f ca="1"/>
        <v>ニゾラールローション２％</v>
      </c>
      <c r="D34" s="27">
        <f ca="1"/>
        <v>0</v>
      </c>
      <c r="E34" s="56">
        <f ca="1"/>
        <v>15</v>
      </c>
      <c r="F34" s="56" t="str">
        <f ca="1"/>
        <v/>
      </c>
      <c r="G34" s="56" t="str">
        <f ca="1"/>
        <v>１０ｇ×１０本</v>
      </c>
    </row>
    <row r="35" spans="2:7">
      <c r="B35" s="27">
        <f t="shared" si="0"/>
        <v>31</v>
      </c>
      <c r="C35" s="27" t="str">
        <f ca="1"/>
        <v>ネオメドロールＥＥ軟膏</v>
      </c>
      <c r="D35" s="27">
        <f ca="1"/>
        <v>0</v>
      </c>
      <c r="E35" s="56">
        <f ca="1"/>
        <v>3</v>
      </c>
      <c r="F35" s="56" t="str">
        <f ca="1"/>
        <v/>
      </c>
      <c r="G35" s="56" t="str">
        <f ca="1"/>
        <v>3ｇｘ10</v>
      </c>
    </row>
    <row r="36" spans="2:7">
      <c r="B36" s="27">
        <f t="shared" si="0"/>
        <v>32</v>
      </c>
      <c r="C36" s="27" t="str">
        <f ca="1"/>
        <v>ヒアルロン酸Ｎａ点眼液０．１％「ニットー」</v>
      </c>
      <c r="D36" s="27">
        <f ca="1"/>
        <v>0</v>
      </c>
      <c r="E36" s="56">
        <f ca="1"/>
        <v>3</v>
      </c>
      <c r="F36" s="56" t="str">
        <f ca="1"/>
        <v/>
      </c>
      <c r="G36" s="56" t="str">
        <f ca="1"/>
        <v>5ｍｌｘ10</v>
      </c>
    </row>
    <row r="37" spans="2:7">
      <c r="B37" s="27">
        <f t="shared" si="0"/>
        <v>33</v>
      </c>
      <c r="C37" s="27" t="str">
        <f ca="1"/>
        <v>ビダラビン軟膏３％「ＳＷ」</v>
      </c>
      <c r="D37" s="27">
        <f ca="1"/>
        <v>0</v>
      </c>
      <c r="E37" s="56">
        <f ca="1"/>
        <v>3</v>
      </c>
      <c r="F37" s="56" t="str">
        <f ca="1"/>
        <v/>
      </c>
      <c r="G37" s="56" t="str">
        <f ca="1"/>
        <v>５ｇX5</v>
      </c>
    </row>
    <row r="38" spans="2:7">
      <c r="B38" s="27">
        <f t="shared" si="0"/>
        <v>34</v>
      </c>
      <c r="C38" s="27" t="str">
        <f ca="1"/>
        <v>ヒルドイドソフト軟膏　０．３％</v>
      </c>
      <c r="D38" s="27">
        <f ca="1"/>
        <v>0</v>
      </c>
      <c r="E38" s="56">
        <f ca="1"/>
        <v>3</v>
      </c>
      <c r="F38" s="56" t="str">
        <f ca="1"/>
        <v/>
      </c>
      <c r="G38" s="56" t="str">
        <f ca="1"/>
        <v>25ｇｘ10本</v>
      </c>
    </row>
    <row r="39" spans="2:7">
      <c r="B39" s="27">
        <f t="shared" si="0"/>
        <v>35</v>
      </c>
      <c r="C39" s="27" t="str">
        <f ca="1"/>
        <v>フランドルテープ４０ｍｇ</v>
      </c>
      <c r="D39" s="27">
        <f ca="1"/>
        <v>0</v>
      </c>
      <c r="E39" s="56">
        <f ca="1"/>
        <v>3</v>
      </c>
      <c r="F39" s="56" t="str">
        <f ca="1"/>
        <v/>
      </c>
      <c r="G39" s="56" t="str">
        <f ca="1"/>
        <v>70ﾏｲ</v>
      </c>
    </row>
    <row r="40" spans="2:7">
      <c r="B40" s="27">
        <f t="shared" si="0"/>
        <v>36</v>
      </c>
      <c r="C40" s="27" t="str">
        <f ca="1"/>
        <v>ブロムヘキシン塩酸塩吸入液０．２％「タイヨー」</v>
      </c>
      <c r="D40" s="27">
        <f ca="1"/>
        <v>0</v>
      </c>
      <c r="E40" s="56">
        <f ca="1"/>
        <v>3</v>
      </c>
      <c r="F40" s="56" t="str">
        <f ca="1"/>
        <v/>
      </c>
      <c r="G40" s="56" t="str">
        <f ca="1"/>
        <v>45ｍｌ</v>
      </c>
    </row>
    <row r="41" spans="2:7">
      <c r="B41" s="27">
        <f t="shared" si="0"/>
        <v>37</v>
      </c>
      <c r="C41" s="27" t="str">
        <f ca="1"/>
        <v>ベタメタゾン吉草酸エステルロ－ション０．１２％「イワキ」</v>
      </c>
      <c r="D41" s="27">
        <f ca="1"/>
        <v>0</v>
      </c>
      <c r="E41" s="56">
        <f ca="1"/>
        <v>3</v>
      </c>
      <c r="F41" s="56" t="str">
        <f ca="1"/>
        <v/>
      </c>
      <c r="G41" s="56" t="str">
        <f ca="1"/>
        <v>10MLX10</v>
      </c>
    </row>
    <row r="42" spans="2:7">
      <c r="B42" s="27">
        <f t="shared" si="0"/>
        <v>38</v>
      </c>
      <c r="C42" s="27" t="str">
        <f ca="1"/>
        <v>ヘパリン類似物質油性クリーム０．３％「ニチイコウ」</v>
      </c>
      <c r="D42" s="27">
        <f ca="1"/>
        <v>0</v>
      </c>
      <c r="E42" s="56">
        <f ca="1"/>
        <v>5</v>
      </c>
      <c r="F42" s="56" t="str">
        <f ca="1"/>
        <v/>
      </c>
      <c r="G42" s="56" t="str">
        <f ca="1"/>
        <v>100ｇ</v>
      </c>
    </row>
    <row r="43" spans="2:7">
      <c r="B43" s="27">
        <f t="shared" si="0"/>
        <v>39</v>
      </c>
      <c r="C43" s="27" t="str">
        <f ca="1"/>
        <v>ペミロラストＫ点眼液０．１％「ＴＳ」</v>
      </c>
      <c r="D43" s="27">
        <f ca="1"/>
        <v>0</v>
      </c>
      <c r="E43" s="56">
        <f ca="1"/>
        <v>3</v>
      </c>
      <c r="F43" s="56" t="str">
        <f ca="1"/>
        <v/>
      </c>
      <c r="G43" s="56" t="str">
        <f ca="1"/>
        <v>5ｍｌｘ10</v>
      </c>
    </row>
    <row r="44" spans="2:7">
      <c r="B44" s="27">
        <f t="shared" si="0"/>
        <v>40</v>
      </c>
      <c r="C44" s="27" t="str">
        <f ca="1"/>
        <v>ヘモレックス軟膏</v>
      </c>
      <c r="D44" s="27">
        <f ca="1"/>
        <v>0</v>
      </c>
      <c r="E44" s="56">
        <f ca="1"/>
        <v>3</v>
      </c>
      <c r="F44" s="56" t="str">
        <f ca="1"/>
        <v/>
      </c>
      <c r="G44" s="56" t="str">
        <f ca="1"/>
        <v>２ｇｘ70</v>
      </c>
    </row>
    <row r="45" spans="2:7">
      <c r="B45" s="27">
        <f t="shared" si="0"/>
        <v>41</v>
      </c>
      <c r="C45" s="27" t="str">
        <f ca="1"/>
        <v>ボアラ軟膏０．１２％</v>
      </c>
      <c r="D45" s="27">
        <f ca="1"/>
        <v>0</v>
      </c>
      <c r="E45" s="56">
        <f ca="1"/>
        <v>8</v>
      </c>
      <c r="F45" s="56" t="str">
        <f ca="1"/>
        <v/>
      </c>
      <c r="G45" s="56" t="str">
        <f ca="1"/>
        <v>100ｇ</v>
      </c>
    </row>
    <row r="46" spans="2:7">
      <c r="B46" s="27">
        <f t="shared" si="0"/>
        <v>42</v>
      </c>
      <c r="C46" s="27" t="str">
        <f ca="1"/>
        <v>マイザー軟膏０．０５％</v>
      </c>
      <c r="D46" s="27">
        <f ca="1"/>
        <v>0</v>
      </c>
      <c r="E46" s="56">
        <f ca="1"/>
        <v>3</v>
      </c>
      <c r="F46" s="56" t="str">
        <f ca="1"/>
        <v/>
      </c>
      <c r="G46" s="56" t="str">
        <f ca="1"/>
        <v>5ｇｘ10</v>
      </c>
    </row>
    <row r="47" spans="2:7">
      <c r="B47" s="27">
        <f t="shared" si="0"/>
        <v>43</v>
      </c>
      <c r="C47" s="27" t="str">
        <f ca="1"/>
        <v>メプチンエア－１０μｇ吸入１００回　　０．０１４３％</v>
      </c>
      <c r="D47" s="27">
        <f ca="1"/>
        <v>0</v>
      </c>
      <c r="E47" s="56">
        <f ca="1"/>
        <v>3</v>
      </c>
      <c r="F47" s="56" t="str">
        <f ca="1"/>
        <v/>
      </c>
      <c r="G47" s="56" t="str">
        <f ca="1"/>
        <v>5ｍｌｘ10</v>
      </c>
    </row>
    <row r="48" spans="2:7">
      <c r="B48" s="27">
        <f t="shared" si="0"/>
        <v>44</v>
      </c>
      <c r="C48" s="27" t="str">
        <f ca="1"/>
        <v>ラタノプロスト点眼液０．００５％「センジュ」</v>
      </c>
      <c r="D48" s="27">
        <f ca="1"/>
        <v>0</v>
      </c>
      <c r="E48" s="56">
        <f ca="1"/>
        <v>11</v>
      </c>
      <c r="F48" s="56" t="str">
        <f ca="1"/>
        <v/>
      </c>
      <c r="G48" s="56" t="str">
        <f ca="1"/>
        <v>2.5ｍｌｘ10</v>
      </c>
    </row>
    <row r="49" spans="2:7">
      <c r="B49" s="27">
        <f t="shared" si="0"/>
        <v>45</v>
      </c>
      <c r="C49" s="27" t="str">
        <f ca="1"/>
        <v>リンデロン－Ｖ　クリーム０．１２％</v>
      </c>
      <c r="D49" s="27">
        <f ca="1"/>
        <v>0</v>
      </c>
      <c r="E49" s="56">
        <f ca="1"/>
        <v>3</v>
      </c>
      <c r="F49" s="56" t="str">
        <f ca="1"/>
        <v/>
      </c>
      <c r="G49" s="56" t="str">
        <f ca="1"/>
        <v>5ｇX10入</v>
      </c>
    </row>
    <row r="50" spans="2:7">
      <c r="B50" s="27">
        <f t="shared" si="0"/>
        <v>46</v>
      </c>
      <c r="C50" s="27" t="str">
        <f ca="1"/>
        <v>リンデロン点眼点耳点鼻液０．１％</v>
      </c>
      <c r="D50" s="27">
        <f ca="1"/>
        <v>0</v>
      </c>
      <c r="E50" s="56">
        <f ca="1"/>
        <v>3</v>
      </c>
      <c r="F50" s="56" t="str">
        <f ca="1"/>
        <v/>
      </c>
      <c r="G50" s="56" t="str">
        <f ca="1"/>
        <v>5ｍｌｘ10</v>
      </c>
    </row>
    <row r="51" spans="2:7">
      <c r="B51" s="27">
        <f t="shared" si="0"/>
        <v>47</v>
      </c>
      <c r="C51" s="27" t="str">
        <f ca="1"/>
        <v>レスタミンコーワクリーム１％</v>
      </c>
      <c r="D51" s="27">
        <f ca="1"/>
        <v>0</v>
      </c>
      <c r="E51" s="56">
        <f ca="1"/>
        <v>7</v>
      </c>
      <c r="F51" s="56" t="str">
        <f ca="1"/>
        <v/>
      </c>
      <c r="G51" s="56" t="str">
        <f ca="1"/>
        <v>500ｇ</v>
      </c>
    </row>
    <row r="52" spans="2:7">
      <c r="B52" s="27">
        <f t="shared" si="0"/>
        <v>48</v>
      </c>
      <c r="C52" s="27" t="str">
        <f ca="1"/>
        <v>ロキソプロフェンＮａテープ１００ｍｇ「ＤＳＥＰ」</v>
      </c>
      <c r="D52" s="27">
        <f ca="1"/>
        <v>0</v>
      </c>
      <c r="E52" s="56">
        <f ca="1"/>
        <v>12</v>
      </c>
      <c r="F52" s="56" t="str">
        <f ca="1"/>
        <v/>
      </c>
      <c r="G52" s="56" t="str">
        <f ca="1"/>
        <v>700枚</v>
      </c>
    </row>
    <row r="53" spans="2:7">
      <c r="B53" s="27">
        <f t="shared" si="0"/>
        <v>49</v>
      </c>
      <c r="C53" s="27" t="str">
        <f ca="1"/>
        <v>ロコイド軟膏０．１％</v>
      </c>
      <c r="D53" s="27">
        <f ca="1"/>
        <v>0</v>
      </c>
      <c r="E53" s="56">
        <f ca="1"/>
        <v>3</v>
      </c>
      <c r="F53" s="56" t="str">
        <f ca="1"/>
        <v/>
      </c>
      <c r="G53" s="56" t="str">
        <f ca="1"/>
        <v>5ｇｘ10</v>
      </c>
    </row>
    <row r="54" spans="2:7">
      <c r="B54" s="27">
        <f t="shared" si="0"/>
        <v>50</v>
      </c>
      <c r="C54" s="27" t="str">
        <f ca="1"/>
        <v>亜鉛華軟膏「ニッコー」　</v>
      </c>
      <c r="D54" s="27">
        <f ca="1"/>
        <v>0</v>
      </c>
      <c r="E54" s="56">
        <f ca="1"/>
        <v>7</v>
      </c>
      <c r="F54" s="56" t="str">
        <f ca="1"/>
        <v/>
      </c>
      <c r="G54" s="56" t="str">
        <f ca="1"/>
        <v>500ｇ</v>
      </c>
    </row>
    <row r="55" spans="2:7">
      <c r="B55" s="27">
        <f t="shared" si="0"/>
        <v>51</v>
      </c>
      <c r="C55" s="27" t="str">
        <f ca="1"/>
        <v>尿素クリーム１０％「日医工」</v>
      </c>
      <c r="D55" s="27">
        <f ca="1"/>
        <v>0</v>
      </c>
      <c r="E55" s="56">
        <f ca="1"/>
        <v>3</v>
      </c>
      <c r="F55" s="56" t="str">
        <f ca="1"/>
        <v/>
      </c>
      <c r="G55" s="56" t="str">
        <f ca="1"/>
        <v>20ｇX10</v>
      </c>
    </row>
    <row r="56" spans="2:7">
      <c r="B56" s="27">
        <f t="shared" si="0"/>
        <v>52</v>
      </c>
      <c r="C56" s="27" t="str">
        <f ca="1"/>
        <v>アリドネパッチ２７．５ｍｇ</v>
      </c>
      <c r="D56" s="27">
        <f ca="1"/>
        <v>2</v>
      </c>
      <c r="E56" s="56">
        <f ca="1"/>
        <v>3</v>
      </c>
      <c r="F56" s="56" t="str">
        <f ca="1"/>
        <v/>
      </c>
      <c r="G56" s="56" t="str">
        <f ca="1"/>
        <v>28枚</v>
      </c>
    </row>
    <row r="57" spans="2:7">
      <c r="B57" s="27">
        <f t="shared" si="0"/>
        <v>53</v>
      </c>
      <c r="C57" s="27" t="str">
        <f ca="1"/>
        <v>アリドネパッチ５５ｍｇ</v>
      </c>
      <c r="D57" s="27">
        <f ca="1"/>
        <v>2</v>
      </c>
      <c r="E57" s="56">
        <f ca="1"/>
        <v>3</v>
      </c>
      <c r="F57" s="56" t="str">
        <f ca="1"/>
        <v/>
      </c>
      <c r="G57" s="56" t="str">
        <f ca="1"/>
        <v>28枚</v>
      </c>
    </row>
    <row r="58" spans="2:7">
      <c r="B58" s="27">
        <f t="shared" si="0"/>
        <v>54</v>
      </c>
      <c r="C58" s="27" t="str">
        <f ca="1"/>
        <v>オキサロール軟膏２５μｇ／ｇ０．００２５％</v>
      </c>
      <c r="D58" s="27">
        <f ca="1"/>
        <v>2</v>
      </c>
      <c r="E58" s="56">
        <f ca="1"/>
        <v>3</v>
      </c>
      <c r="F58" s="56" t="str">
        <f ca="1"/>
        <v/>
      </c>
      <c r="G58" s="56" t="str">
        <f ca="1"/>
        <v>10GX10</v>
      </c>
    </row>
    <row r="59" spans="2:7">
      <c r="B59" s="27">
        <f t="shared" si="0"/>
        <v>55</v>
      </c>
      <c r="C59" s="27" t="str">
        <f ca="1"/>
        <v>クロベタゾールプロピオン酸エステル軟膏０．０５％「イワキ」</v>
      </c>
      <c r="D59" s="27">
        <f ca="1"/>
        <v>2</v>
      </c>
      <c r="E59" s="56">
        <f ca="1"/>
        <v>3</v>
      </c>
      <c r="F59" s="56" t="str">
        <f ca="1"/>
        <v/>
      </c>
      <c r="G59" s="56" t="str">
        <f ca="1"/>
        <v>5ｇｘ10</v>
      </c>
    </row>
    <row r="60" spans="2:7">
      <c r="B60" s="27">
        <f t="shared" si="0"/>
        <v>56</v>
      </c>
      <c r="C60" s="27" t="str">
        <f ca="1"/>
        <v>テクスメテン　ユニバーサル　クリーム０．１％</v>
      </c>
      <c r="D60" s="27">
        <f ca="1"/>
        <v>2</v>
      </c>
      <c r="E60" s="56">
        <f ca="1"/>
        <v>3</v>
      </c>
      <c r="F60" s="56" t="str">
        <f ca="1"/>
        <v/>
      </c>
      <c r="G60" s="56" t="str">
        <f ca="1"/>
        <v>10ｇｘ10</v>
      </c>
    </row>
    <row r="61" spans="2:7">
      <c r="B61" s="27">
        <f t="shared" si="0"/>
        <v>57</v>
      </c>
      <c r="C61" s="27" t="str">
        <f ca="1"/>
        <v>プロスタンディン軟膏０．００３％</v>
      </c>
      <c r="D61" s="27">
        <f ca="1"/>
        <v>2</v>
      </c>
      <c r="E61" s="56">
        <f ca="1"/>
        <v>3</v>
      </c>
      <c r="F61" s="56" t="str">
        <f ca="1"/>
        <v/>
      </c>
      <c r="G61" s="56" t="str">
        <f ca="1"/>
        <v>30ｇｘ1</v>
      </c>
    </row>
    <row r="62" spans="2:7">
      <c r="B62" s="27">
        <f t="shared" si="0"/>
        <v>58</v>
      </c>
      <c r="C62" s="27" t="str">
        <f ca="1"/>
        <v>リバスチグミンテープ１３．５ｍｇ「トーワ」　</v>
      </c>
      <c r="D62" s="27">
        <f ca="1"/>
        <v>2</v>
      </c>
      <c r="E62" s="56">
        <f ca="1"/>
        <v>3</v>
      </c>
      <c r="F62" s="56" t="str">
        <f ca="1"/>
        <v/>
      </c>
      <c r="G62" s="56" t="str">
        <f ca="1"/>
        <v>14枚</v>
      </c>
    </row>
    <row r="63" spans="2:7">
      <c r="B63" s="27">
        <f t="shared" si="0"/>
        <v>59</v>
      </c>
      <c r="C63" s="27" t="str">
        <f ca="1"/>
        <v>リバスチグミンテープ１８ｍｇ「トーワ」　</v>
      </c>
      <c r="D63" s="27">
        <f ca="1"/>
        <v>2</v>
      </c>
      <c r="E63" s="56">
        <f ca="1"/>
        <v>3</v>
      </c>
      <c r="F63" s="56" t="str">
        <f ca="1"/>
        <v/>
      </c>
      <c r="G63" s="56" t="str">
        <f ca="1"/>
        <v>14枚</v>
      </c>
    </row>
    <row r="64" spans="2:7">
      <c r="B64" s="27">
        <f t="shared" si="0"/>
        <v>60</v>
      </c>
      <c r="C64" s="27" t="str">
        <f ca="1"/>
        <v>リバスチグミンテープ４．５ｍｇ「トーワ」</v>
      </c>
      <c r="D64" s="27">
        <f ca="1"/>
        <v>2</v>
      </c>
      <c r="E64" s="56">
        <f ca="1"/>
        <v>3</v>
      </c>
      <c r="F64" s="56" t="str">
        <f ca="1"/>
        <v/>
      </c>
      <c r="G64" s="56" t="str">
        <f ca="1"/>
        <v>14枚</v>
      </c>
    </row>
    <row r="65" spans="2:7">
      <c r="B65" s="27">
        <f t="shared" si="0"/>
        <v>61</v>
      </c>
      <c r="C65" s="27" t="str">
        <f ca="1"/>
        <v>リバスチグミンテープ９ｍｇ「トーワ」　</v>
      </c>
      <c r="D65" s="27">
        <f ca="1"/>
        <v>2</v>
      </c>
      <c r="E65" s="56">
        <f ca="1"/>
        <v>3</v>
      </c>
      <c r="F65" s="56" t="str">
        <f ca="1"/>
        <v/>
      </c>
      <c r="G65" s="56" t="str">
        <f ca="1"/>
        <v>14枚</v>
      </c>
    </row>
    <row r="66" spans="2:7">
      <c r="B66" s="27">
        <f t="shared" si="0"/>
        <v>62</v>
      </c>
      <c r="C66" s="27" t="str">
        <f ca="1"/>
        <v>ロナセンテープ２０ｍｇ</v>
      </c>
      <c r="D66" s="27">
        <f ca="1"/>
        <v>2</v>
      </c>
      <c r="E66" s="56">
        <f ca="1"/>
        <v>3</v>
      </c>
      <c r="F66" s="56" t="str">
        <f ca="1"/>
        <v/>
      </c>
      <c r="G66" s="56" t="str">
        <f ca="1"/>
        <v>70枚</v>
      </c>
    </row>
    <row r="67" spans="2:7">
      <c r="B67" s="27">
        <f t="shared" si="0"/>
        <v>63</v>
      </c>
      <c r="C67" s="27" t="str">
        <f ca="1"/>
        <v>ロナセンテープ４０ｍｇ</v>
      </c>
      <c r="D67" s="27">
        <f ca="1"/>
        <v>2</v>
      </c>
      <c r="E67" s="56">
        <f ca="1"/>
        <v>3</v>
      </c>
      <c r="F67" s="56" t="str">
        <f ca="1"/>
        <v/>
      </c>
      <c r="G67" s="56" t="str">
        <f ca="1"/>
        <v>70枚</v>
      </c>
    </row>
    <row r="68" spans="2:7">
      <c r="B68" s="27">
        <f t="shared" si="0"/>
        <v>64</v>
      </c>
      <c r="C68" s="27"/>
      <c r="D68" s="27"/>
      <c r="E68" s="56"/>
      <c r="F68" s="56"/>
      <c r="G68" s="56"/>
    </row>
    <row r="69" spans="2:7">
      <c r="B69" s="27">
        <f t="shared" si="0"/>
        <v>65</v>
      </c>
      <c r="C69" s="27"/>
      <c r="D69" s="27"/>
      <c r="E69" s="56"/>
      <c r="F69" s="56"/>
      <c r="G69" s="56"/>
    </row>
    <row r="70" spans="2:7">
      <c r="B70" s="27">
        <f t="shared" si="0"/>
        <v>66</v>
      </c>
      <c r="C70" s="27"/>
      <c r="D70" s="27"/>
      <c r="E70" s="56"/>
      <c r="F70" s="56"/>
      <c r="G70" s="56"/>
    </row>
    <row r="71" spans="2:7">
      <c r="B71" s="27">
        <f t="shared" ref="B71:B134" si="1">B70+1</f>
        <v>67</v>
      </c>
      <c r="C71" s="27"/>
      <c r="D71" s="27"/>
      <c r="E71" s="56"/>
      <c r="F71" s="56"/>
      <c r="G71" s="56"/>
    </row>
    <row r="72" spans="2:7">
      <c r="B72" s="27">
        <f t="shared" si="1"/>
        <v>68</v>
      </c>
      <c r="C72" s="27"/>
      <c r="D72" s="27"/>
      <c r="E72" s="56"/>
      <c r="F72" s="56"/>
      <c r="G72" s="56"/>
    </row>
    <row r="73" spans="2:7">
      <c r="B73" s="27">
        <f t="shared" si="1"/>
        <v>69</v>
      </c>
      <c r="C73" s="27"/>
      <c r="D73" s="27"/>
      <c r="E73" s="56"/>
      <c r="F73" s="56"/>
      <c r="G73" s="56"/>
    </row>
    <row r="74" spans="2:7">
      <c r="B74" s="27">
        <f t="shared" si="1"/>
        <v>70</v>
      </c>
      <c r="C74" s="27"/>
      <c r="D74" s="27"/>
      <c r="E74" s="56"/>
      <c r="F74" s="56"/>
      <c r="G74" s="56"/>
    </row>
    <row r="75" spans="2:7">
      <c r="B75" s="27">
        <f t="shared" si="1"/>
        <v>71</v>
      </c>
      <c r="C75" s="27"/>
      <c r="D75" s="27"/>
      <c r="E75" s="56"/>
      <c r="F75" s="56"/>
      <c r="G75" s="56"/>
    </row>
    <row r="76" spans="2:7">
      <c r="B76" s="27">
        <f t="shared" si="1"/>
        <v>72</v>
      </c>
      <c r="C76" s="27"/>
      <c r="D76" s="27"/>
      <c r="E76" s="56"/>
      <c r="F76" s="56"/>
      <c r="G76" s="56"/>
    </row>
    <row r="77" spans="2:7">
      <c r="B77" s="27">
        <f t="shared" si="1"/>
        <v>73</v>
      </c>
      <c r="C77" s="27"/>
      <c r="D77" s="27"/>
      <c r="E77" s="56"/>
      <c r="F77" s="56"/>
      <c r="G77" s="56"/>
    </row>
    <row r="78" spans="2:7">
      <c r="B78" s="27">
        <f t="shared" si="1"/>
        <v>74</v>
      </c>
      <c r="C78" s="27"/>
      <c r="D78" s="27"/>
      <c r="E78" s="56"/>
      <c r="F78" s="56"/>
      <c r="G78" s="56"/>
    </row>
    <row r="79" spans="2:7">
      <c r="B79" s="27">
        <f t="shared" si="1"/>
        <v>75</v>
      </c>
      <c r="C79" s="27"/>
      <c r="D79" s="27"/>
      <c r="E79" s="56"/>
      <c r="F79" s="56"/>
      <c r="G79" s="56"/>
    </row>
    <row r="80" spans="2:7">
      <c r="B80" s="27">
        <f t="shared" si="1"/>
        <v>76</v>
      </c>
      <c r="C80" s="27"/>
      <c r="D80" s="27"/>
      <c r="E80" s="56"/>
      <c r="F80" s="56"/>
      <c r="G80" s="56"/>
    </row>
    <row r="81" spans="2:7">
      <c r="B81" s="27">
        <f t="shared" si="1"/>
        <v>77</v>
      </c>
      <c r="C81" s="27"/>
      <c r="D81" s="27"/>
      <c r="E81" s="56"/>
      <c r="F81" s="56"/>
      <c r="G81" s="56"/>
    </row>
    <row r="82" spans="2:7">
      <c r="B82" s="27">
        <f t="shared" si="1"/>
        <v>78</v>
      </c>
      <c r="C82" s="27"/>
      <c r="D82" s="27"/>
      <c r="E82" s="56"/>
      <c r="F82" s="56"/>
      <c r="G82" s="56"/>
    </row>
    <row r="83" spans="2:7">
      <c r="B83" s="27">
        <f t="shared" si="1"/>
        <v>79</v>
      </c>
      <c r="C83" s="27"/>
      <c r="D83" s="27"/>
      <c r="E83" s="56"/>
      <c r="F83" s="56"/>
      <c r="G83" s="56"/>
    </row>
    <row r="84" spans="2:7">
      <c r="B84" s="27">
        <f t="shared" si="1"/>
        <v>80</v>
      </c>
      <c r="C84" s="27"/>
      <c r="D84" s="27"/>
      <c r="E84" s="56"/>
      <c r="F84" s="56"/>
      <c r="G84" s="56"/>
    </row>
    <row r="85" spans="2:7">
      <c r="B85" s="27">
        <f t="shared" si="1"/>
        <v>81</v>
      </c>
      <c r="C85" s="27"/>
      <c r="D85" s="27"/>
      <c r="E85" s="56"/>
      <c r="F85" s="56"/>
      <c r="G85" s="56"/>
    </row>
    <row r="86" spans="2:7">
      <c r="B86" s="27">
        <f t="shared" si="1"/>
        <v>82</v>
      </c>
      <c r="C86" s="27"/>
      <c r="D86" s="27"/>
      <c r="E86" s="56"/>
      <c r="F86" s="56"/>
      <c r="G86" s="56"/>
    </row>
    <row r="87" spans="2:7">
      <c r="B87" s="27">
        <f t="shared" si="1"/>
        <v>83</v>
      </c>
      <c r="C87" s="27"/>
      <c r="D87" s="27"/>
      <c r="E87" s="56"/>
      <c r="F87" s="56"/>
      <c r="G87" s="56"/>
    </row>
    <row r="88" spans="2:7">
      <c r="B88" s="27">
        <f t="shared" si="1"/>
        <v>84</v>
      </c>
      <c r="C88" s="27"/>
      <c r="D88" s="27"/>
      <c r="E88" s="56"/>
      <c r="F88" s="56"/>
      <c r="G88" s="56"/>
    </row>
    <row r="89" spans="2:7">
      <c r="B89" s="27">
        <f t="shared" si="1"/>
        <v>85</v>
      </c>
      <c r="C89" s="27"/>
      <c r="D89" s="27"/>
      <c r="E89" s="56"/>
      <c r="F89" s="56"/>
      <c r="G89" s="56"/>
    </row>
    <row r="90" spans="2:7">
      <c r="B90" s="27">
        <f t="shared" si="1"/>
        <v>86</v>
      </c>
      <c r="C90" s="27"/>
      <c r="D90" s="27"/>
      <c r="E90" s="56"/>
      <c r="F90" s="56"/>
      <c r="G90" s="56"/>
    </row>
    <row r="91" spans="2:7">
      <c r="B91" s="27">
        <f t="shared" si="1"/>
        <v>87</v>
      </c>
      <c r="C91" s="27"/>
      <c r="D91" s="27"/>
      <c r="E91" s="56"/>
      <c r="F91" s="56"/>
      <c r="G91" s="56"/>
    </row>
    <row r="92" spans="2:7">
      <c r="B92" s="27">
        <f t="shared" si="1"/>
        <v>88</v>
      </c>
      <c r="C92" s="27"/>
      <c r="D92" s="27"/>
      <c r="E92" s="56"/>
      <c r="F92" s="56"/>
      <c r="G92" s="56"/>
    </row>
    <row r="93" spans="2:7">
      <c r="B93" s="27">
        <f t="shared" si="1"/>
        <v>89</v>
      </c>
      <c r="C93" s="27"/>
      <c r="D93" s="27"/>
      <c r="E93" s="56"/>
      <c r="F93" s="56"/>
      <c r="G93" s="56"/>
    </row>
    <row r="94" spans="2:7">
      <c r="B94" s="27">
        <f t="shared" si="1"/>
        <v>90</v>
      </c>
      <c r="C94" s="27"/>
      <c r="D94" s="27"/>
      <c r="E94" s="56"/>
      <c r="F94" s="56"/>
      <c r="G94" s="56"/>
    </row>
    <row r="95" spans="2:7">
      <c r="B95" s="27">
        <f t="shared" si="1"/>
        <v>91</v>
      </c>
      <c r="C95" s="27"/>
      <c r="D95" s="27"/>
      <c r="E95" s="56"/>
      <c r="F95" s="56"/>
      <c r="G95" s="56"/>
    </row>
    <row r="96" spans="2:7">
      <c r="B96" s="27">
        <f t="shared" si="1"/>
        <v>92</v>
      </c>
      <c r="C96" s="27"/>
      <c r="D96" s="27"/>
      <c r="E96" s="56"/>
      <c r="F96" s="56"/>
      <c r="G96" s="56"/>
    </row>
    <row r="97" spans="2:7">
      <c r="B97" s="27">
        <f t="shared" si="1"/>
        <v>93</v>
      </c>
      <c r="C97" s="27"/>
      <c r="D97" s="27"/>
      <c r="E97" s="56"/>
      <c r="F97" s="56"/>
      <c r="G97" s="56"/>
    </row>
    <row r="98" spans="2:7">
      <c r="B98" s="27">
        <f t="shared" si="1"/>
        <v>94</v>
      </c>
      <c r="C98" s="27"/>
      <c r="D98" s="27"/>
      <c r="E98" s="56"/>
      <c r="F98" s="56"/>
      <c r="G98" s="56"/>
    </row>
    <row r="99" spans="2:7">
      <c r="B99" s="27">
        <f t="shared" si="1"/>
        <v>95</v>
      </c>
      <c r="C99" s="27"/>
      <c r="D99" s="27"/>
      <c r="E99" s="56"/>
      <c r="F99" s="56"/>
      <c r="G99" s="56"/>
    </row>
    <row r="100" spans="2:7">
      <c r="B100" s="27">
        <f t="shared" si="1"/>
        <v>96</v>
      </c>
      <c r="C100" s="27"/>
      <c r="D100" s="27"/>
      <c r="E100" s="56"/>
      <c r="F100" s="56"/>
      <c r="G100" s="56"/>
    </row>
    <row r="101" spans="2:7">
      <c r="B101" s="27">
        <f t="shared" si="1"/>
        <v>97</v>
      </c>
      <c r="C101" s="27"/>
      <c r="D101" s="27"/>
      <c r="E101" s="56"/>
      <c r="F101" s="56"/>
      <c r="G101" s="56"/>
    </row>
    <row r="102" spans="2:7">
      <c r="B102" s="27">
        <f t="shared" si="1"/>
        <v>98</v>
      </c>
      <c r="C102" s="27"/>
      <c r="D102" s="27"/>
      <c r="E102" s="56"/>
      <c r="F102" s="56"/>
      <c r="G102" s="56"/>
    </row>
    <row r="103" spans="2:7">
      <c r="B103" s="27">
        <f t="shared" si="1"/>
        <v>99</v>
      </c>
      <c r="C103" s="27"/>
      <c r="D103" s="27"/>
      <c r="E103" s="56"/>
      <c r="F103" s="56"/>
      <c r="G103" s="56"/>
    </row>
    <row r="104" spans="2:7">
      <c r="B104" s="27">
        <f t="shared" si="1"/>
        <v>100</v>
      </c>
      <c r="C104" s="27"/>
      <c r="D104" s="27"/>
      <c r="E104" s="56"/>
      <c r="F104" s="56"/>
      <c r="G104" s="56"/>
    </row>
    <row r="105" spans="2:7">
      <c r="B105" s="27">
        <f t="shared" si="1"/>
        <v>101</v>
      </c>
      <c r="C105" s="27"/>
      <c r="D105" s="27"/>
      <c r="E105" s="56"/>
      <c r="F105" s="56"/>
      <c r="G105" s="56"/>
    </row>
    <row r="106" spans="2:7">
      <c r="B106" s="27">
        <f t="shared" si="1"/>
        <v>102</v>
      </c>
      <c r="C106" s="27"/>
      <c r="D106" s="27"/>
      <c r="E106" s="56"/>
      <c r="F106" s="56"/>
      <c r="G106" s="56"/>
    </row>
    <row r="107" spans="2:7">
      <c r="B107" s="27">
        <f t="shared" si="1"/>
        <v>103</v>
      </c>
      <c r="C107" s="27"/>
      <c r="D107" s="27"/>
      <c r="E107" s="56"/>
      <c r="F107" s="56"/>
      <c r="G107" s="56"/>
    </row>
    <row r="108" spans="2:7">
      <c r="B108" s="27">
        <f t="shared" si="1"/>
        <v>104</v>
      </c>
      <c r="C108" s="27"/>
      <c r="D108" s="27"/>
      <c r="E108" s="56"/>
      <c r="F108" s="56"/>
      <c r="G108" s="56"/>
    </row>
    <row r="109" spans="2:7">
      <c r="B109" s="27">
        <f t="shared" si="1"/>
        <v>105</v>
      </c>
      <c r="C109" s="27"/>
      <c r="D109" s="27"/>
      <c r="E109" s="56"/>
      <c r="F109" s="56"/>
      <c r="G109" s="56"/>
    </row>
    <row r="110" spans="2:7">
      <c r="B110" s="27">
        <f t="shared" si="1"/>
        <v>106</v>
      </c>
      <c r="C110" s="27"/>
      <c r="D110" s="27"/>
      <c r="E110" s="56"/>
      <c r="F110" s="56"/>
      <c r="G110" s="56"/>
    </row>
    <row r="111" spans="2:7">
      <c r="B111" s="27">
        <f t="shared" si="1"/>
        <v>107</v>
      </c>
      <c r="C111" s="27"/>
      <c r="D111" s="27"/>
      <c r="E111" s="56"/>
      <c r="F111" s="56"/>
      <c r="G111" s="56"/>
    </row>
    <row r="112" spans="2:7">
      <c r="B112" s="27">
        <f t="shared" si="1"/>
        <v>108</v>
      </c>
      <c r="C112" s="27"/>
      <c r="D112" s="27"/>
      <c r="E112" s="56"/>
      <c r="F112" s="56"/>
      <c r="G112" s="56"/>
    </row>
    <row r="113" spans="2:7">
      <c r="B113" s="27">
        <f t="shared" si="1"/>
        <v>109</v>
      </c>
      <c r="C113" s="27"/>
      <c r="D113" s="27"/>
      <c r="E113" s="56"/>
      <c r="F113" s="56"/>
      <c r="G113" s="56"/>
    </row>
    <row r="114" spans="2:7">
      <c r="B114" s="27">
        <f t="shared" si="1"/>
        <v>110</v>
      </c>
      <c r="C114" s="27"/>
      <c r="D114" s="27"/>
      <c r="E114" s="56"/>
      <c r="F114" s="56"/>
      <c r="G114" s="56"/>
    </row>
    <row r="115" spans="2:7">
      <c r="B115" s="27">
        <f t="shared" si="1"/>
        <v>111</v>
      </c>
      <c r="C115" s="27"/>
      <c r="D115" s="27"/>
      <c r="E115" s="56"/>
      <c r="F115" s="56"/>
      <c r="G115" s="56"/>
    </row>
    <row r="116" spans="2:7">
      <c r="B116" s="27">
        <f t="shared" si="1"/>
        <v>112</v>
      </c>
      <c r="C116" s="27"/>
      <c r="D116" s="27"/>
      <c r="E116" s="56"/>
      <c r="F116" s="56"/>
      <c r="G116" s="56"/>
    </row>
    <row r="117" spans="2:7">
      <c r="B117" s="27">
        <f t="shared" si="1"/>
        <v>113</v>
      </c>
      <c r="C117" s="27"/>
      <c r="D117" s="27"/>
      <c r="E117" s="56"/>
      <c r="F117" s="56"/>
      <c r="G117" s="56"/>
    </row>
    <row r="118" spans="2:7">
      <c r="B118" s="27">
        <f t="shared" si="1"/>
        <v>114</v>
      </c>
      <c r="C118" s="27"/>
      <c r="D118" s="27"/>
      <c r="E118" s="56"/>
      <c r="F118" s="56"/>
      <c r="G118" s="56"/>
    </row>
    <row r="119" spans="2:7">
      <c r="B119" s="27">
        <f t="shared" si="1"/>
        <v>115</v>
      </c>
      <c r="C119" s="27"/>
      <c r="D119" s="27"/>
      <c r="E119" s="56"/>
      <c r="F119" s="56"/>
      <c r="G119" s="56"/>
    </row>
    <row r="120" spans="2:7">
      <c r="B120" s="27">
        <f t="shared" si="1"/>
        <v>116</v>
      </c>
      <c r="C120" s="27"/>
      <c r="D120" s="27"/>
      <c r="E120" s="56"/>
      <c r="F120" s="56"/>
      <c r="G120" s="56"/>
    </row>
    <row r="121" spans="2:7">
      <c r="B121" s="27">
        <f t="shared" si="1"/>
        <v>117</v>
      </c>
      <c r="C121" s="27"/>
      <c r="D121" s="27"/>
      <c r="E121" s="56"/>
      <c r="F121" s="56"/>
      <c r="G121" s="56"/>
    </row>
    <row r="122" spans="2:7">
      <c r="B122" s="27">
        <f t="shared" si="1"/>
        <v>118</v>
      </c>
      <c r="C122" s="27"/>
      <c r="D122" s="27"/>
      <c r="E122" s="56"/>
      <c r="F122" s="56"/>
      <c r="G122" s="56"/>
    </row>
    <row r="123" spans="2:7">
      <c r="B123" s="27">
        <f t="shared" si="1"/>
        <v>119</v>
      </c>
      <c r="C123" s="27"/>
      <c r="D123" s="27"/>
      <c r="E123" s="56"/>
      <c r="F123" s="56"/>
      <c r="G123" s="56"/>
    </row>
    <row r="124" spans="2:7">
      <c r="B124" s="27">
        <f t="shared" si="1"/>
        <v>120</v>
      </c>
      <c r="C124" s="27"/>
      <c r="D124" s="27"/>
      <c r="E124" s="56"/>
      <c r="F124" s="56"/>
      <c r="G124" s="56"/>
    </row>
    <row r="125" spans="2:7">
      <c r="B125" s="27">
        <f t="shared" si="1"/>
        <v>121</v>
      </c>
      <c r="C125" s="27"/>
      <c r="D125" s="27"/>
      <c r="E125" s="56"/>
      <c r="F125" s="56"/>
      <c r="G125" s="56"/>
    </row>
    <row r="126" spans="2:7">
      <c r="B126" s="27">
        <f t="shared" si="1"/>
        <v>122</v>
      </c>
      <c r="C126" s="27"/>
      <c r="D126" s="27"/>
      <c r="E126" s="56"/>
      <c r="F126" s="56"/>
      <c r="G126" s="56"/>
    </row>
    <row r="127" spans="2:7">
      <c r="B127" s="27">
        <f t="shared" si="1"/>
        <v>123</v>
      </c>
      <c r="C127" s="27"/>
      <c r="D127" s="27"/>
      <c r="E127" s="56"/>
      <c r="F127" s="56"/>
      <c r="G127" s="56"/>
    </row>
    <row r="128" spans="2:7">
      <c r="B128" s="27">
        <f t="shared" si="1"/>
        <v>124</v>
      </c>
      <c r="C128" s="27"/>
      <c r="D128" s="27"/>
      <c r="E128" s="56"/>
      <c r="F128" s="56"/>
      <c r="G128" s="56"/>
    </row>
    <row r="129" spans="2:7">
      <c r="B129" s="27">
        <f t="shared" si="1"/>
        <v>125</v>
      </c>
      <c r="C129" s="27"/>
      <c r="D129" s="27"/>
      <c r="E129" s="56"/>
      <c r="F129" s="56"/>
      <c r="G129" s="56"/>
    </row>
    <row r="130" spans="2:7">
      <c r="B130" s="27">
        <f t="shared" si="1"/>
        <v>126</v>
      </c>
      <c r="C130" s="27"/>
      <c r="D130" s="27"/>
      <c r="E130" s="56"/>
      <c r="F130" s="56"/>
      <c r="G130" s="56"/>
    </row>
    <row r="131" spans="2:7">
      <c r="B131" s="27">
        <f t="shared" si="1"/>
        <v>127</v>
      </c>
      <c r="C131" s="27"/>
      <c r="D131" s="27"/>
      <c r="E131" s="56"/>
      <c r="F131" s="56"/>
      <c r="G131" s="56"/>
    </row>
    <row r="132" spans="2:7">
      <c r="B132" s="27">
        <f t="shared" si="1"/>
        <v>128</v>
      </c>
      <c r="C132" s="27"/>
      <c r="D132" s="27"/>
      <c r="E132" s="56"/>
      <c r="F132" s="56"/>
      <c r="G132" s="56"/>
    </row>
    <row r="133" spans="2:7">
      <c r="B133" s="27">
        <f t="shared" si="1"/>
        <v>129</v>
      </c>
      <c r="C133" s="27"/>
      <c r="D133" s="27"/>
      <c r="E133" s="56"/>
      <c r="F133" s="56"/>
      <c r="G133" s="56"/>
    </row>
    <row r="134" spans="2:7">
      <c r="B134" s="27">
        <f t="shared" si="1"/>
        <v>130</v>
      </c>
      <c r="C134" s="27"/>
      <c r="D134" s="27"/>
      <c r="E134" s="56"/>
      <c r="F134" s="56"/>
      <c r="G134" s="56"/>
    </row>
    <row r="135" spans="2:7">
      <c r="B135" s="27">
        <f t="shared" ref="B135:B198" si="2">B134+1</f>
        <v>131</v>
      </c>
      <c r="C135" s="27"/>
      <c r="D135" s="27"/>
      <c r="E135" s="56"/>
      <c r="F135" s="56"/>
      <c r="G135" s="56"/>
    </row>
    <row r="136" spans="2:7">
      <c r="B136" s="27">
        <f t="shared" si="2"/>
        <v>132</v>
      </c>
      <c r="C136" s="27"/>
      <c r="D136" s="27"/>
      <c r="E136" s="56"/>
      <c r="F136" s="56"/>
      <c r="G136" s="56"/>
    </row>
    <row r="137" spans="2:7">
      <c r="B137" s="27">
        <f t="shared" si="2"/>
        <v>133</v>
      </c>
      <c r="C137" s="27"/>
      <c r="D137" s="27"/>
      <c r="E137" s="56"/>
      <c r="F137" s="56"/>
      <c r="G137" s="56"/>
    </row>
    <row r="138" spans="2:7">
      <c r="B138" s="27">
        <f t="shared" si="2"/>
        <v>134</v>
      </c>
      <c r="C138" s="27"/>
      <c r="D138" s="27"/>
      <c r="E138" s="56"/>
      <c r="F138" s="56"/>
      <c r="G138" s="56"/>
    </row>
    <row r="139" spans="2:7">
      <c r="B139" s="27">
        <f t="shared" si="2"/>
        <v>135</v>
      </c>
      <c r="C139" s="27"/>
      <c r="D139" s="27"/>
      <c r="E139" s="56"/>
      <c r="F139" s="56"/>
      <c r="G139" s="56"/>
    </row>
    <row r="140" spans="2:7">
      <c r="B140" s="27">
        <f t="shared" si="2"/>
        <v>136</v>
      </c>
      <c r="C140" s="27"/>
      <c r="D140" s="27"/>
      <c r="E140" s="56"/>
      <c r="F140" s="56"/>
      <c r="G140" s="56"/>
    </row>
    <row r="141" spans="2:7">
      <c r="B141" s="27">
        <f t="shared" si="2"/>
        <v>137</v>
      </c>
      <c r="C141" s="27"/>
      <c r="D141" s="27"/>
      <c r="E141" s="56"/>
      <c r="F141" s="56"/>
      <c r="G141" s="56"/>
    </row>
    <row r="142" spans="2:7">
      <c r="B142" s="27">
        <f t="shared" si="2"/>
        <v>138</v>
      </c>
      <c r="C142" s="27"/>
      <c r="D142" s="27"/>
      <c r="E142" s="56"/>
      <c r="F142" s="56"/>
      <c r="G142" s="56"/>
    </row>
    <row r="143" spans="2:7">
      <c r="B143" s="27">
        <f t="shared" si="2"/>
        <v>139</v>
      </c>
      <c r="C143" s="27"/>
      <c r="D143" s="27"/>
      <c r="E143" s="56"/>
      <c r="F143" s="56"/>
      <c r="G143" s="56"/>
    </row>
    <row r="144" spans="2:7">
      <c r="B144" s="27">
        <f t="shared" si="2"/>
        <v>140</v>
      </c>
      <c r="C144" s="27"/>
      <c r="D144" s="27"/>
      <c r="E144" s="56"/>
      <c r="F144" s="56"/>
      <c r="G144" s="56"/>
    </row>
    <row r="145" spans="2:7">
      <c r="B145" s="27">
        <f t="shared" si="2"/>
        <v>141</v>
      </c>
      <c r="C145" s="27"/>
      <c r="D145" s="27"/>
      <c r="E145" s="56"/>
      <c r="F145" s="56"/>
      <c r="G145" s="56"/>
    </row>
    <row r="146" spans="2:7">
      <c r="B146" s="27">
        <f t="shared" si="2"/>
        <v>142</v>
      </c>
      <c r="C146" s="27"/>
      <c r="D146" s="27"/>
      <c r="E146" s="56"/>
      <c r="F146" s="56"/>
      <c r="G146" s="56"/>
    </row>
    <row r="147" spans="2:7">
      <c r="B147" s="27">
        <f t="shared" si="2"/>
        <v>143</v>
      </c>
      <c r="C147" s="27"/>
      <c r="D147" s="27"/>
      <c r="E147" s="56"/>
      <c r="F147" s="56"/>
      <c r="G147" s="56"/>
    </row>
    <row r="148" spans="2:7">
      <c r="B148" s="27">
        <f t="shared" si="2"/>
        <v>144</v>
      </c>
      <c r="C148" s="27"/>
      <c r="D148" s="27"/>
      <c r="E148" s="56"/>
      <c r="F148" s="56"/>
      <c r="G148" s="56"/>
    </row>
    <row r="149" spans="2:7">
      <c r="B149" s="27">
        <f t="shared" si="2"/>
        <v>145</v>
      </c>
      <c r="C149" s="27"/>
      <c r="D149" s="27"/>
      <c r="E149" s="56"/>
      <c r="F149" s="56"/>
      <c r="G149" s="56"/>
    </row>
    <row r="150" spans="2:7">
      <c r="B150" s="27">
        <f t="shared" si="2"/>
        <v>146</v>
      </c>
      <c r="C150" s="27"/>
      <c r="D150" s="27"/>
      <c r="E150" s="56"/>
      <c r="F150" s="56"/>
      <c r="G150" s="56"/>
    </row>
    <row r="151" spans="2:7">
      <c r="B151" s="27">
        <f t="shared" si="2"/>
        <v>147</v>
      </c>
      <c r="C151" s="27"/>
      <c r="D151" s="27"/>
      <c r="E151" s="56"/>
      <c r="F151" s="56"/>
      <c r="G151" s="56"/>
    </row>
    <row r="152" spans="2:7">
      <c r="B152" s="27">
        <f t="shared" si="2"/>
        <v>148</v>
      </c>
      <c r="C152" s="27"/>
      <c r="D152" s="27"/>
      <c r="E152" s="56"/>
      <c r="F152" s="56"/>
      <c r="G152" s="56"/>
    </row>
    <row r="153" spans="2:7">
      <c r="B153" s="27">
        <f t="shared" si="2"/>
        <v>149</v>
      </c>
      <c r="C153" s="27"/>
      <c r="D153" s="27"/>
      <c r="E153" s="56"/>
      <c r="F153" s="56"/>
      <c r="G153" s="56"/>
    </row>
    <row r="154" spans="2:7">
      <c r="B154" s="27">
        <f t="shared" si="2"/>
        <v>150</v>
      </c>
      <c r="C154" s="27"/>
      <c r="D154" s="27"/>
      <c r="E154" s="56"/>
      <c r="F154" s="56"/>
      <c r="G154" s="56"/>
    </row>
    <row r="155" spans="2:7">
      <c r="B155" s="27">
        <f t="shared" si="2"/>
        <v>151</v>
      </c>
      <c r="C155" s="27"/>
      <c r="D155" s="27"/>
      <c r="E155" s="56"/>
      <c r="F155" s="56"/>
      <c r="G155" s="56"/>
    </row>
    <row r="156" spans="2:7">
      <c r="B156" s="27">
        <f t="shared" si="2"/>
        <v>152</v>
      </c>
      <c r="C156" s="27"/>
      <c r="D156" s="27"/>
      <c r="E156" s="56"/>
      <c r="F156" s="56"/>
      <c r="G156" s="56"/>
    </row>
    <row r="157" spans="2:7">
      <c r="B157" s="27">
        <f t="shared" si="2"/>
        <v>153</v>
      </c>
      <c r="C157" s="27"/>
      <c r="D157" s="27"/>
      <c r="E157" s="56"/>
      <c r="F157" s="56"/>
      <c r="G157" s="56"/>
    </row>
    <row r="158" spans="2:7">
      <c r="B158" s="27">
        <f t="shared" si="2"/>
        <v>154</v>
      </c>
      <c r="C158" s="27"/>
      <c r="D158" s="27"/>
      <c r="E158" s="56"/>
      <c r="F158" s="56"/>
      <c r="G158" s="56"/>
    </row>
    <row r="159" spans="2:7">
      <c r="B159" s="27">
        <f t="shared" si="2"/>
        <v>155</v>
      </c>
      <c r="C159" s="27"/>
      <c r="D159" s="27"/>
      <c r="E159" s="56"/>
      <c r="F159" s="56"/>
      <c r="G159" s="56"/>
    </row>
    <row r="160" spans="2:7">
      <c r="B160" s="27">
        <f t="shared" si="2"/>
        <v>156</v>
      </c>
      <c r="C160" s="27"/>
      <c r="D160" s="27"/>
      <c r="E160" s="56"/>
      <c r="F160" s="56"/>
      <c r="G160" s="56"/>
    </row>
    <row r="161" spans="2:7">
      <c r="B161" s="27">
        <f t="shared" si="2"/>
        <v>157</v>
      </c>
      <c r="C161" s="27"/>
      <c r="D161" s="27"/>
      <c r="E161" s="56"/>
      <c r="F161" s="56"/>
      <c r="G161" s="56"/>
    </row>
    <row r="162" spans="2:7">
      <c r="B162" s="27">
        <f t="shared" si="2"/>
        <v>158</v>
      </c>
      <c r="C162" s="27"/>
      <c r="D162" s="27"/>
      <c r="E162" s="56"/>
      <c r="F162" s="56"/>
      <c r="G162" s="56"/>
    </row>
    <row r="163" spans="2:7">
      <c r="B163" s="27">
        <f t="shared" si="2"/>
        <v>159</v>
      </c>
      <c r="C163" s="27"/>
      <c r="D163" s="27"/>
      <c r="E163" s="56"/>
      <c r="F163" s="56"/>
      <c r="G163" s="56"/>
    </row>
    <row r="164" spans="2:7">
      <c r="B164" s="27">
        <f t="shared" si="2"/>
        <v>160</v>
      </c>
      <c r="C164" s="27"/>
      <c r="D164" s="27"/>
      <c r="E164" s="56"/>
      <c r="F164" s="56"/>
      <c r="G164" s="56"/>
    </row>
    <row r="165" spans="2:7">
      <c r="B165" s="27">
        <f t="shared" si="2"/>
        <v>161</v>
      </c>
      <c r="C165" s="27"/>
      <c r="D165" s="27"/>
      <c r="E165" s="56"/>
      <c r="F165" s="56"/>
      <c r="G165" s="56"/>
    </row>
    <row r="166" spans="2:7">
      <c r="B166" s="27">
        <f t="shared" si="2"/>
        <v>162</v>
      </c>
      <c r="C166" s="27"/>
      <c r="D166" s="27"/>
      <c r="E166" s="56"/>
      <c r="F166" s="56"/>
      <c r="G166" s="56"/>
    </row>
    <row r="167" spans="2:7">
      <c r="B167" s="27">
        <f t="shared" si="2"/>
        <v>163</v>
      </c>
      <c r="C167" s="27"/>
      <c r="D167" s="27"/>
      <c r="E167" s="56"/>
      <c r="F167" s="56"/>
      <c r="G167" s="56"/>
    </row>
    <row r="168" spans="2:7">
      <c r="B168" s="27">
        <f t="shared" si="2"/>
        <v>164</v>
      </c>
      <c r="C168" s="27"/>
      <c r="D168" s="27"/>
      <c r="E168" s="56"/>
      <c r="F168" s="56"/>
      <c r="G168" s="56"/>
    </row>
    <row r="169" spans="2:7">
      <c r="B169" s="27">
        <f t="shared" si="2"/>
        <v>165</v>
      </c>
      <c r="C169" s="27"/>
      <c r="D169" s="27"/>
      <c r="E169" s="56"/>
      <c r="F169" s="56"/>
      <c r="G169" s="56"/>
    </row>
    <row r="170" spans="2:7">
      <c r="B170" s="27">
        <f t="shared" si="2"/>
        <v>166</v>
      </c>
      <c r="C170" s="27"/>
      <c r="D170" s="27"/>
      <c r="E170" s="56"/>
      <c r="F170" s="56"/>
      <c r="G170" s="56"/>
    </row>
    <row r="171" spans="2:7">
      <c r="B171" s="27">
        <f t="shared" si="2"/>
        <v>167</v>
      </c>
      <c r="C171" s="27"/>
      <c r="D171" s="27"/>
      <c r="E171" s="56"/>
      <c r="F171" s="56"/>
      <c r="G171" s="56"/>
    </row>
    <row r="172" spans="2:7">
      <c r="B172" s="27">
        <f t="shared" si="2"/>
        <v>168</v>
      </c>
      <c r="C172" s="27"/>
      <c r="D172" s="27"/>
      <c r="E172" s="56"/>
      <c r="F172" s="56"/>
      <c r="G172" s="56"/>
    </row>
    <row r="173" spans="2:7">
      <c r="B173" s="27">
        <f t="shared" si="2"/>
        <v>169</v>
      </c>
      <c r="C173" s="27"/>
      <c r="D173" s="27"/>
      <c r="E173" s="56"/>
      <c r="F173" s="56"/>
      <c r="G173" s="56"/>
    </row>
    <row r="174" spans="2:7">
      <c r="B174" s="27">
        <f t="shared" si="2"/>
        <v>170</v>
      </c>
      <c r="C174" s="27"/>
      <c r="D174" s="27"/>
      <c r="E174" s="56"/>
      <c r="F174" s="56"/>
      <c r="G174" s="56"/>
    </row>
    <row r="175" spans="2:7">
      <c r="B175" s="27">
        <f t="shared" si="2"/>
        <v>171</v>
      </c>
      <c r="C175" s="27"/>
      <c r="D175" s="27"/>
      <c r="E175" s="56"/>
      <c r="F175" s="56"/>
      <c r="G175" s="56"/>
    </row>
    <row r="176" spans="2:7">
      <c r="B176" s="27">
        <f t="shared" si="2"/>
        <v>172</v>
      </c>
      <c r="C176" s="27"/>
      <c r="D176" s="27"/>
      <c r="E176" s="56"/>
      <c r="F176" s="56"/>
      <c r="G176" s="56"/>
    </row>
    <row r="177" spans="2:7">
      <c r="B177" s="27">
        <f t="shared" si="2"/>
        <v>173</v>
      </c>
      <c r="C177" s="27"/>
      <c r="D177" s="27"/>
      <c r="E177" s="56"/>
      <c r="F177" s="56"/>
      <c r="G177" s="56"/>
    </row>
    <row r="178" spans="2:7">
      <c r="B178" s="27">
        <f t="shared" si="2"/>
        <v>174</v>
      </c>
      <c r="C178" s="27"/>
      <c r="D178" s="27"/>
      <c r="E178" s="56"/>
      <c r="F178" s="56"/>
      <c r="G178" s="56"/>
    </row>
    <row r="179" spans="2:7">
      <c r="B179" s="27">
        <f t="shared" si="2"/>
        <v>175</v>
      </c>
      <c r="C179" s="27"/>
      <c r="D179" s="27"/>
      <c r="E179" s="56"/>
      <c r="F179" s="56"/>
      <c r="G179" s="56"/>
    </row>
    <row r="180" spans="2:7">
      <c r="B180" s="27">
        <f t="shared" si="2"/>
        <v>176</v>
      </c>
      <c r="C180" s="27"/>
      <c r="D180" s="27"/>
      <c r="E180" s="56"/>
      <c r="F180" s="56"/>
      <c r="G180" s="56"/>
    </row>
    <row r="181" spans="2:7">
      <c r="B181" s="27">
        <f t="shared" si="2"/>
        <v>177</v>
      </c>
      <c r="C181" s="27"/>
      <c r="D181" s="27"/>
      <c r="E181" s="56"/>
      <c r="F181" s="56"/>
      <c r="G181" s="56"/>
    </row>
    <row r="182" spans="2:7">
      <c r="B182" s="27">
        <f t="shared" si="2"/>
        <v>178</v>
      </c>
      <c r="C182" s="27"/>
      <c r="D182" s="27"/>
      <c r="E182" s="56"/>
      <c r="F182" s="56"/>
      <c r="G182" s="56"/>
    </row>
    <row r="183" spans="2:7">
      <c r="B183" s="27">
        <f t="shared" si="2"/>
        <v>179</v>
      </c>
      <c r="C183" s="27"/>
      <c r="D183" s="27"/>
      <c r="E183" s="56"/>
      <c r="F183" s="56"/>
      <c r="G183" s="56"/>
    </row>
    <row r="184" spans="2:7">
      <c r="B184" s="27">
        <f t="shared" si="2"/>
        <v>180</v>
      </c>
      <c r="C184" s="27"/>
      <c r="D184" s="27"/>
      <c r="E184" s="56"/>
      <c r="F184" s="56"/>
      <c r="G184" s="56"/>
    </row>
    <row r="185" spans="2:7">
      <c r="B185" s="27">
        <f t="shared" si="2"/>
        <v>181</v>
      </c>
      <c r="C185" s="27"/>
      <c r="D185" s="27"/>
      <c r="E185" s="56"/>
      <c r="F185" s="56"/>
      <c r="G185" s="56"/>
    </row>
    <row r="186" spans="2:7">
      <c r="B186" s="27">
        <f t="shared" si="2"/>
        <v>182</v>
      </c>
      <c r="C186" s="27"/>
      <c r="D186" s="27"/>
      <c r="E186" s="56"/>
      <c r="F186" s="56"/>
      <c r="G186" s="56"/>
    </row>
    <row r="187" spans="2:7">
      <c r="B187" s="27">
        <f t="shared" si="2"/>
        <v>183</v>
      </c>
      <c r="C187" s="27"/>
      <c r="D187" s="27"/>
      <c r="E187" s="56"/>
      <c r="F187" s="56"/>
      <c r="G187" s="56"/>
    </row>
    <row r="188" spans="2:7">
      <c r="B188" s="27">
        <f t="shared" si="2"/>
        <v>184</v>
      </c>
      <c r="C188" s="27"/>
      <c r="D188" s="27"/>
      <c r="E188" s="56"/>
      <c r="F188" s="56"/>
      <c r="G188" s="56"/>
    </row>
    <row r="189" spans="2:7">
      <c r="B189" s="27">
        <f t="shared" si="2"/>
        <v>185</v>
      </c>
      <c r="C189" s="27"/>
      <c r="D189" s="27"/>
      <c r="E189" s="56"/>
      <c r="F189" s="56"/>
      <c r="G189" s="56"/>
    </row>
    <row r="190" spans="2:7">
      <c r="B190" s="27">
        <f t="shared" si="2"/>
        <v>186</v>
      </c>
      <c r="C190" s="27"/>
      <c r="D190" s="27"/>
      <c r="E190" s="56"/>
      <c r="F190" s="56"/>
      <c r="G190" s="56"/>
    </row>
    <row r="191" spans="2:7">
      <c r="B191" s="27">
        <f t="shared" si="2"/>
        <v>187</v>
      </c>
      <c r="C191" s="27"/>
      <c r="D191" s="27"/>
      <c r="E191" s="56"/>
      <c r="F191" s="56"/>
      <c r="G191" s="56"/>
    </row>
    <row r="192" spans="2:7">
      <c r="B192" s="27">
        <f t="shared" si="2"/>
        <v>188</v>
      </c>
      <c r="C192" s="27"/>
      <c r="D192" s="27"/>
      <c r="E192" s="56"/>
      <c r="F192" s="56"/>
      <c r="G192" s="56"/>
    </row>
    <row r="193" spans="2:7">
      <c r="B193" s="27">
        <f t="shared" si="2"/>
        <v>189</v>
      </c>
      <c r="C193" s="27"/>
      <c r="D193" s="27"/>
      <c r="E193" s="56"/>
      <c r="F193" s="56"/>
      <c r="G193" s="56"/>
    </row>
    <row r="194" spans="2:7">
      <c r="B194" s="27">
        <f t="shared" si="2"/>
        <v>190</v>
      </c>
      <c r="C194" s="27"/>
      <c r="D194" s="27"/>
      <c r="E194" s="56"/>
      <c r="F194" s="56"/>
      <c r="G194" s="56"/>
    </row>
    <row r="195" spans="2:7">
      <c r="B195" s="27">
        <f t="shared" si="2"/>
        <v>191</v>
      </c>
      <c r="C195" s="27"/>
      <c r="D195" s="27"/>
      <c r="E195" s="56"/>
      <c r="F195" s="56"/>
      <c r="G195" s="56"/>
    </row>
    <row r="196" spans="2:7">
      <c r="B196" s="27">
        <f t="shared" si="2"/>
        <v>192</v>
      </c>
      <c r="C196" s="27"/>
      <c r="D196" s="27"/>
      <c r="E196" s="56"/>
      <c r="F196" s="56"/>
      <c r="G196" s="56"/>
    </row>
    <row r="197" spans="2:7">
      <c r="B197" s="27">
        <f t="shared" si="2"/>
        <v>193</v>
      </c>
      <c r="C197" s="27"/>
      <c r="D197" s="27"/>
      <c r="E197" s="56"/>
      <c r="F197" s="56"/>
      <c r="G197" s="56"/>
    </row>
    <row r="198" spans="2:7">
      <c r="B198" s="27">
        <f t="shared" si="2"/>
        <v>194</v>
      </c>
      <c r="C198" s="27"/>
      <c r="D198" s="27"/>
      <c r="E198" s="56"/>
      <c r="F198" s="56"/>
      <c r="G198" s="56"/>
    </row>
    <row r="199" spans="2:7">
      <c r="B199" s="27">
        <f t="shared" ref="B199:B262" si="3">B198+1</f>
        <v>195</v>
      </c>
      <c r="C199" s="27"/>
      <c r="D199" s="27"/>
      <c r="E199" s="56"/>
      <c r="F199" s="56"/>
      <c r="G199" s="56"/>
    </row>
    <row r="200" spans="2:7">
      <c r="B200" s="27">
        <f t="shared" si="3"/>
        <v>196</v>
      </c>
      <c r="C200" s="27"/>
      <c r="D200" s="27"/>
      <c r="E200" s="56"/>
      <c r="F200" s="56"/>
      <c r="G200" s="56"/>
    </row>
    <row r="201" spans="2:7">
      <c r="B201" s="27">
        <f t="shared" si="3"/>
        <v>197</v>
      </c>
      <c r="C201" s="27"/>
      <c r="D201" s="27"/>
      <c r="E201" s="56"/>
      <c r="F201" s="56"/>
      <c r="G201" s="56"/>
    </row>
    <row r="202" spans="2:7">
      <c r="B202" s="27">
        <f t="shared" si="3"/>
        <v>198</v>
      </c>
      <c r="C202" s="27"/>
      <c r="D202" s="27"/>
      <c r="E202" s="56"/>
      <c r="F202" s="56"/>
      <c r="G202" s="56"/>
    </row>
    <row r="203" spans="2:7">
      <c r="B203" s="27">
        <f t="shared" si="3"/>
        <v>199</v>
      </c>
      <c r="C203" s="27"/>
      <c r="D203" s="27"/>
      <c r="E203" s="56"/>
      <c r="F203" s="56"/>
      <c r="G203" s="56"/>
    </row>
    <row r="204" spans="2:7">
      <c r="B204" s="27">
        <f t="shared" si="3"/>
        <v>200</v>
      </c>
      <c r="C204" s="27"/>
      <c r="D204" s="27"/>
      <c r="E204" s="56"/>
      <c r="F204" s="56"/>
      <c r="G204" s="56"/>
    </row>
    <row r="205" spans="2:7">
      <c r="B205" s="27">
        <f t="shared" si="3"/>
        <v>201</v>
      </c>
      <c r="C205" s="27"/>
      <c r="D205" s="27"/>
      <c r="E205" s="56"/>
      <c r="F205" s="56"/>
      <c r="G205" s="56"/>
    </row>
    <row r="206" spans="2:7">
      <c r="B206" s="27">
        <f t="shared" si="3"/>
        <v>202</v>
      </c>
      <c r="C206" s="27"/>
      <c r="D206" s="27"/>
      <c r="E206" s="56"/>
      <c r="F206" s="56"/>
      <c r="G206" s="56"/>
    </row>
    <row r="207" spans="2:7">
      <c r="B207" s="27">
        <f t="shared" si="3"/>
        <v>203</v>
      </c>
      <c r="C207" s="27"/>
      <c r="D207" s="27"/>
      <c r="E207" s="56"/>
      <c r="F207" s="56"/>
      <c r="G207" s="56"/>
    </row>
    <row r="208" spans="2:7">
      <c r="B208" s="27">
        <f t="shared" si="3"/>
        <v>204</v>
      </c>
      <c r="C208" s="27"/>
      <c r="D208" s="27"/>
      <c r="E208" s="56"/>
      <c r="F208" s="56"/>
      <c r="G208" s="56"/>
    </row>
    <row r="209" spans="2:7">
      <c r="B209" s="27">
        <f t="shared" si="3"/>
        <v>205</v>
      </c>
      <c r="C209" s="27"/>
      <c r="D209" s="27"/>
      <c r="E209" s="56"/>
      <c r="F209" s="56"/>
      <c r="G209" s="56"/>
    </row>
    <row r="210" spans="2:7">
      <c r="B210" s="27">
        <f t="shared" si="3"/>
        <v>206</v>
      </c>
      <c r="C210" s="27"/>
      <c r="D210" s="27"/>
      <c r="E210" s="56"/>
      <c r="F210" s="56"/>
      <c r="G210" s="56"/>
    </row>
    <row r="211" spans="2:7">
      <c r="B211" s="27">
        <f t="shared" si="3"/>
        <v>207</v>
      </c>
      <c r="C211" s="27"/>
      <c r="D211" s="27"/>
      <c r="E211" s="56"/>
      <c r="F211" s="56"/>
      <c r="G211" s="56"/>
    </row>
    <row r="212" spans="2:7">
      <c r="B212" s="27">
        <f t="shared" si="3"/>
        <v>208</v>
      </c>
      <c r="C212" s="27"/>
      <c r="D212" s="27"/>
      <c r="E212" s="56"/>
      <c r="F212" s="56"/>
      <c r="G212" s="56"/>
    </row>
    <row r="213" spans="2:7">
      <c r="B213" s="27">
        <f t="shared" si="3"/>
        <v>209</v>
      </c>
      <c r="C213" s="27"/>
      <c r="D213" s="27"/>
      <c r="E213" s="56"/>
      <c r="F213" s="56"/>
      <c r="G213" s="56"/>
    </row>
    <row r="214" spans="2:7">
      <c r="B214" s="27">
        <f t="shared" si="3"/>
        <v>210</v>
      </c>
      <c r="C214" s="27"/>
      <c r="D214" s="27"/>
      <c r="E214" s="56"/>
      <c r="F214" s="56"/>
      <c r="G214" s="56"/>
    </row>
    <row r="215" spans="2:7">
      <c r="B215" s="27">
        <f t="shared" si="3"/>
        <v>211</v>
      </c>
      <c r="C215" s="27"/>
      <c r="D215" s="27"/>
      <c r="E215" s="56"/>
      <c r="F215" s="56"/>
      <c r="G215" s="56"/>
    </row>
    <row r="216" spans="2:7">
      <c r="B216" s="27">
        <f t="shared" si="3"/>
        <v>212</v>
      </c>
      <c r="C216" s="27"/>
      <c r="D216" s="27"/>
      <c r="E216" s="56"/>
      <c r="F216" s="56"/>
      <c r="G216" s="56"/>
    </row>
    <row r="217" spans="2:7">
      <c r="B217" s="27">
        <f t="shared" si="3"/>
        <v>213</v>
      </c>
      <c r="C217" s="27"/>
      <c r="D217" s="27"/>
      <c r="E217" s="56"/>
      <c r="F217" s="56"/>
      <c r="G217" s="56"/>
    </row>
    <row r="218" spans="2:7">
      <c r="B218" s="27">
        <f t="shared" si="3"/>
        <v>214</v>
      </c>
      <c r="C218" s="27"/>
      <c r="D218" s="27"/>
      <c r="E218" s="56"/>
      <c r="F218" s="56"/>
      <c r="G218" s="56"/>
    </row>
    <row r="219" spans="2:7">
      <c r="B219" s="27">
        <f t="shared" si="3"/>
        <v>215</v>
      </c>
      <c r="C219" s="27"/>
      <c r="D219" s="27"/>
      <c r="E219" s="56"/>
      <c r="F219" s="56"/>
      <c r="G219" s="56"/>
    </row>
    <row r="220" spans="2:7">
      <c r="B220" s="27">
        <f t="shared" si="3"/>
        <v>216</v>
      </c>
      <c r="C220" s="27"/>
      <c r="D220" s="27"/>
      <c r="E220" s="56"/>
      <c r="F220" s="56"/>
      <c r="G220" s="56"/>
    </row>
    <row r="221" spans="2:7">
      <c r="B221" s="27">
        <f t="shared" si="3"/>
        <v>217</v>
      </c>
      <c r="C221" s="27"/>
      <c r="D221" s="27"/>
      <c r="E221" s="56"/>
      <c r="F221" s="56"/>
      <c r="G221" s="56"/>
    </row>
    <row r="222" spans="2:7">
      <c r="B222" s="27">
        <f t="shared" si="3"/>
        <v>218</v>
      </c>
      <c r="C222" s="27"/>
      <c r="D222" s="27"/>
      <c r="E222" s="56"/>
      <c r="F222" s="56"/>
      <c r="G222" s="56"/>
    </row>
    <row r="223" spans="2:7">
      <c r="B223" s="27">
        <f t="shared" si="3"/>
        <v>219</v>
      </c>
      <c r="C223" s="27"/>
      <c r="D223" s="27"/>
      <c r="E223" s="56"/>
      <c r="F223" s="56"/>
      <c r="G223" s="56"/>
    </row>
    <row r="224" spans="2:7">
      <c r="B224" s="27">
        <f t="shared" si="3"/>
        <v>220</v>
      </c>
      <c r="C224" s="27"/>
      <c r="D224" s="27"/>
      <c r="E224" s="56"/>
      <c r="F224" s="56"/>
      <c r="G224" s="56"/>
    </row>
    <row r="225" spans="2:7">
      <c r="B225" s="27">
        <f t="shared" si="3"/>
        <v>221</v>
      </c>
      <c r="C225" s="27"/>
      <c r="D225" s="27"/>
      <c r="E225" s="56"/>
      <c r="F225" s="56"/>
      <c r="G225" s="56"/>
    </row>
    <row r="226" spans="2:7">
      <c r="B226" s="27">
        <f t="shared" si="3"/>
        <v>222</v>
      </c>
      <c r="C226" s="27"/>
      <c r="D226" s="27"/>
      <c r="E226" s="56"/>
      <c r="F226" s="56"/>
      <c r="G226" s="56"/>
    </row>
    <row r="227" spans="2:7">
      <c r="B227" s="27">
        <f t="shared" si="3"/>
        <v>223</v>
      </c>
      <c r="C227" s="27"/>
      <c r="D227" s="27"/>
      <c r="E227" s="56"/>
      <c r="F227" s="56"/>
      <c r="G227" s="56"/>
    </row>
    <row r="228" spans="2:7">
      <c r="B228" s="27">
        <f t="shared" si="3"/>
        <v>224</v>
      </c>
      <c r="C228" s="27"/>
      <c r="D228" s="27"/>
      <c r="E228" s="56"/>
      <c r="F228" s="56"/>
      <c r="G228" s="56"/>
    </row>
    <row r="229" spans="2:7">
      <c r="B229" s="27">
        <f t="shared" si="3"/>
        <v>225</v>
      </c>
      <c r="C229" s="27"/>
      <c r="D229" s="27"/>
      <c r="E229" s="56"/>
      <c r="F229" s="56"/>
      <c r="G229" s="56"/>
    </row>
    <row r="230" spans="2:7">
      <c r="B230" s="27">
        <f t="shared" si="3"/>
        <v>226</v>
      </c>
      <c r="C230" s="27"/>
      <c r="D230" s="27"/>
      <c r="E230" s="56"/>
      <c r="F230" s="56"/>
      <c r="G230" s="56"/>
    </row>
    <row r="231" spans="2:7">
      <c r="B231" s="27">
        <f t="shared" si="3"/>
        <v>227</v>
      </c>
      <c r="C231" s="27"/>
      <c r="D231" s="27"/>
      <c r="E231" s="56"/>
      <c r="F231" s="56"/>
      <c r="G231" s="56"/>
    </row>
    <row r="232" spans="2:7">
      <c r="B232" s="27">
        <f t="shared" si="3"/>
        <v>228</v>
      </c>
      <c r="C232" s="27"/>
      <c r="D232" s="27"/>
      <c r="E232" s="56"/>
      <c r="F232" s="56"/>
      <c r="G232" s="56"/>
    </row>
    <row r="233" spans="2:7">
      <c r="B233" s="27">
        <f t="shared" si="3"/>
        <v>229</v>
      </c>
      <c r="C233" s="27"/>
      <c r="D233" s="27"/>
      <c r="E233" s="56"/>
      <c r="F233" s="56"/>
      <c r="G233" s="56"/>
    </row>
    <row r="234" spans="2:7">
      <c r="B234" s="27">
        <f t="shared" si="3"/>
        <v>230</v>
      </c>
      <c r="C234" s="27"/>
      <c r="D234" s="27"/>
      <c r="E234" s="56"/>
      <c r="F234" s="56"/>
      <c r="G234" s="56"/>
    </row>
    <row r="235" spans="2:7">
      <c r="B235" s="27">
        <f t="shared" si="3"/>
        <v>231</v>
      </c>
      <c r="C235" s="27"/>
      <c r="D235" s="27"/>
      <c r="E235" s="56"/>
      <c r="F235" s="56"/>
      <c r="G235" s="56"/>
    </row>
    <row r="236" spans="2:7">
      <c r="B236" s="27">
        <f t="shared" si="3"/>
        <v>232</v>
      </c>
      <c r="C236" s="27"/>
      <c r="D236" s="27"/>
      <c r="E236" s="56"/>
      <c r="F236" s="56"/>
      <c r="G236" s="56"/>
    </row>
    <row r="237" spans="2:7">
      <c r="B237" s="27">
        <f t="shared" si="3"/>
        <v>233</v>
      </c>
      <c r="C237" s="27"/>
      <c r="D237" s="27"/>
      <c r="E237" s="56"/>
      <c r="F237" s="56"/>
      <c r="G237" s="56"/>
    </row>
    <row r="238" spans="2:7">
      <c r="B238" s="27">
        <f t="shared" si="3"/>
        <v>234</v>
      </c>
      <c r="C238" s="27"/>
      <c r="D238" s="27"/>
      <c r="E238" s="56"/>
      <c r="F238" s="56"/>
      <c r="G238" s="56"/>
    </row>
    <row r="239" spans="2:7">
      <c r="B239" s="27">
        <f t="shared" si="3"/>
        <v>235</v>
      </c>
      <c r="C239" s="27"/>
      <c r="D239" s="27"/>
      <c r="E239" s="56"/>
      <c r="F239" s="56"/>
      <c r="G239" s="56"/>
    </row>
    <row r="240" spans="2:7">
      <c r="B240" s="27">
        <f t="shared" si="3"/>
        <v>236</v>
      </c>
      <c r="C240" s="27"/>
      <c r="D240" s="27"/>
      <c r="E240" s="56"/>
      <c r="F240" s="56"/>
      <c r="G240" s="56"/>
    </row>
    <row r="241" spans="2:7">
      <c r="B241" s="27">
        <f t="shared" si="3"/>
        <v>237</v>
      </c>
      <c r="C241" s="27"/>
      <c r="D241" s="27"/>
      <c r="E241" s="56"/>
      <c r="F241" s="56"/>
      <c r="G241" s="56"/>
    </row>
    <row r="242" spans="2:7">
      <c r="B242" s="27">
        <f t="shared" si="3"/>
        <v>238</v>
      </c>
      <c r="C242" s="27"/>
      <c r="D242" s="27"/>
      <c r="E242" s="56"/>
      <c r="F242" s="56"/>
      <c r="G242" s="56"/>
    </row>
    <row r="243" spans="2:7">
      <c r="B243" s="27">
        <f t="shared" si="3"/>
        <v>239</v>
      </c>
      <c r="C243" s="27"/>
      <c r="D243" s="27"/>
      <c r="E243" s="56"/>
      <c r="F243" s="56"/>
      <c r="G243" s="56"/>
    </row>
    <row r="244" spans="2:7">
      <c r="B244" s="27">
        <f t="shared" si="3"/>
        <v>240</v>
      </c>
      <c r="C244" s="27"/>
      <c r="D244" s="27"/>
      <c r="E244" s="56"/>
      <c r="F244" s="56"/>
      <c r="G244" s="56"/>
    </row>
    <row r="245" spans="2:7">
      <c r="B245" s="27">
        <f t="shared" si="3"/>
        <v>241</v>
      </c>
      <c r="C245" s="27"/>
      <c r="D245" s="27"/>
      <c r="E245" s="56"/>
      <c r="F245" s="56"/>
      <c r="G245" s="56"/>
    </row>
    <row r="246" spans="2:7">
      <c r="B246" s="27">
        <f t="shared" si="3"/>
        <v>242</v>
      </c>
      <c r="C246" s="27"/>
      <c r="D246" s="27"/>
      <c r="E246" s="56"/>
      <c r="F246" s="56"/>
      <c r="G246" s="56"/>
    </row>
    <row r="247" spans="2:7">
      <c r="B247" s="27">
        <f t="shared" si="3"/>
        <v>243</v>
      </c>
      <c r="C247" s="27"/>
      <c r="D247" s="27"/>
      <c r="E247" s="56"/>
      <c r="F247" s="56"/>
      <c r="G247" s="56"/>
    </row>
    <row r="248" spans="2:7">
      <c r="B248" s="27">
        <f t="shared" si="3"/>
        <v>244</v>
      </c>
      <c r="C248" s="27"/>
      <c r="D248" s="27"/>
      <c r="E248" s="56"/>
      <c r="F248" s="56"/>
      <c r="G248" s="56"/>
    </row>
    <row r="249" spans="2:7">
      <c r="B249" s="27">
        <f t="shared" si="3"/>
        <v>245</v>
      </c>
      <c r="C249" s="27"/>
      <c r="D249" s="27"/>
      <c r="E249" s="56"/>
      <c r="F249" s="56"/>
      <c r="G249" s="56"/>
    </row>
    <row r="250" spans="2:7">
      <c r="B250" s="27">
        <f t="shared" si="3"/>
        <v>246</v>
      </c>
      <c r="C250" s="27"/>
      <c r="D250" s="27"/>
      <c r="E250" s="56"/>
      <c r="F250" s="56"/>
      <c r="G250" s="56"/>
    </row>
    <row r="251" spans="2:7">
      <c r="B251" s="27">
        <f t="shared" si="3"/>
        <v>247</v>
      </c>
      <c r="C251" s="27"/>
      <c r="D251" s="27"/>
      <c r="E251" s="56"/>
      <c r="F251" s="56"/>
      <c r="G251" s="56"/>
    </row>
    <row r="252" spans="2:7">
      <c r="B252" s="27">
        <f t="shared" si="3"/>
        <v>248</v>
      </c>
      <c r="C252" s="27"/>
      <c r="D252" s="27"/>
      <c r="E252" s="56"/>
      <c r="F252" s="56"/>
      <c r="G252" s="56"/>
    </row>
    <row r="253" spans="2:7">
      <c r="B253" s="27">
        <f t="shared" si="3"/>
        <v>249</v>
      </c>
      <c r="C253" s="27"/>
      <c r="D253" s="27"/>
      <c r="E253" s="56"/>
      <c r="F253" s="56"/>
      <c r="G253" s="56"/>
    </row>
    <row r="254" spans="2:7">
      <c r="B254" s="27">
        <f t="shared" si="3"/>
        <v>250</v>
      </c>
      <c r="C254" s="27"/>
      <c r="D254" s="27"/>
      <c r="E254" s="56"/>
      <c r="F254" s="56"/>
      <c r="G254" s="56"/>
    </row>
    <row r="255" spans="2:7">
      <c r="B255" s="27">
        <f t="shared" si="3"/>
        <v>251</v>
      </c>
      <c r="C255" s="27"/>
      <c r="D255" s="27"/>
      <c r="E255" s="56"/>
      <c r="F255" s="56"/>
      <c r="G255" s="56"/>
    </row>
    <row r="256" spans="2:7">
      <c r="B256" s="27">
        <f t="shared" si="3"/>
        <v>252</v>
      </c>
      <c r="C256" s="27"/>
      <c r="D256" s="27"/>
      <c r="E256" s="56"/>
      <c r="F256" s="56"/>
      <c r="G256" s="56"/>
    </row>
    <row r="257" spans="2:7">
      <c r="B257" s="27">
        <f t="shared" si="3"/>
        <v>253</v>
      </c>
      <c r="C257" s="27"/>
      <c r="D257" s="27"/>
      <c r="E257" s="56"/>
      <c r="F257" s="56"/>
      <c r="G257" s="56"/>
    </row>
    <row r="258" spans="2:7">
      <c r="B258" s="27">
        <f t="shared" si="3"/>
        <v>254</v>
      </c>
      <c r="C258" s="27"/>
      <c r="D258" s="27"/>
      <c r="E258" s="56"/>
      <c r="F258" s="56"/>
      <c r="G258" s="56"/>
    </row>
    <row r="259" spans="2:7">
      <c r="B259" s="27">
        <f t="shared" si="3"/>
        <v>255</v>
      </c>
      <c r="C259" s="27"/>
      <c r="D259" s="27"/>
      <c r="E259" s="56"/>
      <c r="F259" s="56"/>
      <c r="G259" s="56"/>
    </row>
    <row r="260" spans="2:7">
      <c r="B260" s="27">
        <f t="shared" si="3"/>
        <v>256</v>
      </c>
      <c r="C260" s="27"/>
      <c r="D260" s="27"/>
      <c r="E260" s="56"/>
      <c r="F260" s="56"/>
      <c r="G260" s="56"/>
    </row>
    <row r="261" spans="2:7">
      <c r="B261" s="27">
        <f t="shared" si="3"/>
        <v>257</v>
      </c>
      <c r="C261" s="27"/>
      <c r="D261" s="27"/>
      <c r="E261" s="56"/>
      <c r="F261" s="56"/>
      <c r="G261" s="56"/>
    </row>
    <row r="262" spans="2:7">
      <c r="B262" s="27">
        <f t="shared" si="3"/>
        <v>258</v>
      </c>
      <c r="C262" s="27"/>
      <c r="D262" s="27"/>
      <c r="E262" s="56"/>
      <c r="F262" s="56"/>
      <c r="G262" s="56"/>
    </row>
    <row r="263" spans="2:7">
      <c r="B263" s="27">
        <f t="shared" ref="B263:B304" si="4">B262+1</f>
        <v>259</v>
      </c>
      <c r="C263" s="27"/>
      <c r="D263" s="27"/>
      <c r="E263" s="56"/>
      <c r="F263" s="56"/>
      <c r="G263" s="56"/>
    </row>
    <row r="264" spans="2:7">
      <c r="B264" s="27">
        <f t="shared" si="4"/>
        <v>260</v>
      </c>
      <c r="C264" s="27"/>
      <c r="D264" s="27"/>
      <c r="E264" s="56"/>
      <c r="F264" s="56"/>
      <c r="G264" s="56"/>
    </row>
    <row r="265" spans="2:7">
      <c r="B265" s="27">
        <f t="shared" si="4"/>
        <v>261</v>
      </c>
      <c r="C265" s="27"/>
      <c r="D265" s="27"/>
      <c r="E265" s="56"/>
      <c r="F265" s="56"/>
      <c r="G265" s="56"/>
    </row>
    <row r="266" spans="2:7">
      <c r="B266" s="27">
        <f t="shared" si="4"/>
        <v>262</v>
      </c>
      <c r="C266" s="27"/>
      <c r="D266" s="27"/>
      <c r="E266" s="56"/>
      <c r="F266" s="56"/>
      <c r="G266" s="56"/>
    </row>
    <row r="267" spans="2:7">
      <c r="B267" s="27">
        <f t="shared" si="4"/>
        <v>263</v>
      </c>
      <c r="C267" s="27"/>
      <c r="D267" s="27"/>
      <c r="E267" s="56"/>
      <c r="F267" s="56"/>
      <c r="G267" s="56"/>
    </row>
    <row r="268" spans="2:7">
      <c r="B268" s="27">
        <f t="shared" si="4"/>
        <v>264</v>
      </c>
      <c r="C268" s="27"/>
      <c r="D268" s="27"/>
      <c r="E268" s="56"/>
      <c r="F268" s="56"/>
      <c r="G268" s="56"/>
    </row>
    <row r="269" spans="2:7">
      <c r="B269" s="27">
        <f t="shared" si="4"/>
        <v>265</v>
      </c>
      <c r="C269" s="27"/>
      <c r="D269" s="27"/>
      <c r="E269" s="56"/>
      <c r="F269" s="56"/>
      <c r="G269" s="56"/>
    </row>
    <row r="270" spans="2:7">
      <c r="B270" s="27">
        <f t="shared" si="4"/>
        <v>266</v>
      </c>
      <c r="C270" s="27"/>
      <c r="D270" s="27"/>
      <c r="E270" s="56"/>
      <c r="F270" s="56"/>
      <c r="G270" s="56"/>
    </row>
    <row r="271" spans="2:7">
      <c r="B271" s="27">
        <f t="shared" si="4"/>
        <v>267</v>
      </c>
      <c r="C271" s="27"/>
      <c r="D271" s="27"/>
      <c r="E271" s="56"/>
      <c r="F271" s="56"/>
      <c r="G271" s="56"/>
    </row>
    <row r="272" spans="2:7">
      <c r="B272" s="27">
        <f t="shared" si="4"/>
        <v>268</v>
      </c>
      <c r="C272" s="27"/>
      <c r="D272" s="27"/>
      <c r="E272" s="56"/>
      <c r="F272" s="56"/>
      <c r="G272" s="56"/>
    </row>
    <row r="273" spans="2:7">
      <c r="B273" s="27">
        <f t="shared" si="4"/>
        <v>269</v>
      </c>
      <c r="C273" s="27"/>
      <c r="D273" s="27"/>
      <c r="E273" s="56"/>
      <c r="F273" s="56"/>
      <c r="G273" s="56"/>
    </row>
    <row r="274" spans="2:7">
      <c r="B274" s="27">
        <f t="shared" si="4"/>
        <v>270</v>
      </c>
      <c r="C274" s="27"/>
      <c r="D274" s="27"/>
      <c r="E274" s="56"/>
      <c r="F274" s="56"/>
      <c r="G274" s="56"/>
    </row>
    <row r="275" spans="2:7">
      <c r="B275" s="27">
        <f t="shared" si="4"/>
        <v>271</v>
      </c>
      <c r="C275" s="27"/>
      <c r="D275" s="27"/>
      <c r="E275" s="56"/>
      <c r="F275" s="56"/>
      <c r="G275" s="56"/>
    </row>
    <row r="276" spans="2:7">
      <c r="B276" s="27">
        <f t="shared" si="4"/>
        <v>272</v>
      </c>
      <c r="C276" s="27"/>
      <c r="D276" s="27"/>
      <c r="E276" s="56"/>
      <c r="F276" s="56"/>
      <c r="G276" s="56"/>
    </row>
    <row r="277" spans="2:7">
      <c r="B277" s="27">
        <f t="shared" si="4"/>
        <v>273</v>
      </c>
      <c r="C277" s="27"/>
      <c r="D277" s="27"/>
      <c r="E277" s="56"/>
      <c r="F277" s="56"/>
      <c r="G277" s="56"/>
    </row>
    <row r="278" spans="2:7">
      <c r="B278" s="27">
        <f t="shared" si="4"/>
        <v>274</v>
      </c>
      <c r="C278" s="27"/>
      <c r="D278" s="27"/>
      <c r="E278" s="56"/>
      <c r="F278" s="56"/>
      <c r="G278" s="56"/>
    </row>
    <row r="279" spans="2:7">
      <c r="B279" s="27">
        <f t="shared" si="4"/>
        <v>275</v>
      </c>
      <c r="C279" s="27"/>
      <c r="D279" s="27"/>
      <c r="E279" s="56"/>
      <c r="F279" s="56"/>
      <c r="G279" s="56"/>
    </row>
    <row r="280" spans="2:7">
      <c r="B280" s="27">
        <f t="shared" si="4"/>
        <v>276</v>
      </c>
      <c r="C280" s="27"/>
      <c r="D280" s="27"/>
      <c r="E280" s="56"/>
      <c r="F280" s="56"/>
      <c r="G280" s="56"/>
    </row>
    <row r="281" spans="2:7">
      <c r="B281" s="27">
        <f t="shared" si="4"/>
        <v>277</v>
      </c>
      <c r="C281" s="27"/>
      <c r="D281" s="27"/>
      <c r="E281" s="56"/>
      <c r="F281" s="56"/>
      <c r="G281" s="56"/>
    </row>
    <row r="282" spans="2:7">
      <c r="B282" s="27">
        <f t="shared" si="4"/>
        <v>278</v>
      </c>
      <c r="C282" s="27"/>
      <c r="D282" s="27"/>
      <c r="E282" s="56"/>
      <c r="F282" s="56"/>
      <c r="G282" s="56"/>
    </row>
    <row r="283" spans="2:7">
      <c r="B283" s="27">
        <f t="shared" si="4"/>
        <v>279</v>
      </c>
      <c r="C283" s="27"/>
      <c r="D283" s="27"/>
      <c r="E283" s="56"/>
      <c r="F283" s="56"/>
      <c r="G283" s="56"/>
    </row>
    <row r="284" spans="2:7">
      <c r="B284" s="27">
        <f t="shared" si="4"/>
        <v>280</v>
      </c>
      <c r="C284" s="27"/>
      <c r="D284" s="27"/>
      <c r="E284" s="56"/>
      <c r="F284" s="56"/>
      <c r="G284" s="56"/>
    </row>
    <row r="285" spans="2:7">
      <c r="B285" s="27">
        <f t="shared" si="4"/>
        <v>281</v>
      </c>
      <c r="C285" s="27"/>
      <c r="D285" s="27"/>
      <c r="E285" s="56"/>
      <c r="F285" s="56"/>
      <c r="G285" s="56"/>
    </row>
    <row r="286" spans="2:7">
      <c r="B286" s="27">
        <f t="shared" si="4"/>
        <v>282</v>
      </c>
      <c r="C286" s="27"/>
      <c r="D286" s="27"/>
      <c r="E286" s="56"/>
      <c r="F286" s="56"/>
      <c r="G286" s="56"/>
    </row>
    <row r="287" spans="2:7">
      <c r="B287" s="27">
        <f t="shared" si="4"/>
        <v>283</v>
      </c>
      <c r="C287" s="27"/>
      <c r="D287" s="27"/>
      <c r="E287" s="56"/>
      <c r="F287" s="56"/>
      <c r="G287" s="56"/>
    </row>
    <row r="288" spans="2:7">
      <c r="B288" s="27">
        <f t="shared" si="4"/>
        <v>284</v>
      </c>
      <c r="C288" s="27"/>
      <c r="D288" s="27"/>
      <c r="E288" s="56"/>
      <c r="F288" s="56"/>
      <c r="G288" s="56"/>
    </row>
    <row r="289" spans="2:7">
      <c r="B289" s="27">
        <f t="shared" si="4"/>
        <v>285</v>
      </c>
      <c r="C289" s="27"/>
      <c r="D289" s="27"/>
      <c r="E289" s="56"/>
      <c r="F289" s="56"/>
      <c r="G289" s="56"/>
    </row>
    <row r="290" spans="2:7">
      <c r="B290" s="27">
        <f t="shared" si="4"/>
        <v>286</v>
      </c>
      <c r="C290" s="27"/>
      <c r="D290" s="27"/>
      <c r="E290" s="56"/>
      <c r="F290" s="56"/>
      <c r="G290" s="56"/>
    </row>
    <row r="291" spans="2:7">
      <c r="B291" s="27">
        <f t="shared" si="4"/>
        <v>287</v>
      </c>
      <c r="C291" s="27"/>
      <c r="D291" s="27"/>
      <c r="E291" s="56"/>
      <c r="F291" s="56"/>
      <c r="G291" s="56"/>
    </row>
    <row r="292" spans="2:7">
      <c r="B292" s="27">
        <f t="shared" si="4"/>
        <v>288</v>
      </c>
      <c r="C292" s="27"/>
      <c r="D292" s="27"/>
      <c r="E292" s="56"/>
      <c r="F292" s="56"/>
      <c r="G292" s="56"/>
    </row>
    <row r="293" spans="2:7">
      <c r="B293" s="27">
        <f t="shared" si="4"/>
        <v>289</v>
      </c>
      <c r="C293" s="27"/>
      <c r="D293" s="27"/>
      <c r="E293" s="56"/>
      <c r="F293" s="56"/>
      <c r="G293" s="56"/>
    </row>
    <row r="294" spans="2:7">
      <c r="B294" s="27">
        <f t="shared" si="4"/>
        <v>290</v>
      </c>
      <c r="C294" s="27"/>
      <c r="D294" s="27"/>
      <c r="E294" s="56"/>
      <c r="F294" s="56"/>
      <c r="G294" s="56"/>
    </row>
    <row r="295" spans="2:7">
      <c r="B295" s="27">
        <f t="shared" si="4"/>
        <v>291</v>
      </c>
      <c r="C295" s="27"/>
      <c r="D295" s="27"/>
      <c r="E295" s="56"/>
      <c r="F295" s="56"/>
      <c r="G295" s="56"/>
    </row>
    <row r="296" spans="2:7">
      <c r="B296" s="27">
        <f t="shared" si="4"/>
        <v>292</v>
      </c>
      <c r="C296" s="27"/>
      <c r="D296" s="27"/>
      <c r="E296" s="56"/>
      <c r="F296" s="56"/>
      <c r="G296" s="56"/>
    </row>
    <row r="297" spans="2:7">
      <c r="B297" s="27">
        <f t="shared" si="4"/>
        <v>293</v>
      </c>
      <c r="C297" s="27"/>
      <c r="D297" s="27"/>
      <c r="E297" s="56"/>
      <c r="F297" s="56"/>
      <c r="G297" s="56"/>
    </row>
    <row r="298" spans="2:7">
      <c r="B298" s="27">
        <f t="shared" si="4"/>
        <v>294</v>
      </c>
      <c r="C298" s="27"/>
      <c r="D298" s="27"/>
      <c r="E298" s="56"/>
      <c r="F298" s="56"/>
      <c r="G298" s="56"/>
    </row>
    <row r="299" spans="2:7">
      <c r="B299" s="27">
        <f t="shared" si="4"/>
        <v>295</v>
      </c>
      <c r="C299" s="27"/>
      <c r="D299" s="27"/>
      <c r="E299" s="56"/>
      <c r="F299" s="56"/>
      <c r="G299" s="56"/>
    </row>
    <row r="300" spans="2:7">
      <c r="B300" s="27">
        <f t="shared" si="4"/>
        <v>296</v>
      </c>
      <c r="C300" s="27"/>
      <c r="D300" s="27"/>
      <c r="E300" s="56"/>
      <c r="F300" s="56"/>
      <c r="G300" s="56"/>
    </row>
    <row r="301" spans="2:7">
      <c r="B301" s="27">
        <f t="shared" si="4"/>
        <v>297</v>
      </c>
      <c r="C301" s="27"/>
      <c r="D301" s="27"/>
      <c r="E301" s="56"/>
      <c r="F301" s="56"/>
      <c r="G301" s="56"/>
    </row>
    <row r="302" spans="2:7">
      <c r="B302" s="27">
        <f t="shared" si="4"/>
        <v>298</v>
      </c>
      <c r="C302" s="27"/>
      <c r="D302" s="27"/>
      <c r="E302" s="56"/>
      <c r="F302" s="56"/>
      <c r="G302" s="56"/>
    </row>
    <row r="303" spans="2:7">
      <c r="B303" s="27">
        <f t="shared" si="4"/>
        <v>299</v>
      </c>
      <c r="C303" s="27"/>
      <c r="D303" s="27"/>
      <c r="E303" s="56"/>
      <c r="F303" s="56"/>
      <c r="G303" s="56"/>
    </row>
    <row r="304" spans="2:7">
      <c r="B304" s="27">
        <f t="shared" si="4"/>
        <v>300</v>
      </c>
      <c r="C304" s="27"/>
      <c r="D304" s="27"/>
      <c r="E304" s="56"/>
      <c r="F304" s="56"/>
      <c r="G304" s="56"/>
    </row>
  </sheetData>
  <sheetProtection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C19B-69B7-4C1E-91AA-DD1572E4D8B9}">
  <sheetPr>
    <tabColor rgb="FFFFFF00"/>
  </sheetPr>
  <dimension ref="B2:G304"/>
  <sheetViews>
    <sheetView workbookViewId="0">
      <selection activeCell="K12" sqref="K12"/>
    </sheetView>
  </sheetViews>
  <sheetFormatPr defaultRowHeight="13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16384" width="8.88671875" style="29"/>
  </cols>
  <sheetData>
    <row r="2" spans="2:7" ht="16.2">
      <c r="B2" s="28" t="str" cm="1">
        <f t="array" aca="1" ref="B2" ca="1">RIGHT(CELL("filename",A1),LEN(CELL("filename",A1))-FIND("]",CELL("filename",A1)))</f>
        <v>散剤</v>
      </c>
    </row>
    <row r="4" spans="2:7">
      <c r="B4" s="30" t="s">
        <v>4040</v>
      </c>
      <c r="C4" s="30" t="s">
        <v>4041</v>
      </c>
      <c r="D4" s="30" t="s">
        <v>4042</v>
      </c>
      <c r="E4" s="30" t="s">
        <v>4064</v>
      </c>
      <c r="F4" s="30" t="s">
        <v>4066</v>
      </c>
      <c r="G4" s="30" t="s">
        <v>4067</v>
      </c>
    </row>
    <row r="5" spans="2:7">
      <c r="B5" s="27">
        <v>1</v>
      </c>
      <c r="C5" s="27" t="str" cm="1">
        <f t="array" aca="1" ref="C5:G45" ca="1">_xlfn._xlws.SORT(_xlfn.CHOOSECOLS(_xlfn._xlws.FILTER(IFERROR(統合マスタ!B2:Z1500,""),IFERROR(統合マスタ!R2:R1500=1,FALSE)*IFERROR(ISNUMBER(MATCH(統合マスタ!V2:V1500,分類!K8:K15,0)),FALSE)),2,23,25,4,5),2,1)</f>
        <v>０１７　ツムラ　ゴレイサン</v>
      </c>
      <c r="D5" s="27">
        <f ca="1"/>
        <v>0</v>
      </c>
      <c r="E5" s="56">
        <f ca="1"/>
        <v>4</v>
      </c>
      <c r="F5" s="56" t="str">
        <f ca="1"/>
        <v>粉</v>
      </c>
      <c r="G5" s="56" t="str">
        <f ca="1"/>
        <v>2.5ｇｘ189</v>
      </c>
    </row>
    <row r="6" spans="2:7">
      <c r="B6" s="27">
        <f>B5+1</f>
        <v>2</v>
      </c>
      <c r="C6" s="27" t="str">
        <f ca="1"/>
        <v>０５４　ツムラ　ヨクカンサン</v>
      </c>
      <c r="D6" s="27">
        <f ca="1"/>
        <v>0</v>
      </c>
      <c r="E6" s="56">
        <f ca="1"/>
        <v>4</v>
      </c>
      <c r="F6" s="56" t="str">
        <f ca="1"/>
        <v>粉</v>
      </c>
      <c r="G6" s="56" t="str">
        <f ca="1"/>
        <v>2.5ｇX189</v>
      </c>
    </row>
    <row r="7" spans="2:7">
      <c r="B7" s="27">
        <f t="shared" ref="B7:B70" si="0">B6+1</f>
        <v>3</v>
      </c>
      <c r="C7" s="27" t="str">
        <f ca="1"/>
        <v>０６２　ツムラ　　ボウフウツウシヨウサン</v>
      </c>
      <c r="D7" s="27">
        <f ca="1"/>
        <v>0</v>
      </c>
      <c r="E7" s="56">
        <f ca="1"/>
        <v>4</v>
      </c>
      <c r="F7" s="56" t="str">
        <f ca="1"/>
        <v>粉</v>
      </c>
      <c r="G7" s="56" t="str">
        <f ca="1"/>
        <v>2.5ｇｘ189</v>
      </c>
    </row>
    <row r="8" spans="2:7">
      <c r="B8" s="27">
        <f t="shared" si="0"/>
        <v>4</v>
      </c>
      <c r="C8" s="27" t="str">
        <f ca="1"/>
        <v>０６８　ツムラ　シャクヤクカンゾウトウ</v>
      </c>
      <c r="D8" s="27">
        <f ca="1"/>
        <v>0</v>
      </c>
      <c r="E8" s="56">
        <f ca="1"/>
        <v>4</v>
      </c>
      <c r="F8" s="56" t="str">
        <f ca="1"/>
        <v>粉</v>
      </c>
      <c r="G8" s="56" t="str">
        <f ca="1"/>
        <v>2.5ｇｘ42</v>
      </c>
    </row>
    <row r="9" spans="2:7">
      <c r="B9" s="27">
        <f t="shared" si="0"/>
        <v>5</v>
      </c>
      <c r="C9" s="27" t="str">
        <f ca="1"/>
        <v>０８３　ツムラ　ヨクカンサンカチンピハンゲ</v>
      </c>
      <c r="D9" s="27">
        <f ca="1"/>
        <v>0</v>
      </c>
      <c r="E9" s="56">
        <f ca="1"/>
        <v>4</v>
      </c>
      <c r="F9" s="56" t="str">
        <f ca="1"/>
        <v>粉</v>
      </c>
      <c r="G9" s="56" t="str">
        <f ca="1"/>
        <v>2.5ｇｘ189</v>
      </c>
    </row>
    <row r="10" spans="2:7">
      <c r="B10" s="27">
        <f t="shared" si="0"/>
        <v>6</v>
      </c>
      <c r="C10" s="27" t="str">
        <f ca="1"/>
        <v>１００　ツムラ　ダイケンチユウトウ</v>
      </c>
      <c r="D10" s="27">
        <f ca="1"/>
        <v>0</v>
      </c>
      <c r="E10" s="56">
        <f ca="1"/>
        <v>4</v>
      </c>
      <c r="F10" s="56" t="str">
        <f ca="1"/>
        <v>粉</v>
      </c>
      <c r="G10" s="56" t="str">
        <f ca="1"/>
        <v>2.5ｇX189</v>
      </c>
    </row>
    <row r="11" spans="2:7">
      <c r="B11" s="27">
        <f t="shared" si="0"/>
        <v>7</v>
      </c>
      <c r="C11" s="27" t="str">
        <f ca="1"/>
        <v>ＥＫ１　葛根湯エキス細粒</v>
      </c>
      <c r="D11" s="27">
        <f ca="1"/>
        <v>0</v>
      </c>
      <c r="E11" s="56">
        <f ca="1"/>
        <v>4</v>
      </c>
      <c r="F11" s="56" t="str">
        <f ca="1"/>
        <v>粉</v>
      </c>
      <c r="G11" s="56" t="str">
        <f ca="1"/>
        <v>2.5ｇ×294</v>
      </c>
    </row>
    <row r="12" spans="2:7">
      <c r="B12" s="27">
        <f t="shared" si="0"/>
        <v>8</v>
      </c>
      <c r="C12" s="27" t="str">
        <f ca="1"/>
        <v>ＥＫ２４　加味逍遥散料エキス細粒</v>
      </c>
      <c r="D12" s="27">
        <f ca="1"/>
        <v>0</v>
      </c>
      <c r="E12" s="56">
        <f ca="1"/>
        <v>4</v>
      </c>
      <c r="F12" s="56" t="str">
        <f ca="1"/>
        <v>粉</v>
      </c>
      <c r="G12" s="56" t="str">
        <f ca="1"/>
        <v>2ｇｘ42包</v>
      </c>
    </row>
    <row r="13" spans="2:7">
      <c r="B13" s="27">
        <f t="shared" si="0"/>
        <v>9</v>
      </c>
      <c r="C13" s="27" t="str">
        <f ca="1"/>
        <v>ＥＫ４１　補中益気湯エキス細粒</v>
      </c>
      <c r="D13" s="27">
        <f ca="1"/>
        <v>0</v>
      </c>
      <c r="E13" s="56">
        <f ca="1"/>
        <v>4</v>
      </c>
      <c r="F13" s="56" t="str">
        <f ca="1"/>
        <v>粉</v>
      </c>
      <c r="G13" s="56" t="str">
        <f ca="1"/>
        <v>2.5ｇｘ294</v>
      </c>
    </row>
    <row r="14" spans="2:7">
      <c r="B14" s="27">
        <f t="shared" si="0"/>
        <v>10</v>
      </c>
      <c r="C14" s="27" t="str">
        <f ca="1"/>
        <v>アスパラカリウム散５０％</v>
      </c>
      <c r="D14" s="27">
        <f ca="1"/>
        <v>0</v>
      </c>
      <c r="E14" s="56">
        <f ca="1"/>
        <v>2</v>
      </c>
      <c r="F14" s="56" t="str">
        <f ca="1"/>
        <v>粉</v>
      </c>
      <c r="G14" s="56" t="str">
        <f ca="1"/>
        <v>500ｇ</v>
      </c>
    </row>
    <row r="15" spans="2:7">
      <c r="B15" s="27">
        <f t="shared" si="0"/>
        <v>11</v>
      </c>
      <c r="C15" s="27" t="str">
        <f ca="1"/>
        <v>アドナ散１０％</v>
      </c>
      <c r="D15" s="27">
        <f ca="1"/>
        <v>0</v>
      </c>
      <c r="E15" s="56">
        <f ca="1"/>
        <v>2</v>
      </c>
      <c r="F15" s="56" t="str">
        <f ca="1"/>
        <v>粉</v>
      </c>
      <c r="G15" s="56" t="str">
        <f ca="1"/>
        <v>100ｇ</v>
      </c>
    </row>
    <row r="16" spans="2:7">
      <c r="B16" s="27">
        <f t="shared" si="0"/>
        <v>12</v>
      </c>
      <c r="C16" s="27" t="str">
        <f ca="1"/>
        <v>アミノレバンＥＮ配合散　　　　　コーヒー味</v>
      </c>
      <c r="D16" s="27">
        <f ca="1"/>
        <v>0</v>
      </c>
      <c r="E16" s="56">
        <f ca="1"/>
        <v>15</v>
      </c>
      <c r="F16" s="56" t="str">
        <f ca="1"/>
        <v>粉</v>
      </c>
      <c r="G16" s="56" t="str">
        <f ca="1"/>
        <v>50ｇX21包</v>
      </c>
    </row>
    <row r="17" spans="2:7">
      <c r="B17" s="27">
        <f t="shared" si="0"/>
        <v>13</v>
      </c>
      <c r="C17" s="27" t="str">
        <f ca="1"/>
        <v>カルバマゼピン細粒５０％「アメル」　　　</v>
      </c>
      <c r="D17" s="27">
        <f ca="1"/>
        <v>0</v>
      </c>
      <c r="E17" s="56">
        <f ca="1"/>
        <v>2</v>
      </c>
      <c r="F17" s="56" t="str">
        <f ca="1"/>
        <v>粉</v>
      </c>
      <c r="G17" s="56" t="str">
        <f ca="1"/>
        <v>500ｇ</v>
      </c>
    </row>
    <row r="18" spans="2:7">
      <c r="B18" s="27">
        <f t="shared" si="0"/>
        <v>14</v>
      </c>
      <c r="C18" s="27" t="str">
        <f ca="1"/>
        <v>グラマリール細粒１０％</v>
      </c>
      <c r="D18" s="27">
        <f ca="1"/>
        <v>0</v>
      </c>
      <c r="E18" s="56">
        <f ca="1"/>
        <v>2</v>
      </c>
      <c r="F18" s="56" t="str">
        <f ca="1"/>
        <v>粉</v>
      </c>
      <c r="G18" s="56" t="str">
        <f ca="1"/>
        <v>100ｇ</v>
      </c>
    </row>
    <row r="19" spans="2:7">
      <c r="B19" s="27">
        <f t="shared" si="0"/>
        <v>15</v>
      </c>
      <c r="C19" s="27" t="str">
        <f ca="1"/>
        <v>クレメジン細粒分包２ｇ</v>
      </c>
      <c r="D19" s="27">
        <f ca="1"/>
        <v>0</v>
      </c>
      <c r="E19" s="56">
        <f ca="1"/>
        <v>3</v>
      </c>
      <c r="F19" s="56" t="str">
        <f ca="1"/>
        <v/>
      </c>
      <c r="G19" s="56" t="str">
        <f ca="1"/>
        <v>2ｇｘ84包</v>
      </c>
    </row>
    <row r="20" spans="2:7">
      <c r="B20" s="27">
        <f t="shared" si="0"/>
        <v>16</v>
      </c>
      <c r="C20" s="27" t="str">
        <f ca="1"/>
        <v>シーピー配合顆粒</v>
      </c>
      <c r="D20" s="27">
        <f ca="1"/>
        <v>0</v>
      </c>
      <c r="E20" s="56">
        <f ca="1"/>
        <v>3</v>
      </c>
      <c r="F20" s="56" t="str">
        <f ca="1"/>
        <v>粉</v>
      </c>
      <c r="G20" s="56" t="str">
        <f ca="1"/>
        <v>1ｇｘ1050包</v>
      </c>
    </row>
    <row r="21" spans="2:7">
      <c r="B21" s="27">
        <f t="shared" si="0"/>
        <v>17</v>
      </c>
      <c r="C21" s="27" t="str">
        <f ca="1"/>
        <v>センブリ・重曹散</v>
      </c>
      <c r="D21" s="27">
        <f ca="1"/>
        <v>0</v>
      </c>
      <c r="E21" s="56">
        <f ca="1"/>
        <v>2</v>
      </c>
      <c r="F21" s="56" t="str">
        <f ca="1"/>
        <v>粉</v>
      </c>
      <c r="G21" s="56" t="str">
        <f ca="1"/>
        <v>500ｇ</v>
      </c>
    </row>
    <row r="22" spans="2:7">
      <c r="B22" s="27">
        <f t="shared" si="0"/>
        <v>18</v>
      </c>
      <c r="C22" s="27" t="str">
        <f ca="1"/>
        <v>タンニン酸アルブミン「ＶＴＲＳ」原末　　　</v>
      </c>
      <c r="D22" s="27">
        <f ca="1"/>
        <v>0</v>
      </c>
      <c r="E22" s="56">
        <f ca="1"/>
        <v>2</v>
      </c>
      <c r="F22" s="56" t="str">
        <f ca="1"/>
        <v>粉</v>
      </c>
      <c r="G22" s="56" t="str">
        <f ca="1"/>
        <v>500ｇ</v>
      </c>
    </row>
    <row r="23" spans="2:7">
      <c r="B23" s="27">
        <f t="shared" si="0"/>
        <v>19</v>
      </c>
      <c r="C23" s="27" t="str">
        <f ca="1"/>
        <v>テプレノン細粒１０％「ＹＤ」</v>
      </c>
      <c r="D23" s="27">
        <f ca="1"/>
        <v>0</v>
      </c>
      <c r="E23" s="56">
        <f ca="1"/>
        <v>2</v>
      </c>
      <c r="F23" s="56" t="str">
        <f ca="1"/>
        <v>粉</v>
      </c>
      <c r="G23" s="56" t="str">
        <f ca="1"/>
        <v>100ｇ</v>
      </c>
    </row>
    <row r="24" spans="2:7">
      <c r="B24" s="27">
        <f t="shared" si="0"/>
        <v>20</v>
      </c>
      <c r="C24" s="27" t="str">
        <f ca="1"/>
        <v>パントシン散２０％</v>
      </c>
      <c r="D24" s="27">
        <f ca="1"/>
        <v>0</v>
      </c>
      <c r="E24" s="56">
        <f ca="1"/>
        <v>2</v>
      </c>
      <c r="F24" s="56" t="str">
        <f ca="1"/>
        <v>粉</v>
      </c>
      <c r="G24" s="56" t="str">
        <f ca="1"/>
        <v>100ｇ</v>
      </c>
    </row>
    <row r="25" spans="2:7">
      <c r="B25" s="27">
        <f t="shared" si="0"/>
        <v>21</v>
      </c>
      <c r="C25" s="27" t="str">
        <f ca="1"/>
        <v>ビオフェルミン配合散</v>
      </c>
      <c r="D25" s="27">
        <f ca="1"/>
        <v>0</v>
      </c>
      <c r="E25" s="56">
        <f ca="1"/>
        <v>3</v>
      </c>
      <c r="F25" s="56" t="str">
        <f ca="1"/>
        <v>粉</v>
      </c>
      <c r="G25" s="56" t="str">
        <f ca="1"/>
        <v>1ｇｘ120</v>
      </c>
    </row>
    <row r="26" spans="2:7">
      <c r="B26" s="27">
        <f t="shared" si="0"/>
        <v>22</v>
      </c>
      <c r="C26" s="27" t="str">
        <f ca="1"/>
        <v>ビオフェルミン配合散</v>
      </c>
      <c r="D26" s="27">
        <f ca="1"/>
        <v>0</v>
      </c>
      <c r="E26" s="56">
        <f ca="1"/>
        <v>3</v>
      </c>
      <c r="F26" s="56" t="str">
        <f ca="1"/>
        <v>粉</v>
      </c>
      <c r="G26" s="56" t="str">
        <f ca="1"/>
        <v>1ｇｘ600</v>
      </c>
    </row>
    <row r="27" spans="2:7">
      <c r="B27" s="27">
        <f t="shared" si="0"/>
        <v>23</v>
      </c>
      <c r="C27" s="27" t="str">
        <f ca="1"/>
        <v>ビオフェルミン配合散</v>
      </c>
      <c r="D27" s="27">
        <f ca="1"/>
        <v>0</v>
      </c>
      <c r="E27" s="56">
        <f ca="1"/>
        <v>3</v>
      </c>
      <c r="F27" s="56" t="str">
        <f ca="1"/>
        <v>粉</v>
      </c>
      <c r="G27" s="56" t="str">
        <f ca="1"/>
        <v>1ｋｇ</v>
      </c>
    </row>
    <row r="28" spans="2:7">
      <c r="B28" s="27">
        <f t="shared" si="0"/>
        <v>24</v>
      </c>
      <c r="C28" s="27" t="str">
        <f ca="1"/>
        <v>フロセミド細粒４％「ＥＭＥＣ」</v>
      </c>
      <c r="D28" s="27">
        <f ca="1"/>
        <v>0</v>
      </c>
      <c r="E28" s="56">
        <f ca="1"/>
        <v>2</v>
      </c>
      <c r="F28" s="56" t="str">
        <f ca="1"/>
        <v>粉</v>
      </c>
      <c r="G28" s="56" t="str">
        <f ca="1"/>
        <v>100ｇ</v>
      </c>
    </row>
    <row r="29" spans="2:7">
      <c r="B29" s="27">
        <f t="shared" si="0"/>
        <v>25</v>
      </c>
      <c r="C29" s="27" t="str">
        <f ca="1"/>
        <v>マーズレンＳ配合顆粒</v>
      </c>
      <c r="D29" s="27">
        <f ca="1"/>
        <v>0</v>
      </c>
      <c r="E29" s="56">
        <f ca="1"/>
        <v>3</v>
      </c>
      <c r="F29" s="56" t="str">
        <f ca="1"/>
        <v>粉</v>
      </c>
      <c r="G29" s="56" t="str">
        <f ca="1"/>
        <v>400ｇ（0.67ｆｘ600）</v>
      </c>
    </row>
    <row r="30" spans="2:7">
      <c r="B30" s="27">
        <f t="shared" si="0"/>
        <v>26</v>
      </c>
      <c r="C30" s="27" t="str">
        <f ca="1"/>
        <v>マーズレンＳ配合顆粒</v>
      </c>
      <c r="D30" s="27">
        <f ca="1"/>
        <v>0</v>
      </c>
      <c r="E30" s="56">
        <f ca="1"/>
        <v>3</v>
      </c>
      <c r="F30" s="56" t="str">
        <f ca="1"/>
        <v>粉</v>
      </c>
      <c r="G30" s="56" t="str">
        <f ca="1"/>
        <v>1000ｇ</v>
      </c>
    </row>
    <row r="31" spans="2:7">
      <c r="B31" s="27">
        <f t="shared" si="0"/>
        <v>27</v>
      </c>
      <c r="C31" s="27" t="str">
        <f ca="1"/>
        <v>モサプリドクエン酸塩散１％「日医工」</v>
      </c>
      <c r="D31" s="27">
        <f ca="1"/>
        <v>0</v>
      </c>
      <c r="E31" s="56">
        <f ca="1"/>
        <v>2</v>
      </c>
      <c r="F31" s="56" t="str">
        <f ca="1"/>
        <v>粉</v>
      </c>
      <c r="G31" s="56" t="str">
        <f ca="1"/>
        <v>100ｇ</v>
      </c>
    </row>
    <row r="32" spans="2:7">
      <c r="B32" s="27">
        <f t="shared" si="0"/>
        <v>28</v>
      </c>
      <c r="C32" s="27" t="str">
        <f ca="1"/>
        <v>モビコール配合内用剤ＬＤ（１）　　　６．８５２３ｇ／１包</v>
      </c>
      <c r="D32" s="27">
        <f ca="1"/>
        <v>0</v>
      </c>
      <c r="E32" s="56">
        <f ca="1"/>
        <v>3</v>
      </c>
      <c r="F32" s="56" t="str">
        <f ca="1"/>
        <v>粉</v>
      </c>
      <c r="G32" s="56" t="str">
        <f ca="1"/>
        <v>100包</v>
      </c>
    </row>
    <row r="33" spans="2:7">
      <c r="B33" s="27">
        <f t="shared" si="0"/>
        <v>29</v>
      </c>
      <c r="C33" s="27" t="str">
        <f ca="1"/>
        <v>レベチラセタムＤＳ５０％「トーワ」</v>
      </c>
      <c r="D33" s="27">
        <f ca="1"/>
        <v>0</v>
      </c>
      <c r="E33" s="56">
        <f ca="1"/>
        <v>2</v>
      </c>
      <c r="F33" s="56" t="str">
        <f ca="1"/>
        <v>粉</v>
      </c>
      <c r="G33" s="56" t="str">
        <f ca="1"/>
        <v>100Ｇ</v>
      </c>
    </row>
    <row r="34" spans="2:7">
      <c r="B34" s="27">
        <f t="shared" si="0"/>
        <v>30</v>
      </c>
      <c r="C34" s="27" t="str">
        <f ca="1"/>
        <v>ロキソニン細粒１０％</v>
      </c>
      <c r="D34" s="27">
        <f ca="1"/>
        <v>0</v>
      </c>
      <c r="E34" s="56">
        <f ca="1"/>
        <v>2</v>
      </c>
      <c r="F34" s="56" t="str">
        <f ca="1"/>
        <v>粉</v>
      </c>
      <c r="G34" s="56" t="str">
        <f ca="1"/>
        <v>100ｇ</v>
      </c>
    </row>
    <row r="35" spans="2:7">
      <c r="B35" s="27">
        <f t="shared" si="0"/>
        <v>31</v>
      </c>
      <c r="C35" s="27" t="str">
        <f ca="1"/>
        <v>塩化カリウム</v>
      </c>
      <c r="D35" s="27">
        <f ca="1"/>
        <v>0</v>
      </c>
      <c r="E35" s="56">
        <f ca="1"/>
        <v>2</v>
      </c>
      <c r="F35" s="56" t="str">
        <f ca="1"/>
        <v>粉</v>
      </c>
      <c r="G35" s="56" t="str">
        <f ca="1"/>
        <v>500ｇ</v>
      </c>
    </row>
    <row r="36" spans="2:7">
      <c r="B36" s="27">
        <f t="shared" si="0"/>
        <v>32</v>
      </c>
      <c r="C36" s="27" t="str">
        <f ca="1"/>
        <v>塩化ナトリウム</v>
      </c>
      <c r="D36" s="27">
        <f ca="1"/>
        <v>0</v>
      </c>
      <c r="E36" s="56">
        <f ca="1"/>
        <v>2</v>
      </c>
      <c r="F36" s="56" t="str">
        <f ca="1"/>
        <v>粉</v>
      </c>
      <c r="G36" s="56" t="str">
        <f ca="1"/>
        <v>500ｇ</v>
      </c>
    </row>
    <row r="37" spans="2:7">
      <c r="B37" s="27">
        <f t="shared" si="0"/>
        <v>33</v>
      </c>
      <c r="C37" s="27" t="str">
        <f ca="1"/>
        <v>炭酸水素ナトリウム</v>
      </c>
      <c r="D37" s="27">
        <f ca="1"/>
        <v>0</v>
      </c>
      <c r="E37" s="56">
        <f ca="1"/>
        <v>2</v>
      </c>
      <c r="F37" s="56" t="str">
        <f ca="1"/>
        <v>粉</v>
      </c>
      <c r="G37" s="56" t="str">
        <f ca="1"/>
        <v>500ｇ</v>
      </c>
    </row>
    <row r="38" spans="2:7">
      <c r="B38" s="27">
        <f t="shared" si="0"/>
        <v>34</v>
      </c>
      <c r="C38" s="27" t="str">
        <f ca="1"/>
        <v>アリピプラゾール散１％「ニプロ」</v>
      </c>
      <c r="D38" s="27">
        <f ca="1"/>
        <v>2</v>
      </c>
      <c r="E38" s="56">
        <f ca="1"/>
        <v>2</v>
      </c>
      <c r="F38" s="56" t="str">
        <f ca="1"/>
        <v>粉</v>
      </c>
      <c r="G38" s="56" t="str">
        <f ca="1"/>
        <v>100ｇ</v>
      </c>
    </row>
    <row r="39" spans="2:7">
      <c r="B39" s="27">
        <f t="shared" si="0"/>
        <v>35</v>
      </c>
      <c r="C39" s="27" t="str">
        <f ca="1"/>
        <v>アレビアチン散１０％</v>
      </c>
      <c r="D39" s="27">
        <f ca="1"/>
        <v>2</v>
      </c>
      <c r="E39" s="56">
        <f ca="1"/>
        <v>2</v>
      </c>
      <c r="F39" s="56" t="str">
        <f ca="1"/>
        <v>粉</v>
      </c>
      <c r="G39" s="56" t="str">
        <f ca="1"/>
        <v>500ｇ</v>
      </c>
    </row>
    <row r="40" spans="2:7">
      <c r="B40" s="27">
        <f t="shared" si="0"/>
        <v>36</v>
      </c>
      <c r="C40" s="27" t="str">
        <f ca="1"/>
        <v>クエチアピン細粒５０％「アメル」</v>
      </c>
      <c r="D40" s="27">
        <f ca="1"/>
        <v>2</v>
      </c>
      <c r="E40" s="56">
        <f ca="1"/>
        <v>2</v>
      </c>
      <c r="F40" s="56" t="str">
        <f ca="1"/>
        <v>粉</v>
      </c>
      <c r="G40" s="56" t="str">
        <f ca="1"/>
        <v>100ｇ</v>
      </c>
    </row>
    <row r="41" spans="2:7">
      <c r="B41" s="27">
        <f t="shared" si="0"/>
        <v>37</v>
      </c>
      <c r="C41" s="27" t="str">
        <f ca="1"/>
        <v>トーワチーム配合顆粒</v>
      </c>
      <c r="D41" s="27">
        <f ca="1"/>
        <v>2</v>
      </c>
      <c r="E41" s="56">
        <f ca="1"/>
        <v>3</v>
      </c>
      <c r="F41" s="56" t="str">
        <f ca="1"/>
        <v>粉</v>
      </c>
      <c r="G41" s="56" t="str">
        <f ca="1"/>
        <v>1ｇｘ800</v>
      </c>
    </row>
    <row r="42" spans="2:7">
      <c r="B42" s="27">
        <f t="shared" si="0"/>
        <v>38</v>
      </c>
      <c r="C42" s="27" t="str">
        <f ca="1"/>
        <v>ハロペリドール細粒１％「ヨシトミ」　　　　　　　</v>
      </c>
      <c r="D42" s="27">
        <f ca="1"/>
        <v>2</v>
      </c>
      <c r="E42" s="56">
        <f ca="1"/>
        <v>2</v>
      </c>
      <c r="F42" s="56" t="str">
        <f ca="1"/>
        <v>粉</v>
      </c>
      <c r="G42" s="56" t="str">
        <f ca="1"/>
        <v>100ｇ</v>
      </c>
    </row>
    <row r="43" spans="2:7">
      <c r="B43" s="27">
        <f t="shared" si="0"/>
        <v>39</v>
      </c>
      <c r="C43" s="27" t="str">
        <f ca="1"/>
        <v>ブロナンセリン散２％「ＤＳＰＢ」</v>
      </c>
      <c r="D43" s="27">
        <f ca="1"/>
        <v>2</v>
      </c>
      <c r="E43" s="56">
        <f ca="1"/>
        <v>2</v>
      </c>
      <c r="F43" s="56" t="str">
        <f ca="1"/>
        <v>粉</v>
      </c>
      <c r="G43" s="56" t="str">
        <f ca="1"/>
        <v>100ｇ</v>
      </c>
    </row>
    <row r="44" spans="2:7">
      <c r="B44" s="27">
        <f t="shared" si="0"/>
        <v>40</v>
      </c>
      <c r="C44" s="27" t="str">
        <f ca="1"/>
        <v>リスパダール細粒１％</v>
      </c>
      <c r="D44" s="27">
        <f ca="1"/>
        <v>2</v>
      </c>
      <c r="E44" s="56">
        <f ca="1"/>
        <v>1</v>
      </c>
      <c r="F44" s="56" t="str">
        <f ca="1"/>
        <v>粉</v>
      </c>
      <c r="G44" s="56" t="str">
        <f ca="1"/>
        <v>100ｇ</v>
      </c>
    </row>
    <row r="45" spans="2:7">
      <c r="B45" s="27">
        <f t="shared" si="0"/>
        <v>41</v>
      </c>
      <c r="C45" s="27" t="str">
        <f ca="1"/>
        <v>ロドピン細粒５０％</v>
      </c>
      <c r="D45" s="27">
        <f ca="1"/>
        <v>2</v>
      </c>
      <c r="E45" s="56">
        <f ca="1"/>
        <v>2</v>
      </c>
      <c r="F45" s="56" t="str">
        <f ca="1"/>
        <v/>
      </c>
      <c r="G45" s="56" t="str">
        <f ca="1"/>
        <v>100ｇ</v>
      </c>
    </row>
    <row r="46" spans="2:7">
      <c r="B46" s="27">
        <f t="shared" si="0"/>
        <v>42</v>
      </c>
      <c r="C46" s="27"/>
      <c r="D46" s="27"/>
      <c r="E46" s="56"/>
      <c r="F46" s="56"/>
      <c r="G46" s="56"/>
    </row>
    <row r="47" spans="2:7">
      <c r="B47" s="27">
        <f t="shared" si="0"/>
        <v>43</v>
      </c>
      <c r="C47" s="27"/>
      <c r="D47" s="27"/>
      <c r="E47" s="56"/>
      <c r="F47" s="56"/>
      <c r="G47" s="56"/>
    </row>
    <row r="48" spans="2:7">
      <c r="B48" s="27">
        <f t="shared" si="0"/>
        <v>44</v>
      </c>
      <c r="C48" s="27"/>
      <c r="D48" s="27"/>
      <c r="E48" s="56"/>
      <c r="F48" s="56"/>
      <c r="G48" s="56"/>
    </row>
    <row r="49" spans="2:7">
      <c r="B49" s="27">
        <f t="shared" si="0"/>
        <v>45</v>
      </c>
      <c r="C49" s="27"/>
      <c r="D49" s="27"/>
      <c r="E49" s="56"/>
      <c r="F49" s="56"/>
      <c r="G49" s="56"/>
    </row>
    <row r="50" spans="2:7">
      <c r="B50" s="27">
        <f t="shared" si="0"/>
        <v>46</v>
      </c>
      <c r="C50" s="27"/>
      <c r="D50" s="27"/>
      <c r="E50" s="56"/>
      <c r="F50" s="56"/>
      <c r="G50" s="56"/>
    </row>
    <row r="51" spans="2:7">
      <c r="B51" s="27">
        <f t="shared" si="0"/>
        <v>47</v>
      </c>
      <c r="C51" s="27"/>
      <c r="D51" s="27"/>
      <c r="E51" s="56"/>
      <c r="F51" s="56"/>
      <c r="G51" s="56"/>
    </row>
    <row r="52" spans="2:7">
      <c r="B52" s="27">
        <f t="shared" si="0"/>
        <v>48</v>
      </c>
      <c r="C52" s="27"/>
      <c r="D52" s="27"/>
      <c r="E52" s="56"/>
      <c r="F52" s="56"/>
      <c r="G52" s="56"/>
    </row>
    <row r="53" spans="2:7">
      <c r="B53" s="27">
        <f t="shared" si="0"/>
        <v>49</v>
      </c>
      <c r="C53" s="27"/>
      <c r="D53" s="27"/>
      <c r="E53" s="56"/>
      <c r="F53" s="56"/>
      <c r="G53" s="56"/>
    </row>
    <row r="54" spans="2:7">
      <c r="B54" s="27">
        <f t="shared" si="0"/>
        <v>50</v>
      </c>
      <c r="C54" s="27"/>
      <c r="D54" s="27"/>
      <c r="E54" s="56"/>
      <c r="F54" s="56"/>
      <c r="G54" s="56"/>
    </row>
    <row r="55" spans="2:7">
      <c r="B55" s="27">
        <f t="shared" si="0"/>
        <v>51</v>
      </c>
      <c r="C55" s="27"/>
      <c r="D55" s="27"/>
      <c r="E55" s="56"/>
      <c r="F55" s="56"/>
      <c r="G55" s="56"/>
    </row>
    <row r="56" spans="2:7">
      <c r="B56" s="27">
        <f t="shared" si="0"/>
        <v>52</v>
      </c>
      <c r="C56" s="27"/>
      <c r="D56" s="27"/>
      <c r="E56" s="56"/>
      <c r="F56" s="56"/>
      <c r="G56" s="56"/>
    </row>
    <row r="57" spans="2:7">
      <c r="B57" s="27">
        <f t="shared" si="0"/>
        <v>53</v>
      </c>
      <c r="C57" s="27"/>
      <c r="D57" s="27"/>
      <c r="E57" s="56"/>
      <c r="F57" s="56"/>
      <c r="G57" s="56"/>
    </row>
    <row r="58" spans="2:7">
      <c r="B58" s="27">
        <f t="shared" si="0"/>
        <v>54</v>
      </c>
      <c r="C58" s="27"/>
      <c r="D58" s="27"/>
      <c r="E58" s="56"/>
      <c r="F58" s="56"/>
      <c r="G58" s="56"/>
    </row>
    <row r="59" spans="2:7">
      <c r="B59" s="27">
        <f t="shared" si="0"/>
        <v>55</v>
      </c>
      <c r="C59" s="27"/>
      <c r="D59" s="27"/>
      <c r="E59" s="56"/>
      <c r="F59" s="56"/>
      <c r="G59" s="56"/>
    </row>
    <row r="60" spans="2:7">
      <c r="B60" s="27">
        <f t="shared" si="0"/>
        <v>56</v>
      </c>
      <c r="C60" s="27"/>
      <c r="D60" s="27"/>
      <c r="E60" s="56"/>
      <c r="F60" s="56"/>
      <c r="G60" s="56"/>
    </row>
    <row r="61" spans="2:7">
      <c r="B61" s="27">
        <f t="shared" si="0"/>
        <v>57</v>
      </c>
      <c r="C61" s="27"/>
      <c r="D61" s="27"/>
      <c r="E61" s="56"/>
      <c r="F61" s="56"/>
      <c r="G61" s="56"/>
    </row>
    <row r="62" spans="2:7">
      <c r="B62" s="27">
        <f t="shared" si="0"/>
        <v>58</v>
      </c>
      <c r="C62" s="27"/>
      <c r="D62" s="27"/>
      <c r="E62" s="56"/>
      <c r="F62" s="56"/>
      <c r="G62" s="56"/>
    </row>
    <row r="63" spans="2:7">
      <c r="B63" s="27">
        <f t="shared" si="0"/>
        <v>59</v>
      </c>
      <c r="C63" s="27"/>
      <c r="D63" s="27"/>
      <c r="E63" s="56"/>
      <c r="F63" s="56"/>
      <c r="G63" s="56"/>
    </row>
    <row r="64" spans="2:7">
      <c r="B64" s="27">
        <f t="shared" si="0"/>
        <v>60</v>
      </c>
      <c r="C64" s="27"/>
      <c r="D64" s="27"/>
      <c r="E64" s="56"/>
      <c r="F64" s="56"/>
      <c r="G64" s="56"/>
    </row>
    <row r="65" spans="2:7">
      <c r="B65" s="27">
        <f t="shared" si="0"/>
        <v>61</v>
      </c>
      <c r="C65" s="27"/>
      <c r="D65" s="27"/>
      <c r="E65" s="56"/>
      <c r="F65" s="56"/>
      <c r="G65" s="56"/>
    </row>
    <row r="66" spans="2:7">
      <c r="B66" s="27">
        <f t="shared" si="0"/>
        <v>62</v>
      </c>
      <c r="C66" s="27"/>
      <c r="D66" s="27"/>
      <c r="E66" s="56"/>
      <c r="F66" s="56"/>
      <c r="G66" s="56"/>
    </row>
    <row r="67" spans="2:7">
      <c r="B67" s="27">
        <f t="shared" si="0"/>
        <v>63</v>
      </c>
      <c r="C67" s="27"/>
      <c r="D67" s="27"/>
      <c r="E67" s="56"/>
      <c r="F67" s="56"/>
      <c r="G67" s="56"/>
    </row>
    <row r="68" spans="2:7">
      <c r="B68" s="27">
        <f t="shared" si="0"/>
        <v>64</v>
      </c>
      <c r="C68" s="27"/>
      <c r="D68" s="27"/>
      <c r="E68" s="56"/>
      <c r="F68" s="56"/>
      <c r="G68" s="56"/>
    </row>
    <row r="69" spans="2:7">
      <c r="B69" s="27">
        <f t="shared" si="0"/>
        <v>65</v>
      </c>
      <c r="C69" s="27"/>
      <c r="D69" s="27"/>
      <c r="E69" s="56"/>
      <c r="F69" s="56"/>
      <c r="G69" s="56"/>
    </row>
    <row r="70" spans="2:7">
      <c r="B70" s="27">
        <f t="shared" si="0"/>
        <v>66</v>
      </c>
      <c r="C70" s="27"/>
      <c r="D70" s="27"/>
      <c r="E70" s="56"/>
      <c r="F70" s="56"/>
      <c r="G70" s="56"/>
    </row>
    <row r="71" spans="2:7">
      <c r="B71" s="27">
        <f t="shared" ref="B71:B134" si="1">B70+1</f>
        <v>67</v>
      </c>
      <c r="C71" s="27"/>
      <c r="D71" s="27"/>
      <c r="E71" s="56"/>
      <c r="F71" s="56"/>
      <c r="G71" s="56"/>
    </row>
    <row r="72" spans="2:7">
      <c r="B72" s="27">
        <f t="shared" si="1"/>
        <v>68</v>
      </c>
      <c r="C72" s="27"/>
      <c r="D72" s="27"/>
      <c r="E72" s="56"/>
      <c r="F72" s="56"/>
      <c r="G72" s="56"/>
    </row>
    <row r="73" spans="2:7">
      <c r="B73" s="27">
        <f t="shared" si="1"/>
        <v>69</v>
      </c>
      <c r="C73" s="27"/>
      <c r="D73" s="27"/>
      <c r="E73" s="56"/>
      <c r="F73" s="56"/>
      <c r="G73" s="56"/>
    </row>
    <row r="74" spans="2:7">
      <c r="B74" s="27">
        <f t="shared" si="1"/>
        <v>70</v>
      </c>
      <c r="C74" s="27"/>
      <c r="D74" s="27"/>
      <c r="E74" s="56"/>
      <c r="F74" s="56"/>
      <c r="G74" s="56"/>
    </row>
    <row r="75" spans="2:7">
      <c r="B75" s="27">
        <f t="shared" si="1"/>
        <v>71</v>
      </c>
      <c r="C75" s="27"/>
      <c r="D75" s="27"/>
      <c r="E75" s="56"/>
      <c r="F75" s="56"/>
      <c r="G75" s="56"/>
    </row>
    <row r="76" spans="2:7">
      <c r="B76" s="27">
        <f t="shared" si="1"/>
        <v>72</v>
      </c>
      <c r="C76" s="27"/>
      <c r="D76" s="27"/>
      <c r="E76" s="56"/>
      <c r="F76" s="56"/>
      <c r="G76" s="56"/>
    </row>
    <row r="77" spans="2:7">
      <c r="B77" s="27">
        <f t="shared" si="1"/>
        <v>73</v>
      </c>
      <c r="C77" s="27"/>
      <c r="D77" s="27"/>
      <c r="E77" s="56"/>
      <c r="F77" s="56"/>
      <c r="G77" s="56"/>
    </row>
    <row r="78" spans="2:7">
      <c r="B78" s="27">
        <f t="shared" si="1"/>
        <v>74</v>
      </c>
      <c r="C78" s="27"/>
      <c r="D78" s="27"/>
      <c r="E78" s="56"/>
      <c r="F78" s="56"/>
      <c r="G78" s="56"/>
    </row>
    <row r="79" spans="2:7">
      <c r="B79" s="27">
        <f t="shared" si="1"/>
        <v>75</v>
      </c>
      <c r="C79" s="27"/>
      <c r="D79" s="27"/>
      <c r="E79" s="56"/>
      <c r="F79" s="56"/>
      <c r="G79" s="56"/>
    </row>
    <row r="80" spans="2:7">
      <c r="B80" s="27">
        <f t="shared" si="1"/>
        <v>76</v>
      </c>
      <c r="C80" s="27"/>
      <c r="D80" s="27"/>
      <c r="E80" s="56"/>
      <c r="F80" s="56"/>
      <c r="G80" s="56"/>
    </row>
    <row r="81" spans="2:7">
      <c r="B81" s="27">
        <f t="shared" si="1"/>
        <v>77</v>
      </c>
      <c r="C81" s="27"/>
      <c r="D81" s="27"/>
      <c r="E81" s="56"/>
      <c r="F81" s="56"/>
      <c r="G81" s="56"/>
    </row>
    <row r="82" spans="2:7">
      <c r="B82" s="27">
        <f t="shared" si="1"/>
        <v>78</v>
      </c>
      <c r="C82" s="27"/>
      <c r="D82" s="27"/>
      <c r="E82" s="56"/>
      <c r="F82" s="56"/>
      <c r="G82" s="56"/>
    </row>
    <row r="83" spans="2:7">
      <c r="B83" s="27">
        <f t="shared" si="1"/>
        <v>79</v>
      </c>
      <c r="C83" s="27"/>
      <c r="D83" s="27"/>
      <c r="E83" s="56"/>
      <c r="F83" s="56"/>
      <c r="G83" s="56"/>
    </row>
    <row r="84" spans="2:7">
      <c r="B84" s="27">
        <f t="shared" si="1"/>
        <v>80</v>
      </c>
      <c r="C84" s="27"/>
      <c r="D84" s="27"/>
      <c r="E84" s="56"/>
      <c r="F84" s="56"/>
      <c r="G84" s="56"/>
    </row>
    <row r="85" spans="2:7">
      <c r="B85" s="27">
        <f t="shared" si="1"/>
        <v>81</v>
      </c>
      <c r="C85" s="27"/>
      <c r="D85" s="27"/>
      <c r="E85" s="56"/>
      <c r="F85" s="56"/>
      <c r="G85" s="56"/>
    </row>
    <row r="86" spans="2:7">
      <c r="B86" s="27">
        <f t="shared" si="1"/>
        <v>82</v>
      </c>
      <c r="C86" s="27"/>
      <c r="D86" s="27"/>
      <c r="E86" s="56"/>
      <c r="F86" s="56"/>
      <c r="G86" s="56"/>
    </row>
    <row r="87" spans="2:7">
      <c r="B87" s="27">
        <f t="shared" si="1"/>
        <v>83</v>
      </c>
      <c r="C87" s="27"/>
      <c r="D87" s="27"/>
      <c r="E87" s="56"/>
      <c r="F87" s="56"/>
      <c r="G87" s="56"/>
    </row>
    <row r="88" spans="2:7">
      <c r="B88" s="27">
        <f t="shared" si="1"/>
        <v>84</v>
      </c>
      <c r="C88" s="27"/>
      <c r="D88" s="27"/>
      <c r="E88" s="56"/>
      <c r="F88" s="56"/>
      <c r="G88" s="56"/>
    </row>
    <row r="89" spans="2:7">
      <c r="B89" s="27">
        <f t="shared" si="1"/>
        <v>85</v>
      </c>
      <c r="C89" s="27"/>
      <c r="D89" s="27"/>
      <c r="E89" s="56"/>
      <c r="F89" s="56"/>
      <c r="G89" s="56"/>
    </row>
    <row r="90" spans="2:7">
      <c r="B90" s="27">
        <f t="shared" si="1"/>
        <v>86</v>
      </c>
      <c r="C90" s="27"/>
      <c r="D90" s="27"/>
      <c r="E90" s="56"/>
      <c r="F90" s="56"/>
      <c r="G90" s="56"/>
    </row>
    <row r="91" spans="2:7">
      <c r="B91" s="27">
        <f t="shared" si="1"/>
        <v>87</v>
      </c>
      <c r="C91" s="27"/>
      <c r="D91" s="27"/>
      <c r="E91" s="56"/>
      <c r="F91" s="56"/>
      <c r="G91" s="56"/>
    </row>
    <row r="92" spans="2:7">
      <c r="B92" s="27">
        <f t="shared" si="1"/>
        <v>88</v>
      </c>
      <c r="C92" s="27"/>
      <c r="D92" s="27"/>
      <c r="E92" s="56"/>
      <c r="F92" s="56"/>
      <c r="G92" s="56"/>
    </row>
    <row r="93" spans="2:7">
      <c r="B93" s="27">
        <f t="shared" si="1"/>
        <v>89</v>
      </c>
      <c r="C93" s="27"/>
      <c r="D93" s="27"/>
      <c r="E93" s="56"/>
      <c r="F93" s="56"/>
      <c r="G93" s="56"/>
    </row>
    <row r="94" spans="2:7">
      <c r="B94" s="27">
        <f t="shared" si="1"/>
        <v>90</v>
      </c>
      <c r="C94" s="27"/>
      <c r="D94" s="27"/>
      <c r="E94" s="56"/>
      <c r="F94" s="56"/>
      <c r="G94" s="56"/>
    </row>
    <row r="95" spans="2:7">
      <c r="B95" s="27">
        <f t="shared" si="1"/>
        <v>91</v>
      </c>
      <c r="C95" s="27"/>
      <c r="D95" s="27"/>
      <c r="E95" s="56"/>
      <c r="F95" s="56"/>
      <c r="G95" s="56"/>
    </row>
    <row r="96" spans="2:7">
      <c r="B96" s="27">
        <f t="shared" si="1"/>
        <v>92</v>
      </c>
      <c r="C96" s="27"/>
      <c r="D96" s="27"/>
      <c r="E96" s="56"/>
      <c r="F96" s="56"/>
      <c r="G96" s="56"/>
    </row>
    <row r="97" spans="2:7">
      <c r="B97" s="27">
        <f t="shared" si="1"/>
        <v>93</v>
      </c>
      <c r="C97" s="27"/>
      <c r="D97" s="27"/>
      <c r="E97" s="56"/>
      <c r="F97" s="56"/>
      <c r="G97" s="56"/>
    </row>
    <row r="98" spans="2:7">
      <c r="B98" s="27">
        <f t="shared" si="1"/>
        <v>94</v>
      </c>
      <c r="C98" s="27"/>
      <c r="D98" s="27"/>
      <c r="E98" s="56"/>
      <c r="F98" s="56"/>
      <c r="G98" s="56"/>
    </row>
    <row r="99" spans="2:7">
      <c r="B99" s="27">
        <f t="shared" si="1"/>
        <v>95</v>
      </c>
      <c r="C99" s="27"/>
      <c r="D99" s="27"/>
      <c r="E99" s="56"/>
      <c r="F99" s="56"/>
      <c r="G99" s="56"/>
    </row>
    <row r="100" spans="2:7">
      <c r="B100" s="27">
        <f t="shared" si="1"/>
        <v>96</v>
      </c>
      <c r="C100" s="27"/>
      <c r="D100" s="27"/>
      <c r="E100" s="56"/>
      <c r="F100" s="56"/>
      <c r="G100" s="56"/>
    </row>
    <row r="101" spans="2:7">
      <c r="B101" s="27">
        <f t="shared" si="1"/>
        <v>97</v>
      </c>
      <c r="C101" s="27"/>
      <c r="D101" s="27"/>
      <c r="E101" s="56"/>
      <c r="F101" s="56"/>
      <c r="G101" s="56"/>
    </row>
    <row r="102" spans="2:7">
      <c r="B102" s="27">
        <f t="shared" si="1"/>
        <v>98</v>
      </c>
      <c r="C102" s="27"/>
      <c r="D102" s="27"/>
      <c r="E102" s="56"/>
      <c r="F102" s="56"/>
      <c r="G102" s="56"/>
    </row>
    <row r="103" spans="2:7">
      <c r="B103" s="27">
        <f t="shared" si="1"/>
        <v>99</v>
      </c>
      <c r="C103" s="27"/>
      <c r="D103" s="27"/>
      <c r="E103" s="56"/>
      <c r="F103" s="56"/>
      <c r="G103" s="56"/>
    </row>
    <row r="104" spans="2:7">
      <c r="B104" s="27">
        <f t="shared" si="1"/>
        <v>100</v>
      </c>
      <c r="C104" s="27"/>
      <c r="D104" s="27"/>
      <c r="E104" s="56"/>
      <c r="F104" s="56"/>
      <c r="G104" s="56"/>
    </row>
    <row r="105" spans="2:7">
      <c r="B105" s="27">
        <f t="shared" si="1"/>
        <v>101</v>
      </c>
      <c r="C105" s="27"/>
      <c r="D105" s="27"/>
      <c r="E105" s="56"/>
      <c r="F105" s="56"/>
      <c r="G105" s="56"/>
    </row>
    <row r="106" spans="2:7">
      <c r="B106" s="27">
        <f t="shared" si="1"/>
        <v>102</v>
      </c>
      <c r="C106" s="27"/>
      <c r="D106" s="27"/>
      <c r="E106" s="56"/>
      <c r="F106" s="56"/>
      <c r="G106" s="56"/>
    </row>
    <row r="107" spans="2:7">
      <c r="B107" s="27">
        <f t="shared" si="1"/>
        <v>103</v>
      </c>
      <c r="C107" s="27"/>
      <c r="D107" s="27"/>
      <c r="E107" s="56"/>
      <c r="F107" s="56"/>
      <c r="G107" s="56"/>
    </row>
    <row r="108" spans="2:7">
      <c r="B108" s="27">
        <f t="shared" si="1"/>
        <v>104</v>
      </c>
      <c r="C108" s="27"/>
      <c r="D108" s="27"/>
      <c r="E108" s="56"/>
      <c r="F108" s="56"/>
      <c r="G108" s="56"/>
    </row>
    <row r="109" spans="2:7">
      <c r="B109" s="27">
        <f t="shared" si="1"/>
        <v>105</v>
      </c>
      <c r="C109" s="27"/>
      <c r="D109" s="27"/>
      <c r="E109" s="56"/>
      <c r="F109" s="56"/>
      <c r="G109" s="56"/>
    </row>
    <row r="110" spans="2:7">
      <c r="B110" s="27">
        <f t="shared" si="1"/>
        <v>106</v>
      </c>
      <c r="C110" s="27"/>
      <c r="D110" s="27"/>
      <c r="E110" s="56"/>
      <c r="F110" s="56"/>
      <c r="G110" s="56"/>
    </row>
    <row r="111" spans="2:7">
      <c r="B111" s="27">
        <f t="shared" si="1"/>
        <v>107</v>
      </c>
      <c r="C111" s="27"/>
      <c r="D111" s="27"/>
      <c r="E111" s="56"/>
      <c r="F111" s="56"/>
      <c r="G111" s="56"/>
    </row>
    <row r="112" spans="2:7">
      <c r="B112" s="27">
        <f t="shared" si="1"/>
        <v>108</v>
      </c>
      <c r="C112" s="27"/>
      <c r="D112" s="27"/>
      <c r="E112" s="56"/>
      <c r="F112" s="56"/>
      <c r="G112" s="56"/>
    </row>
    <row r="113" spans="2:7">
      <c r="B113" s="27">
        <f t="shared" si="1"/>
        <v>109</v>
      </c>
      <c r="C113" s="27"/>
      <c r="D113" s="27"/>
      <c r="E113" s="56"/>
      <c r="F113" s="56"/>
      <c r="G113" s="56"/>
    </row>
    <row r="114" spans="2:7">
      <c r="B114" s="27">
        <f t="shared" si="1"/>
        <v>110</v>
      </c>
      <c r="C114" s="27"/>
      <c r="D114" s="27"/>
      <c r="E114" s="56"/>
      <c r="F114" s="56"/>
      <c r="G114" s="56"/>
    </row>
    <row r="115" spans="2:7">
      <c r="B115" s="27">
        <f t="shared" si="1"/>
        <v>111</v>
      </c>
      <c r="C115" s="27"/>
      <c r="D115" s="27"/>
      <c r="E115" s="56"/>
      <c r="F115" s="56"/>
      <c r="G115" s="56"/>
    </row>
    <row r="116" spans="2:7">
      <c r="B116" s="27">
        <f t="shared" si="1"/>
        <v>112</v>
      </c>
      <c r="C116" s="27"/>
      <c r="D116" s="27"/>
      <c r="E116" s="56"/>
      <c r="F116" s="56"/>
      <c r="G116" s="56"/>
    </row>
    <row r="117" spans="2:7">
      <c r="B117" s="27">
        <f t="shared" si="1"/>
        <v>113</v>
      </c>
      <c r="C117" s="27"/>
      <c r="D117" s="27"/>
      <c r="E117" s="56"/>
      <c r="F117" s="56"/>
      <c r="G117" s="56"/>
    </row>
    <row r="118" spans="2:7">
      <c r="B118" s="27">
        <f t="shared" si="1"/>
        <v>114</v>
      </c>
      <c r="C118" s="27"/>
      <c r="D118" s="27"/>
      <c r="E118" s="56"/>
      <c r="F118" s="56"/>
      <c r="G118" s="56"/>
    </row>
    <row r="119" spans="2:7">
      <c r="B119" s="27">
        <f t="shared" si="1"/>
        <v>115</v>
      </c>
      <c r="C119" s="27"/>
      <c r="D119" s="27"/>
      <c r="E119" s="56"/>
      <c r="F119" s="56"/>
      <c r="G119" s="56"/>
    </row>
    <row r="120" spans="2:7">
      <c r="B120" s="27">
        <f t="shared" si="1"/>
        <v>116</v>
      </c>
      <c r="C120" s="27"/>
      <c r="D120" s="27"/>
      <c r="E120" s="56"/>
      <c r="F120" s="56"/>
      <c r="G120" s="56"/>
    </row>
    <row r="121" spans="2:7">
      <c r="B121" s="27">
        <f t="shared" si="1"/>
        <v>117</v>
      </c>
      <c r="C121" s="27"/>
      <c r="D121" s="27"/>
      <c r="E121" s="56"/>
      <c r="F121" s="56"/>
      <c r="G121" s="56"/>
    </row>
    <row r="122" spans="2:7">
      <c r="B122" s="27">
        <f t="shared" si="1"/>
        <v>118</v>
      </c>
      <c r="C122" s="27"/>
      <c r="D122" s="27"/>
      <c r="E122" s="56"/>
      <c r="F122" s="56"/>
      <c r="G122" s="56"/>
    </row>
    <row r="123" spans="2:7">
      <c r="B123" s="27">
        <f t="shared" si="1"/>
        <v>119</v>
      </c>
      <c r="C123" s="27"/>
      <c r="D123" s="27"/>
      <c r="E123" s="56"/>
      <c r="F123" s="56"/>
      <c r="G123" s="56"/>
    </row>
    <row r="124" spans="2:7">
      <c r="B124" s="27">
        <f t="shared" si="1"/>
        <v>120</v>
      </c>
      <c r="C124" s="27"/>
      <c r="D124" s="27"/>
      <c r="E124" s="56"/>
      <c r="F124" s="56"/>
      <c r="G124" s="56"/>
    </row>
    <row r="125" spans="2:7">
      <c r="B125" s="27">
        <f t="shared" si="1"/>
        <v>121</v>
      </c>
      <c r="C125" s="27"/>
      <c r="D125" s="27"/>
      <c r="E125" s="56"/>
      <c r="F125" s="56"/>
      <c r="G125" s="56"/>
    </row>
    <row r="126" spans="2:7">
      <c r="B126" s="27">
        <f t="shared" si="1"/>
        <v>122</v>
      </c>
      <c r="C126" s="27"/>
      <c r="D126" s="27"/>
      <c r="E126" s="56"/>
      <c r="F126" s="56"/>
      <c r="G126" s="56"/>
    </row>
    <row r="127" spans="2:7">
      <c r="B127" s="27">
        <f t="shared" si="1"/>
        <v>123</v>
      </c>
      <c r="C127" s="27"/>
      <c r="D127" s="27"/>
      <c r="E127" s="56"/>
      <c r="F127" s="56"/>
      <c r="G127" s="56"/>
    </row>
    <row r="128" spans="2:7">
      <c r="B128" s="27">
        <f t="shared" si="1"/>
        <v>124</v>
      </c>
      <c r="C128" s="27"/>
      <c r="D128" s="27"/>
      <c r="E128" s="56"/>
      <c r="F128" s="56"/>
      <c r="G128" s="56"/>
    </row>
    <row r="129" spans="2:7">
      <c r="B129" s="27">
        <f t="shared" si="1"/>
        <v>125</v>
      </c>
      <c r="C129" s="27"/>
      <c r="D129" s="27"/>
      <c r="E129" s="56"/>
      <c r="F129" s="56"/>
      <c r="G129" s="56"/>
    </row>
    <row r="130" spans="2:7">
      <c r="B130" s="27">
        <f t="shared" si="1"/>
        <v>126</v>
      </c>
      <c r="C130" s="27"/>
      <c r="D130" s="27"/>
      <c r="E130" s="56"/>
      <c r="F130" s="56"/>
      <c r="G130" s="56"/>
    </row>
    <row r="131" spans="2:7">
      <c r="B131" s="27">
        <f t="shared" si="1"/>
        <v>127</v>
      </c>
      <c r="C131" s="27"/>
      <c r="D131" s="27"/>
      <c r="E131" s="56"/>
      <c r="F131" s="56"/>
      <c r="G131" s="56"/>
    </row>
    <row r="132" spans="2:7">
      <c r="B132" s="27">
        <f t="shared" si="1"/>
        <v>128</v>
      </c>
      <c r="C132" s="27"/>
      <c r="D132" s="27"/>
      <c r="E132" s="56"/>
      <c r="F132" s="56"/>
      <c r="G132" s="56"/>
    </row>
    <row r="133" spans="2:7">
      <c r="B133" s="27">
        <f t="shared" si="1"/>
        <v>129</v>
      </c>
      <c r="C133" s="27"/>
      <c r="D133" s="27"/>
      <c r="E133" s="56"/>
      <c r="F133" s="56"/>
      <c r="G133" s="56"/>
    </row>
    <row r="134" spans="2:7">
      <c r="B134" s="27">
        <f t="shared" si="1"/>
        <v>130</v>
      </c>
      <c r="C134" s="27"/>
      <c r="D134" s="27"/>
      <c r="E134" s="56"/>
      <c r="F134" s="56"/>
      <c r="G134" s="56"/>
    </row>
    <row r="135" spans="2:7">
      <c r="B135" s="27">
        <f t="shared" ref="B135:B198" si="2">B134+1</f>
        <v>131</v>
      </c>
      <c r="C135" s="27"/>
      <c r="D135" s="27"/>
      <c r="E135" s="56"/>
      <c r="F135" s="56"/>
      <c r="G135" s="56"/>
    </row>
    <row r="136" spans="2:7">
      <c r="B136" s="27">
        <f t="shared" si="2"/>
        <v>132</v>
      </c>
      <c r="C136" s="27"/>
      <c r="D136" s="27"/>
      <c r="E136" s="56"/>
      <c r="F136" s="56"/>
      <c r="G136" s="56"/>
    </row>
    <row r="137" spans="2:7">
      <c r="B137" s="27">
        <f t="shared" si="2"/>
        <v>133</v>
      </c>
      <c r="C137" s="27"/>
      <c r="D137" s="27"/>
      <c r="E137" s="56"/>
      <c r="F137" s="56"/>
      <c r="G137" s="56"/>
    </row>
    <row r="138" spans="2:7">
      <c r="B138" s="27">
        <f t="shared" si="2"/>
        <v>134</v>
      </c>
      <c r="C138" s="27"/>
      <c r="D138" s="27"/>
      <c r="E138" s="56"/>
      <c r="F138" s="56"/>
      <c r="G138" s="56"/>
    </row>
    <row r="139" spans="2:7">
      <c r="B139" s="27">
        <f t="shared" si="2"/>
        <v>135</v>
      </c>
      <c r="C139" s="27"/>
      <c r="D139" s="27"/>
      <c r="E139" s="56"/>
      <c r="F139" s="56"/>
      <c r="G139" s="56"/>
    </row>
    <row r="140" spans="2:7">
      <c r="B140" s="27">
        <f t="shared" si="2"/>
        <v>136</v>
      </c>
      <c r="C140" s="27"/>
      <c r="D140" s="27"/>
      <c r="E140" s="56"/>
      <c r="F140" s="56"/>
      <c r="G140" s="56"/>
    </row>
    <row r="141" spans="2:7">
      <c r="B141" s="27">
        <f t="shared" si="2"/>
        <v>137</v>
      </c>
      <c r="C141" s="27"/>
      <c r="D141" s="27"/>
      <c r="E141" s="56"/>
      <c r="F141" s="56"/>
      <c r="G141" s="56"/>
    </row>
    <row r="142" spans="2:7">
      <c r="B142" s="27">
        <f t="shared" si="2"/>
        <v>138</v>
      </c>
      <c r="C142" s="27"/>
      <c r="D142" s="27"/>
      <c r="E142" s="56"/>
      <c r="F142" s="56"/>
      <c r="G142" s="56"/>
    </row>
    <row r="143" spans="2:7">
      <c r="B143" s="27">
        <f t="shared" si="2"/>
        <v>139</v>
      </c>
      <c r="C143" s="27"/>
      <c r="D143" s="27"/>
      <c r="E143" s="56"/>
      <c r="F143" s="56"/>
      <c r="G143" s="56"/>
    </row>
    <row r="144" spans="2:7">
      <c r="B144" s="27">
        <f t="shared" si="2"/>
        <v>140</v>
      </c>
      <c r="C144" s="27"/>
      <c r="D144" s="27"/>
      <c r="E144" s="56"/>
      <c r="F144" s="56"/>
      <c r="G144" s="56"/>
    </row>
    <row r="145" spans="2:7">
      <c r="B145" s="27">
        <f t="shared" si="2"/>
        <v>141</v>
      </c>
      <c r="C145" s="27"/>
      <c r="D145" s="27"/>
      <c r="E145" s="56"/>
      <c r="F145" s="56"/>
      <c r="G145" s="56"/>
    </row>
    <row r="146" spans="2:7">
      <c r="B146" s="27">
        <f t="shared" si="2"/>
        <v>142</v>
      </c>
      <c r="C146" s="27"/>
      <c r="D146" s="27"/>
      <c r="E146" s="56"/>
      <c r="F146" s="56"/>
      <c r="G146" s="56"/>
    </row>
    <row r="147" spans="2:7">
      <c r="B147" s="27">
        <f t="shared" si="2"/>
        <v>143</v>
      </c>
      <c r="C147" s="27"/>
      <c r="D147" s="27"/>
      <c r="E147" s="56"/>
      <c r="F147" s="56"/>
      <c r="G147" s="56"/>
    </row>
    <row r="148" spans="2:7">
      <c r="B148" s="27">
        <f t="shared" si="2"/>
        <v>144</v>
      </c>
      <c r="C148" s="27"/>
      <c r="D148" s="27"/>
      <c r="E148" s="56"/>
      <c r="F148" s="56"/>
      <c r="G148" s="56"/>
    </row>
    <row r="149" spans="2:7">
      <c r="B149" s="27">
        <f t="shared" si="2"/>
        <v>145</v>
      </c>
      <c r="C149" s="27"/>
      <c r="D149" s="27"/>
      <c r="E149" s="56"/>
      <c r="F149" s="56"/>
      <c r="G149" s="56"/>
    </row>
    <row r="150" spans="2:7">
      <c r="B150" s="27">
        <f t="shared" si="2"/>
        <v>146</v>
      </c>
      <c r="C150" s="27"/>
      <c r="D150" s="27"/>
      <c r="E150" s="56"/>
      <c r="F150" s="56"/>
      <c r="G150" s="56"/>
    </row>
    <row r="151" spans="2:7">
      <c r="B151" s="27">
        <f t="shared" si="2"/>
        <v>147</v>
      </c>
      <c r="C151" s="27"/>
      <c r="D151" s="27"/>
      <c r="E151" s="56"/>
      <c r="F151" s="56"/>
      <c r="G151" s="56"/>
    </row>
    <row r="152" spans="2:7">
      <c r="B152" s="27">
        <f t="shared" si="2"/>
        <v>148</v>
      </c>
      <c r="C152" s="27"/>
      <c r="D152" s="27"/>
      <c r="E152" s="56"/>
      <c r="F152" s="56"/>
      <c r="G152" s="56"/>
    </row>
    <row r="153" spans="2:7">
      <c r="B153" s="27">
        <f t="shared" si="2"/>
        <v>149</v>
      </c>
      <c r="C153" s="27"/>
      <c r="D153" s="27"/>
      <c r="E153" s="56"/>
      <c r="F153" s="56"/>
      <c r="G153" s="56"/>
    </row>
    <row r="154" spans="2:7">
      <c r="B154" s="27">
        <f t="shared" si="2"/>
        <v>150</v>
      </c>
      <c r="C154" s="27"/>
      <c r="D154" s="27"/>
      <c r="E154" s="56"/>
      <c r="F154" s="56"/>
      <c r="G154" s="56"/>
    </row>
    <row r="155" spans="2:7">
      <c r="B155" s="27">
        <f t="shared" si="2"/>
        <v>151</v>
      </c>
      <c r="C155" s="27"/>
      <c r="D155" s="27"/>
      <c r="E155" s="56"/>
      <c r="F155" s="56"/>
      <c r="G155" s="56"/>
    </row>
    <row r="156" spans="2:7">
      <c r="B156" s="27">
        <f t="shared" si="2"/>
        <v>152</v>
      </c>
      <c r="C156" s="27"/>
      <c r="D156" s="27"/>
      <c r="E156" s="56"/>
      <c r="F156" s="56"/>
      <c r="G156" s="56"/>
    </row>
    <row r="157" spans="2:7">
      <c r="B157" s="27">
        <f t="shared" si="2"/>
        <v>153</v>
      </c>
      <c r="C157" s="27"/>
      <c r="D157" s="27"/>
      <c r="E157" s="56"/>
      <c r="F157" s="56"/>
      <c r="G157" s="56"/>
    </row>
    <row r="158" spans="2:7">
      <c r="B158" s="27">
        <f t="shared" si="2"/>
        <v>154</v>
      </c>
      <c r="C158" s="27"/>
      <c r="D158" s="27"/>
      <c r="E158" s="56"/>
      <c r="F158" s="56"/>
      <c r="G158" s="56"/>
    </row>
    <row r="159" spans="2:7">
      <c r="B159" s="27">
        <f t="shared" si="2"/>
        <v>155</v>
      </c>
      <c r="C159" s="27"/>
      <c r="D159" s="27"/>
      <c r="E159" s="56"/>
      <c r="F159" s="56"/>
      <c r="G159" s="56"/>
    </row>
    <row r="160" spans="2:7">
      <c r="B160" s="27">
        <f t="shared" si="2"/>
        <v>156</v>
      </c>
      <c r="C160" s="27"/>
      <c r="D160" s="27"/>
      <c r="E160" s="56"/>
      <c r="F160" s="56"/>
      <c r="G160" s="56"/>
    </row>
    <row r="161" spans="2:7">
      <c r="B161" s="27">
        <f t="shared" si="2"/>
        <v>157</v>
      </c>
      <c r="C161" s="27"/>
      <c r="D161" s="27"/>
      <c r="E161" s="56"/>
      <c r="F161" s="56"/>
      <c r="G161" s="56"/>
    </row>
    <row r="162" spans="2:7">
      <c r="B162" s="27">
        <f t="shared" si="2"/>
        <v>158</v>
      </c>
      <c r="C162" s="27"/>
      <c r="D162" s="27"/>
      <c r="E162" s="56"/>
      <c r="F162" s="56"/>
      <c r="G162" s="56"/>
    </row>
    <row r="163" spans="2:7">
      <c r="B163" s="27">
        <f t="shared" si="2"/>
        <v>159</v>
      </c>
      <c r="C163" s="27"/>
      <c r="D163" s="27"/>
      <c r="E163" s="56"/>
      <c r="F163" s="56"/>
      <c r="G163" s="56"/>
    </row>
    <row r="164" spans="2:7">
      <c r="B164" s="27">
        <f t="shared" si="2"/>
        <v>160</v>
      </c>
      <c r="C164" s="27"/>
      <c r="D164" s="27"/>
      <c r="E164" s="56"/>
      <c r="F164" s="56"/>
      <c r="G164" s="56"/>
    </row>
    <row r="165" spans="2:7">
      <c r="B165" s="27">
        <f t="shared" si="2"/>
        <v>161</v>
      </c>
      <c r="C165" s="27"/>
      <c r="D165" s="27"/>
      <c r="E165" s="56"/>
      <c r="F165" s="56"/>
      <c r="G165" s="56"/>
    </row>
    <row r="166" spans="2:7">
      <c r="B166" s="27">
        <f t="shared" si="2"/>
        <v>162</v>
      </c>
      <c r="C166" s="27"/>
      <c r="D166" s="27"/>
      <c r="E166" s="56"/>
      <c r="F166" s="56"/>
      <c r="G166" s="56"/>
    </row>
    <row r="167" spans="2:7">
      <c r="B167" s="27">
        <f t="shared" si="2"/>
        <v>163</v>
      </c>
      <c r="C167" s="27"/>
      <c r="D167" s="27"/>
      <c r="E167" s="56"/>
      <c r="F167" s="56"/>
      <c r="G167" s="56"/>
    </row>
    <row r="168" spans="2:7">
      <c r="B168" s="27">
        <f t="shared" si="2"/>
        <v>164</v>
      </c>
      <c r="C168" s="27"/>
      <c r="D168" s="27"/>
      <c r="E168" s="56"/>
      <c r="F168" s="56"/>
      <c r="G168" s="56"/>
    </row>
    <row r="169" spans="2:7">
      <c r="B169" s="27">
        <f t="shared" si="2"/>
        <v>165</v>
      </c>
      <c r="C169" s="27"/>
      <c r="D169" s="27"/>
      <c r="E169" s="56"/>
      <c r="F169" s="56"/>
      <c r="G169" s="56"/>
    </row>
    <row r="170" spans="2:7">
      <c r="B170" s="27">
        <f t="shared" si="2"/>
        <v>166</v>
      </c>
      <c r="C170" s="27"/>
      <c r="D170" s="27"/>
      <c r="E170" s="56"/>
      <c r="F170" s="56"/>
      <c r="G170" s="56"/>
    </row>
    <row r="171" spans="2:7">
      <c r="B171" s="27">
        <f t="shared" si="2"/>
        <v>167</v>
      </c>
      <c r="C171" s="27"/>
      <c r="D171" s="27"/>
      <c r="E171" s="56"/>
      <c r="F171" s="56"/>
      <c r="G171" s="56"/>
    </row>
    <row r="172" spans="2:7">
      <c r="B172" s="27">
        <f t="shared" si="2"/>
        <v>168</v>
      </c>
      <c r="C172" s="27"/>
      <c r="D172" s="27"/>
      <c r="E172" s="56"/>
      <c r="F172" s="56"/>
      <c r="G172" s="56"/>
    </row>
    <row r="173" spans="2:7">
      <c r="B173" s="27">
        <f t="shared" si="2"/>
        <v>169</v>
      </c>
      <c r="C173" s="27"/>
      <c r="D173" s="27"/>
      <c r="E173" s="56"/>
      <c r="F173" s="56"/>
      <c r="G173" s="56"/>
    </row>
    <row r="174" spans="2:7">
      <c r="B174" s="27">
        <f t="shared" si="2"/>
        <v>170</v>
      </c>
      <c r="C174" s="27"/>
      <c r="D174" s="27"/>
      <c r="E174" s="56"/>
      <c r="F174" s="56"/>
      <c r="G174" s="56"/>
    </row>
    <row r="175" spans="2:7">
      <c r="B175" s="27">
        <f t="shared" si="2"/>
        <v>171</v>
      </c>
      <c r="C175" s="27"/>
      <c r="D175" s="27"/>
      <c r="E175" s="56"/>
      <c r="F175" s="56"/>
      <c r="G175" s="56"/>
    </row>
    <row r="176" spans="2:7">
      <c r="B176" s="27">
        <f t="shared" si="2"/>
        <v>172</v>
      </c>
      <c r="C176" s="27"/>
      <c r="D176" s="27"/>
      <c r="E176" s="56"/>
      <c r="F176" s="56"/>
      <c r="G176" s="56"/>
    </row>
    <row r="177" spans="2:7">
      <c r="B177" s="27">
        <f t="shared" si="2"/>
        <v>173</v>
      </c>
      <c r="C177" s="27"/>
      <c r="D177" s="27"/>
      <c r="E177" s="56"/>
      <c r="F177" s="56"/>
      <c r="G177" s="56"/>
    </row>
    <row r="178" spans="2:7">
      <c r="B178" s="27">
        <f t="shared" si="2"/>
        <v>174</v>
      </c>
      <c r="C178" s="27"/>
      <c r="D178" s="27"/>
      <c r="E178" s="56"/>
      <c r="F178" s="56"/>
      <c r="G178" s="56"/>
    </row>
    <row r="179" spans="2:7">
      <c r="B179" s="27">
        <f t="shared" si="2"/>
        <v>175</v>
      </c>
      <c r="C179" s="27"/>
      <c r="D179" s="27"/>
      <c r="E179" s="56"/>
      <c r="F179" s="56"/>
      <c r="G179" s="56"/>
    </row>
    <row r="180" spans="2:7">
      <c r="B180" s="27">
        <f t="shared" si="2"/>
        <v>176</v>
      </c>
      <c r="C180" s="27"/>
      <c r="D180" s="27"/>
      <c r="E180" s="56"/>
      <c r="F180" s="56"/>
      <c r="G180" s="56"/>
    </row>
    <row r="181" spans="2:7">
      <c r="B181" s="27">
        <f t="shared" si="2"/>
        <v>177</v>
      </c>
      <c r="C181" s="27"/>
      <c r="D181" s="27"/>
      <c r="E181" s="56"/>
      <c r="F181" s="56"/>
      <c r="G181" s="56"/>
    </row>
    <row r="182" spans="2:7">
      <c r="B182" s="27">
        <f t="shared" si="2"/>
        <v>178</v>
      </c>
      <c r="C182" s="27"/>
      <c r="D182" s="27"/>
      <c r="E182" s="56"/>
      <c r="F182" s="56"/>
      <c r="G182" s="56"/>
    </row>
    <row r="183" spans="2:7">
      <c r="B183" s="27">
        <f t="shared" si="2"/>
        <v>179</v>
      </c>
      <c r="C183" s="27"/>
      <c r="D183" s="27"/>
      <c r="E183" s="56"/>
      <c r="F183" s="56"/>
      <c r="G183" s="56"/>
    </row>
    <row r="184" spans="2:7">
      <c r="B184" s="27">
        <f t="shared" si="2"/>
        <v>180</v>
      </c>
      <c r="C184" s="27"/>
      <c r="D184" s="27"/>
      <c r="E184" s="56"/>
      <c r="F184" s="56"/>
      <c r="G184" s="56"/>
    </row>
    <row r="185" spans="2:7">
      <c r="B185" s="27">
        <f t="shared" si="2"/>
        <v>181</v>
      </c>
      <c r="C185" s="27"/>
      <c r="D185" s="27"/>
      <c r="E185" s="56"/>
      <c r="F185" s="56"/>
      <c r="G185" s="56"/>
    </row>
    <row r="186" spans="2:7">
      <c r="B186" s="27">
        <f t="shared" si="2"/>
        <v>182</v>
      </c>
      <c r="C186" s="27"/>
      <c r="D186" s="27"/>
      <c r="E186" s="56"/>
      <c r="F186" s="56"/>
      <c r="G186" s="56"/>
    </row>
    <row r="187" spans="2:7">
      <c r="B187" s="27">
        <f t="shared" si="2"/>
        <v>183</v>
      </c>
      <c r="C187" s="27"/>
      <c r="D187" s="27"/>
      <c r="E187" s="56"/>
      <c r="F187" s="56"/>
      <c r="G187" s="56"/>
    </row>
    <row r="188" spans="2:7">
      <c r="B188" s="27">
        <f t="shared" si="2"/>
        <v>184</v>
      </c>
      <c r="C188" s="27"/>
      <c r="D188" s="27"/>
      <c r="E188" s="56"/>
      <c r="F188" s="56"/>
      <c r="G188" s="56"/>
    </row>
    <row r="189" spans="2:7">
      <c r="B189" s="27">
        <f t="shared" si="2"/>
        <v>185</v>
      </c>
      <c r="C189" s="27"/>
      <c r="D189" s="27"/>
      <c r="E189" s="56"/>
      <c r="F189" s="56"/>
      <c r="G189" s="56"/>
    </row>
    <row r="190" spans="2:7">
      <c r="B190" s="27">
        <f t="shared" si="2"/>
        <v>186</v>
      </c>
      <c r="C190" s="27"/>
      <c r="D190" s="27"/>
      <c r="E190" s="56"/>
      <c r="F190" s="56"/>
      <c r="G190" s="56"/>
    </row>
    <row r="191" spans="2:7">
      <c r="B191" s="27">
        <f t="shared" si="2"/>
        <v>187</v>
      </c>
      <c r="C191" s="27"/>
      <c r="D191" s="27"/>
      <c r="E191" s="56"/>
      <c r="F191" s="56"/>
      <c r="G191" s="56"/>
    </row>
    <row r="192" spans="2:7">
      <c r="B192" s="27">
        <f t="shared" si="2"/>
        <v>188</v>
      </c>
      <c r="C192" s="27"/>
      <c r="D192" s="27"/>
      <c r="E192" s="56"/>
      <c r="F192" s="56"/>
      <c r="G192" s="56"/>
    </row>
    <row r="193" spans="2:7">
      <c r="B193" s="27">
        <f t="shared" si="2"/>
        <v>189</v>
      </c>
      <c r="C193" s="27"/>
      <c r="D193" s="27"/>
      <c r="E193" s="56"/>
      <c r="F193" s="56"/>
      <c r="G193" s="56"/>
    </row>
    <row r="194" spans="2:7">
      <c r="B194" s="27">
        <f t="shared" si="2"/>
        <v>190</v>
      </c>
      <c r="C194" s="27"/>
      <c r="D194" s="27"/>
      <c r="E194" s="56"/>
      <c r="F194" s="56"/>
      <c r="G194" s="56"/>
    </row>
    <row r="195" spans="2:7">
      <c r="B195" s="27">
        <f t="shared" si="2"/>
        <v>191</v>
      </c>
      <c r="C195" s="27"/>
      <c r="D195" s="27"/>
      <c r="E195" s="56"/>
      <c r="F195" s="56"/>
      <c r="G195" s="56"/>
    </row>
    <row r="196" spans="2:7">
      <c r="B196" s="27">
        <f t="shared" si="2"/>
        <v>192</v>
      </c>
      <c r="C196" s="27"/>
      <c r="D196" s="27"/>
      <c r="E196" s="56"/>
      <c r="F196" s="56"/>
      <c r="G196" s="56"/>
    </row>
    <row r="197" spans="2:7">
      <c r="B197" s="27">
        <f t="shared" si="2"/>
        <v>193</v>
      </c>
      <c r="C197" s="27"/>
      <c r="D197" s="27"/>
      <c r="E197" s="56"/>
      <c r="F197" s="56"/>
      <c r="G197" s="56"/>
    </row>
    <row r="198" spans="2:7">
      <c r="B198" s="27">
        <f t="shared" si="2"/>
        <v>194</v>
      </c>
      <c r="C198" s="27"/>
      <c r="D198" s="27"/>
      <c r="E198" s="56"/>
      <c r="F198" s="56"/>
      <c r="G198" s="56"/>
    </row>
    <row r="199" spans="2:7">
      <c r="B199" s="27">
        <f t="shared" ref="B199:B262" si="3">B198+1</f>
        <v>195</v>
      </c>
      <c r="C199" s="27"/>
      <c r="D199" s="27"/>
      <c r="E199" s="56"/>
      <c r="F199" s="56"/>
      <c r="G199" s="56"/>
    </row>
    <row r="200" spans="2:7">
      <c r="B200" s="27">
        <f t="shared" si="3"/>
        <v>196</v>
      </c>
      <c r="C200" s="27"/>
      <c r="D200" s="27"/>
      <c r="E200" s="56"/>
      <c r="F200" s="56"/>
      <c r="G200" s="56"/>
    </row>
    <row r="201" spans="2:7">
      <c r="B201" s="27">
        <f t="shared" si="3"/>
        <v>197</v>
      </c>
      <c r="C201" s="27"/>
      <c r="D201" s="27"/>
      <c r="E201" s="56"/>
      <c r="F201" s="56"/>
      <c r="G201" s="56"/>
    </row>
    <row r="202" spans="2:7">
      <c r="B202" s="27">
        <f t="shared" si="3"/>
        <v>198</v>
      </c>
      <c r="C202" s="27"/>
      <c r="D202" s="27"/>
      <c r="E202" s="56"/>
      <c r="F202" s="56"/>
      <c r="G202" s="56"/>
    </row>
    <row r="203" spans="2:7">
      <c r="B203" s="27">
        <f t="shared" si="3"/>
        <v>199</v>
      </c>
      <c r="C203" s="27"/>
      <c r="D203" s="27"/>
      <c r="E203" s="56"/>
      <c r="F203" s="56"/>
      <c r="G203" s="56"/>
    </row>
    <row r="204" spans="2:7">
      <c r="B204" s="27">
        <f t="shared" si="3"/>
        <v>200</v>
      </c>
      <c r="C204" s="27"/>
      <c r="D204" s="27"/>
      <c r="E204" s="56"/>
      <c r="F204" s="56"/>
      <c r="G204" s="56"/>
    </row>
    <row r="205" spans="2:7">
      <c r="B205" s="27">
        <f t="shared" si="3"/>
        <v>201</v>
      </c>
      <c r="C205" s="27"/>
      <c r="D205" s="27"/>
      <c r="E205" s="56"/>
      <c r="F205" s="56"/>
      <c r="G205" s="56"/>
    </row>
    <row r="206" spans="2:7">
      <c r="B206" s="27">
        <f t="shared" si="3"/>
        <v>202</v>
      </c>
      <c r="C206" s="27"/>
      <c r="D206" s="27"/>
      <c r="E206" s="56"/>
      <c r="F206" s="56"/>
      <c r="G206" s="56"/>
    </row>
    <row r="207" spans="2:7">
      <c r="B207" s="27">
        <f t="shared" si="3"/>
        <v>203</v>
      </c>
      <c r="C207" s="27"/>
      <c r="D207" s="27"/>
      <c r="E207" s="56"/>
      <c r="F207" s="56"/>
      <c r="G207" s="56"/>
    </row>
    <row r="208" spans="2:7">
      <c r="B208" s="27">
        <f t="shared" si="3"/>
        <v>204</v>
      </c>
      <c r="C208" s="27"/>
      <c r="D208" s="27"/>
      <c r="E208" s="56"/>
      <c r="F208" s="56"/>
      <c r="G208" s="56"/>
    </row>
    <row r="209" spans="2:7">
      <c r="B209" s="27">
        <f t="shared" si="3"/>
        <v>205</v>
      </c>
      <c r="C209" s="27"/>
      <c r="D209" s="27"/>
      <c r="E209" s="56"/>
      <c r="F209" s="56"/>
      <c r="G209" s="56"/>
    </row>
    <row r="210" spans="2:7">
      <c r="B210" s="27">
        <f t="shared" si="3"/>
        <v>206</v>
      </c>
      <c r="C210" s="27"/>
      <c r="D210" s="27"/>
      <c r="E210" s="56"/>
      <c r="F210" s="56"/>
      <c r="G210" s="56"/>
    </row>
    <row r="211" spans="2:7">
      <c r="B211" s="27">
        <f t="shared" si="3"/>
        <v>207</v>
      </c>
      <c r="C211" s="27"/>
      <c r="D211" s="27"/>
      <c r="E211" s="56"/>
      <c r="F211" s="56"/>
      <c r="G211" s="56"/>
    </row>
    <row r="212" spans="2:7">
      <c r="B212" s="27">
        <f t="shared" si="3"/>
        <v>208</v>
      </c>
      <c r="C212" s="27"/>
      <c r="D212" s="27"/>
      <c r="E212" s="56"/>
      <c r="F212" s="56"/>
      <c r="G212" s="56"/>
    </row>
    <row r="213" spans="2:7">
      <c r="B213" s="27">
        <f t="shared" si="3"/>
        <v>209</v>
      </c>
      <c r="C213" s="27"/>
      <c r="D213" s="27"/>
      <c r="E213" s="56"/>
      <c r="F213" s="56"/>
      <c r="G213" s="56"/>
    </row>
    <row r="214" spans="2:7">
      <c r="B214" s="27">
        <f t="shared" si="3"/>
        <v>210</v>
      </c>
      <c r="C214" s="27"/>
      <c r="D214" s="27"/>
      <c r="E214" s="56"/>
      <c r="F214" s="56"/>
      <c r="G214" s="56"/>
    </row>
    <row r="215" spans="2:7">
      <c r="B215" s="27">
        <f t="shared" si="3"/>
        <v>211</v>
      </c>
      <c r="C215" s="27"/>
      <c r="D215" s="27"/>
      <c r="E215" s="56"/>
      <c r="F215" s="56"/>
      <c r="G215" s="56"/>
    </row>
    <row r="216" spans="2:7">
      <c r="B216" s="27">
        <f t="shared" si="3"/>
        <v>212</v>
      </c>
      <c r="C216" s="27"/>
      <c r="D216" s="27"/>
      <c r="E216" s="56"/>
      <c r="F216" s="56"/>
      <c r="G216" s="56"/>
    </row>
    <row r="217" spans="2:7">
      <c r="B217" s="27">
        <f t="shared" si="3"/>
        <v>213</v>
      </c>
      <c r="C217" s="27"/>
      <c r="D217" s="27"/>
      <c r="E217" s="56"/>
      <c r="F217" s="56"/>
      <c r="G217" s="56"/>
    </row>
    <row r="218" spans="2:7">
      <c r="B218" s="27">
        <f t="shared" si="3"/>
        <v>214</v>
      </c>
      <c r="C218" s="27"/>
      <c r="D218" s="27"/>
      <c r="E218" s="56"/>
      <c r="F218" s="56"/>
      <c r="G218" s="56"/>
    </row>
    <row r="219" spans="2:7">
      <c r="B219" s="27">
        <f t="shared" si="3"/>
        <v>215</v>
      </c>
      <c r="C219" s="27"/>
      <c r="D219" s="27"/>
      <c r="E219" s="56"/>
      <c r="F219" s="56"/>
      <c r="G219" s="56"/>
    </row>
    <row r="220" spans="2:7">
      <c r="B220" s="27">
        <f t="shared" si="3"/>
        <v>216</v>
      </c>
      <c r="C220" s="27"/>
      <c r="D220" s="27"/>
      <c r="E220" s="56"/>
      <c r="F220" s="56"/>
      <c r="G220" s="56"/>
    </row>
    <row r="221" spans="2:7">
      <c r="B221" s="27">
        <f t="shared" si="3"/>
        <v>217</v>
      </c>
      <c r="C221" s="27"/>
      <c r="D221" s="27"/>
      <c r="E221" s="56"/>
      <c r="F221" s="56"/>
      <c r="G221" s="56"/>
    </row>
    <row r="222" spans="2:7">
      <c r="B222" s="27">
        <f t="shared" si="3"/>
        <v>218</v>
      </c>
      <c r="C222" s="27"/>
      <c r="D222" s="27"/>
      <c r="E222" s="56"/>
      <c r="F222" s="56"/>
      <c r="G222" s="56"/>
    </row>
    <row r="223" spans="2:7">
      <c r="B223" s="27">
        <f t="shared" si="3"/>
        <v>219</v>
      </c>
      <c r="C223" s="27"/>
      <c r="D223" s="27"/>
      <c r="E223" s="56"/>
      <c r="F223" s="56"/>
      <c r="G223" s="56"/>
    </row>
    <row r="224" spans="2:7">
      <c r="B224" s="27">
        <f t="shared" si="3"/>
        <v>220</v>
      </c>
      <c r="C224" s="27"/>
      <c r="D224" s="27"/>
      <c r="E224" s="56"/>
      <c r="F224" s="56"/>
      <c r="G224" s="56"/>
    </row>
    <row r="225" spans="2:7">
      <c r="B225" s="27">
        <f t="shared" si="3"/>
        <v>221</v>
      </c>
      <c r="C225" s="27"/>
      <c r="D225" s="27"/>
      <c r="E225" s="56"/>
      <c r="F225" s="56"/>
      <c r="G225" s="56"/>
    </row>
    <row r="226" spans="2:7">
      <c r="B226" s="27">
        <f t="shared" si="3"/>
        <v>222</v>
      </c>
      <c r="C226" s="27"/>
      <c r="D226" s="27"/>
      <c r="E226" s="56"/>
      <c r="F226" s="56"/>
      <c r="G226" s="56"/>
    </row>
    <row r="227" spans="2:7">
      <c r="B227" s="27">
        <f t="shared" si="3"/>
        <v>223</v>
      </c>
      <c r="C227" s="27"/>
      <c r="D227" s="27"/>
      <c r="E227" s="56"/>
      <c r="F227" s="56"/>
      <c r="G227" s="56"/>
    </row>
    <row r="228" spans="2:7">
      <c r="B228" s="27">
        <f t="shared" si="3"/>
        <v>224</v>
      </c>
      <c r="C228" s="27"/>
      <c r="D228" s="27"/>
      <c r="E228" s="56"/>
      <c r="F228" s="56"/>
      <c r="G228" s="56"/>
    </row>
    <row r="229" spans="2:7">
      <c r="B229" s="27">
        <f t="shared" si="3"/>
        <v>225</v>
      </c>
      <c r="C229" s="27"/>
      <c r="D229" s="27"/>
      <c r="E229" s="56"/>
      <c r="F229" s="56"/>
      <c r="G229" s="56"/>
    </row>
    <row r="230" spans="2:7">
      <c r="B230" s="27">
        <f t="shared" si="3"/>
        <v>226</v>
      </c>
      <c r="C230" s="27"/>
      <c r="D230" s="27"/>
      <c r="E230" s="56"/>
      <c r="F230" s="56"/>
      <c r="G230" s="56"/>
    </row>
    <row r="231" spans="2:7">
      <c r="B231" s="27">
        <f t="shared" si="3"/>
        <v>227</v>
      </c>
      <c r="C231" s="27"/>
      <c r="D231" s="27"/>
      <c r="E231" s="56"/>
      <c r="F231" s="56"/>
      <c r="G231" s="56"/>
    </row>
    <row r="232" spans="2:7">
      <c r="B232" s="27">
        <f t="shared" si="3"/>
        <v>228</v>
      </c>
      <c r="C232" s="27"/>
      <c r="D232" s="27"/>
      <c r="E232" s="56"/>
      <c r="F232" s="56"/>
      <c r="G232" s="56"/>
    </row>
    <row r="233" spans="2:7">
      <c r="B233" s="27">
        <f t="shared" si="3"/>
        <v>229</v>
      </c>
      <c r="C233" s="27"/>
      <c r="D233" s="27"/>
      <c r="E233" s="56"/>
      <c r="F233" s="56"/>
      <c r="G233" s="56"/>
    </row>
    <row r="234" spans="2:7">
      <c r="B234" s="27">
        <f t="shared" si="3"/>
        <v>230</v>
      </c>
      <c r="C234" s="27"/>
      <c r="D234" s="27"/>
      <c r="E234" s="56"/>
      <c r="F234" s="56"/>
      <c r="G234" s="56"/>
    </row>
    <row r="235" spans="2:7">
      <c r="B235" s="27">
        <f t="shared" si="3"/>
        <v>231</v>
      </c>
      <c r="C235" s="27"/>
      <c r="D235" s="27"/>
      <c r="E235" s="56"/>
      <c r="F235" s="56"/>
      <c r="G235" s="56"/>
    </row>
    <row r="236" spans="2:7">
      <c r="B236" s="27">
        <f t="shared" si="3"/>
        <v>232</v>
      </c>
      <c r="C236" s="27"/>
      <c r="D236" s="27"/>
      <c r="E236" s="56"/>
      <c r="F236" s="56"/>
      <c r="G236" s="56"/>
    </row>
    <row r="237" spans="2:7">
      <c r="B237" s="27">
        <f t="shared" si="3"/>
        <v>233</v>
      </c>
      <c r="C237" s="27"/>
      <c r="D237" s="27"/>
      <c r="E237" s="56"/>
      <c r="F237" s="56"/>
      <c r="G237" s="56"/>
    </row>
    <row r="238" spans="2:7">
      <c r="B238" s="27">
        <f t="shared" si="3"/>
        <v>234</v>
      </c>
      <c r="C238" s="27"/>
      <c r="D238" s="27"/>
      <c r="E238" s="56"/>
      <c r="F238" s="56"/>
      <c r="G238" s="56"/>
    </row>
    <row r="239" spans="2:7">
      <c r="B239" s="27">
        <f t="shared" si="3"/>
        <v>235</v>
      </c>
      <c r="C239" s="27"/>
      <c r="D239" s="27"/>
      <c r="E239" s="56"/>
      <c r="F239" s="56"/>
      <c r="G239" s="56"/>
    </row>
    <row r="240" spans="2:7">
      <c r="B240" s="27">
        <f t="shared" si="3"/>
        <v>236</v>
      </c>
      <c r="C240" s="27"/>
      <c r="D240" s="27"/>
      <c r="E240" s="56"/>
      <c r="F240" s="56"/>
      <c r="G240" s="56"/>
    </row>
    <row r="241" spans="2:7">
      <c r="B241" s="27">
        <f t="shared" si="3"/>
        <v>237</v>
      </c>
      <c r="C241" s="27"/>
      <c r="D241" s="27"/>
      <c r="E241" s="56"/>
      <c r="F241" s="56"/>
      <c r="G241" s="56"/>
    </row>
    <row r="242" spans="2:7">
      <c r="B242" s="27">
        <f t="shared" si="3"/>
        <v>238</v>
      </c>
      <c r="C242" s="27"/>
      <c r="D242" s="27"/>
      <c r="E242" s="56"/>
      <c r="F242" s="56"/>
      <c r="G242" s="56"/>
    </row>
    <row r="243" spans="2:7">
      <c r="B243" s="27">
        <f t="shared" si="3"/>
        <v>239</v>
      </c>
      <c r="C243" s="27"/>
      <c r="D243" s="27"/>
      <c r="E243" s="56"/>
      <c r="F243" s="56"/>
      <c r="G243" s="56"/>
    </row>
    <row r="244" spans="2:7">
      <c r="B244" s="27">
        <f t="shared" si="3"/>
        <v>240</v>
      </c>
      <c r="C244" s="27"/>
      <c r="D244" s="27"/>
      <c r="E244" s="56"/>
      <c r="F244" s="56"/>
      <c r="G244" s="56"/>
    </row>
    <row r="245" spans="2:7">
      <c r="B245" s="27">
        <f t="shared" si="3"/>
        <v>241</v>
      </c>
      <c r="C245" s="27"/>
      <c r="D245" s="27"/>
      <c r="E245" s="56"/>
      <c r="F245" s="56"/>
      <c r="G245" s="56"/>
    </row>
    <row r="246" spans="2:7">
      <c r="B246" s="27">
        <f t="shared" si="3"/>
        <v>242</v>
      </c>
      <c r="C246" s="27"/>
      <c r="D246" s="27"/>
      <c r="E246" s="56"/>
      <c r="F246" s="56"/>
      <c r="G246" s="56"/>
    </row>
    <row r="247" spans="2:7">
      <c r="B247" s="27">
        <f t="shared" si="3"/>
        <v>243</v>
      </c>
      <c r="C247" s="27"/>
      <c r="D247" s="27"/>
      <c r="E247" s="56"/>
      <c r="F247" s="56"/>
      <c r="G247" s="56"/>
    </row>
    <row r="248" spans="2:7">
      <c r="B248" s="27">
        <f t="shared" si="3"/>
        <v>244</v>
      </c>
      <c r="C248" s="27"/>
      <c r="D248" s="27"/>
      <c r="E248" s="56"/>
      <c r="F248" s="56"/>
      <c r="G248" s="56"/>
    </row>
    <row r="249" spans="2:7">
      <c r="B249" s="27">
        <f t="shared" si="3"/>
        <v>245</v>
      </c>
      <c r="C249" s="27"/>
      <c r="D249" s="27"/>
      <c r="E249" s="56"/>
      <c r="F249" s="56"/>
      <c r="G249" s="56"/>
    </row>
    <row r="250" spans="2:7">
      <c r="B250" s="27">
        <f t="shared" si="3"/>
        <v>246</v>
      </c>
      <c r="C250" s="27"/>
      <c r="D250" s="27"/>
      <c r="E250" s="56"/>
      <c r="F250" s="56"/>
      <c r="G250" s="56"/>
    </row>
    <row r="251" spans="2:7">
      <c r="B251" s="27">
        <f t="shared" si="3"/>
        <v>247</v>
      </c>
      <c r="C251" s="27"/>
      <c r="D251" s="27"/>
      <c r="E251" s="56"/>
      <c r="F251" s="56"/>
      <c r="G251" s="56"/>
    </row>
    <row r="252" spans="2:7">
      <c r="B252" s="27">
        <f t="shared" si="3"/>
        <v>248</v>
      </c>
      <c r="C252" s="27"/>
      <c r="D252" s="27"/>
      <c r="E252" s="56"/>
      <c r="F252" s="56"/>
      <c r="G252" s="56"/>
    </row>
    <row r="253" spans="2:7">
      <c r="B253" s="27">
        <f t="shared" si="3"/>
        <v>249</v>
      </c>
      <c r="C253" s="27"/>
      <c r="D253" s="27"/>
      <c r="E253" s="56"/>
      <c r="F253" s="56"/>
      <c r="G253" s="56"/>
    </row>
    <row r="254" spans="2:7">
      <c r="B254" s="27">
        <f t="shared" si="3"/>
        <v>250</v>
      </c>
      <c r="C254" s="27"/>
      <c r="D254" s="27"/>
      <c r="E254" s="56"/>
      <c r="F254" s="56"/>
      <c r="G254" s="56"/>
    </row>
    <row r="255" spans="2:7">
      <c r="B255" s="27">
        <f t="shared" si="3"/>
        <v>251</v>
      </c>
      <c r="C255" s="27"/>
      <c r="D255" s="27"/>
      <c r="E255" s="56"/>
      <c r="F255" s="56"/>
      <c r="G255" s="56"/>
    </row>
    <row r="256" spans="2:7">
      <c r="B256" s="27">
        <f t="shared" si="3"/>
        <v>252</v>
      </c>
      <c r="C256" s="27"/>
      <c r="D256" s="27"/>
      <c r="E256" s="56"/>
      <c r="F256" s="56"/>
      <c r="G256" s="56"/>
    </row>
    <row r="257" spans="2:7">
      <c r="B257" s="27">
        <f t="shared" si="3"/>
        <v>253</v>
      </c>
      <c r="C257" s="27"/>
      <c r="D257" s="27"/>
      <c r="E257" s="56"/>
      <c r="F257" s="56"/>
      <c r="G257" s="56"/>
    </row>
    <row r="258" spans="2:7">
      <c r="B258" s="27">
        <f t="shared" si="3"/>
        <v>254</v>
      </c>
      <c r="C258" s="27"/>
      <c r="D258" s="27"/>
      <c r="E258" s="56"/>
      <c r="F258" s="56"/>
      <c r="G258" s="56"/>
    </row>
    <row r="259" spans="2:7">
      <c r="B259" s="27">
        <f t="shared" si="3"/>
        <v>255</v>
      </c>
      <c r="C259" s="27"/>
      <c r="D259" s="27"/>
      <c r="E259" s="56"/>
      <c r="F259" s="56"/>
      <c r="G259" s="56"/>
    </row>
    <row r="260" spans="2:7">
      <c r="B260" s="27">
        <f t="shared" si="3"/>
        <v>256</v>
      </c>
      <c r="C260" s="27"/>
      <c r="D260" s="27"/>
      <c r="E260" s="56"/>
      <c r="F260" s="56"/>
      <c r="G260" s="56"/>
    </row>
    <row r="261" spans="2:7">
      <c r="B261" s="27">
        <f t="shared" si="3"/>
        <v>257</v>
      </c>
      <c r="C261" s="27"/>
      <c r="D261" s="27"/>
      <c r="E261" s="56"/>
      <c r="F261" s="56"/>
      <c r="G261" s="56"/>
    </row>
    <row r="262" spans="2:7">
      <c r="B262" s="27">
        <f t="shared" si="3"/>
        <v>258</v>
      </c>
      <c r="C262" s="27"/>
      <c r="D262" s="27"/>
      <c r="E262" s="56"/>
      <c r="F262" s="56"/>
      <c r="G262" s="56"/>
    </row>
    <row r="263" spans="2:7">
      <c r="B263" s="27">
        <f t="shared" ref="B263:B304" si="4">B262+1</f>
        <v>259</v>
      </c>
      <c r="C263" s="27"/>
      <c r="D263" s="27"/>
      <c r="E263" s="56"/>
      <c r="F263" s="56"/>
      <c r="G263" s="56"/>
    </row>
    <row r="264" spans="2:7">
      <c r="B264" s="27">
        <f t="shared" si="4"/>
        <v>260</v>
      </c>
      <c r="C264" s="27"/>
      <c r="D264" s="27"/>
      <c r="E264" s="56"/>
      <c r="F264" s="56"/>
      <c r="G264" s="56"/>
    </row>
    <row r="265" spans="2:7">
      <c r="B265" s="27">
        <f t="shared" si="4"/>
        <v>261</v>
      </c>
      <c r="C265" s="27"/>
      <c r="D265" s="27"/>
      <c r="E265" s="56"/>
      <c r="F265" s="56"/>
      <c r="G265" s="56"/>
    </row>
    <row r="266" spans="2:7">
      <c r="B266" s="27">
        <f t="shared" si="4"/>
        <v>262</v>
      </c>
      <c r="C266" s="27"/>
      <c r="D266" s="27"/>
      <c r="E266" s="56"/>
      <c r="F266" s="56"/>
      <c r="G266" s="56"/>
    </row>
    <row r="267" spans="2:7">
      <c r="B267" s="27">
        <f t="shared" si="4"/>
        <v>263</v>
      </c>
      <c r="C267" s="27"/>
      <c r="D267" s="27"/>
      <c r="E267" s="56"/>
      <c r="F267" s="56"/>
      <c r="G267" s="56"/>
    </row>
    <row r="268" spans="2:7">
      <c r="B268" s="27">
        <f t="shared" si="4"/>
        <v>264</v>
      </c>
      <c r="C268" s="27"/>
      <c r="D268" s="27"/>
      <c r="E268" s="56"/>
      <c r="F268" s="56"/>
      <c r="G268" s="56"/>
    </row>
    <row r="269" spans="2:7">
      <c r="B269" s="27">
        <f t="shared" si="4"/>
        <v>265</v>
      </c>
      <c r="C269" s="27"/>
      <c r="D269" s="27"/>
      <c r="E269" s="56"/>
      <c r="F269" s="56"/>
      <c r="G269" s="56"/>
    </row>
    <row r="270" spans="2:7">
      <c r="B270" s="27">
        <f t="shared" si="4"/>
        <v>266</v>
      </c>
      <c r="C270" s="27"/>
      <c r="D270" s="27"/>
      <c r="E270" s="56"/>
      <c r="F270" s="56"/>
      <c r="G270" s="56"/>
    </row>
    <row r="271" spans="2:7">
      <c r="B271" s="27">
        <f t="shared" si="4"/>
        <v>267</v>
      </c>
      <c r="C271" s="27"/>
      <c r="D271" s="27"/>
      <c r="E271" s="56"/>
      <c r="F271" s="56"/>
      <c r="G271" s="56"/>
    </row>
    <row r="272" spans="2:7">
      <c r="B272" s="27">
        <f t="shared" si="4"/>
        <v>268</v>
      </c>
      <c r="C272" s="27"/>
      <c r="D272" s="27"/>
      <c r="E272" s="56"/>
      <c r="F272" s="56"/>
      <c r="G272" s="56"/>
    </row>
    <row r="273" spans="2:7">
      <c r="B273" s="27">
        <f t="shared" si="4"/>
        <v>269</v>
      </c>
      <c r="C273" s="27"/>
      <c r="D273" s="27"/>
      <c r="E273" s="56"/>
      <c r="F273" s="56"/>
      <c r="G273" s="56"/>
    </row>
    <row r="274" spans="2:7">
      <c r="B274" s="27">
        <f t="shared" si="4"/>
        <v>270</v>
      </c>
      <c r="C274" s="27"/>
      <c r="D274" s="27"/>
      <c r="E274" s="56"/>
      <c r="F274" s="56"/>
      <c r="G274" s="56"/>
    </row>
    <row r="275" spans="2:7">
      <c r="B275" s="27">
        <f t="shared" si="4"/>
        <v>271</v>
      </c>
      <c r="C275" s="27"/>
      <c r="D275" s="27"/>
      <c r="E275" s="56"/>
      <c r="F275" s="56"/>
      <c r="G275" s="56"/>
    </row>
    <row r="276" spans="2:7">
      <c r="B276" s="27">
        <f t="shared" si="4"/>
        <v>272</v>
      </c>
      <c r="C276" s="27"/>
      <c r="D276" s="27"/>
      <c r="E276" s="56"/>
      <c r="F276" s="56"/>
      <c r="G276" s="56"/>
    </row>
    <row r="277" spans="2:7">
      <c r="B277" s="27">
        <f t="shared" si="4"/>
        <v>273</v>
      </c>
      <c r="C277" s="27"/>
      <c r="D277" s="27"/>
      <c r="E277" s="56"/>
      <c r="F277" s="56"/>
      <c r="G277" s="56"/>
    </row>
    <row r="278" spans="2:7">
      <c r="B278" s="27">
        <f t="shared" si="4"/>
        <v>274</v>
      </c>
      <c r="C278" s="27"/>
      <c r="D278" s="27"/>
      <c r="E278" s="56"/>
      <c r="F278" s="56"/>
      <c r="G278" s="56"/>
    </row>
    <row r="279" spans="2:7">
      <c r="B279" s="27">
        <f t="shared" si="4"/>
        <v>275</v>
      </c>
      <c r="C279" s="27"/>
      <c r="D279" s="27"/>
      <c r="E279" s="56"/>
      <c r="F279" s="56"/>
      <c r="G279" s="56"/>
    </row>
    <row r="280" spans="2:7">
      <c r="B280" s="27">
        <f t="shared" si="4"/>
        <v>276</v>
      </c>
      <c r="C280" s="27"/>
      <c r="D280" s="27"/>
      <c r="E280" s="56"/>
      <c r="F280" s="56"/>
      <c r="G280" s="56"/>
    </row>
    <row r="281" spans="2:7">
      <c r="B281" s="27">
        <f t="shared" si="4"/>
        <v>277</v>
      </c>
      <c r="C281" s="27"/>
      <c r="D281" s="27"/>
      <c r="E281" s="56"/>
      <c r="F281" s="56"/>
      <c r="G281" s="56"/>
    </row>
    <row r="282" spans="2:7">
      <c r="B282" s="27">
        <f t="shared" si="4"/>
        <v>278</v>
      </c>
      <c r="C282" s="27"/>
      <c r="D282" s="27"/>
      <c r="E282" s="56"/>
      <c r="F282" s="56"/>
      <c r="G282" s="56"/>
    </row>
    <row r="283" spans="2:7">
      <c r="B283" s="27">
        <f t="shared" si="4"/>
        <v>279</v>
      </c>
      <c r="C283" s="27"/>
      <c r="D283" s="27"/>
      <c r="E283" s="56"/>
      <c r="F283" s="56"/>
      <c r="G283" s="56"/>
    </row>
    <row r="284" spans="2:7">
      <c r="B284" s="27">
        <f t="shared" si="4"/>
        <v>280</v>
      </c>
      <c r="C284" s="27"/>
      <c r="D284" s="27"/>
      <c r="E284" s="56"/>
      <c r="F284" s="56"/>
      <c r="G284" s="56"/>
    </row>
    <row r="285" spans="2:7">
      <c r="B285" s="27">
        <f t="shared" si="4"/>
        <v>281</v>
      </c>
      <c r="C285" s="27"/>
      <c r="D285" s="27"/>
      <c r="E285" s="56"/>
      <c r="F285" s="56"/>
      <c r="G285" s="56"/>
    </row>
    <row r="286" spans="2:7">
      <c r="B286" s="27">
        <f t="shared" si="4"/>
        <v>282</v>
      </c>
      <c r="C286" s="27"/>
      <c r="D286" s="27"/>
      <c r="E286" s="56"/>
      <c r="F286" s="56"/>
      <c r="G286" s="56"/>
    </row>
    <row r="287" spans="2:7">
      <c r="B287" s="27">
        <f t="shared" si="4"/>
        <v>283</v>
      </c>
      <c r="C287" s="27"/>
      <c r="D287" s="27"/>
      <c r="E287" s="56"/>
      <c r="F287" s="56"/>
      <c r="G287" s="56"/>
    </row>
    <row r="288" spans="2:7">
      <c r="B288" s="27">
        <f t="shared" si="4"/>
        <v>284</v>
      </c>
      <c r="C288" s="27"/>
      <c r="D288" s="27"/>
      <c r="E288" s="56"/>
      <c r="F288" s="56"/>
      <c r="G288" s="56"/>
    </row>
    <row r="289" spans="2:7">
      <c r="B289" s="27">
        <f t="shared" si="4"/>
        <v>285</v>
      </c>
      <c r="C289" s="27"/>
      <c r="D289" s="27"/>
      <c r="E289" s="56"/>
      <c r="F289" s="56"/>
      <c r="G289" s="56"/>
    </row>
    <row r="290" spans="2:7">
      <c r="B290" s="27">
        <f t="shared" si="4"/>
        <v>286</v>
      </c>
      <c r="C290" s="27"/>
      <c r="D290" s="27"/>
      <c r="E290" s="56"/>
      <c r="F290" s="56"/>
      <c r="G290" s="56"/>
    </row>
    <row r="291" spans="2:7">
      <c r="B291" s="27">
        <f t="shared" si="4"/>
        <v>287</v>
      </c>
      <c r="C291" s="27"/>
      <c r="D291" s="27"/>
      <c r="E291" s="56"/>
      <c r="F291" s="56"/>
      <c r="G291" s="56"/>
    </row>
    <row r="292" spans="2:7">
      <c r="B292" s="27">
        <f t="shared" si="4"/>
        <v>288</v>
      </c>
      <c r="C292" s="27"/>
      <c r="D292" s="27"/>
      <c r="E292" s="56"/>
      <c r="F292" s="56"/>
      <c r="G292" s="56"/>
    </row>
    <row r="293" spans="2:7">
      <c r="B293" s="27">
        <f t="shared" si="4"/>
        <v>289</v>
      </c>
      <c r="C293" s="27"/>
      <c r="D293" s="27"/>
      <c r="E293" s="56"/>
      <c r="F293" s="56"/>
      <c r="G293" s="56"/>
    </row>
    <row r="294" spans="2:7">
      <c r="B294" s="27">
        <f t="shared" si="4"/>
        <v>290</v>
      </c>
      <c r="C294" s="27"/>
      <c r="D294" s="27"/>
      <c r="E294" s="56"/>
      <c r="F294" s="56"/>
      <c r="G294" s="56"/>
    </row>
    <row r="295" spans="2:7">
      <c r="B295" s="27">
        <f t="shared" si="4"/>
        <v>291</v>
      </c>
      <c r="C295" s="27"/>
      <c r="D295" s="27"/>
      <c r="E295" s="56"/>
      <c r="F295" s="56"/>
      <c r="G295" s="56"/>
    </row>
    <row r="296" spans="2:7">
      <c r="B296" s="27">
        <f t="shared" si="4"/>
        <v>292</v>
      </c>
      <c r="C296" s="27"/>
      <c r="D296" s="27"/>
      <c r="E296" s="56"/>
      <c r="F296" s="56"/>
      <c r="G296" s="56"/>
    </row>
    <row r="297" spans="2:7">
      <c r="B297" s="27">
        <f t="shared" si="4"/>
        <v>293</v>
      </c>
      <c r="C297" s="27"/>
      <c r="D297" s="27"/>
      <c r="E297" s="56"/>
      <c r="F297" s="56"/>
      <c r="G297" s="56"/>
    </row>
    <row r="298" spans="2:7">
      <c r="B298" s="27">
        <f t="shared" si="4"/>
        <v>294</v>
      </c>
      <c r="C298" s="27"/>
      <c r="D298" s="27"/>
      <c r="E298" s="56"/>
      <c r="F298" s="56"/>
      <c r="G298" s="56"/>
    </row>
    <row r="299" spans="2:7">
      <c r="B299" s="27">
        <f t="shared" si="4"/>
        <v>295</v>
      </c>
      <c r="C299" s="27"/>
      <c r="D299" s="27"/>
      <c r="E299" s="56"/>
      <c r="F299" s="56"/>
      <c r="G299" s="56"/>
    </row>
    <row r="300" spans="2:7">
      <c r="B300" s="27">
        <f t="shared" si="4"/>
        <v>296</v>
      </c>
      <c r="C300" s="27"/>
      <c r="D300" s="27"/>
      <c r="E300" s="56"/>
      <c r="F300" s="56"/>
      <c r="G300" s="56"/>
    </row>
    <row r="301" spans="2:7">
      <c r="B301" s="27">
        <f t="shared" si="4"/>
        <v>297</v>
      </c>
      <c r="C301" s="27"/>
      <c r="D301" s="27"/>
      <c r="E301" s="56"/>
      <c r="F301" s="56"/>
      <c r="G301" s="56"/>
    </row>
    <row r="302" spans="2:7">
      <c r="B302" s="27">
        <f t="shared" si="4"/>
        <v>298</v>
      </c>
      <c r="C302" s="27"/>
      <c r="D302" s="27"/>
      <c r="E302" s="56"/>
      <c r="F302" s="56"/>
      <c r="G302" s="56"/>
    </row>
    <row r="303" spans="2:7">
      <c r="B303" s="27">
        <f t="shared" si="4"/>
        <v>299</v>
      </c>
      <c r="C303" s="27"/>
      <c r="D303" s="27"/>
      <c r="E303" s="56"/>
      <c r="F303" s="56"/>
      <c r="G303" s="56"/>
    </row>
    <row r="304" spans="2:7">
      <c r="B304" s="27">
        <f t="shared" si="4"/>
        <v>300</v>
      </c>
      <c r="C304" s="27"/>
      <c r="D304" s="27"/>
      <c r="E304" s="56"/>
      <c r="F304" s="56"/>
      <c r="G304" s="56"/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FFF2-28D9-4C82-BADA-BF4D2432A25C}">
  <sheetPr>
    <tabColor rgb="FFFFFF00"/>
  </sheetPr>
  <dimension ref="B2:G504"/>
  <sheetViews>
    <sheetView workbookViewId="0">
      <selection activeCell="C5" sqref="C5"/>
    </sheetView>
  </sheetViews>
  <sheetFormatPr defaultRowHeight="13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16384" width="8.88671875" style="29"/>
  </cols>
  <sheetData>
    <row r="2" spans="2:7" ht="16.2">
      <c r="B2" s="28" t="str" cm="1">
        <f t="array" aca="1" ref="B2" ca="1">RIGHT(CELL("filename",A1),LEN(CELL("filename",A1))-FIND("]",CELL("filename",A1)))</f>
        <v>錠剤</v>
      </c>
    </row>
    <row r="4" spans="2:7">
      <c r="B4" s="30" t="s">
        <v>4040</v>
      </c>
      <c r="C4" s="30" t="s">
        <v>4041</v>
      </c>
      <c r="D4" s="30" t="s">
        <v>4042</v>
      </c>
      <c r="E4" s="30" t="s">
        <v>4064</v>
      </c>
      <c r="F4" s="30" t="s">
        <v>4066</v>
      </c>
      <c r="G4" s="30" t="s">
        <v>4067</v>
      </c>
    </row>
    <row r="5" spans="2:7">
      <c r="B5" s="27">
        <v>1</v>
      </c>
      <c r="C5" s="27" t="str" cm="1">
        <f t="array" aca="1" ref="C5:G370" ca="1">_xlfn._xlws.SORT(_xlfn.CHOOSECOLS(_xlfn._xlws.FILTER(IFERROR(統合マスタ!B2:Z1500,""),IFERROR(統合マスタ!R2:R1500=1,FALSE)*IFERROR(ISNUMBER(MATCH(統合マスタ!V2:V1500,分類!N8:N15,0)),FALSE)),2,23,25,4,5),2,1)</f>
        <v>２５ｍｇアリナミン　Ｆ糖衣錠</v>
      </c>
      <c r="D5" s="27">
        <f ca="1"/>
        <v>0</v>
      </c>
      <c r="E5" s="56">
        <f ca="1"/>
        <v>5</v>
      </c>
      <c r="F5" s="56" t="str">
        <f ca="1"/>
        <v>PTP</v>
      </c>
      <c r="G5" s="56" t="str">
        <f ca="1"/>
        <v>100Ｔ</v>
      </c>
    </row>
    <row r="6" spans="2:7">
      <c r="B6" s="27">
        <f>B5+1</f>
        <v>2</v>
      </c>
      <c r="C6" s="27" t="str">
        <f ca="1"/>
        <v>アーチスト錠１．２５ｍｇ</v>
      </c>
      <c r="D6" s="27">
        <f ca="1"/>
        <v>0</v>
      </c>
      <c r="E6" s="56">
        <f ca="1"/>
        <v>5</v>
      </c>
      <c r="F6" s="56" t="str">
        <f ca="1"/>
        <v>PTP</v>
      </c>
      <c r="G6" s="56" t="str">
        <f ca="1"/>
        <v>100T</v>
      </c>
    </row>
    <row r="7" spans="2:7">
      <c r="B7" s="27">
        <f t="shared" ref="B7:B70" si="0">B6+1</f>
        <v>3</v>
      </c>
      <c r="C7" s="27" t="str">
        <f ca="1"/>
        <v>アジスロマイシン錠２５０ｍｇ「トーワ」</v>
      </c>
      <c r="D7" s="27">
        <f ca="1"/>
        <v>0</v>
      </c>
      <c r="E7" s="56">
        <f ca="1"/>
        <v>1</v>
      </c>
      <c r="F7" s="56" t="str">
        <f ca="1"/>
        <v>ＰＴＰ</v>
      </c>
      <c r="G7" s="56" t="str">
        <f ca="1"/>
        <v>60T</v>
      </c>
    </row>
    <row r="8" spans="2:7">
      <c r="B8" s="27">
        <f t="shared" si="0"/>
        <v>4</v>
      </c>
      <c r="C8" s="27" t="str">
        <f ca="1"/>
        <v>アジルサルタンＯＤ錠２０ｍｇ「サワイ」</v>
      </c>
      <c r="D8" s="27">
        <f ca="1"/>
        <v>0</v>
      </c>
      <c r="E8" s="56">
        <f ca="1"/>
        <v>5</v>
      </c>
      <c r="F8" s="56" t="str">
        <f ca="1"/>
        <v>PTP</v>
      </c>
      <c r="G8" s="56" t="str">
        <f ca="1"/>
        <v>100T</v>
      </c>
    </row>
    <row r="9" spans="2:7">
      <c r="B9" s="27">
        <f t="shared" si="0"/>
        <v>5</v>
      </c>
      <c r="C9" s="27" t="str">
        <f ca="1"/>
        <v>アジルサルタンＯＤ錠２０ｍｇ「サワイ」</v>
      </c>
      <c r="D9" s="27">
        <f ca="1"/>
        <v>0</v>
      </c>
      <c r="E9" s="56">
        <f ca="1"/>
        <v>5</v>
      </c>
      <c r="F9" s="56" t="str">
        <f ca="1"/>
        <v>バラ</v>
      </c>
      <c r="G9" s="56" t="str">
        <f ca="1"/>
        <v>200T</v>
      </c>
    </row>
    <row r="10" spans="2:7">
      <c r="B10" s="27">
        <f t="shared" si="0"/>
        <v>6</v>
      </c>
      <c r="C10" s="27" t="str">
        <f ca="1"/>
        <v>アスパラ－ＣＡ錠２００</v>
      </c>
      <c r="D10" s="27">
        <f ca="1"/>
        <v>0</v>
      </c>
      <c r="E10" s="56">
        <f ca="1"/>
        <v>5</v>
      </c>
      <c r="F10" s="56" t="str">
        <f ca="1"/>
        <v>PTP</v>
      </c>
      <c r="G10" s="56" t="str">
        <f ca="1"/>
        <v>100T</v>
      </c>
    </row>
    <row r="11" spans="2:7">
      <c r="B11" s="27">
        <f t="shared" si="0"/>
        <v>7</v>
      </c>
      <c r="C11" s="27" t="str">
        <f ca="1"/>
        <v>アスパラ－ＣＡ錠２００</v>
      </c>
      <c r="D11" s="27">
        <f ca="1"/>
        <v>0</v>
      </c>
      <c r="E11" s="56">
        <f ca="1"/>
        <v>5</v>
      </c>
      <c r="F11" s="56" t="str">
        <f ca="1"/>
        <v>バラ</v>
      </c>
      <c r="G11" s="56" t="str">
        <f ca="1"/>
        <v>500Ｔ</v>
      </c>
    </row>
    <row r="12" spans="2:7">
      <c r="B12" s="27">
        <f t="shared" si="0"/>
        <v>8</v>
      </c>
      <c r="C12" s="27" t="str">
        <f ca="1"/>
        <v>アスパラカリウム錠３００ｍｇ</v>
      </c>
      <c r="D12" s="27">
        <f ca="1"/>
        <v>0</v>
      </c>
      <c r="E12" s="56">
        <f ca="1"/>
        <v>1</v>
      </c>
      <c r="F12" s="56" t="str">
        <f ca="1"/>
        <v>ＰＴＰ</v>
      </c>
      <c r="G12" s="56" t="str">
        <f ca="1"/>
        <v>1000T</v>
      </c>
    </row>
    <row r="13" spans="2:7">
      <c r="B13" s="27">
        <f t="shared" si="0"/>
        <v>9</v>
      </c>
      <c r="C13" s="27" t="str">
        <f ca="1"/>
        <v>アスパラカリウム錠３００ｍｇ</v>
      </c>
      <c r="D13" s="27">
        <f ca="1"/>
        <v>0</v>
      </c>
      <c r="E13" s="56">
        <f ca="1"/>
        <v>1</v>
      </c>
      <c r="F13" s="56" t="str">
        <f ca="1"/>
        <v>ＰＴＰ</v>
      </c>
      <c r="G13" s="56" t="str">
        <f ca="1"/>
        <v>100T</v>
      </c>
    </row>
    <row r="14" spans="2:7">
      <c r="B14" s="27">
        <f t="shared" si="0"/>
        <v>10</v>
      </c>
      <c r="C14" s="27" t="str">
        <f ca="1"/>
        <v>アタラックス錠２５ｍｇ</v>
      </c>
      <c r="D14" s="27">
        <f ca="1"/>
        <v>0</v>
      </c>
      <c r="E14" s="56">
        <f ca="1"/>
        <v>5</v>
      </c>
      <c r="F14" s="56" t="str">
        <f ca="1"/>
        <v>PTP</v>
      </c>
      <c r="G14" s="56" t="str">
        <f ca="1"/>
        <v>100Ｔ</v>
      </c>
    </row>
    <row r="15" spans="2:7">
      <c r="B15" s="27">
        <f t="shared" si="0"/>
        <v>11</v>
      </c>
      <c r="C15" s="27" t="str">
        <f ca="1"/>
        <v>アドナ錠３０ｍｇ</v>
      </c>
      <c r="D15" s="27">
        <f ca="1"/>
        <v>0</v>
      </c>
      <c r="E15" s="56">
        <f ca="1"/>
        <v>5</v>
      </c>
      <c r="F15" s="56" t="str">
        <f ca="1"/>
        <v>バラ</v>
      </c>
      <c r="G15" s="56" t="str">
        <f ca="1"/>
        <v>500T</v>
      </c>
    </row>
    <row r="16" spans="2:7">
      <c r="B16" s="27">
        <f t="shared" si="0"/>
        <v>12</v>
      </c>
      <c r="C16" s="27" t="str">
        <f ca="1"/>
        <v>アトルバスタチンＯＤ錠１０ｍｇ「トーワ」</v>
      </c>
      <c r="D16" s="27">
        <f ca="1"/>
        <v>0</v>
      </c>
      <c r="E16" s="56">
        <f ca="1"/>
        <v>5</v>
      </c>
      <c r="F16" s="56" t="str">
        <f ca="1"/>
        <v>ＰＴＰ</v>
      </c>
      <c r="G16" s="56" t="str">
        <f ca="1"/>
        <v>100T</v>
      </c>
    </row>
    <row r="17" spans="2:7">
      <c r="B17" s="27">
        <f t="shared" si="0"/>
        <v>13</v>
      </c>
      <c r="C17" s="27" t="str">
        <f ca="1"/>
        <v>アトルバスタチンＯＤ錠１０ｍｇ「トーワ」</v>
      </c>
      <c r="D17" s="27">
        <f ca="1"/>
        <v>0</v>
      </c>
      <c r="E17" s="56">
        <f ca="1"/>
        <v>5</v>
      </c>
      <c r="F17" s="56" t="str">
        <f ca="1"/>
        <v>バラ</v>
      </c>
      <c r="G17" s="56" t="str">
        <f ca="1"/>
        <v>300T</v>
      </c>
    </row>
    <row r="18" spans="2:7">
      <c r="B18" s="27">
        <f t="shared" si="0"/>
        <v>14</v>
      </c>
      <c r="C18" s="27" t="str">
        <f ca="1"/>
        <v>アマンタジン塩酸塩錠５０ｍｇ「杏林」</v>
      </c>
      <c r="D18" s="27">
        <f ca="1"/>
        <v>0</v>
      </c>
      <c r="E18" s="56">
        <f ca="1"/>
        <v>5</v>
      </c>
      <c r="F18" s="56" t="str">
        <f ca="1"/>
        <v>PTP</v>
      </c>
      <c r="G18" s="56" t="str">
        <f ca="1"/>
        <v>100T</v>
      </c>
    </row>
    <row r="19" spans="2:7">
      <c r="B19" s="27">
        <f t="shared" si="0"/>
        <v>15</v>
      </c>
      <c r="C19" s="27" t="str">
        <f ca="1"/>
        <v>アルダクトンＡ錠２５ｍｇ</v>
      </c>
      <c r="D19" s="27">
        <f ca="1"/>
        <v>0</v>
      </c>
      <c r="E19" s="56">
        <f ca="1"/>
        <v>5</v>
      </c>
      <c r="F19" s="56" t="str">
        <f ca="1"/>
        <v>バラ</v>
      </c>
      <c r="G19" s="56" t="str">
        <f ca="1"/>
        <v>100Ｔ</v>
      </c>
    </row>
    <row r="20" spans="2:7">
      <c r="B20" s="27">
        <f t="shared" si="0"/>
        <v>16</v>
      </c>
      <c r="C20" s="27" t="str">
        <f ca="1"/>
        <v>アロプリノール錠１００ｍｇ「サワイ」</v>
      </c>
      <c r="D20" s="27">
        <f ca="1"/>
        <v>0</v>
      </c>
      <c r="E20" s="56">
        <f ca="1"/>
        <v>5</v>
      </c>
      <c r="F20" s="56" t="str">
        <f ca="1"/>
        <v>PTP</v>
      </c>
      <c r="G20" s="56" t="str">
        <f ca="1"/>
        <v>100T</v>
      </c>
    </row>
    <row r="21" spans="2:7">
      <c r="B21" s="27">
        <f t="shared" si="0"/>
        <v>17</v>
      </c>
      <c r="C21" s="27" t="str">
        <f ca="1"/>
        <v>アロプリノール錠１００ｍｇ「サワイ」</v>
      </c>
      <c r="D21" s="27">
        <f ca="1"/>
        <v>0</v>
      </c>
      <c r="E21" s="56">
        <f ca="1"/>
        <v>5</v>
      </c>
      <c r="F21" s="56" t="str">
        <f ca="1"/>
        <v>バラ</v>
      </c>
      <c r="G21" s="56" t="str">
        <f ca="1"/>
        <v>1000T</v>
      </c>
    </row>
    <row r="22" spans="2:7">
      <c r="B22" s="27">
        <f t="shared" si="0"/>
        <v>18</v>
      </c>
      <c r="C22" s="27" t="str">
        <f ca="1"/>
        <v>イルベサルタン錠５０ｍｇ「サワイ」</v>
      </c>
      <c r="D22" s="27">
        <f ca="1"/>
        <v>0</v>
      </c>
      <c r="E22" s="56">
        <f ca="1"/>
        <v>5</v>
      </c>
      <c r="F22" s="56" t="str">
        <f ca="1"/>
        <v>PTP</v>
      </c>
      <c r="G22" s="56" t="str">
        <f ca="1"/>
        <v>100T</v>
      </c>
    </row>
    <row r="23" spans="2:7">
      <c r="B23" s="27">
        <f t="shared" si="0"/>
        <v>19</v>
      </c>
      <c r="C23" s="27" t="str">
        <f ca="1"/>
        <v>イルベサルタン錠５０ｍｇ「サワイ」</v>
      </c>
      <c r="D23" s="27">
        <f ca="1"/>
        <v>0</v>
      </c>
      <c r="E23" s="56">
        <f ca="1"/>
        <v>5</v>
      </c>
      <c r="F23" s="56" t="str">
        <f ca="1"/>
        <v>バラ</v>
      </c>
      <c r="G23" s="56" t="str">
        <f ca="1"/>
        <v>200T</v>
      </c>
    </row>
    <row r="24" spans="2:7">
      <c r="B24" s="27">
        <f t="shared" si="0"/>
        <v>20</v>
      </c>
      <c r="C24" s="27" t="str">
        <f ca="1"/>
        <v>ウルソデオキシコール酸錠１００ｍｇ「サワイ」</v>
      </c>
      <c r="D24" s="27">
        <f ca="1"/>
        <v>0</v>
      </c>
      <c r="E24" s="56">
        <f ca="1"/>
        <v>5</v>
      </c>
      <c r="F24" s="56" t="str">
        <f ca="1"/>
        <v>バラ</v>
      </c>
      <c r="G24" s="56" t="str">
        <f ca="1"/>
        <v>1000Ｔ</v>
      </c>
    </row>
    <row r="25" spans="2:7">
      <c r="B25" s="27">
        <f t="shared" si="0"/>
        <v>21</v>
      </c>
      <c r="C25" s="27" t="str">
        <f ca="1"/>
        <v>エスゾピクロン錠１ｍｇ「トーワ」</v>
      </c>
      <c r="D25" s="27">
        <f ca="1"/>
        <v>0</v>
      </c>
      <c r="E25" s="56">
        <f ca="1"/>
        <v>5</v>
      </c>
      <c r="F25" s="56" t="str">
        <f ca="1"/>
        <v>ＰＴＰ</v>
      </c>
      <c r="G25" s="56" t="str">
        <f ca="1"/>
        <v>100T</v>
      </c>
    </row>
    <row r="26" spans="2:7">
      <c r="B26" s="27">
        <f t="shared" si="0"/>
        <v>22</v>
      </c>
      <c r="C26" s="27" t="str">
        <f ca="1"/>
        <v>エスゾピクロン錠１ｍｇ「トーワ」</v>
      </c>
      <c r="D26" s="27">
        <f ca="1"/>
        <v>0</v>
      </c>
      <c r="E26" s="56">
        <f ca="1"/>
        <v>5</v>
      </c>
      <c r="F26" s="56" t="str">
        <f ca="1"/>
        <v>バラ</v>
      </c>
      <c r="G26" s="56" t="str">
        <f ca="1"/>
        <v>100T</v>
      </c>
    </row>
    <row r="27" spans="2:7">
      <c r="B27" s="27">
        <f t="shared" si="0"/>
        <v>23</v>
      </c>
      <c r="C27" s="27" t="str">
        <f ca="1"/>
        <v>エチゾラム錠０．５ｍｇ「アメル」</v>
      </c>
      <c r="D27" s="27">
        <f ca="1"/>
        <v>0</v>
      </c>
      <c r="E27" s="56">
        <f ca="1"/>
        <v>5</v>
      </c>
      <c r="F27" s="56" t="str">
        <f ca="1"/>
        <v>PTP</v>
      </c>
      <c r="G27" s="56" t="str">
        <f ca="1"/>
        <v>1000T</v>
      </c>
    </row>
    <row r="28" spans="2:7">
      <c r="B28" s="27">
        <f t="shared" si="0"/>
        <v>24</v>
      </c>
      <c r="C28" s="27" t="str">
        <f ca="1"/>
        <v>エチゾラム錠０．５ｍｇ「アメル」</v>
      </c>
      <c r="D28" s="27">
        <f ca="1"/>
        <v>0</v>
      </c>
      <c r="E28" s="56">
        <f ca="1"/>
        <v>5</v>
      </c>
      <c r="F28" s="56" t="str">
        <f ca="1"/>
        <v>バラ</v>
      </c>
      <c r="G28" s="56" t="str">
        <f ca="1"/>
        <v>1000T</v>
      </c>
    </row>
    <row r="29" spans="2:7">
      <c r="B29" s="27">
        <f t="shared" si="0"/>
        <v>25</v>
      </c>
      <c r="C29" s="27" t="str">
        <f ca="1"/>
        <v>エチゾラム錠１ｍｇ「アメル」</v>
      </c>
      <c r="D29" s="27">
        <f ca="1"/>
        <v>0</v>
      </c>
      <c r="E29" s="56">
        <f ca="1"/>
        <v>5</v>
      </c>
      <c r="F29" s="56" t="str">
        <f ca="1"/>
        <v>PTP</v>
      </c>
      <c r="G29" s="56" t="str">
        <f ca="1"/>
        <v>1000T</v>
      </c>
    </row>
    <row r="30" spans="2:7">
      <c r="B30" s="27">
        <f t="shared" si="0"/>
        <v>26</v>
      </c>
      <c r="C30" s="27" t="str">
        <f ca="1"/>
        <v>エチゾラム錠１ｍｇ「アメル」</v>
      </c>
      <c r="D30" s="27">
        <f ca="1"/>
        <v>0</v>
      </c>
      <c r="E30" s="56">
        <f ca="1"/>
        <v>5</v>
      </c>
      <c r="F30" s="56" t="str">
        <f ca="1"/>
        <v>バラ</v>
      </c>
      <c r="G30" s="56" t="str">
        <f ca="1"/>
        <v>1000T</v>
      </c>
    </row>
    <row r="31" spans="2:7">
      <c r="B31" s="27">
        <f t="shared" si="0"/>
        <v>27</v>
      </c>
      <c r="C31" s="27" t="str">
        <f ca="1"/>
        <v>エナラプリルマレイン酸塩錠５ｍｇ「サワイ」　</v>
      </c>
      <c r="D31" s="27">
        <f ca="1"/>
        <v>0</v>
      </c>
      <c r="E31" s="56">
        <f ca="1"/>
        <v>5</v>
      </c>
      <c r="F31" s="56" t="str">
        <f ca="1"/>
        <v>バラ</v>
      </c>
      <c r="G31" s="56" t="str">
        <f ca="1"/>
        <v>1000T</v>
      </c>
    </row>
    <row r="32" spans="2:7">
      <c r="B32" s="27">
        <f t="shared" si="0"/>
        <v>28</v>
      </c>
      <c r="C32" s="27" t="str">
        <f ca="1"/>
        <v>エバスチンＯＤ錠５ｍｇ「サワイ」</v>
      </c>
      <c r="D32" s="27">
        <f ca="1"/>
        <v>0</v>
      </c>
      <c r="E32" s="56">
        <f ca="1"/>
        <v>1</v>
      </c>
      <c r="F32" s="56" t="str">
        <f ca="1"/>
        <v>PTP</v>
      </c>
      <c r="G32" s="56" t="str">
        <f ca="1"/>
        <v>100T</v>
      </c>
    </row>
    <row r="33" spans="2:7">
      <c r="B33" s="27">
        <f t="shared" si="0"/>
        <v>29</v>
      </c>
      <c r="C33" s="27" t="str">
        <f ca="1"/>
        <v>エビスタ錠６０ｍｇ</v>
      </c>
      <c r="D33" s="27">
        <f ca="1"/>
        <v>0</v>
      </c>
      <c r="E33" s="56">
        <f ca="1"/>
        <v>5</v>
      </c>
      <c r="F33" s="56" t="str">
        <f ca="1"/>
        <v>PTP</v>
      </c>
      <c r="G33" s="56" t="str">
        <f ca="1"/>
        <v>100Ｔ</v>
      </c>
    </row>
    <row r="34" spans="2:7">
      <c r="B34" s="27">
        <f t="shared" si="0"/>
        <v>30</v>
      </c>
      <c r="C34" s="27" t="str">
        <f ca="1"/>
        <v>エピナスチン塩酸塩錠２０ｍｇ「トーワ」</v>
      </c>
      <c r="D34" s="27">
        <f ca="1"/>
        <v>0</v>
      </c>
      <c r="E34" s="56">
        <f ca="1"/>
        <v>5</v>
      </c>
      <c r="F34" s="56" t="str">
        <f ca="1"/>
        <v>PTP</v>
      </c>
      <c r="G34" s="56" t="str">
        <f ca="1"/>
        <v>1000Ｔ</v>
      </c>
    </row>
    <row r="35" spans="2:7">
      <c r="B35" s="27">
        <f t="shared" si="0"/>
        <v>31</v>
      </c>
      <c r="C35" s="27" t="str">
        <f ca="1"/>
        <v>エペリゾン塩酸塩錠５０ｍｇ「日医工」</v>
      </c>
      <c r="D35" s="27">
        <f ca="1"/>
        <v>0</v>
      </c>
      <c r="E35" s="56">
        <f ca="1"/>
        <v>1</v>
      </c>
      <c r="F35" s="56" t="str">
        <f ca="1"/>
        <v>PTP</v>
      </c>
      <c r="G35" s="56" t="str">
        <f ca="1"/>
        <v>100T</v>
      </c>
    </row>
    <row r="36" spans="2:7">
      <c r="B36" s="27">
        <f t="shared" si="0"/>
        <v>32</v>
      </c>
      <c r="C36" s="27" t="str">
        <f ca="1"/>
        <v>オロパタジン塩酸塩ＯＤ錠５ｍｇ「トーワ」</v>
      </c>
      <c r="D36" s="27">
        <f ca="1"/>
        <v>0</v>
      </c>
      <c r="E36" s="56">
        <f ca="1"/>
        <v>5</v>
      </c>
      <c r="F36" s="56" t="str">
        <f ca="1"/>
        <v>PTP</v>
      </c>
      <c r="G36" s="56" t="str">
        <f ca="1"/>
        <v>100Ｔ</v>
      </c>
    </row>
    <row r="37" spans="2:7">
      <c r="B37" s="27">
        <f t="shared" si="0"/>
        <v>33</v>
      </c>
      <c r="C37" s="27" t="str">
        <f ca="1"/>
        <v>オロパタジン塩酸塩ＯＤ錠５ｍｇ「トーワ」</v>
      </c>
      <c r="D37" s="27">
        <f ca="1"/>
        <v>0</v>
      </c>
      <c r="E37" s="56">
        <f ca="1"/>
        <v>5</v>
      </c>
      <c r="F37" s="56" t="str">
        <f ca="1"/>
        <v>バラ</v>
      </c>
      <c r="G37" s="56" t="str">
        <f ca="1"/>
        <v>100Ｔ</v>
      </c>
    </row>
    <row r="38" spans="2:7">
      <c r="B38" s="27">
        <f t="shared" si="0"/>
        <v>34</v>
      </c>
      <c r="C38" s="27" t="str">
        <f ca="1"/>
        <v>カモスタットメシル酸塩錠１００ｍｇ「サワイ」</v>
      </c>
      <c r="D38" s="27">
        <f ca="1"/>
        <v>0</v>
      </c>
      <c r="E38" s="56">
        <f ca="1"/>
        <v>5</v>
      </c>
      <c r="F38" s="56" t="str">
        <f ca="1"/>
        <v>PTP</v>
      </c>
      <c r="G38" s="56" t="str">
        <f ca="1"/>
        <v>100T</v>
      </c>
    </row>
    <row r="39" spans="2:7">
      <c r="B39" s="27">
        <f t="shared" si="0"/>
        <v>35</v>
      </c>
      <c r="C39" s="27" t="str">
        <f ca="1"/>
        <v>カルバマゼピン錠１００ｍｇ「アメル」</v>
      </c>
      <c r="D39" s="27">
        <f ca="1"/>
        <v>0</v>
      </c>
      <c r="E39" s="56">
        <f ca="1"/>
        <v>5</v>
      </c>
      <c r="F39" s="56" t="str">
        <f ca="1"/>
        <v>バラ</v>
      </c>
      <c r="G39" s="56" t="str">
        <f ca="1"/>
        <v>500Ｔ</v>
      </c>
    </row>
    <row r="40" spans="2:7">
      <c r="B40" s="27">
        <f t="shared" si="0"/>
        <v>36</v>
      </c>
      <c r="C40" s="27" t="str">
        <f ca="1"/>
        <v>カルバマゼピン錠２００ｍｇ「アメル」</v>
      </c>
      <c r="D40" s="27">
        <f ca="1"/>
        <v>0</v>
      </c>
      <c r="E40" s="56">
        <f ca="1"/>
        <v>5</v>
      </c>
      <c r="F40" s="56" t="str">
        <f ca="1"/>
        <v>PTP</v>
      </c>
      <c r="G40" s="56" t="str">
        <f ca="1"/>
        <v>100Ｔ</v>
      </c>
    </row>
    <row r="41" spans="2:7">
      <c r="B41" s="27">
        <f t="shared" si="0"/>
        <v>37</v>
      </c>
      <c r="C41" s="27" t="str">
        <f ca="1"/>
        <v>カルバマゼピン錠２００ｍｇ「アメル」</v>
      </c>
      <c r="D41" s="27">
        <f ca="1"/>
        <v>0</v>
      </c>
      <c r="E41" s="56">
        <f ca="1"/>
        <v>5</v>
      </c>
      <c r="F41" s="56" t="str">
        <f ca="1"/>
        <v>バラ</v>
      </c>
      <c r="G41" s="56" t="str">
        <f ca="1"/>
        <v>500Ｔ</v>
      </c>
    </row>
    <row r="42" spans="2:7">
      <c r="B42" s="27">
        <f t="shared" si="0"/>
        <v>38</v>
      </c>
      <c r="C42" s="27" t="str">
        <f ca="1"/>
        <v>カルベジロール錠１０ｍｇ「ＤＳＥＰ」</v>
      </c>
      <c r="D42" s="27">
        <f ca="1"/>
        <v>0</v>
      </c>
      <c r="E42" s="56">
        <f ca="1"/>
        <v>5</v>
      </c>
      <c r="F42" s="56" t="str">
        <f ca="1"/>
        <v>PTP</v>
      </c>
      <c r="G42" s="56" t="str">
        <f ca="1"/>
        <v>100Ｔ</v>
      </c>
    </row>
    <row r="43" spans="2:7">
      <c r="B43" s="27">
        <f t="shared" si="0"/>
        <v>39</v>
      </c>
      <c r="C43" s="27" t="str">
        <f ca="1"/>
        <v>カルボシステイン錠２５０ｍｇ「トーワ」</v>
      </c>
      <c r="D43" s="27">
        <f ca="1"/>
        <v>0</v>
      </c>
      <c r="E43" s="56">
        <f ca="1"/>
        <v>5</v>
      </c>
      <c r="F43" s="56" t="str">
        <f ca="1"/>
        <v>PTP</v>
      </c>
      <c r="G43" s="56" t="str">
        <f ca="1"/>
        <v>1000T</v>
      </c>
    </row>
    <row r="44" spans="2:7">
      <c r="B44" s="27">
        <f t="shared" si="0"/>
        <v>40</v>
      </c>
      <c r="C44" s="27" t="str">
        <f ca="1"/>
        <v>カロナール錠２００</v>
      </c>
      <c r="D44" s="27">
        <f ca="1"/>
        <v>0</v>
      </c>
      <c r="E44" s="56">
        <f ca="1"/>
        <v>5</v>
      </c>
      <c r="F44" s="56" t="str">
        <f ca="1"/>
        <v>PTP</v>
      </c>
      <c r="G44" s="56" t="str">
        <f ca="1"/>
        <v>1000T</v>
      </c>
    </row>
    <row r="45" spans="2:7">
      <c r="B45" s="27">
        <f t="shared" si="0"/>
        <v>41</v>
      </c>
      <c r="C45" s="27" t="str">
        <f ca="1"/>
        <v>カロナール錠２００</v>
      </c>
      <c r="D45" s="27">
        <f ca="1"/>
        <v>0</v>
      </c>
      <c r="E45" s="56">
        <f ca="1"/>
        <v>5</v>
      </c>
      <c r="F45" s="56" t="str">
        <f ca="1"/>
        <v>バラ</v>
      </c>
      <c r="G45" s="56" t="str">
        <f ca="1"/>
        <v>500T</v>
      </c>
    </row>
    <row r="46" spans="2:7">
      <c r="B46" s="27">
        <f t="shared" si="0"/>
        <v>42</v>
      </c>
      <c r="C46" s="27" t="str">
        <f ca="1"/>
        <v>クアゼパム錠１５ｍｇ「アメル」</v>
      </c>
      <c r="D46" s="27">
        <f ca="1"/>
        <v>0</v>
      </c>
      <c r="E46" s="56">
        <f ca="1"/>
        <v>1</v>
      </c>
      <c r="F46" s="56" t="str">
        <f ca="1"/>
        <v>PTP</v>
      </c>
      <c r="G46" s="56" t="str">
        <f ca="1"/>
        <v>100Ｔ</v>
      </c>
    </row>
    <row r="47" spans="2:7">
      <c r="B47" s="27">
        <f t="shared" si="0"/>
        <v>43</v>
      </c>
      <c r="C47" s="27" t="str">
        <f ca="1"/>
        <v>クアゼパム錠１５ｍｇ「アメル」</v>
      </c>
      <c r="D47" s="27">
        <f ca="1"/>
        <v>0</v>
      </c>
      <c r="E47" s="56">
        <f ca="1"/>
        <v>1</v>
      </c>
      <c r="F47" s="56" t="str">
        <f ca="1"/>
        <v>バラ</v>
      </c>
      <c r="G47" s="56" t="str">
        <f ca="1"/>
        <v>500Ｔ</v>
      </c>
    </row>
    <row r="48" spans="2:7">
      <c r="B48" s="27">
        <f t="shared" si="0"/>
        <v>44</v>
      </c>
      <c r="C48" s="27" t="str">
        <f ca="1"/>
        <v>クービビック錠２５ｍｇ</v>
      </c>
      <c r="D48" s="27">
        <f ca="1"/>
        <v>0</v>
      </c>
      <c r="E48" s="56">
        <f ca="1"/>
        <v>1</v>
      </c>
      <c r="F48" s="56" t="str">
        <f ca="1"/>
        <v>PTP</v>
      </c>
      <c r="G48" s="56" t="str">
        <f ca="1"/>
        <v>100T</v>
      </c>
    </row>
    <row r="49" spans="2:7">
      <c r="B49" s="27">
        <f t="shared" si="0"/>
        <v>45</v>
      </c>
      <c r="C49" s="27" t="str">
        <f ca="1"/>
        <v>グーフィス錠５ｍｇ</v>
      </c>
      <c r="D49" s="27">
        <f ca="1"/>
        <v>0</v>
      </c>
      <c r="E49" s="56">
        <f ca="1"/>
        <v>5</v>
      </c>
      <c r="F49" s="56" t="str">
        <f ca="1"/>
        <v>ＰＴＰ</v>
      </c>
      <c r="G49" s="56" t="str">
        <f ca="1"/>
        <v>500T</v>
      </c>
    </row>
    <row r="50" spans="2:7">
      <c r="B50" s="27">
        <f t="shared" si="0"/>
        <v>46</v>
      </c>
      <c r="C50" s="27" t="str">
        <f ca="1"/>
        <v>グラクティブ錠５０ｍｇ</v>
      </c>
      <c r="D50" s="27">
        <f ca="1"/>
        <v>0</v>
      </c>
      <c r="E50" s="56">
        <f ca="1"/>
        <v>5</v>
      </c>
      <c r="F50" s="56" t="str">
        <f ca="1"/>
        <v>バラ</v>
      </c>
      <c r="G50" s="56" t="str">
        <f ca="1"/>
        <v>100Ｔ</v>
      </c>
    </row>
    <row r="51" spans="2:7">
      <c r="B51" s="27">
        <f t="shared" si="0"/>
        <v>47</v>
      </c>
      <c r="C51" s="27" t="str">
        <f ca="1"/>
        <v>グラマリール錠２５ｍｇ</v>
      </c>
      <c r="D51" s="27">
        <f ca="1"/>
        <v>0</v>
      </c>
      <c r="E51" s="56">
        <f ca="1"/>
        <v>5</v>
      </c>
      <c r="F51" s="56" t="str">
        <f ca="1"/>
        <v>バラ</v>
      </c>
      <c r="G51" s="56" t="str">
        <f ca="1"/>
        <v>1000Ｔ</v>
      </c>
    </row>
    <row r="52" spans="2:7">
      <c r="B52" s="27">
        <f t="shared" si="0"/>
        <v>48</v>
      </c>
      <c r="C52" s="27" t="str">
        <f ca="1"/>
        <v>グラマリール錠５０ｍｇ</v>
      </c>
      <c r="D52" s="27">
        <f ca="1"/>
        <v>0</v>
      </c>
      <c r="E52" s="56">
        <f ca="1"/>
        <v>5</v>
      </c>
      <c r="F52" s="56" t="str">
        <f ca="1"/>
        <v>PTP</v>
      </c>
      <c r="G52" s="56" t="str">
        <f ca="1"/>
        <v>100Ｔ</v>
      </c>
    </row>
    <row r="53" spans="2:7">
      <c r="B53" s="27">
        <f t="shared" si="0"/>
        <v>49</v>
      </c>
      <c r="C53" s="27" t="str">
        <f ca="1"/>
        <v>クラリシッド錠２００ｍｇ</v>
      </c>
      <c r="D53" s="27">
        <f ca="1"/>
        <v>0</v>
      </c>
      <c r="E53" s="56">
        <f ca="1"/>
        <v>5</v>
      </c>
      <c r="F53" s="56" t="str">
        <f ca="1"/>
        <v>PTP</v>
      </c>
      <c r="G53" s="56" t="str">
        <f ca="1"/>
        <v>100T</v>
      </c>
    </row>
    <row r="54" spans="2:7">
      <c r="B54" s="27">
        <f t="shared" si="0"/>
        <v>50</v>
      </c>
      <c r="C54" s="27" t="str">
        <f ca="1"/>
        <v>クラリチン錠１０ｍｇ</v>
      </c>
      <c r="D54" s="27">
        <f ca="1"/>
        <v>0</v>
      </c>
      <c r="E54" s="56">
        <f ca="1"/>
        <v>5</v>
      </c>
      <c r="F54" s="56" t="str">
        <f ca="1"/>
        <v>PTP</v>
      </c>
      <c r="G54" s="56" t="str">
        <f ca="1"/>
        <v>100Ｔ</v>
      </c>
    </row>
    <row r="55" spans="2:7">
      <c r="B55" s="27">
        <f t="shared" si="0"/>
        <v>51</v>
      </c>
      <c r="C55" s="27" t="str">
        <f ca="1"/>
        <v>グランダキシン錠５０</v>
      </c>
      <c r="D55" s="27">
        <f ca="1"/>
        <v>0</v>
      </c>
      <c r="E55" s="56">
        <f ca="1"/>
        <v>5</v>
      </c>
      <c r="F55" s="56" t="str">
        <f ca="1"/>
        <v>PTP</v>
      </c>
      <c r="G55" s="56" t="str">
        <f ca="1"/>
        <v>100T</v>
      </c>
    </row>
    <row r="56" spans="2:7">
      <c r="B56" s="27">
        <f t="shared" si="0"/>
        <v>52</v>
      </c>
      <c r="C56" s="27" t="str">
        <f ca="1"/>
        <v>グリチロン配合錠</v>
      </c>
      <c r="D56" s="27">
        <f ca="1"/>
        <v>0</v>
      </c>
      <c r="E56" s="56">
        <f ca="1"/>
        <v>5</v>
      </c>
      <c r="F56" s="56" t="str">
        <f ca="1"/>
        <v>バラ</v>
      </c>
      <c r="G56" s="56" t="str">
        <f ca="1"/>
        <v>1000T</v>
      </c>
    </row>
    <row r="57" spans="2:7">
      <c r="B57" s="27">
        <f t="shared" si="0"/>
        <v>53</v>
      </c>
      <c r="C57" s="27" t="str">
        <f ca="1"/>
        <v>クロピドグレル錠７５ｍｇ「ＪＧ」</v>
      </c>
      <c r="D57" s="27">
        <f ca="1"/>
        <v>0</v>
      </c>
      <c r="E57" s="56">
        <f ca="1"/>
        <v>5</v>
      </c>
      <c r="F57" s="56" t="str">
        <f ca="1"/>
        <v>PTP</v>
      </c>
      <c r="G57" s="56" t="str">
        <f ca="1"/>
        <v>100Ｔ</v>
      </c>
    </row>
    <row r="58" spans="2:7">
      <c r="B58" s="27">
        <f t="shared" si="0"/>
        <v>54</v>
      </c>
      <c r="C58" s="27" t="str">
        <f ca="1"/>
        <v>クロピドグレル錠７５ｍｇ「ＪＧ」</v>
      </c>
      <c r="D58" s="27">
        <f ca="1"/>
        <v>0</v>
      </c>
      <c r="E58" s="56">
        <f ca="1"/>
        <v>5</v>
      </c>
      <c r="F58" s="56" t="str">
        <f ca="1"/>
        <v>バラ</v>
      </c>
      <c r="G58" s="56" t="str">
        <f ca="1"/>
        <v>500Ｔ</v>
      </c>
    </row>
    <row r="59" spans="2:7">
      <c r="B59" s="27">
        <f t="shared" si="0"/>
        <v>55</v>
      </c>
      <c r="C59" s="27" t="str">
        <f ca="1"/>
        <v>ケルロング錠１０ｍｇ</v>
      </c>
      <c r="D59" s="27">
        <f ca="1"/>
        <v>0</v>
      </c>
      <c r="E59" s="56">
        <f ca="1"/>
        <v>5</v>
      </c>
      <c r="F59" s="56" t="str">
        <f ca="1"/>
        <v>PTP</v>
      </c>
      <c r="G59" s="56" t="str">
        <f ca="1"/>
        <v>100Ｔ</v>
      </c>
    </row>
    <row r="60" spans="2:7">
      <c r="B60" s="27">
        <f t="shared" si="0"/>
        <v>56</v>
      </c>
      <c r="C60" s="27" t="str">
        <f ca="1"/>
        <v>コントミン糖衣錠２５ｍｇ</v>
      </c>
      <c r="D60" s="27">
        <f ca="1"/>
        <v>0</v>
      </c>
      <c r="E60" s="56">
        <f ca="1"/>
        <v>6</v>
      </c>
      <c r="F60" s="56" t="str">
        <f ca="1"/>
        <v>PTP</v>
      </c>
      <c r="G60" s="56" t="str">
        <f ca="1"/>
        <v>100Ｔ</v>
      </c>
    </row>
    <row r="61" spans="2:7">
      <c r="B61" s="27">
        <f t="shared" si="0"/>
        <v>57</v>
      </c>
      <c r="C61" s="27" t="str">
        <f ca="1"/>
        <v>コントミン糖衣錠２５ｍｇ</v>
      </c>
      <c r="D61" s="27">
        <f ca="1"/>
        <v>0</v>
      </c>
      <c r="E61" s="56">
        <f ca="1"/>
        <v>6</v>
      </c>
      <c r="F61" s="56" t="str">
        <f ca="1"/>
        <v>PTP</v>
      </c>
      <c r="G61" s="56" t="str">
        <f ca="1"/>
        <v>1000Ｔ</v>
      </c>
    </row>
    <row r="62" spans="2:7">
      <c r="B62" s="27">
        <f t="shared" si="0"/>
        <v>58</v>
      </c>
      <c r="C62" s="27" t="str">
        <f ca="1"/>
        <v>コントミン糖衣錠２５ｍｇ</v>
      </c>
      <c r="D62" s="27">
        <f ca="1"/>
        <v>0</v>
      </c>
      <c r="E62" s="56">
        <f ca="1"/>
        <v>6</v>
      </c>
      <c r="F62" s="56" t="str">
        <f ca="1"/>
        <v>バラ</v>
      </c>
      <c r="G62" s="56" t="str">
        <f ca="1"/>
        <v>1000Ｔ</v>
      </c>
    </row>
    <row r="63" spans="2:7">
      <c r="B63" s="27">
        <f t="shared" si="0"/>
        <v>59</v>
      </c>
      <c r="C63" s="27" t="str">
        <f ca="1"/>
        <v>サワシリン錠２５０</v>
      </c>
      <c r="D63" s="27">
        <f ca="1"/>
        <v>0</v>
      </c>
      <c r="E63" s="56">
        <f ca="1"/>
        <v>2</v>
      </c>
      <c r="F63" s="56" t="str">
        <f ca="1"/>
        <v>PTP</v>
      </c>
      <c r="G63" s="56" t="str">
        <f ca="1"/>
        <v>100Ｔ</v>
      </c>
    </row>
    <row r="64" spans="2:7">
      <c r="B64" s="27">
        <f t="shared" si="0"/>
        <v>60</v>
      </c>
      <c r="C64" s="27" t="str">
        <f ca="1"/>
        <v>ジアゼパム錠２ｍｇ「アメル」</v>
      </c>
      <c r="D64" s="27">
        <f ca="1"/>
        <v>0</v>
      </c>
      <c r="E64" s="56">
        <f ca="1"/>
        <v>5</v>
      </c>
      <c r="F64" s="56" t="str">
        <f ca="1"/>
        <v>PTP</v>
      </c>
      <c r="G64" s="56" t="str">
        <f ca="1"/>
        <v>100T</v>
      </c>
    </row>
    <row r="65" spans="2:7">
      <c r="B65" s="27">
        <f t="shared" si="0"/>
        <v>61</v>
      </c>
      <c r="C65" s="27" t="str">
        <f ca="1"/>
        <v>ジアゼパム錠５ｍｇ「アメル」</v>
      </c>
      <c r="D65" s="27">
        <f ca="1"/>
        <v>0</v>
      </c>
      <c r="E65" s="56">
        <f ca="1"/>
        <v>5</v>
      </c>
      <c r="F65" s="56" t="str">
        <f ca="1"/>
        <v>PTP</v>
      </c>
      <c r="G65" s="56" t="str">
        <f ca="1"/>
        <v>100Ｔ</v>
      </c>
    </row>
    <row r="66" spans="2:7">
      <c r="B66" s="27">
        <f t="shared" si="0"/>
        <v>62</v>
      </c>
      <c r="C66" s="27" t="str">
        <f ca="1"/>
        <v>ジェニナック錠２００ＭＧ</v>
      </c>
      <c r="D66" s="27">
        <f ca="1"/>
        <v>0</v>
      </c>
      <c r="E66" s="56">
        <f ca="1"/>
        <v>1</v>
      </c>
      <c r="F66" s="56" t="str">
        <f ca="1"/>
        <v>PTP</v>
      </c>
      <c r="G66" s="56" t="str">
        <f ca="1"/>
        <v>100T</v>
      </c>
    </row>
    <row r="67" spans="2:7">
      <c r="B67" s="27">
        <f t="shared" si="0"/>
        <v>63</v>
      </c>
      <c r="C67" s="27" t="str">
        <f ca="1"/>
        <v>ジフェニドール塩酸塩錠２５ｍｇ「ＮＩＧ」</v>
      </c>
      <c r="D67" s="27">
        <f ca="1"/>
        <v>0</v>
      </c>
      <c r="E67" s="56">
        <f ca="1"/>
        <v>1</v>
      </c>
      <c r="F67" s="56" t="str">
        <f ca="1"/>
        <v>PTP</v>
      </c>
      <c r="G67" s="56" t="str">
        <f ca="1"/>
        <v>1000T</v>
      </c>
    </row>
    <row r="68" spans="2:7">
      <c r="B68" s="27">
        <f t="shared" si="0"/>
        <v>64</v>
      </c>
      <c r="C68" s="27" t="str">
        <f ca="1"/>
        <v>ジメチコン錠４０ｍｇ「ＹＤ」</v>
      </c>
      <c r="D68" s="27">
        <f ca="1"/>
        <v>0</v>
      </c>
      <c r="E68" s="56">
        <f ca="1"/>
        <v>5</v>
      </c>
      <c r="F68" s="56" t="str">
        <f ca="1"/>
        <v>PTP</v>
      </c>
      <c r="G68" s="56" t="str">
        <f ca="1"/>
        <v>100T</v>
      </c>
    </row>
    <row r="69" spans="2:7">
      <c r="B69" s="27">
        <f t="shared" si="0"/>
        <v>65</v>
      </c>
      <c r="C69" s="27" t="str">
        <f ca="1"/>
        <v>ジメチコン錠４０ｍｇ「ＹＤ」</v>
      </c>
      <c r="D69" s="27">
        <f ca="1"/>
        <v>0</v>
      </c>
      <c r="E69" s="56">
        <f ca="1"/>
        <v>5</v>
      </c>
      <c r="F69" s="56" t="str">
        <f ca="1"/>
        <v>バラ</v>
      </c>
      <c r="G69" s="56" t="str">
        <f ca="1"/>
        <v>1000T</v>
      </c>
    </row>
    <row r="70" spans="2:7">
      <c r="B70" s="27">
        <f t="shared" si="0"/>
        <v>66</v>
      </c>
      <c r="C70" s="27" t="str">
        <f ca="1"/>
        <v>シロスタゾールＯＤ錠１００ｍｇ「タカタ」</v>
      </c>
      <c r="D70" s="27">
        <f ca="1"/>
        <v>0</v>
      </c>
      <c r="E70" s="56">
        <f ca="1"/>
        <v>5</v>
      </c>
      <c r="F70" s="56" t="str">
        <f ca="1"/>
        <v>PTP</v>
      </c>
      <c r="G70" s="56" t="str">
        <f ca="1"/>
        <v>100T</v>
      </c>
    </row>
    <row r="71" spans="2:7">
      <c r="B71" s="27">
        <f t="shared" ref="B71:B134" si="1">B70+1</f>
        <v>67</v>
      </c>
      <c r="C71" s="27" t="str">
        <f ca="1"/>
        <v>シロスタゾールＯＤ錠１００ｍｇ「タカタ」　</v>
      </c>
      <c r="D71" s="27">
        <f ca="1"/>
        <v>0</v>
      </c>
      <c r="E71" s="56">
        <f ca="1"/>
        <v>5</v>
      </c>
      <c r="F71" s="56" t="str">
        <f ca="1"/>
        <v>バラ</v>
      </c>
      <c r="G71" s="56" t="str">
        <f ca="1"/>
        <v>500T</v>
      </c>
    </row>
    <row r="72" spans="2:7">
      <c r="B72" s="27">
        <f t="shared" si="1"/>
        <v>68</v>
      </c>
      <c r="C72" s="27" t="str">
        <f ca="1"/>
        <v>シングレア錠１０ｍｇ</v>
      </c>
      <c r="D72" s="27">
        <f ca="1"/>
        <v>0</v>
      </c>
      <c r="E72" s="56">
        <f ca="1"/>
        <v>5</v>
      </c>
      <c r="F72" s="56" t="str">
        <f ca="1"/>
        <v>ＰＴＰ</v>
      </c>
      <c r="G72" s="56" t="str">
        <f ca="1"/>
        <v>100T</v>
      </c>
    </row>
    <row r="73" spans="2:7">
      <c r="B73" s="27">
        <f t="shared" si="1"/>
        <v>69</v>
      </c>
      <c r="C73" s="27" t="str">
        <f ca="1"/>
        <v>スピロペント錠１０μｇ</v>
      </c>
      <c r="D73" s="27">
        <f ca="1"/>
        <v>0</v>
      </c>
      <c r="E73" s="56">
        <f ca="1"/>
        <v>5</v>
      </c>
      <c r="F73" s="56" t="str">
        <f ca="1"/>
        <v>PTP</v>
      </c>
      <c r="G73" s="56" t="str">
        <f ca="1"/>
        <v>100Ｔ</v>
      </c>
    </row>
    <row r="74" spans="2:7">
      <c r="B74" s="27">
        <f t="shared" si="1"/>
        <v>70</v>
      </c>
      <c r="C74" s="27" t="str">
        <f ca="1"/>
        <v>スルピリド錠５０ｍｇ「アメル」</v>
      </c>
      <c r="D74" s="27">
        <f ca="1"/>
        <v>0</v>
      </c>
      <c r="E74" s="56">
        <f ca="1"/>
        <v>5</v>
      </c>
      <c r="F74" s="56" t="str">
        <f ca="1"/>
        <v>PTP</v>
      </c>
      <c r="G74" s="56" t="str">
        <f ca="1"/>
        <v>100Ｔ</v>
      </c>
    </row>
    <row r="75" spans="2:7">
      <c r="B75" s="27">
        <f t="shared" si="1"/>
        <v>71</v>
      </c>
      <c r="C75" s="27" t="str">
        <f ca="1"/>
        <v>スルピリド錠５０ｍｇ「アメル」</v>
      </c>
      <c r="D75" s="27">
        <f ca="1"/>
        <v>0</v>
      </c>
      <c r="E75" s="56">
        <f ca="1"/>
        <v>5</v>
      </c>
      <c r="F75" s="56" t="str">
        <f ca="1"/>
        <v>バラ</v>
      </c>
      <c r="G75" s="56" t="str">
        <f ca="1"/>
        <v>1000Ｔ</v>
      </c>
    </row>
    <row r="76" spans="2:7">
      <c r="B76" s="27">
        <f t="shared" si="1"/>
        <v>72</v>
      </c>
      <c r="C76" s="27" t="str">
        <f ca="1"/>
        <v>セパゾン錠１</v>
      </c>
      <c r="D76" s="27">
        <f ca="1"/>
        <v>0</v>
      </c>
      <c r="E76" s="56">
        <f ca="1"/>
        <v>5</v>
      </c>
      <c r="F76" s="56" t="str">
        <f ca="1"/>
        <v>PTP</v>
      </c>
      <c r="G76" s="56" t="str">
        <f ca="1"/>
        <v>100Ｔ</v>
      </c>
    </row>
    <row r="77" spans="2:7">
      <c r="B77" s="27">
        <f t="shared" si="1"/>
        <v>73</v>
      </c>
      <c r="C77" s="27" t="str">
        <f ca="1"/>
        <v>セパゾン錠１</v>
      </c>
      <c r="D77" s="27">
        <f ca="1"/>
        <v>0</v>
      </c>
      <c r="E77" s="56">
        <f ca="1"/>
        <v>5</v>
      </c>
      <c r="F77" s="56" t="str">
        <f ca="1"/>
        <v>バラ</v>
      </c>
      <c r="G77" s="56" t="str">
        <f ca="1"/>
        <v>1000Ｔ</v>
      </c>
    </row>
    <row r="78" spans="2:7">
      <c r="B78" s="27">
        <f t="shared" si="1"/>
        <v>74</v>
      </c>
      <c r="C78" s="27" t="str">
        <f ca="1"/>
        <v>セパゾン錠２</v>
      </c>
      <c r="D78" s="27">
        <f ca="1"/>
        <v>0</v>
      </c>
      <c r="E78" s="56">
        <f ca="1"/>
        <v>1</v>
      </c>
      <c r="F78" s="56" t="str">
        <f ca="1"/>
        <v>PTP</v>
      </c>
      <c r="G78" s="56" t="str">
        <f ca="1"/>
        <v>100Ｔ</v>
      </c>
    </row>
    <row r="79" spans="2:7">
      <c r="B79" s="27">
        <f t="shared" si="1"/>
        <v>75</v>
      </c>
      <c r="C79" s="27" t="str">
        <f ca="1"/>
        <v>セレスタミン配合錠</v>
      </c>
      <c r="D79" s="27">
        <f ca="1"/>
        <v>0</v>
      </c>
      <c r="E79" s="56">
        <f ca="1"/>
        <v>5</v>
      </c>
      <c r="F79" s="56" t="str">
        <f ca="1"/>
        <v>バラ</v>
      </c>
      <c r="G79" s="56" t="str">
        <f ca="1"/>
        <v>100Ｔ</v>
      </c>
    </row>
    <row r="80" spans="2:7">
      <c r="B80" s="27">
        <f t="shared" si="1"/>
        <v>76</v>
      </c>
      <c r="C80" s="27" t="str">
        <f ca="1"/>
        <v>センノシド錠１２ｍｇ「クニヒロ」</v>
      </c>
      <c r="D80" s="27">
        <f ca="1"/>
        <v>0</v>
      </c>
      <c r="E80" s="56">
        <f ca="1"/>
        <v>5</v>
      </c>
      <c r="F80" s="56" t="str">
        <f ca="1"/>
        <v>ＰＴＰ</v>
      </c>
      <c r="G80" s="56" t="str">
        <f ca="1"/>
        <v>1000T</v>
      </c>
    </row>
    <row r="81" spans="2:7">
      <c r="B81" s="27">
        <f t="shared" si="1"/>
        <v>77</v>
      </c>
      <c r="C81" s="27" t="str">
        <f ca="1"/>
        <v>センノシド錠１２ｍｇ「クニヒロ」</v>
      </c>
      <c r="D81" s="27">
        <f ca="1"/>
        <v>0</v>
      </c>
      <c r="E81" s="56">
        <f ca="1"/>
        <v>5</v>
      </c>
      <c r="F81" s="56" t="str">
        <f ca="1"/>
        <v>バラ</v>
      </c>
      <c r="G81" s="56" t="str">
        <f ca="1"/>
        <v>1000T</v>
      </c>
    </row>
    <row r="82" spans="2:7">
      <c r="B82" s="27">
        <f t="shared" si="1"/>
        <v>78</v>
      </c>
      <c r="C82" s="27" t="str">
        <f ca="1"/>
        <v>ゾピクロン錠７．５ｍｇ「トーワ」</v>
      </c>
      <c r="D82" s="27">
        <f ca="1"/>
        <v>0</v>
      </c>
      <c r="E82" s="56">
        <f ca="1"/>
        <v>5</v>
      </c>
      <c r="F82" s="56" t="str">
        <f ca="1"/>
        <v>PTP</v>
      </c>
      <c r="G82" s="56" t="str">
        <f ca="1"/>
        <v>100T</v>
      </c>
    </row>
    <row r="83" spans="2:7">
      <c r="B83" s="27">
        <f t="shared" si="1"/>
        <v>79</v>
      </c>
      <c r="C83" s="27" t="str">
        <f ca="1"/>
        <v>ゾピクロン錠７．５ｍｇ「トーワ」</v>
      </c>
      <c r="D83" s="27">
        <f ca="1"/>
        <v>0</v>
      </c>
      <c r="E83" s="56">
        <f ca="1"/>
        <v>5</v>
      </c>
      <c r="F83" s="56" t="str">
        <f ca="1"/>
        <v>バラ</v>
      </c>
      <c r="G83" s="56" t="str">
        <f ca="1"/>
        <v>1000T</v>
      </c>
    </row>
    <row r="84" spans="2:7">
      <c r="B84" s="27">
        <f t="shared" si="1"/>
        <v>80</v>
      </c>
      <c r="C84" s="27" t="str">
        <f ca="1"/>
        <v>ゾフルーザ錠２０ｍｇ</v>
      </c>
      <c r="D84" s="27">
        <f ca="1"/>
        <v>0</v>
      </c>
      <c r="E84" s="56">
        <f ca="1"/>
        <v>1</v>
      </c>
      <c r="F84" s="56" t="str">
        <f ca="1"/>
        <v>PTP</v>
      </c>
      <c r="G84" s="56" t="str">
        <f ca="1"/>
        <v>10T</v>
      </c>
    </row>
    <row r="85" spans="2:7">
      <c r="B85" s="27">
        <f t="shared" si="1"/>
        <v>81</v>
      </c>
      <c r="C85" s="27" t="str">
        <f ca="1"/>
        <v>ソラナックス０．４ｍｇ錠</v>
      </c>
      <c r="D85" s="27">
        <f ca="1"/>
        <v>0</v>
      </c>
      <c r="E85" s="56">
        <f ca="1"/>
        <v>1</v>
      </c>
      <c r="F85" s="56" t="str">
        <f ca="1"/>
        <v>PTP</v>
      </c>
      <c r="G85" s="56" t="str">
        <f ca="1"/>
        <v>1000Ｔ</v>
      </c>
    </row>
    <row r="86" spans="2:7">
      <c r="B86" s="27">
        <f t="shared" si="1"/>
        <v>82</v>
      </c>
      <c r="C86" s="27" t="str">
        <f ca="1"/>
        <v>ソラナックス０．４ｍｇ錠</v>
      </c>
      <c r="D86" s="27">
        <f ca="1"/>
        <v>0</v>
      </c>
      <c r="E86" s="56">
        <f ca="1"/>
        <v>1</v>
      </c>
      <c r="F86" s="56" t="str">
        <f ca="1"/>
        <v>バラ</v>
      </c>
      <c r="G86" s="56" t="str">
        <f ca="1"/>
        <v>500Ｔ</v>
      </c>
    </row>
    <row r="87" spans="2:7">
      <c r="B87" s="27">
        <f t="shared" si="1"/>
        <v>83</v>
      </c>
      <c r="C87" s="27" t="str">
        <f ca="1"/>
        <v>ソラナックス０．８ｍｇ錠</v>
      </c>
      <c r="D87" s="27">
        <f ca="1"/>
        <v>0</v>
      </c>
      <c r="E87" s="56">
        <f ca="1"/>
        <v>1</v>
      </c>
      <c r="F87" s="56" t="str">
        <f ca="1"/>
        <v>PTP</v>
      </c>
      <c r="G87" s="56" t="str">
        <f ca="1"/>
        <v>500Ｔ</v>
      </c>
    </row>
    <row r="88" spans="2:7">
      <c r="B88" s="27">
        <f t="shared" si="1"/>
        <v>84</v>
      </c>
      <c r="C88" s="27" t="str">
        <f ca="1"/>
        <v>ソラナックス０．８ｍｇ錠</v>
      </c>
      <c r="D88" s="27">
        <f ca="1"/>
        <v>0</v>
      </c>
      <c r="E88" s="56">
        <f ca="1"/>
        <v>1</v>
      </c>
      <c r="F88" s="56" t="str">
        <f ca="1"/>
        <v>バラ</v>
      </c>
      <c r="G88" s="56" t="str">
        <f ca="1"/>
        <v>500Ｔ</v>
      </c>
    </row>
    <row r="89" spans="2:7">
      <c r="B89" s="27">
        <f t="shared" si="1"/>
        <v>85</v>
      </c>
      <c r="C89" s="27" t="str">
        <f ca="1"/>
        <v>ソリフェナシンコハク酸塩ＯＤ錠５ｍｇ「トーワ」</v>
      </c>
      <c r="D89" s="27">
        <f ca="1"/>
        <v>0</v>
      </c>
      <c r="E89" s="56">
        <f ca="1"/>
        <v>1</v>
      </c>
      <c r="F89" s="56" t="str">
        <f ca="1"/>
        <v>PTP</v>
      </c>
      <c r="G89" s="56" t="str">
        <f ca="1"/>
        <v>100T</v>
      </c>
    </row>
    <row r="90" spans="2:7">
      <c r="B90" s="27">
        <f t="shared" si="1"/>
        <v>86</v>
      </c>
      <c r="C90" s="27" t="str">
        <f ca="1"/>
        <v>ソリフェナシンコハク酸塩ＯＤ錠５ｍｇ「トーワ」</v>
      </c>
      <c r="D90" s="27">
        <f ca="1"/>
        <v>0</v>
      </c>
      <c r="E90" s="56">
        <f ca="1"/>
        <v>1</v>
      </c>
      <c r="F90" s="56" t="str">
        <f ca="1"/>
        <v>バラ</v>
      </c>
      <c r="G90" s="56" t="str">
        <f ca="1"/>
        <v>100T</v>
      </c>
    </row>
    <row r="91" spans="2:7">
      <c r="B91" s="27">
        <f t="shared" si="1"/>
        <v>87</v>
      </c>
      <c r="C91" s="27" t="str">
        <f ca="1"/>
        <v>タケキャブＯＤ錠１０ｍｇ</v>
      </c>
      <c r="D91" s="27">
        <f ca="1"/>
        <v>0</v>
      </c>
      <c r="E91" s="56">
        <f ca="1"/>
        <v>5</v>
      </c>
      <c r="F91" s="56" t="str">
        <f ca="1"/>
        <v>PTP</v>
      </c>
      <c r="G91" s="56" t="str">
        <f ca="1"/>
        <v>100Ｔ</v>
      </c>
    </row>
    <row r="92" spans="2:7">
      <c r="B92" s="27">
        <f t="shared" si="1"/>
        <v>88</v>
      </c>
      <c r="C92" s="27" t="str">
        <f ca="1"/>
        <v>タケキャブＯＤ錠１０ｍｇ</v>
      </c>
      <c r="D92" s="27">
        <f ca="1"/>
        <v>0</v>
      </c>
      <c r="E92" s="56">
        <f ca="1"/>
        <v>5</v>
      </c>
      <c r="F92" s="56" t="str">
        <f ca="1"/>
        <v>バラ</v>
      </c>
      <c r="G92" s="56" t="str">
        <f ca="1"/>
        <v>200Ｔ</v>
      </c>
    </row>
    <row r="93" spans="2:7">
      <c r="B93" s="27">
        <f t="shared" si="1"/>
        <v>89</v>
      </c>
      <c r="C93" s="27" t="str">
        <f ca="1"/>
        <v>タケキャブＯＤ錠２０ｍｇ</v>
      </c>
      <c r="D93" s="27">
        <f ca="1"/>
        <v>0</v>
      </c>
      <c r="E93" s="56">
        <f ca="1"/>
        <v>5</v>
      </c>
      <c r="F93" s="56" t="str">
        <f ca="1"/>
        <v>PTP</v>
      </c>
      <c r="G93" s="56" t="str">
        <f ca="1"/>
        <v>100Ｔ</v>
      </c>
    </row>
    <row r="94" spans="2:7">
      <c r="B94" s="27">
        <f t="shared" si="1"/>
        <v>90</v>
      </c>
      <c r="C94" s="27" t="str">
        <f ca="1"/>
        <v>タムスロシン塩酸塩ＯＤ錠０．２ｍｇ「サワイ」</v>
      </c>
      <c r="D94" s="27">
        <f ca="1"/>
        <v>0</v>
      </c>
      <c r="E94" s="56">
        <f ca="1"/>
        <v>5</v>
      </c>
      <c r="F94" s="56" t="str">
        <f ca="1"/>
        <v>ＰＴＰ</v>
      </c>
      <c r="G94" s="56" t="str">
        <f ca="1"/>
        <v>140T</v>
      </c>
    </row>
    <row r="95" spans="2:7">
      <c r="B95" s="27">
        <f t="shared" si="1"/>
        <v>91</v>
      </c>
      <c r="C95" s="27" t="str">
        <f ca="1"/>
        <v>タムスロシン塩酸塩ＯＤ錠０．２ｍｇ「サワイ」</v>
      </c>
      <c r="D95" s="27">
        <f ca="1"/>
        <v>0</v>
      </c>
      <c r="E95" s="56">
        <f ca="1"/>
        <v>5</v>
      </c>
      <c r="F95" s="56" t="str">
        <f ca="1"/>
        <v>バラ</v>
      </c>
      <c r="G95" s="56" t="str">
        <f ca="1"/>
        <v>300T</v>
      </c>
    </row>
    <row r="96" spans="2:7">
      <c r="B96" s="27">
        <f t="shared" si="1"/>
        <v>92</v>
      </c>
      <c r="C96" s="27" t="str">
        <f ca="1"/>
        <v>チザニジン錠１ｍｇ「トーワ」　</v>
      </c>
      <c r="D96" s="27">
        <f ca="1"/>
        <v>0</v>
      </c>
      <c r="E96" s="56">
        <f ca="1"/>
        <v>5</v>
      </c>
      <c r="F96" s="56" t="str">
        <f ca="1"/>
        <v>ＰＴＰ</v>
      </c>
      <c r="G96" s="56" t="str">
        <f ca="1"/>
        <v>100Ｔ</v>
      </c>
    </row>
    <row r="97" spans="2:7">
      <c r="B97" s="27">
        <f t="shared" si="1"/>
        <v>93</v>
      </c>
      <c r="C97" s="27" t="str">
        <f ca="1"/>
        <v>チザニジン錠１ｍｇ「トーワ」　</v>
      </c>
      <c r="D97" s="27">
        <f ca="1"/>
        <v>0</v>
      </c>
      <c r="E97" s="56">
        <f ca="1"/>
        <v>5</v>
      </c>
      <c r="F97" s="56" t="str">
        <f ca="1"/>
        <v>バラ</v>
      </c>
      <c r="G97" s="56" t="str">
        <f ca="1"/>
        <v>1000Ｔ</v>
      </c>
    </row>
    <row r="98" spans="2:7">
      <c r="B98" s="27">
        <f t="shared" si="1"/>
        <v>94</v>
      </c>
      <c r="C98" s="27" t="str">
        <f ca="1"/>
        <v>デエビゴ錠２．５ｍｇ</v>
      </c>
      <c r="D98" s="27">
        <f ca="1"/>
        <v>0</v>
      </c>
      <c r="E98" s="56">
        <f ca="1"/>
        <v>5</v>
      </c>
      <c r="F98" s="56" t="str">
        <f ca="1"/>
        <v>PTP</v>
      </c>
      <c r="G98" s="56" t="str">
        <f ca="1"/>
        <v>100T</v>
      </c>
    </row>
    <row r="99" spans="2:7">
      <c r="B99" s="27">
        <f t="shared" si="1"/>
        <v>95</v>
      </c>
      <c r="C99" s="27" t="str">
        <f ca="1"/>
        <v>デエビゴ錠２．５ｍｇ</v>
      </c>
      <c r="D99" s="27">
        <f ca="1"/>
        <v>0</v>
      </c>
      <c r="E99" s="56">
        <f ca="1"/>
        <v>5</v>
      </c>
      <c r="F99" s="56" t="str">
        <f ca="1"/>
        <v>バラ</v>
      </c>
      <c r="G99" s="56" t="str">
        <f ca="1"/>
        <v>100T</v>
      </c>
    </row>
    <row r="100" spans="2:7">
      <c r="B100" s="27">
        <f t="shared" si="1"/>
        <v>96</v>
      </c>
      <c r="C100" s="27" t="str">
        <f ca="1"/>
        <v>デエビゴ錠５ｍｇ</v>
      </c>
      <c r="D100" s="27">
        <f ca="1"/>
        <v>0</v>
      </c>
      <c r="E100" s="56">
        <f ca="1"/>
        <v>5</v>
      </c>
      <c r="F100" s="56" t="str">
        <f ca="1"/>
        <v>PTP</v>
      </c>
      <c r="G100" s="56" t="str">
        <f ca="1"/>
        <v>500T</v>
      </c>
    </row>
    <row r="101" spans="2:7">
      <c r="B101" s="27">
        <f t="shared" si="1"/>
        <v>97</v>
      </c>
      <c r="C101" s="27" t="str">
        <f ca="1"/>
        <v>デエビゴ錠５ｍｇ</v>
      </c>
      <c r="D101" s="27">
        <f ca="1"/>
        <v>0</v>
      </c>
      <c r="E101" s="56">
        <f ca="1"/>
        <v>5</v>
      </c>
      <c r="F101" s="56" t="str">
        <f ca="1"/>
        <v>バラ</v>
      </c>
      <c r="G101" s="56" t="str">
        <f ca="1"/>
        <v>100T</v>
      </c>
    </row>
    <row r="102" spans="2:7">
      <c r="B102" s="27">
        <f t="shared" si="1"/>
        <v>98</v>
      </c>
      <c r="C102" s="27" t="str">
        <f ca="1"/>
        <v>テトラミド錠１０ｍｇ</v>
      </c>
      <c r="D102" s="27">
        <f ca="1"/>
        <v>0</v>
      </c>
      <c r="E102" s="56">
        <f ca="1"/>
        <v>5</v>
      </c>
      <c r="F102" s="56" t="str">
        <f ca="1"/>
        <v>PTP</v>
      </c>
      <c r="G102" s="56" t="str">
        <f ca="1"/>
        <v>105Ｔ</v>
      </c>
    </row>
    <row r="103" spans="2:7">
      <c r="B103" s="27">
        <f t="shared" si="1"/>
        <v>99</v>
      </c>
      <c r="C103" s="27" t="str">
        <f ca="1"/>
        <v>テトラミド錠３０ｍｇ</v>
      </c>
      <c r="D103" s="27">
        <f ca="1"/>
        <v>0</v>
      </c>
      <c r="E103" s="56">
        <f ca="1"/>
        <v>5</v>
      </c>
      <c r="F103" s="56" t="str">
        <f ca="1"/>
        <v>PTP</v>
      </c>
      <c r="G103" s="56" t="str">
        <f ca="1"/>
        <v>100T</v>
      </c>
    </row>
    <row r="104" spans="2:7">
      <c r="B104" s="27">
        <f t="shared" si="1"/>
        <v>100</v>
      </c>
      <c r="C104" s="27" t="str">
        <f ca="1"/>
        <v>デパケンＲ錠２００ｍｇ</v>
      </c>
      <c r="D104" s="27">
        <f ca="1"/>
        <v>0</v>
      </c>
      <c r="E104" s="56">
        <f ca="1"/>
        <v>5</v>
      </c>
      <c r="F104" s="56" t="str">
        <f ca="1"/>
        <v>PTP</v>
      </c>
      <c r="G104" s="56" t="str">
        <f ca="1"/>
        <v>100Ｔ</v>
      </c>
    </row>
    <row r="105" spans="2:7">
      <c r="B105" s="27">
        <f t="shared" si="1"/>
        <v>101</v>
      </c>
      <c r="C105" s="27" t="str">
        <f ca="1"/>
        <v>デパケンＲ錠２００ｍｇ</v>
      </c>
      <c r="D105" s="27">
        <f ca="1"/>
        <v>0</v>
      </c>
      <c r="E105" s="56">
        <f ca="1"/>
        <v>5</v>
      </c>
      <c r="F105" s="56" t="str">
        <f ca="1"/>
        <v>バラ</v>
      </c>
      <c r="G105" s="56" t="str">
        <f ca="1"/>
        <v>1000Ｔ</v>
      </c>
    </row>
    <row r="106" spans="2:7">
      <c r="B106" s="27">
        <f t="shared" si="1"/>
        <v>102</v>
      </c>
      <c r="C106" s="27" t="str">
        <f ca="1"/>
        <v>デプロメール錠２５</v>
      </c>
      <c r="D106" s="27">
        <f ca="1"/>
        <v>0</v>
      </c>
      <c r="E106" s="56">
        <f ca="1"/>
        <v>5</v>
      </c>
      <c r="F106" s="56" t="str">
        <f ca="1"/>
        <v>PTP</v>
      </c>
      <c r="G106" s="56" t="str">
        <f ca="1"/>
        <v>500T</v>
      </c>
    </row>
    <row r="107" spans="2:7">
      <c r="B107" s="27">
        <f t="shared" si="1"/>
        <v>103</v>
      </c>
      <c r="C107" s="27" t="str">
        <f ca="1"/>
        <v>デプロメール錠２５</v>
      </c>
      <c r="D107" s="27">
        <f ca="1"/>
        <v>0</v>
      </c>
      <c r="E107" s="56">
        <f ca="1"/>
        <v>5</v>
      </c>
      <c r="F107" s="56" t="str">
        <f ca="1"/>
        <v>バラ</v>
      </c>
      <c r="G107" s="56" t="str">
        <f ca="1"/>
        <v>1000T</v>
      </c>
    </row>
    <row r="108" spans="2:7">
      <c r="B108" s="27">
        <f t="shared" si="1"/>
        <v>104</v>
      </c>
      <c r="C108" s="27" t="str">
        <f ca="1"/>
        <v>テルミサルタンＯＤ錠２０ｍｇ「トーワ」</v>
      </c>
      <c r="D108" s="27">
        <f ca="1"/>
        <v>0</v>
      </c>
      <c r="E108" s="56">
        <f ca="1"/>
        <v>5</v>
      </c>
      <c r="F108" s="56" t="str">
        <f ca="1"/>
        <v>ＰＴＰ</v>
      </c>
      <c r="G108" s="56" t="str">
        <f ca="1"/>
        <v>100Ｔ</v>
      </c>
    </row>
    <row r="109" spans="2:7">
      <c r="B109" s="27">
        <f t="shared" si="1"/>
        <v>105</v>
      </c>
      <c r="C109" s="27" t="str">
        <f ca="1"/>
        <v>テルミサルタンＯＤ錠２０ｍｇ「トーワ」</v>
      </c>
      <c r="D109" s="27">
        <f ca="1"/>
        <v>0</v>
      </c>
      <c r="E109" s="56">
        <f ca="1"/>
        <v>5</v>
      </c>
      <c r="F109" s="56" t="str">
        <f ca="1"/>
        <v>バラ</v>
      </c>
      <c r="G109" s="56" t="str">
        <f ca="1"/>
        <v>300Ｔ</v>
      </c>
    </row>
    <row r="110" spans="2:7">
      <c r="B110" s="27">
        <f t="shared" si="1"/>
        <v>106</v>
      </c>
      <c r="C110" s="27" t="str">
        <f ca="1"/>
        <v>トピロリック錠４０ｍｇ</v>
      </c>
      <c r="D110" s="27">
        <f ca="1"/>
        <v>0</v>
      </c>
      <c r="E110" s="56">
        <f ca="1"/>
        <v>5</v>
      </c>
      <c r="F110" s="56" t="str">
        <f ca="1"/>
        <v>PTP</v>
      </c>
      <c r="G110" s="56" t="str">
        <f ca="1"/>
        <v>100Ｔ</v>
      </c>
    </row>
    <row r="111" spans="2:7">
      <c r="B111" s="27">
        <f t="shared" si="1"/>
        <v>107</v>
      </c>
      <c r="C111" s="27" t="str">
        <f ca="1"/>
        <v>ドプスＯＤ錠１００ｍｇ</v>
      </c>
      <c r="D111" s="27">
        <f ca="1"/>
        <v>0</v>
      </c>
      <c r="E111" s="56">
        <f ca="1"/>
        <v>5</v>
      </c>
      <c r="F111" s="56" t="str">
        <f ca="1"/>
        <v>PTP</v>
      </c>
      <c r="G111" s="56" t="str">
        <f ca="1"/>
        <v>100T</v>
      </c>
    </row>
    <row r="112" spans="2:7">
      <c r="B112" s="27">
        <f t="shared" si="1"/>
        <v>108</v>
      </c>
      <c r="C112" s="27" t="str">
        <f ca="1"/>
        <v>トフラニール錠１０ｍｇ</v>
      </c>
      <c r="D112" s="27">
        <f ca="1"/>
        <v>0</v>
      </c>
      <c r="E112" s="56">
        <f ca="1"/>
        <v>5</v>
      </c>
      <c r="F112" s="56" t="str">
        <f ca="1"/>
        <v>PTP</v>
      </c>
      <c r="G112" s="56" t="str">
        <f ca="1"/>
        <v>300T</v>
      </c>
    </row>
    <row r="113" spans="2:7">
      <c r="B113" s="27">
        <f t="shared" si="1"/>
        <v>109</v>
      </c>
      <c r="C113" s="27" t="str">
        <f ca="1"/>
        <v>トリアゾラム錠０．２５ｍｇ「日医工」　　　　　　　　</v>
      </c>
      <c r="D113" s="27">
        <f ca="1"/>
        <v>0</v>
      </c>
      <c r="E113" s="56">
        <f ca="1"/>
        <v>5</v>
      </c>
      <c r="F113" s="56" t="str">
        <f ca="1"/>
        <v>PTP</v>
      </c>
      <c r="G113" s="56" t="str">
        <f ca="1"/>
        <v>100T</v>
      </c>
    </row>
    <row r="114" spans="2:7">
      <c r="B114" s="27">
        <f t="shared" si="1"/>
        <v>110</v>
      </c>
      <c r="C114" s="27" t="str">
        <f ca="1"/>
        <v>トリプタノール錠２５</v>
      </c>
      <c r="D114" s="27">
        <f ca="1"/>
        <v>0</v>
      </c>
      <c r="E114" s="56">
        <f ca="1"/>
        <v>5</v>
      </c>
      <c r="F114" s="56" t="str">
        <f ca="1"/>
        <v>PTP</v>
      </c>
      <c r="G114" s="56" t="str">
        <f ca="1"/>
        <v>100Ｔ</v>
      </c>
    </row>
    <row r="115" spans="2:7">
      <c r="B115" s="27">
        <f t="shared" si="1"/>
        <v>111</v>
      </c>
      <c r="C115" s="27" t="str">
        <f ca="1"/>
        <v>トリヘキシフェニジル塩酸塩錠２ｍｇ「ＮＩＧ」　</v>
      </c>
      <c r="D115" s="27">
        <f ca="1"/>
        <v>0</v>
      </c>
      <c r="E115" s="56">
        <f ca="1"/>
        <v>5</v>
      </c>
      <c r="F115" s="56" t="str">
        <f ca="1"/>
        <v>PTP</v>
      </c>
      <c r="G115" s="56" t="str">
        <f ca="1"/>
        <v>100Ｔ</v>
      </c>
    </row>
    <row r="116" spans="2:7">
      <c r="B116" s="27">
        <f t="shared" si="1"/>
        <v>112</v>
      </c>
      <c r="C116" s="27" t="str">
        <f ca="1"/>
        <v>トリヘキシフェニジル塩酸塩錠２ｍｇ「ＮＩＧ」　</v>
      </c>
      <c r="D116" s="27">
        <f ca="1"/>
        <v>0</v>
      </c>
      <c r="E116" s="56">
        <f ca="1"/>
        <v>5</v>
      </c>
      <c r="F116" s="56" t="str">
        <f ca="1"/>
        <v>バラ</v>
      </c>
      <c r="G116" s="56" t="str">
        <f ca="1"/>
        <v>1200Ｔ</v>
      </c>
    </row>
    <row r="117" spans="2:7">
      <c r="B117" s="27">
        <f t="shared" si="1"/>
        <v>113</v>
      </c>
      <c r="C117" s="27" t="str">
        <f ca="1"/>
        <v>トリメブチンマレイン酸塩錠１００ｍｇ「トーワ」</v>
      </c>
      <c r="D117" s="27">
        <f ca="1"/>
        <v>0</v>
      </c>
      <c r="E117" s="56">
        <f ca="1"/>
        <v>5</v>
      </c>
      <c r="F117" s="56" t="str">
        <f ca="1"/>
        <v>バラ</v>
      </c>
      <c r="G117" s="56" t="str">
        <f ca="1"/>
        <v>1000Ｔ</v>
      </c>
    </row>
    <row r="118" spans="2:7">
      <c r="B118" s="27">
        <f t="shared" si="1"/>
        <v>114</v>
      </c>
      <c r="C118" s="27" t="str">
        <f ca="1"/>
        <v>ドンペリドン錠１０ｍｇ「ＪＧ」</v>
      </c>
      <c r="D118" s="27">
        <f ca="1"/>
        <v>0</v>
      </c>
      <c r="E118" s="56">
        <f ca="1"/>
        <v>5</v>
      </c>
      <c r="F118" s="56" t="str">
        <f ca="1"/>
        <v>PTP</v>
      </c>
      <c r="G118" s="56" t="str">
        <f ca="1"/>
        <v>1000T</v>
      </c>
    </row>
    <row r="119" spans="2:7">
      <c r="B119" s="27">
        <f t="shared" si="1"/>
        <v>115</v>
      </c>
      <c r="C119" s="27" t="str">
        <f ca="1"/>
        <v>ナトリックス錠１</v>
      </c>
      <c r="D119" s="27">
        <f ca="1"/>
        <v>0</v>
      </c>
      <c r="E119" s="56">
        <f ca="1"/>
        <v>5</v>
      </c>
      <c r="F119" s="56" t="str">
        <f ca="1"/>
        <v>PTP</v>
      </c>
      <c r="G119" s="56" t="str">
        <f ca="1"/>
        <v>100Ｔ</v>
      </c>
    </row>
    <row r="120" spans="2:7">
      <c r="B120" s="27">
        <f t="shared" si="1"/>
        <v>116</v>
      </c>
      <c r="C120" s="27" t="str">
        <f ca="1"/>
        <v>ニコランジル錠５ｍｇ「トーワ」　　　　　　　　　</v>
      </c>
      <c r="D120" s="27">
        <f ca="1"/>
        <v>0</v>
      </c>
      <c r="E120" s="56">
        <f ca="1"/>
        <v>5</v>
      </c>
      <c r="F120" s="56" t="str">
        <f ca="1"/>
        <v>バラ</v>
      </c>
      <c r="G120" s="56" t="str">
        <f ca="1"/>
        <v>1000Ｔ</v>
      </c>
    </row>
    <row r="121" spans="2:7">
      <c r="B121" s="27">
        <f t="shared" si="1"/>
        <v>117</v>
      </c>
      <c r="C121" s="27" t="str">
        <f ca="1"/>
        <v>ニセルゴリン錠５ｍｇ「トーワ」</v>
      </c>
      <c r="D121" s="27">
        <f ca="1"/>
        <v>0</v>
      </c>
      <c r="E121" s="56">
        <f ca="1"/>
        <v>5</v>
      </c>
      <c r="F121" s="56" t="str">
        <f ca="1"/>
        <v>バラ</v>
      </c>
      <c r="G121" s="56" t="str">
        <f ca="1"/>
        <v>1000Ｔ</v>
      </c>
    </row>
    <row r="122" spans="2:7">
      <c r="B122" s="27">
        <f t="shared" si="1"/>
        <v>118</v>
      </c>
      <c r="C122" s="27" t="str">
        <f ca="1"/>
        <v>ニューレプチル錠１０ｍｇ</v>
      </c>
      <c r="D122" s="27">
        <f ca="1"/>
        <v>0</v>
      </c>
      <c r="E122" s="56">
        <f ca="1"/>
        <v>5</v>
      </c>
      <c r="F122" s="56" t="str">
        <f ca="1"/>
        <v>バラ</v>
      </c>
      <c r="G122" s="56" t="str">
        <f ca="1"/>
        <v>1000Ｔ</v>
      </c>
    </row>
    <row r="123" spans="2:7">
      <c r="B123" s="27">
        <f t="shared" si="1"/>
        <v>119</v>
      </c>
      <c r="C123" s="27" t="str">
        <f ca="1"/>
        <v>ニューレプチル錠５ｍｇ</v>
      </c>
      <c r="D123" s="27">
        <f ca="1"/>
        <v>0</v>
      </c>
      <c r="E123" s="56">
        <f ca="1"/>
        <v>5</v>
      </c>
      <c r="F123" s="56" t="str">
        <f ca="1"/>
        <v>バラ</v>
      </c>
      <c r="G123" s="56" t="str">
        <f ca="1"/>
        <v>1000T</v>
      </c>
    </row>
    <row r="124" spans="2:7">
      <c r="B124" s="27">
        <f t="shared" si="1"/>
        <v>120</v>
      </c>
      <c r="C124" s="27" t="str">
        <f ca="1"/>
        <v>ネオドパストン配合錠Ｌ１００</v>
      </c>
      <c r="D124" s="27">
        <f ca="1"/>
        <v>0</v>
      </c>
      <c r="E124" s="56">
        <f ca="1"/>
        <v>5</v>
      </c>
      <c r="F124" s="56" t="str">
        <f ca="1"/>
        <v>バラ</v>
      </c>
      <c r="G124" s="56" t="str">
        <f ca="1"/>
        <v>1000T</v>
      </c>
    </row>
    <row r="125" spans="2:7">
      <c r="B125" s="27">
        <f t="shared" si="1"/>
        <v>121</v>
      </c>
      <c r="C125" s="27" t="str">
        <f ca="1"/>
        <v>ノイロトロピン錠４単位</v>
      </c>
      <c r="D125" s="27">
        <f ca="1"/>
        <v>0</v>
      </c>
      <c r="E125" s="56">
        <f ca="1"/>
        <v>5</v>
      </c>
      <c r="F125" s="56" t="str">
        <f ca="1"/>
        <v>PTP</v>
      </c>
      <c r="G125" s="56" t="str">
        <f ca="1"/>
        <v>1000T</v>
      </c>
    </row>
    <row r="126" spans="2:7">
      <c r="B126" s="27">
        <f t="shared" si="1"/>
        <v>122</v>
      </c>
      <c r="C126" s="27" t="str">
        <f ca="1"/>
        <v>ノイロビタン配合錠</v>
      </c>
      <c r="D126" s="27">
        <f ca="1"/>
        <v>0</v>
      </c>
      <c r="E126" s="56">
        <f ca="1"/>
        <v>5</v>
      </c>
      <c r="F126" s="56" t="str">
        <f ca="1"/>
        <v>PTP</v>
      </c>
      <c r="G126" s="56" t="str">
        <f ca="1"/>
        <v>500T</v>
      </c>
    </row>
    <row r="127" spans="2:7">
      <c r="B127" s="27">
        <f t="shared" si="1"/>
        <v>123</v>
      </c>
      <c r="C127" s="27" t="str">
        <f ca="1"/>
        <v>ノイロビタン配合錠</v>
      </c>
      <c r="D127" s="27">
        <f ca="1"/>
        <v>0</v>
      </c>
      <c r="E127" s="56">
        <f ca="1"/>
        <v>5</v>
      </c>
      <c r="F127" s="56" t="str">
        <f ca="1"/>
        <v>バラ</v>
      </c>
      <c r="G127" s="56" t="str">
        <f ca="1"/>
        <v>1000T</v>
      </c>
    </row>
    <row r="128" spans="2:7">
      <c r="B128" s="27">
        <f t="shared" si="1"/>
        <v>124</v>
      </c>
      <c r="C128" s="27" t="str">
        <f ca="1"/>
        <v>バッサミン配合錠Ａ８１</v>
      </c>
      <c r="D128" s="27">
        <f ca="1"/>
        <v>0</v>
      </c>
      <c r="E128" s="56">
        <f ca="1"/>
        <v>5</v>
      </c>
      <c r="F128" s="56" t="str">
        <f ca="1"/>
        <v>PTP</v>
      </c>
      <c r="G128" s="56" t="str">
        <f ca="1"/>
        <v>1000T</v>
      </c>
    </row>
    <row r="129" spans="2:7">
      <c r="B129" s="27">
        <f t="shared" si="1"/>
        <v>125</v>
      </c>
      <c r="C129" s="27" t="str">
        <f ca="1"/>
        <v>バナン錠１００ｍｇ（第一三共）</v>
      </c>
      <c r="D129" s="27">
        <f ca="1"/>
        <v>0</v>
      </c>
      <c r="E129" s="56">
        <f ca="1"/>
        <v>1</v>
      </c>
      <c r="F129" s="56" t="str">
        <f ca="1"/>
        <v>PTP</v>
      </c>
      <c r="G129" s="56" t="str">
        <f ca="1"/>
        <v>100Ｔ</v>
      </c>
    </row>
    <row r="130" spans="2:7">
      <c r="B130" s="27">
        <f t="shared" si="1"/>
        <v>126</v>
      </c>
      <c r="C130" s="27" t="str">
        <f ca="1"/>
        <v>バラシクロビル錠５００ｍｇ「ＳＰＫＫ」</v>
      </c>
      <c r="D130" s="27">
        <f ca="1"/>
        <v>0</v>
      </c>
      <c r="E130" s="56">
        <f ca="1"/>
        <v>1</v>
      </c>
      <c r="F130" s="56" t="str">
        <f ca="1"/>
        <v>PTP</v>
      </c>
      <c r="G130" s="56" t="str">
        <f ca="1"/>
        <v>42Ｔ</v>
      </c>
    </row>
    <row r="131" spans="2:7">
      <c r="B131" s="27">
        <f t="shared" si="1"/>
        <v>127</v>
      </c>
      <c r="C131" s="27" t="str">
        <f ca="1"/>
        <v>バルプロ酸ナトリウム錠２００ｍｇ「ＤＳＰ」</v>
      </c>
      <c r="D131" s="27">
        <f ca="1"/>
        <v>0</v>
      </c>
      <c r="E131" s="56">
        <f ca="1"/>
        <v>5</v>
      </c>
      <c r="F131" s="56" t="str">
        <f ca="1"/>
        <v>バラ</v>
      </c>
      <c r="G131" s="56" t="str">
        <f ca="1"/>
        <v>500Ｔ</v>
      </c>
    </row>
    <row r="132" spans="2:7">
      <c r="B132" s="27">
        <f t="shared" si="1"/>
        <v>128</v>
      </c>
      <c r="C132" s="27" t="str">
        <f ca="1"/>
        <v>パントシン錠２００</v>
      </c>
      <c r="D132" s="27">
        <f ca="1"/>
        <v>0</v>
      </c>
      <c r="E132" s="56">
        <f ca="1"/>
        <v>5</v>
      </c>
      <c r="F132" s="56" t="str">
        <f ca="1"/>
        <v>PTP</v>
      </c>
      <c r="G132" s="56" t="str">
        <f ca="1"/>
        <v>100T</v>
      </c>
    </row>
    <row r="133" spans="2:7">
      <c r="B133" s="27">
        <f t="shared" si="1"/>
        <v>129</v>
      </c>
      <c r="C133" s="27" t="str">
        <f ca="1"/>
        <v>パントシン錠２００</v>
      </c>
      <c r="D133" s="27">
        <f ca="1"/>
        <v>0</v>
      </c>
      <c r="E133" s="56">
        <f ca="1"/>
        <v>5</v>
      </c>
      <c r="F133" s="56" t="str">
        <f ca="1"/>
        <v>バラ</v>
      </c>
      <c r="G133" s="56" t="str">
        <f ca="1"/>
        <v>500T</v>
      </c>
    </row>
    <row r="134" spans="2:7">
      <c r="B134" s="27">
        <f t="shared" si="1"/>
        <v>130</v>
      </c>
      <c r="C134" s="27" t="str">
        <f ca="1"/>
        <v>ビオフェルミン錠剤</v>
      </c>
      <c r="D134" s="27">
        <f ca="1"/>
        <v>0</v>
      </c>
      <c r="E134" s="56">
        <f ca="1"/>
        <v>5</v>
      </c>
      <c r="F134" s="56" t="str">
        <f ca="1"/>
        <v>PTP</v>
      </c>
      <c r="G134" s="56" t="str">
        <f ca="1"/>
        <v>630T</v>
      </c>
    </row>
    <row r="135" spans="2:7">
      <c r="B135" s="27">
        <f t="shared" ref="B135:B198" si="2">B134+1</f>
        <v>131</v>
      </c>
      <c r="C135" s="27" t="str">
        <f ca="1"/>
        <v>ビオフェルミン錠剤</v>
      </c>
      <c r="D135" s="27">
        <f ca="1"/>
        <v>0</v>
      </c>
      <c r="E135" s="56">
        <f ca="1"/>
        <v>5</v>
      </c>
      <c r="F135" s="56" t="str">
        <f ca="1"/>
        <v>バラ</v>
      </c>
      <c r="G135" s="56" t="str">
        <f ca="1"/>
        <v>1000T</v>
      </c>
    </row>
    <row r="136" spans="2:7">
      <c r="B136" s="27">
        <f t="shared" si="2"/>
        <v>132</v>
      </c>
      <c r="C136" s="27" t="str">
        <f ca="1"/>
        <v>ピコスルファートナトリウム錠２．５ｍｇ「イワキ」</v>
      </c>
      <c r="D136" s="27">
        <f ca="1"/>
        <v>0</v>
      </c>
      <c r="E136" s="56">
        <f ca="1"/>
        <v>5</v>
      </c>
      <c r="F136" s="56" t="str">
        <f ca="1"/>
        <v>ＰＴＰ</v>
      </c>
      <c r="G136" s="56" t="str">
        <f ca="1"/>
        <v>1000T</v>
      </c>
    </row>
    <row r="137" spans="2:7">
      <c r="B137" s="27">
        <f t="shared" si="2"/>
        <v>133</v>
      </c>
      <c r="C137" s="27" t="str">
        <f ca="1"/>
        <v>ピコスルファートナトリウム錠２．５ｍｇ「イワキ」</v>
      </c>
      <c r="D137" s="27">
        <f ca="1"/>
        <v>0</v>
      </c>
      <c r="E137" s="56">
        <f ca="1"/>
        <v>5</v>
      </c>
      <c r="F137" s="56" t="str">
        <f ca="1"/>
        <v>バラ</v>
      </c>
      <c r="G137" s="56" t="str">
        <f ca="1"/>
        <v>1000T</v>
      </c>
    </row>
    <row r="138" spans="2:7">
      <c r="B138" s="27">
        <f t="shared" si="2"/>
        <v>134</v>
      </c>
      <c r="C138" s="27" t="str">
        <f ca="1"/>
        <v>ビソプロロールフマル酸塩錠０．６２５ｍｇ「トーワ」</v>
      </c>
      <c r="D138" s="27">
        <f ca="1"/>
        <v>0</v>
      </c>
      <c r="E138" s="56">
        <f ca="1"/>
        <v>5</v>
      </c>
      <c r="F138" s="56" t="str">
        <f ca="1"/>
        <v>PTP</v>
      </c>
      <c r="G138" s="56" t="str">
        <f ca="1"/>
        <v>100T</v>
      </c>
    </row>
    <row r="139" spans="2:7">
      <c r="B139" s="27">
        <f t="shared" si="2"/>
        <v>135</v>
      </c>
      <c r="C139" s="27" t="str">
        <f ca="1"/>
        <v>ビソプロロールフマル酸塩錠２．５ｍｇ「トーワ」</v>
      </c>
      <c r="D139" s="27">
        <f ca="1"/>
        <v>0</v>
      </c>
      <c r="E139" s="56">
        <f ca="1"/>
        <v>1</v>
      </c>
      <c r="F139" s="56" t="str">
        <f ca="1"/>
        <v>PTP</v>
      </c>
      <c r="G139" s="56" t="str">
        <f ca="1"/>
        <v>100T</v>
      </c>
    </row>
    <row r="140" spans="2:7">
      <c r="B140" s="27">
        <f t="shared" si="2"/>
        <v>136</v>
      </c>
      <c r="C140" s="27" t="str">
        <f ca="1"/>
        <v>ビブラマイシン錠５０ｍｇ</v>
      </c>
      <c r="D140" s="27">
        <f ca="1"/>
        <v>0</v>
      </c>
      <c r="E140" s="56">
        <f ca="1"/>
        <v>1</v>
      </c>
      <c r="F140" s="56" t="str">
        <f ca="1"/>
        <v>PTP</v>
      </c>
      <c r="G140" s="56" t="str">
        <f ca="1"/>
        <v>100T</v>
      </c>
    </row>
    <row r="141" spans="2:7">
      <c r="B141" s="27">
        <f t="shared" si="2"/>
        <v>137</v>
      </c>
      <c r="C141" s="27" t="str">
        <f ca="1"/>
        <v>ビペリデン塩酸塩錠１ｍｇ「アメル」</v>
      </c>
      <c r="D141" s="27">
        <f ca="1"/>
        <v>0</v>
      </c>
      <c r="E141" s="56">
        <f ca="1"/>
        <v>5</v>
      </c>
      <c r="F141" s="56" t="str">
        <f ca="1"/>
        <v>PTP</v>
      </c>
      <c r="G141" s="56" t="str">
        <f ca="1"/>
        <v>1000Ｔ</v>
      </c>
    </row>
    <row r="142" spans="2:7">
      <c r="B142" s="27">
        <f t="shared" si="2"/>
        <v>138</v>
      </c>
      <c r="C142" s="27" t="str">
        <f ca="1"/>
        <v>ビペリデン塩酸塩錠１ｍｇ「アメル」</v>
      </c>
      <c r="D142" s="27">
        <f ca="1"/>
        <v>0</v>
      </c>
      <c r="E142" s="56">
        <f ca="1"/>
        <v>5</v>
      </c>
      <c r="F142" s="56" t="str">
        <f ca="1"/>
        <v>バラ</v>
      </c>
      <c r="G142" s="56" t="str">
        <f ca="1"/>
        <v>1000Ｔ</v>
      </c>
    </row>
    <row r="143" spans="2:7">
      <c r="B143" s="27">
        <f t="shared" si="2"/>
        <v>139</v>
      </c>
      <c r="C143" s="27" t="str">
        <f ca="1"/>
        <v>ヒベルナ糖衣錠２５ｍｇ</v>
      </c>
      <c r="D143" s="27">
        <f ca="1"/>
        <v>0</v>
      </c>
      <c r="E143" s="56">
        <f ca="1"/>
        <v>5</v>
      </c>
      <c r="F143" s="56" t="str">
        <f ca="1"/>
        <v>PTP</v>
      </c>
      <c r="G143" s="56" t="str">
        <f ca="1"/>
        <v>100Ｔ</v>
      </c>
    </row>
    <row r="144" spans="2:7">
      <c r="B144" s="27">
        <f t="shared" si="2"/>
        <v>140</v>
      </c>
      <c r="C144" s="27" t="str">
        <f ca="1"/>
        <v>ヒベルナ糖衣錠２５ｍｇ</v>
      </c>
      <c r="D144" s="27">
        <f ca="1"/>
        <v>0</v>
      </c>
      <c r="E144" s="56">
        <f ca="1"/>
        <v>5</v>
      </c>
      <c r="F144" s="56" t="str">
        <f ca="1"/>
        <v>バラ</v>
      </c>
      <c r="G144" s="56" t="str">
        <f ca="1"/>
        <v>1000Ｔ</v>
      </c>
    </row>
    <row r="145" spans="2:7">
      <c r="B145" s="27">
        <f t="shared" si="2"/>
        <v>141</v>
      </c>
      <c r="C145" s="27" t="str">
        <f ca="1"/>
        <v>ビラノアＯＤ錠２０ｍｇ</v>
      </c>
      <c r="D145" s="27">
        <f ca="1"/>
        <v>0</v>
      </c>
      <c r="E145" s="56">
        <f ca="1"/>
        <v>5</v>
      </c>
      <c r="F145" s="56" t="str">
        <f ca="1"/>
        <v>ＰＴＰ</v>
      </c>
      <c r="G145" s="56" t="str">
        <f ca="1"/>
        <v>100T</v>
      </c>
    </row>
    <row r="146" spans="2:7">
      <c r="B146" s="27">
        <f t="shared" si="2"/>
        <v>142</v>
      </c>
      <c r="C146" s="27" t="str">
        <f ca="1"/>
        <v>ビラノアＯＤ錠２０ｍｇ</v>
      </c>
      <c r="D146" s="27">
        <f ca="1"/>
        <v>0</v>
      </c>
      <c r="E146" s="56">
        <f ca="1"/>
        <v>5</v>
      </c>
      <c r="F146" s="56" t="str">
        <f ca="1"/>
        <v>ＰＴＰ</v>
      </c>
      <c r="G146" s="56" t="str">
        <f ca="1"/>
        <v>500T</v>
      </c>
    </row>
    <row r="147" spans="2:7">
      <c r="B147" s="27">
        <f t="shared" si="2"/>
        <v>143</v>
      </c>
      <c r="C147" s="27" t="str">
        <f ca="1"/>
        <v>ヒルナミン錠（２５ｍｇ）</v>
      </c>
      <c r="D147" s="27">
        <f ca="1"/>
        <v>0</v>
      </c>
      <c r="E147" s="56">
        <f ca="1"/>
        <v>5</v>
      </c>
      <c r="F147" s="56" t="str">
        <f ca="1"/>
        <v>PTP</v>
      </c>
      <c r="G147" s="56" t="str">
        <f ca="1"/>
        <v>100T</v>
      </c>
    </row>
    <row r="148" spans="2:7">
      <c r="B148" s="27">
        <f t="shared" si="2"/>
        <v>144</v>
      </c>
      <c r="C148" s="27" t="str">
        <f ca="1"/>
        <v>ヒルナミン錠（２５ｍｇ）</v>
      </c>
      <c r="D148" s="27">
        <f ca="1"/>
        <v>0</v>
      </c>
      <c r="E148" s="56">
        <f ca="1"/>
        <v>5</v>
      </c>
      <c r="F148" s="56" t="str">
        <f ca="1"/>
        <v>バラ</v>
      </c>
      <c r="G148" s="56" t="str">
        <f ca="1"/>
        <v>1000T</v>
      </c>
    </row>
    <row r="149" spans="2:7">
      <c r="B149" s="27">
        <f t="shared" si="2"/>
        <v>145</v>
      </c>
      <c r="C149" s="27" t="str">
        <f ca="1"/>
        <v>ヒルナミン錠（５ｍｇ）</v>
      </c>
      <c r="D149" s="27">
        <f ca="1"/>
        <v>0</v>
      </c>
      <c r="E149" s="56">
        <f ca="1"/>
        <v>5</v>
      </c>
      <c r="F149" s="56" t="str">
        <f ca="1"/>
        <v>PTP</v>
      </c>
      <c r="G149" s="56" t="str">
        <f ca="1"/>
        <v>1000T</v>
      </c>
    </row>
    <row r="150" spans="2:7">
      <c r="B150" s="27">
        <f t="shared" si="2"/>
        <v>146</v>
      </c>
      <c r="C150" s="27" t="str">
        <f ca="1"/>
        <v>ヒルナミン錠（５ｍｇ）</v>
      </c>
      <c r="D150" s="27">
        <f ca="1"/>
        <v>0</v>
      </c>
      <c r="E150" s="56">
        <f ca="1"/>
        <v>5</v>
      </c>
      <c r="F150" s="56" t="str">
        <f ca="1"/>
        <v>バラ</v>
      </c>
      <c r="G150" s="56" t="str">
        <f ca="1"/>
        <v>1000T</v>
      </c>
    </row>
    <row r="151" spans="2:7">
      <c r="B151" s="27">
        <f t="shared" si="2"/>
        <v>147</v>
      </c>
      <c r="C151" s="27" t="str">
        <f ca="1"/>
        <v>ファモチジンＤ錠２０ｍｇ「サワイ」</v>
      </c>
      <c r="D151" s="27">
        <f ca="1"/>
        <v>0</v>
      </c>
      <c r="E151" s="56">
        <f ca="1"/>
        <v>5</v>
      </c>
      <c r="F151" s="56" t="str">
        <f ca="1"/>
        <v>PTP</v>
      </c>
      <c r="G151" s="56" t="str">
        <f ca="1"/>
        <v>100Ｔ</v>
      </c>
    </row>
    <row r="152" spans="2:7">
      <c r="B152" s="27">
        <f t="shared" si="2"/>
        <v>148</v>
      </c>
      <c r="C152" s="27" t="str">
        <f ca="1"/>
        <v>ファモチジンＤ錠２０ｍｇ「サワイ」</v>
      </c>
      <c r="D152" s="27">
        <f ca="1"/>
        <v>0</v>
      </c>
      <c r="E152" s="56">
        <f ca="1"/>
        <v>5</v>
      </c>
      <c r="F152" s="56" t="str">
        <f ca="1"/>
        <v>バラ</v>
      </c>
      <c r="G152" s="56" t="str">
        <f ca="1"/>
        <v>500Ｔ</v>
      </c>
    </row>
    <row r="153" spans="2:7">
      <c r="B153" s="27">
        <f t="shared" si="2"/>
        <v>149</v>
      </c>
      <c r="C153" s="27" t="str">
        <f ca="1"/>
        <v>ファロム錠２００ｍｇ</v>
      </c>
      <c r="D153" s="27">
        <f ca="1"/>
        <v>0</v>
      </c>
      <c r="E153" s="56">
        <f ca="1"/>
        <v>1</v>
      </c>
      <c r="F153" s="56" t="str">
        <f ca="1"/>
        <v>PTP</v>
      </c>
      <c r="G153" s="56" t="str">
        <f ca="1"/>
        <v>100T</v>
      </c>
    </row>
    <row r="154" spans="2:7">
      <c r="B154" s="27">
        <f t="shared" si="2"/>
        <v>150</v>
      </c>
      <c r="C154" s="27" t="str">
        <f ca="1"/>
        <v>フィコンパ錠２ｍｇ</v>
      </c>
      <c r="D154" s="27">
        <f ca="1"/>
        <v>0</v>
      </c>
      <c r="E154" s="56">
        <f ca="1"/>
        <v>1</v>
      </c>
      <c r="F154" s="56" t="str">
        <f ca="1"/>
        <v>PTP</v>
      </c>
      <c r="G154" s="56" t="str">
        <f ca="1"/>
        <v>56T</v>
      </c>
    </row>
    <row r="155" spans="2:7">
      <c r="B155" s="27">
        <f t="shared" si="2"/>
        <v>151</v>
      </c>
      <c r="C155" s="27" t="str">
        <f ca="1"/>
        <v>フェブキソスタット錠１０ｍｇ「サワイ」　</v>
      </c>
      <c r="D155" s="27">
        <f ca="1"/>
        <v>0</v>
      </c>
      <c r="E155" s="56">
        <f ca="1"/>
        <v>5</v>
      </c>
      <c r="F155" s="56" t="str">
        <f ca="1"/>
        <v>PTP</v>
      </c>
      <c r="G155" s="56" t="str">
        <f ca="1"/>
        <v>100T</v>
      </c>
    </row>
    <row r="156" spans="2:7">
      <c r="B156" s="27">
        <f t="shared" si="2"/>
        <v>152</v>
      </c>
      <c r="C156" s="27" t="str">
        <f ca="1"/>
        <v>フェロミア錠５０ｍｇ</v>
      </c>
      <c r="D156" s="27">
        <f ca="1"/>
        <v>0</v>
      </c>
      <c r="E156" s="56">
        <f ca="1"/>
        <v>5</v>
      </c>
      <c r="F156" s="56" t="str">
        <f ca="1"/>
        <v>PTP</v>
      </c>
      <c r="G156" s="56" t="str">
        <f ca="1"/>
        <v>500T</v>
      </c>
    </row>
    <row r="157" spans="2:7">
      <c r="B157" s="27">
        <f t="shared" si="2"/>
        <v>153</v>
      </c>
      <c r="C157" s="27" t="str">
        <f ca="1"/>
        <v>フェロミア錠５０ｍｇ</v>
      </c>
      <c r="D157" s="27">
        <f ca="1"/>
        <v>0</v>
      </c>
      <c r="E157" s="56">
        <f ca="1"/>
        <v>5</v>
      </c>
      <c r="F157" s="56" t="str">
        <f ca="1"/>
        <v>バラ</v>
      </c>
      <c r="G157" s="56" t="str">
        <f ca="1"/>
        <v>500T</v>
      </c>
    </row>
    <row r="158" spans="2:7">
      <c r="B158" s="27">
        <f t="shared" si="2"/>
        <v>154</v>
      </c>
      <c r="C158" s="27" t="str">
        <f ca="1"/>
        <v>フォシーガ錠５ｍｇ</v>
      </c>
      <c r="D158" s="27">
        <f ca="1"/>
        <v>0</v>
      </c>
      <c r="E158" s="56">
        <f ca="1"/>
        <v>5</v>
      </c>
      <c r="F158" s="56" t="str">
        <f ca="1"/>
        <v>PTP</v>
      </c>
      <c r="G158" s="56" t="str">
        <f ca="1"/>
        <v>100T</v>
      </c>
    </row>
    <row r="159" spans="2:7">
      <c r="B159" s="27">
        <f t="shared" si="2"/>
        <v>155</v>
      </c>
      <c r="C159" s="27" t="str">
        <f ca="1"/>
        <v>プラバスタチンＮａ錠５ｍｇ「サワイ」</v>
      </c>
      <c r="D159" s="27">
        <f ca="1"/>
        <v>0</v>
      </c>
      <c r="E159" s="56">
        <f ca="1"/>
        <v>5</v>
      </c>
      <c r="F159" s="56" t="str">
        <f ca="1"/>
        <v>PTP</v>
      </c>
      <c r="G159" s="56" t="str">
        <f ca="1"/>
        <v>100T</v>
      </c>
    </row>
    <row r="160" spans="2:7">
      <c r="B160" s="27">
        <f t="shared" si="2"/>
        <v>156</v>
      </c>
      <c r="C160" s="27" t="str">
        <f ca="1"/>
        <v>プラバスタチンＮａ錠５ｍｇ「サワイ」</v>
      </c>
      <c r="D160" s="27">
        <f ca="1"/>
        <v>0</v>
      </c>
      <c r="E160" s="56">
        <f ca="1"/>
        <v>5</v>
      </c>
      <c r="F160" s="56" t="str">
        <f ca="1"/>
        <v>バラ</v>
      </c>
      <c r="G160" s="56" t="str">
        <f ca="1"/>
        <v>1000T</v>
      </c>
    </row>
    <row r="161" spans="2:7">
      <c r="B161" s="27">
        <f t="shared" si="2"/>
        <v>157</v>
      </c>
      <c r="C161" s="27" t="str">
        <f ca="1"/>
        <v>フルニトラゼパム錠１ｍｇ「アメル」</v>
      </c>
      <c r="D161" s="27">
        <f ca="1"/>
        <v>0</v>
      </c>
      <c r="E161" s="56">
        <f ca="1"/>
        <v>3</v>
      </c>
      <c r="F161" s="56" t="str">
        <f ca="1"/>
        <v>PTP</v>
      </c>
      <c r="G161" s="56" t="str">
        <f ca="1"/>
        <v>1000Ｔ</v>
      </c>
    </row>
    <row r="162" spans="2:7">
      <c r="B162" s="27">
        <f t="shared" si="2"/>
        <v>158</v>
      </c>
      <c r="C162" s="27" t="str">
        <f ca="1"/>
        <v>フルニトラゼパム錠１ｍｇ「アメル」</v>
      </c>
      <c r="D162" s="27">
        <f ca="1"/>
        <v>0</v>
      </c>
      <c r="E162" s="56">
        <f ca="1"/>
        <v>3</v>
      </c>
      <c r="F162" s="56" t="str">
        <f ca="1"/>
        <v>バラ</v>
      </c>
      <c r="G162" s="56" t="str">
        <f ca="1"/>
        <v>1000Ｔ</v>
      </c>
    </row>
    <row r="163" spans="2:7">
      <c r="B163" s="27">
        <f t="shared" si="2"/>
        <v>159</v>
      </c>
      <c r="C163" s="27" t="str">
        <f ca="1"/>
        <v>フルニトラゼパム錠２ｍｇ「アメル」</v>
      </c>
      <c r="D163" s="27">
        <f ca="1"/>
        <v>0</v>
      </c>
      <c r="E163" s="56">
        <f ca="1"/>
        <v>3</v>
      </c>
      <c r="F163" s="56" t="str">
        <f ca="1"/>
        <v>PTP</v>
      </c>
      <c r="G163" s="56" t="str">
        <f ca="1"/>
        <v>1000Ｔ</v>
      </c>
    </row>
    <row r="164" spans="2:7">
      <c r="B164" s="27">
        <f t="shared" si="2"/>
        <v>160</v>
      </c>
      <c r="C164" s="27" t="str">
        <f ca="1"/>
        <v>フルニトラゼパム錠２ｍｇ「アメル」</v>
      </c>
      <c r="D164" s="27">
        <f ca="1"/>
        <v>0</v>
      </c>
      <c r="E164" s="56">
        <f ca="1"/>
        <v>3</v>
      </c>
      <c r="F164" s="56" t="str">
        <f ca="1"/>
        <v>バラ</v>
      </c>
      <c r="G164" s="56" t="str">
        <f ca="1"/>
        <v>1000Ｔ</v>
      </c>
    </row>
    <row r="165" spans="2:7">
      <c r="B165" s="27">
        <f t="shared" si="2"/>
        <v>161</v>
      </c>
      <c r="C165" s="27" t="str">
        <f ca="1"/>
        <v>プレドニゾロン錠５ｍｇ「ＶＴＲＳ」　　　　　</v>
      </c>
      <c r="D165" s="27">
        <f ca="1"/>
        <v>0</v>
      </c>
      <c r="E165" s="56">
        <f ca="1"/>
        <v>5</v>
      </c>
      <c r="F165" s="56" t="str">
        <f ca="1"/>
        <v>PTP</v>
      </c>
      <c r="G165" s="56" t="str">
        <f ca="1"/>
        <v>100T</v>
      </c>
    </row>
    <row r="166" spans="2:7">
      <c r="B166" s="27">
        <f t="shared" si="2"/>
        <v>162</v>
      </c>
      <c r="C166" s="27" t="str">
        <f ca="1"/>
        <v>フロセミド錠２０ｍｇ「ＮＩＧ」</v>
      </c>
      <c r="D166" s="27">
        <f ca="1"/>
        <v>0</v>
      </c>
      <c r="E166" s="56">
        <f ca="1"/>
        <v>5</v>
      </c>
      <c r="F166" s="56" t="str">
        <f ca="1"/>
        <v>バラ</v>
      </c>
      <c r="G166" s="56" t="str">
        <f ca="1"/>
        <v>1200錠</v>
      </c>
    </row>
    <row r="167" spans="2:7">
      <c r="B167" s="27">
        <f t="shared" si="2"/>
        <v>163</v>
      </c>
      <c r="C167" s="27" t="str">
        <f ca="1"/>
        <v>ブロチゾラム錠０．２５ｍｇ「ヨシトミ」</v>
      </c>
      <c r="D167" s="27">
        <f ca="1"/>
        <v>0</v>
      </c>
      <c r="E167" s="56">
        <f ca="1"/>
        <v>5</v>
      </c>
      <c r="F167" s="56" t="str">
        <f ca="1"/>
        <v>PTP</v>
      </c>
      <c r="G167" s="56" t="str">
        <f ca="1"/>
        <v>1000T</v>
      </c>
    </row>
    <row r="168" spans="2:7">
      <c r="B168" s="27">
        <f t="shared" si="2"/>
        <v>164</v>
      </c>
      <c r="C168" s="27" t="str">
        <f ca="1"/>
        <v>ブロチゾラム錠０．２５ｍｇ「ヨシトミ」</v>
      </c>
      <c r="D168" s="27">
        <f ca="1"/>
        <v>0</v>
      </c>
      <c r="E168" s="56">
        <f ca="1"/>
        <v>5</v>
      </c>
      <c r="F168" s="56" t="str">
        <f ca="1"/>
        <v>バラ</v>
      </c>
      <c r="G168" s="56" t="str">
        <f ca="1"/>
        <v>500T</v>
      </c>
    </row>
    <row r="169" spans="2:7">
      <c r="B169" s="27">
        <f t="shared" si="2"/>
        <v>165</v>
      </c>
      <c r="C169" s="27" t="str">
        <f ca="1"/>
        <v>プロピベリン塩酸塩錠１０ｍｇ「ＮＩＧ」　</v>
      </c>
      <c r="D169" s="27">
        <f ca="1"/>
        <v>0</v>
      </c>
      <c r="E169" s="56">
        <f ca="1"/>
        <v>1</v>
      </c>
      <c r="F169" s="56" t="str">
        <f ca="1"/>
        <v>PTP</v>
      </c>
      <c r="G169" s="56" t="str">
        <f ca="1"/>
        <v>100Ｔ</v>
      </c>
    </row>
    <row r="170" spans="2:7">
      <c r="B170" s="27">
        <f t="shared" si="2"/>
        <v>166</v>
      </c>
      <c r="C170" s="27" t="str">
        <f ca="1"/>
        <v>プロピベリン塩酸塩錠１０ｍｇ「ＮＩＧ」　</v>
      </c>
      <c r="D170" s="27">
        <f ca="1"/>
        <v>0</v>
      </c>
      <c r="E170" s="56">
        <f ca="1"/>
        <v>1</v>
      </c>
      <c r="F170" s="56" t="str">
        <f ca="1"/>
        <v>バラ</v>
      </c>
      <c r="G170" s="56" t="str">
        <f ca="1"/>
        <v>500Ｔ</v>
      </c>
    </row>
    <row r="171" spans="2:7">
      <c r="B171" s="27">
        <f t="shared" si="2"/>
        <v>167</v>
      </c>
      <c r="C171" s="27" t="str">
        <f ca="1"/>
        <v>プロマックＤ錠７５</v>
      </c>
      <c r="D171" s="27">
        <f ca="1"/>
        <v>0</v>
      </c>
      <c r="E171" s="56">
        <f ca="1"/>
        <v>5</v>
      </c>
      <c r="F171" s="56" t="str">
        <f ca="1"/>
        <v>PTP</v>
      </c>
      <c r="G171" s="56" t="str">
        <f ca="1"/>
        <v>140T</v>
      </c>
    </row>
    <row r="172" spans="2:7">
      <c r="B172" s="27">
        <f t="shared" si="2"/>
        <v>168</v>
      </c>
      <c r="C172" s="27" t="str">
        <f ca="1"/>
        <v>ブロムヘキシン塩酸塩錠４ｍｇ「トーワ」</v>
      </c>
      <c r="D172" s="27">
        <f ca="1"/>
        <v>0</v>
      </c>
      <c r="E172" s="56">
        <f ca="1"/>
        <v>5</v>
      </c>
      <c r="F172" s="56" t="str">
        <f ca="1"/>
        <v>ＰＴＰ</v>
      </c>
      <c r="G172" s="56" t="str">
        <f ca="1"/>
        <v>1000Ｔ</v>
      </c>
    </row>
    <row r="173" spans="2:7">
      <c r="B173" s="27">
        <f t="shared" si="2"/>
        <v>169</v>
      </c>
      <c r="C173" s="27" t="str">
        <f ca="1"/>
        <v>ベオーパ錠５０ｍｇ</v>
      </c>
      <c r="D173" s="27">
        <f ca="1"/>
        <v>0</v>
      </c>
      <c r="E173" s="56">
        <f ca="1"/>
        <v>5</v>
      </c>
      <c r="F173" s="56" t="str">
        <f ca="1"/>
        <v>ＰＴＰ</v>
      </c>
      <c r="G173" s="56" t="str">
        <f ca="1"/>
        <v>100Ｔ</v>
      </c>
    </row>
    <row r="174" spans="2:7">
      <c r="B174" s="27">
        <f t="shared" si="2"/>
        <v>170</v>
      </c>
      <c r="C174" s="27" t="str">
        <f ca="1"/>
        <v>ベザフィブラートＳＲ錠２００ｍｇ「日医工」　　　</v>
      </c>
      <c r="D174" s="27">
        <f ca="1"/>
        <v>0</v>
      </c>
      <c r="E174" s="56">
        <f ca="1"/>
        <v>5</v>
      </c>
      <c r="F174" s="56" t="str">
        <f ca="1"/>
        <v>PTP</v>
      </c>
      <c r="G174" s="56" t="str">
        <f ca="1"/>
        <v>100Ｔ</v>
      </c>
    </row>
    <row r="175" spans="2:7">
      <c r="B175" s="27">
        <f t="shared" si="2"/>
        <v>171</v>
      </c>
      <c r="C175" s="27" t="str">
        <f ca="1"/>
        <v>ベルソムラ錠１５ｍｇ</v>
      </c>
      <c r="D175" s="27">
        <f ca="1"/>
        <v>0</v>
      </c>
      <c r="E175" s="56">
        <f ca="1"/>
        <v>1</v>
      </c>
      <c r="F175" s="56" t="str">
        <f ca="1"/>
        <v>ＰＴＰ</v>
      </c>
      <c r="G175" s="56" t="str">
        <f ca="1"/>
        <v>500T</v>
      </c>
    </row>
    <row r="176" spans="2:7">
      <c r="B176" s="27">
        <f t="shared" si="2"/>
        <v>172</v>
      </c>
      <c r="C176" s="27" t="str">
        <f ca="1"/>
        <v>ベルソムラ錠２０ｍｇ</v>
      </c>
      <c r="D176" s="27">
        <f ca="1"/>
        <v>0</v>
      </c>
      <c r="E176" s="56">
        <f ca="1"/>
        <v>1</v>
      </c>
      <c r="F176" s="56" t="str">
        <f ca="1"/>
        <v>PTP</v>
      </c>
      <c r="G176" s="56" t="str">
        <f ca="1"/>
        <v>100T</v>
      </c>
    </row>
    <row r="177" spans="2:7">
      <c r="B177" s="27">
        <f t="shared" si="2"/>
        <v>173</v>
      </c>
      <c r="C177" s="27" t="str">
        <f ca="1"/>
        <v>ヘルベッサー錠３０　　　　　</v>
      </c>
      <c r="D177" s="27">
        <f ca="1"/>
        <v>0</v>
      </c>
      <c r="E177" s="56">
        <f ca="1"/>
        <v>5</v>
      </c>
      <c r="F177" s="56" t="str">
        <f ca="1"/>
        <v>PTP</v>
      </c>
      <c r="G177" s="56" t="str">
        <f ca="1"/>
        <v>100Ｔ</v>
      </c>
    </row>
    <row r="178" spans="2:7">
      <c r="B178" s="27">
        <f t="shared" si="2"/>
        <v>174</v>
      </c>
      <c r="C178" s="27" t="str">
        <f ca="1"/>
        <v>ベンザリン錠５</v>
      </c>
      <c r="D178" s="27">
        <f ca="1"/>
        <v>0</v>
      </c>
      <c r="E178" s="56">
        <f ca="1"/>
        <v>5</v>
      </c>
      <c r="F178" s="56" t="str">
        <f ca="1"/>
        <v>PTP</v>
      </c>
      <c r="G178" s="56" t="str">
        <f ca="1"/>
        <v>100T</v>
      </c>
    </row>
    <row r="179" spans="2:7">
      <c r="B179" s="27">
        <f t="shared" si="2"/>
        <v>175</v>
      </c>
      <c r="C179" s="27" t="str">
        <f ca="1"/>
        <v>ベンザリン錠５</v>
      </c>
      <c r="D179" s="27">
        <f ca="1"/>
        <v>0</v>
      </c>
      <c r="E179" s="56">
        <f ca="1"/>
        <v>5</v>
      </c>
      <c r="F179" s="56" t="str">
        <f ca="1"/>
        <v>バラ</v>
      </c>
      <c r="G179" s="56" t="str">
        <f ca="1"/>
        <v>1000T</v>
      </c>
    </row>
    <row r="180" spans="2:7">
      <c r="B180" s="27">
        <f t="shared" si="2"/>
        <v>176</v>
      </c>
      <c r="C180" s="27" t="str">
        <f ca="1"/>
        <v>ボグリボーズＯＤ錠０．２ｍｇ　「トーワ」</v>
      </c>
      <c r="D180" s="27">
        <f ca="1"/>
        <v>0</v>
      </c>
      <c r="E180" s="56">
        <f ca="1"/>
        <v>5</v>
      </c>
      <c r="F180" s="56" t="str">
        <f ca="1"/>
        <v>PTP</v>
      </c>
      <c r="G180" s="56" t="str">
        <f ca="1"/>
        <v>100Ｔ</v>
      </c>
    </row>
    <row r="181" spans="2:7">
      <c r="B181" s="27">
        <f t="shared" si="2"/>
        <v>177</v>
      </c>
      <c r="C181" s="27" t="str">
        <f ca="1"/>
        <v>ボグリボーズＯＤ錠０．２ｍｇ「トーワ」</v>
      </c>
      <c r="D181" s="27">
        <f ca="1"/>
        <v>0</v>
      </c>
      <c r="E181" s="56">
        <f ca="1"/>
        <v>5</v>
      </c>
      <c r="F181" s="56" t="str">
        <f ca="1"/>
        <v>バラ</v>
      </c>
      <c r="G181" s="56" t="str">
        <f ca="1"/>
        <v>500Ｔ</v>
      </c>
    </row>
    <row r="182" spans="2:7">
      <c r="B182" s="27">
        <f t="shared" si="2"/>
        <v>178</v>
      </c>
      <c r="C182" s="27" t="str">
        <f ca="1"/>
        <v>マイスタン錠５ｍｇ</v>
      </c>
      <c r="D182" s="27">
        <f ca="1"/>
        <v>0</v>
      </c>
      <c r="E182" s="56">
        <f ca="1"/>
        <v>5</v>
      </c>
      <c r="F182" s="56" t="str">
        <f ca="1"/>
        <v>バラ</v>
      </c>
      <c r="G182" s="56" t="str">
        <f ca="1"/>
        <v>500Ｔ</v>
      </c>
    </row>
    <row r="183" spans="2:7">
      <c r="B183" s="27">
        <f t="shared" si="2"/>
        <v>179</v>
      </c>
      <c r="C183" s="27" t="str">
        <f ca="1"/>
        <v>マイスリー錠５ｍｇ</v>
      </c>
      <c r="D183" s="27">
        <f ca="1"/>
        <v>0</v>
      </c>
      <c r="E183" s="56">
        <f ca="1"/>
        <v>5</v>
      </c>
      <c r="F183" s="56" t="str">
        <f ca="1"/>
        <v>ＰＴＰ</v>
      </c>
      <c r="G183" s="56" t="str">
        <f ca="1"/>
        <v>100T</v>
      </c>
    </row>
    <row r="184" spans="2:7">
      <c r="B184" s="27">
        <f t="shared" si="2"/>
        <v>180</v>
      </c>
      <c r="C184" s="27" t="str">
        <f ca="1"/>
        <v>マイスリー錠５ｍｇ</v>
      </c>
      <c r="D184" s="27">
        <f ca="1"/>
        <v>0</v>
      </c>
      <c r="E184" s="56">
        <f ca="1"/>
        <v>5</v>
      </c>
      <c r="F184" s="56" t="str">
        <f ca="1"/>
        <v>バラ</v>
      </c>
      <c r="G184" s="56" t="str">
        <f ca="1"/>
        <v>1000T</v>
      </c>
    </row>
    <row r="185" spans="2:7">
      <c r="B185" s="27">
        <f t="shared" si="2"/>
        <v>181</v>
      </c>
      <c r="C185" s="27" t="str">
        <f ca="1"/>
        <v>マグミット錠３３０ｍｇ</v>
      </c>
      <c r="D185" s="27">
        <f ca="1"/>
        <v>0</v>
      </c>
      <c r="E185" s="56">
        <f ca="1"/>
        <v>5</v>
      </c>
      <c r="F185" s="56" t="str">
        <f ca="1"/>
        <v>PTP</v>
      </c>
      <c r="G185" s="56" t="str">
        <f ca="1"/>
        <v>1000Ｔ</v>
      </c>
    </row>
    <row r="186" spans="2:7">
      <c r="B186" s="27">
        <f t="shared" si="2"/>
        <v>182</v>
      </c>
      <c r="C186" s="27" t="str">
        <f ca="1"/>
        <v>マグミット錠３３０ｍｇ</v>
      </c>
      <c r="D186" s="27">
        <f ca="1"/>
        <v>0</v>
      </c>
      <c r="E186" s="56">
        <f ca="1"/>
        <v>5</v>
      </c>
      <c r="F186" s="56" t="str">
        <f ca="1"/>
        <v>バラ</v>
      </c>
      <c r="G186" s="56" t="str">
        <f ca="1"/>
        <v>1000T</v>
      </c>
    </row>
    <row r="187" spans="2:7">
      <c r="B187" s="27">
        <f t="shared" si="2"/>
        <v>183</v>
      </c>
      <c r="C187" s="27" t="str">
        <f ca="1"/>
        <v>マグミット錠５００ｍｇ</v>
      </c>
      <c r="D187" s="27">
        <f ca="1"/>
        <v>0</v>
      </c>
      <c r="E187" s="56">
        <f ca="1"/>
        <v>5</v>
      </c>
      <c r="F187" s="56" t="str">
        <f ca="1"/>
        <v>PTP</v>
      </c>
      <c r="G187" s="56" t="str">
        <f ca="1"/>
        <v>500T</v>
      </c>
    </row>
    <row r="188" spans="2:7">
      <c r="B188" s="27">
        <f t="shared" si="2"/>
        <v>184</v>
      </c>
      <c r="C188" s="27" t="str">
        <f ca="1"/>
        <v>マグミット錠５００ｍｇ</v>
      </c>
      <c r="D188" s="27">
        <f ca="1"/>
        <v>0</v>
      </c>
      <c r="E188" s="56">
        <f ca="1"/>
        <v>5</v>
      </c>
      <c r="F188" s="56" t="str">
        <f ca="1"/>
        <v>バラ</v>
      </c>
      <c r="G188" s="56" t="str">
        <f ca="1"/>
        <v>500Ｔ</v>
      </c>
    </row>
    <row r="189" spans="2:7">
      <c r="B189" s="27">
        <f t="shared" si="2"/>
        <v>185</v>
      </c>
      <c r="C189" s="27" t="str">
        <f ca="1"/>
        <v>マプロチリン塩酸塩錠１０ｍｇ「アメル」</v>
      </c>
      <c r="D189" s="27">
        <f ca="1"/>
        <v>0</v>
      </c>
      <c r="E189" s="56">
        <f ca="1"/>
        <v>5</v>
      </c>
      <c r="F189" s="56" t="str">
        <f ca="1"/>
        <v>PTP</v>
      </c>
      <c r="G189" s="56" t="str">
        <f ca="1"/>
        <v>100T</v>
      </c>
    </row>
    <row r="190" spans="2:7">
      <c r="B190" s="27">
        <f t="shared" si="2"/>
        <v>186</v>
      </c>
      <c r="C190" s="27" t="str">
        <f ca="1"/>
        <v>マプロチリン塩酸塩錠２５ｍｇ「アメル」</v>
      </c>
      <c r="D190" s="27">
        <f ca="1"/>
        <v>0</v>
      </c>
      <c r="E190" s="56">
        <f ca="1"/>
        <v>5</v>
      </c>
      <c r="F190" s="56" t="str">
        <f ca="1"/>
        <v>PTP</v>
      </c>
      <c r="G190" s="56" t="str">
        <f ca="1"/>
        <v>100T</v>
      </c>
    </row>
    <row r="191" spans="2:7">
      <c r="B191" s="27">
        <f t="shared" si="2"/>
        <v>187</v>
      </c>
      <c r="C191" s="27" t="str">
        <f ca="1"/>
        <v>ミチグリニドＣａ・ＯＤ錠１０ｍｇ「三和」</v>
      </c>
      <c r="D191" s="27">
        <f ca="1"/>
        <v>0</v>
      </c>
      <c r="E191" s="56">
        <f ca="1"/>
        <v>5</v>
      </c>
      <c r="F191" s="56" t="str">
        <f ca="1"/>
        <v>PTP</v>
      </c>
      <c r="G191" s="56" t="str">
        <f ca="1"/>
        <v>100T</v>
      </c>
    </row>
    <row r="192" spans="2:7">
      <c r="B192" s="27">
        <f t="shared" si="2"/>
        <v>188</v>
      </c>
      <c r="C192" s="27" t="str">
        <f ca="1"/>
        <v>ミドドリン塩酸塩錠２ｍｇ「トーワ」</v>
      </c>
      <c r="D192" s="27">
        <f ca="1"/>
        <v>0</v>
      </c>
      <c r="E192" s="56">
        <f ca="1"/>
        <v>5</v>
      </c>
      <c r="F192" s="56" t="str">
        <f ca="1"/>
        <v>PTP</v>
      </c>
      <c r="G192" s="56" t="str">
        <f ca="1"/>
        <v>100T</v>
      </c>
    </row>
    <row r="193" spans="2:7">
      <c r="B193" s="27">
        <f t="shared" si="2"/>
        <v>189</v>
      </c>
      <c r="C193" s="27" t="str">
        <f ca="1"/>
        <v>メイラックス錠１ｍｇ</v>
      </c>
      <c r="D193" s="27">
        <f ca="1"/>
        <v>0</v>
      </c>
      <c r="E193" s="56">
        <f ca="1"/>
        <v>5</v>
      </c>
      <c r="F193" s="56" t="str">
        <f ca="1"/>
        <v>ＰＴＰ</v>
      </c>
      <c r="G193" s="56" t="str">
        <f ca="1"/>
        <v>500Ｔ</v>
      </c>
    </row>
    <row r="194" spans="2:7">
      <c r="B194" s="27">
        <f t="shared" si="2"/>
        <v>190</v>
      </c>
      <c r="C194" s="27" t="str">
        <f ca="1"/>
        <v>メコバラミン錠５００「トーワ」</v>
      </c>
      <c r="D194" s="27">
        <f ca="1"/>
        <v>0</v>
      </c>
      <c r="E194" s="56">
        <f ca="1"/>
        <v>5</v>
      </c>
      <c r="F194" s="56" t="str">
        <f ca="1"/>
        <v>PTP</v>
      </c>
      <c r="G194" s="56" t="str">
        <f ca="1"/>
        <v>1000Ｔ</v>
      </c>
    </row>
    <row r="195" spans="2:7">
      <c r="B195" s="27">
        <f t="shared" si="2"/>
        <v>191</v>
      </c>
      <c r="C195" s="27" t="str">
        <f ca="1"/>
        <v>メコバラミン錠５００「トーワ」</v>
      </c>
      <c r="D195" s="27">
        <f ca="1"/>
        <v>0</v>
      </c>
      <c r="E195" s="56">
        <f ca="1"/>
        <v>5</v>
      </c>
      <c r="F195" s="56" t="str">
        <f ca="1"/>
        <v>バラ</v>
      </c>
      <c r="G195" s="56" t="str">
        <f ca="1"/>
        <v>1000T</v>
      </c>
    </row>
    <row r="196" spans="2:7">
      <c r="B196" s="27">
        <f t="shared" si="2"/>
        <v>192</v>
      </c>
      <c r="C196" s="27" t="str">
        <f ca="1"/>
        <v>モサプリドクエン酸塩錠５ｍｇ「日医工」</v>
      </c>
      <c r="D196" s="27">
        <f ca="1"/>
        <v>0</v>
      </c>
      <c r="E196" s="56">
        <f ca="1"/>
        <v>5</v>
      </c>
      <c r="F196" s="56" t="str">
        <f ca="1"/>
        <v>PTP</v>
      </c>
      <c r="G196" s="56" t="str">
        <f ca="1"/>
        <v>100T</v>
      </c>
    </row>
    <row r="197" spans="2:7">
      <c r="B197" s="27">
        <f t="shared" si="2"/>
        <v>193</v>
      </c>
      <c r="C197" s="27" t="str">
        <f ca="1"/>
        <v>モサプリドクエン酸塩錠５ｍｇ「日医工」</v>
      </c>
      <c r="D197" s="27">
        <f ca="1"/>
        <v>0</v>
      </c>
      <c r="E197" s="56">
        <f ca="1"/>
        <v>5</v>
      </c>
      <c r="F197" s="56" t="str">
        <f ca="1"/>
        <v>バラ</v>
      </c>
      <c r="G197" s="56" t="str">
        <f ca="1"/>
        <v>1000T</v>
      </c>
    </row>
    <row r="198" spans="2:7">
      <c r="B198" s="27">
        <f t="shared" si="2"/>
        <v>194</v>
      </c>
      <c r="C198" s="27" t="str">
        <f ca="1"/>
        <v>ユーロジン２ｍｇ錠</v>
      </c>
      <c r="D198" s="27">
        <f ca="1"/>
        <v>0</v>
      </c>
      <c r="E198" s="56">
        <f ca="1"/>
        <v>5</v>
      </c>
      <c r="F198" s="56" t="str">
        <f ca="1"/>
        <v>PTP</v>
      </c>
      <c r="G198" s="56" t="str">
        <f ca="1"/>
        <v>100Ｔ</v>
      </c>
    </row>
    <row r="199" spans="2:7">
      <c r="B199" s="27">
        <f t="shared" ref="B199:B262" si="3">B198+1</f>
        <v>195</v>
      </c>
      <c r="C199" s="27" t="str">
        <f ca="1"/>
        <v>ラメルテオン錠８ｍｇ「トーワ」</v>
      </c>
      <c r="D199" s="27">
        <f ca="1"/>
        <v>0</v>
      </c>
      <c r="E199" s="56">
        <f ca="1"/>
        <v>5</v>
      </c>
      <c r="F199" s="56" t="str">
        <f ca="1"/>
        <v>PTP</v>
      </c>
      <c r="G199" s="56" t="str">
        <f ca="1"/>
        <v>100T</v>
      </c>
    </row>
    <row r="200" spans="2:7">
      <c r="B200" s="27">
        <f t="shared" si="3"/>
        <v>196</v>
      </c>
      <c r="C200" s="27" t="str">
        <f ca="1"/>
        <v>ラメルテオン錠８ｍｇ「トーワ」</v>
      </c>
      <c r="D200" s="27">
        <f ca="1"/>
        <v>0</v>
      </c>
      <c r="E200" s="56">
        <f ca="1"/>
        <v>5</v>
      </c>
      <c r="F200" s="56" t="str">
        <f ca="1"/>
        <v>バラ</v>
      </c>
      <c r="G200" s="56" t="str">
        <f ca="1"/>
        <v>300T</v>
      </c>
    </row>
    <row r="201" spans="2:7">
      <c r="B201" s="27">
        <f t="shared" si="3"/>
        <v>197</v>
      </c>
      <c r="C201" s="27" t="str">
        <f ca="1"/>
        <v>ランソプラゾールＯＤ錠１５ｍｇ「トーワ」</v>
      </c>
      <c r="D201" s="27">
        <f ca="1"/>
        <v>0</v>
      </c>
      <c r="E201" s="56">
        <f ca="1"/>
        <v>5</v>
      </c>
      <c r="F201" s="56" t="str">
        <f ca="1"/>
        <v>PTP</v>
      </c>
      <c r="G201" s="56" t="str">
        <f ca="1"/>
        <v>500Ｔ</v>
      </c>
    </row>
    <row r="202" spans="2:7">
      <c r="B202" s="27">
        <f t="shared" si="3"/>
        <v>198</v>
      </c>
      <c r="C202" s="27" t="str">
        <f ca="1"/>
        <v>ランソプラゾールＯＤ錠１５ｍｇ「トーワ」</v>
      </c>
      <c r="D202" s="27">
        <f ca="1"/>
        <v>0</v>
      </c>
      <c r="E202" s="56">
        <f ca="1"/>
        <v>5</v>
      </c>
      <c r="F202" s="56" t="str">
        <f ca="1"/>
        <v>バラ</v>
      </c>
      <c r="G202" s="56" t="str">
        <f ca="1"/>
        <v>500Ｔ</v>
      </c>
    </row>
    <row r="203" spans="2:7">
      <c r="B203" s="27">
        <f t="shared" si="3"/>
        <v>199</v>
      </c>
      <c r="C203" s="27" t="str">
        <f ca="1"/>
        <v>リーゼ錠５ｍｇ</v>
      </c>
      <c r="D203" s="27">
        <f ca="1"/>
        <v>0</v>
      </c>
      <c r="E203" s="56">
        <f ca="1"/>
        <v>1</v>
      </c>
      <c r="F203" s="56" t="str">
        <f ca="1"/>
        <v>PTP</v>
      </c>
      <c r="G203" s="56" t="str">
        <f ca="1"/>
        <v>100Ｔ</v>
      </c>
    </row>
    <row r="204" spans="2:7">
      <c r="B204" s="27">
        <f t="shared" si="3"/>
        <v>200</v>
      </c>
      <c r="C204" s="27" t="str">
        <f ca="1"/>
        <v>リクシアナＯＤ錠３０ｍｇ</v>
      </c>
      <c r="D204" s="27">
        <f ca="1"/>
        <v>0</v>
      </c>
      <c r="E204" s="56">
        <f ca="1"/>
        <v>5</v>
      </c>
      <c r="F204" s="56" t="str">
        <f ca="1"/>
        <v>バラ</v>
      </c>
      <c r="G204" s="56" t="str">
        <f ca="1"/>
        <v>100Ｔ</v>
      </c>
    </row>
    <row r="205" spans="2:7">
      <c r="B205" s="27">
        <f t="shared" si="3"/>
        <v>201</v>
      </c>
      <c r="C205" s="27" t="str">
        <f ca="1"/>
        <v>リスミー錠２ｍｇ</v>
      </c>
      <c r="D205" s="27">
        <f ca="1"/>
        <v>0</v>
      </c>
      <c r="E205" s="56">
        <f ca="1"/>
        <v>5</v>
      </c>
      <c r="F205" s="56" t="str">
        <f ca="1"/>
        <v>PTP</v>
      </c>
      <c r="G205" s="56" t="str">
        <f ca="1"/>
        <v>100T</v>
      </c>
    </row>
    <row r="206" spans="2:7">
      <c r="B206" s="27">
        <f t="shared" si="3"/>
        <v>202</v>
      </c>
      <c r="C206" s="27" t="str">
        <f ca="1"/>
        <v>リバーロキサバンＯＤ錠１０ｍｇ「バイエル」</v>
      </c>
      <c r="D206" s="27">
        <f ca="1"/>
        <v>0</v>
      </c>
      <c r="E206" s="56">
        <f ca="1"/>
        <v>5</v>
      </c>
      <c r="F206" s="56" t="str">
        <f ca="1"/>
        <v>PTP</v>
      </c>
      <c r="G206" s="56" t="str">
        <f ca="1"/>
        <v>100T</v>
      </c>
    </row>
    <row r="207" spans="2:7">
      <c r="B207" s="27">
        <f t="shared" si="3"/>
        <v>203</v>
      </c>
      <c r="C207" s="27" t="str">
        <f ca="1"/>
        <v>リボトリール錠０．５ｍｇ</v>
      </c>
      <c r="D207" s="27">
        <f ca="1"/>
        <v>0</v>
      </c>
      <c r="E207" s="56">
        <f ca="1"/>
        <v>5</v>
      </c>
      <c r="F207" s="56" t="str">
        <f ca="1"/>
        <v>PTP</v>
      </c>
      <c r="G207" s="56" t="str">
        <f ca="1"/>
        <v>100Ｔ</v>
      </c>
    </row>
    <row r="208" spans="2:7">
      <c r="B208" s="27">
        <f t="shared" si="3"/>
        <v>204</v>
      </c>
      <c r="C208" s="27" t="str">
        <f ca="1"/>
        <v>リボトリール錠０．５ｍｇ</v>
      </c>
      <c r="D208" s="27">
        <f ca="1"/>
        <v>0</v>
      </c>
      <c r="E208" s="56">
        <f ca="1"/>
        <v>5</v>
      </c>
      <c r="F208" s="56" t="str">
        <f ca="1"/>
        <v>バラ</v>
      </c>
      <c r="G208" s="56" t="str">
        <f ca="1"/>
        <v>1000Ｔ</v>
      </c>
    </row>
    <row r="209" spans="2:7">
      <c r="B209" s="27">
        <f t="shared" si="3"/>
        <v>205</v>
      </c>
      <c r="C209" s="27" t="str">
        <f ca="1"/>
        <v>リボトリール錠１ｍｇ</v>
      </c>
      <c r="D209" s="27">
        <f ca="1"/>
        <v>0</v>
      </c>
      <c r="E209" s="56">
        <f ca="1"/>
        <v>5</v>
      </c>
      <c r="F209" s="56" t="str">
        <f ca="1"/>
        <v>PTP</v>
      </c>
      <c r="G209" s="56" t="str">
        <f ca="1"/>
        <v>100Ｔ</v>
      </c>
    </row>
    <row r="210" spans="2:7">
      <c r="B210" s="27">
        <f t="shared" si="3"/>
        <v>206</v>
      </c>
      <c r="C210" s="27" t="str">
        <f ca="1"/>
        <v>リボトリール錠１ｍｇ</v>
      </c>
      <c r="D210" s="27">
        <f ca="1"/>
        <v>0</v>
      </c>
      <c r="E210" s="56">
        <f ca="1"/>
        <v>5</v>
      </c>
      <c r="F210" s="56" t="str">
        <f ca="1"/>
        <v>バラ</v>
      </c>
      <c r="G210" s="56" t="str">
        <f ca="1"/>
        <v>1000T</v>
      </c>
    </row>
    <row r="211" spans="2:7">
      <c r="B211" s="27">
        <f t="shared" si="3"/>
        <v>207</v>
      </c>
      <c r="C211" s="27" t="str">
        <f ca="1"/>
        <v>リマプロスト　アルファデクス錠５μｇ「サワイ」</v>
      </c>
      <c r="D211" s="27">
        <f ca="1"/>
        <v>0</v>
      </c>
      <c r="E211" s="56">
        <f ca="1"/>
        <v>5</v>
      </c>
      <c r="F211" s="56" t="str">
        <f ca="1"/>
        <v>バラ</v>
      </c>
      <c r="G211" s="56" t="str">
        <f ca="1"/>
        <v>200Ｔ</v>
      </c>
    </row>
    <row r="212" spans="2:7">
      <c r="B212" s="27">
        <f t="shared" si="3"/>
        <v>208</v>
      </c>
      <c r="C212" s="27" t="str">
        <f ca="1"/>
        <v>リンゼス錠０．２５ｍｇ</v>
      </c>
      <c r="D212" s="27">
        <f ca="1"/>
        <v>0</v>
      </c>
      <c r="E212" s="56">
        <f ca="1"/>
        <v>1</v>
      </c>
      <c r="F212" s="56" t="str">
        <f ca="1"/>
        <v>PTP</v>
      </c>
      <c r="G212" s="56" t="str">
        <f ca="1"/>
        <v>100Ｔ</v>
      </c>
    </row>
    <row r="213" spans="2:7">
      <c r="B213" s="27">
        <f t="shared" si="3"/>
        <v>209</v>
      </c>
      <c r="C213" s="27" t="str">
        <f ca="1"/>
        <v>レキソタン錠２</v>
      </c>
      <c r="D213" s="27">
        <f ca="1"/>
        <v>0</v>
      </c>
      <c r="E213" s="56">
        <f ca="1"/>
        <v>5</v>
      </c>
      <c r="F213" s="56" t="str">
        <f ca="1"/>
        <v>PTP</v>
      </c>
      <c r="G213" s="56" t="str">
        <f ca="1"/>
        <v>100Ｔ</v>
      </c>
    </row>
    <row r="214" spans="2:7">
      <c r="B214" s="27">
        <f t="shared" si="3"/>
        <v>210</v>
      </c>
      <c r="C214" s="27" t="str">
        <f ca="1"/>
        <v>レキソタン錠２</v>
      </c>
      <c r="D214" s="27">
        <f ca="1"/>
        <v>0</v>
      </c>
      <c r="E214" s="56">
        <f ca="1"/>
        <v>5</v>
      </c>
      <c r="F214" s="56" t="str">
        <f ca="1"/>
        <v>バラ</v>
      </c>
      <c r="G214" s="56" t="str">
        <f ca="1"/>
        <v>500Ｔ</v>
      </c>
    </row>
    <row r="215" spans="2:7">
      <c r="B215" s="27">
        <f t="shared" si="3"/>
        <v>211</v>
      </c>
      <c r="C215" s="27" t="str">
        <f ca="1"/>
        <v>レキソタン錠５</v>
      </c>
      <c r="D215" s="27">
        <f ca="1"/>
        <v>0</v>
      </c>
      <c r="E215" s="56">
        <f ca="1"/>
        <v>5</v>
      </c>
      <c r="F215" s="56" t="str">
        <f ca="1"/>
        <v>PTP</v>
      </c>
      <c r="G215" s="56" t="str">
        <f ca="1"/>
        <v>100Ｔ</v>
      </c>
    </row>
    <row r="216" spans="2:7">
      <c r="B216" s="27">
        <f t="shared" si="3"/>
        <v>212</v>
      </c>
      <c r="C216" s="27" t="str">
        <f ca="1"/>
        <v>レキソタン錠５</v>
      </c>
      <c r="D216" s="27">
        <f ca="1"/>
        <v>0</v>
      </c>
      <c r="E216" s="56">
        <f ca="1"/>
        <v>5</v>
      </c>
      <c r="F216" s="56" t="str">
        <f ca="1"/>
        <v>バラ</v>
      </c>
      <c r="G216" s="56" t="str">
        <f ca="1"/>
        <v>500Ｔ</v>
      </c>
    </row>
    <row r="217" spans="2:7">
      <c r="B217" s="27">
        <f t="shared" si="3"/>
        <v>213</v>
      </c>
      <c r="C217" s="27" t="str">
        <f ca="1"/>
        <v>レグテクト錠３３３ｍｇ</v>
      </c>
      <c r="D217" s="27">
        <f ca="1"/>
        <v>0</v>
      </c>
      <c r="E217" s="56">
        <f ca="1"/>
        <v>5</v>
      </c>
      <c r="F217" s="56" t="str">
        <f ca="1"/>
        <v>PTP</v>
      </c>
      <c r="G217" s="56" t="str">
        <f ca="1"/>
        <v>100Ｔ　</v>
      </c>
    </row>
    <row r="218" spans="2:7">
      <c r="B218" s="27">
        <f t="shared" si="3"/>
        <v>214</v>
      </c>
      <c r="C218" s="27" t="str">
        <f ca="1"/>
        <v>レグテクト錠３３３ｍｇ</v>
      </c>
      <c r="D218" s="27">
        <f ca="1"/>
        <v>0</v>
      </c>
      <c r="E218" s="56">
        <f ca="1"/>
        <v>5</v>
      </c>
      <c r="F218" s="56" t="str">
        <f ca="1"/>
        <v>バラ</v>
      </c>
      <c r="G218" s="56" t="str">
        <f ca="1"/>
        <v>500Ｔ　</v>
      </c>
    </row>
    <row r="219" spans="2:7">
      <c r="B219" s="27">
        <f t="shared" si="3"/>
        <v>215</v>
      </c>
      <c r="C219" s="27" t="str">
        <f ca="1"/>
        <v>レスプレン錠２０ｍｇ</v>
      </c>
      <c r="D219" s="27">
        <f ca="1"/>
        <v>0</v>
      </c>
      <c r="E219" s="56">
        <f ca="1"/>
        <v>1</v>
      </c>
      <c r="F219" s="56" t="str">
        <f ca="1"/>
        <v>PTP</v>
      </c>
      <c r="G219" s="56" t="str">
        <f ca="1"/>
        <v>500Ｔ</v>
      </c>
    </row>
    <row r="220" spans="2:7">
      <c r="B220" s="27">
        <f t="shared" si="3"/>
        <v>216</v>
      </c>
      <c r="C220" s="27" t="str">
        <f ca="1"/>
        <v>レバミピド錠１００ｍｇ「オーツカ」</v>
      </c>
      <c r="D220" s="27">
        <f ca="1"/>
        <v>0</v>
      </c>
      <c r="E220" s="56">
        <f ca="1"/>
        <v>5</v>
      </c>
      <c r="F220" s="56" t="str">
        <f ca="1"/>
        <v>PTP</v>
      </c>
      <c r="G220" s="56" t="str">
        <f ca="1"/>
        <v>500Ｔ</v>
      </c>
    </row>
    <row r="221" spans="2:7">
      <c r="B221" s="27">
        <f t="shared" si="3"/>
        <v>217</v>
      </c>
      <c r="C221" s="27" t="str">
        <f ca="1"/>
        <v>レバミピド錠１００ｍｇ「オーツカ」</v>
      </c>
      <c r="D221" s="27">
        <f ca="1"/>
        <v>0</v>
      </c>
      <c r="E221" s="56">
        <f ca="1"/>
        <v>5</v>
      </c>
      <c r="F221" s="56" t="str">
        <f ca="1"/>
        <v>バラ</v>
      </c>
      <c r="G221" s="56" t="str">
        <f ca="1"/>
        <v>500Ｔ</v>
      </c>
    </row>
    <row r="222" spans="2:7">
      <c r="B222" s="27">
        <f t="shared" si="3"/>
        <v>218</v>
      </c>
      <c r="C222" s="27" t="str">
        <f ca="1"/>
        <v>レベチラセタム錠２５０ｍｇ「トーワ」</v>
      </c>
      <c r="D222" s="27">
        <f ca="1"/>
        <v>0</v>
      </c>
      <c r="E222" s="56">
        <f ca="1"/>
        <v>5</v>
      </c>
      <c r="F222" s="56" t="str">
        <f ca="1"/>
        <v>PTP</v>
      </c>
      <c r="G222" s="56" t="str">
        <f ca="1"/>
        <v>100T</v>
      </c>
    </row>
    <row r="223" spans="2:7">
      <c r="B223" s="27">
        <f t="shared" si="3"/>
        <v>219</v>
      </c>
      <c r="C223" s="27" t="str">
        <f ca="1"/>
        <v>レベチラセタム錠２５０ｍｇ「トーワ」</v>
      </c>
      <c r="D223" s="27">
        <f ca="1"/>
        <v>0</v>
      </c>
      <c r="E223" s="56">
        <f ca="1"/>
        <v>5</v>
      </c>
      <c r="F223" s="56" t="str">
        <f ca="1"/>
        <v>バラ</v>
      </c>
      <c r="G223" s="56" t="str">
        <f ca="1"/>
        <v>300T</v>
      </c>
    </row>
    <row r="224" spans="2:7">
      <c r="B224" s="27">
        <f t="shared" si="3"/>
        <v>220</v>
      </c>
      <c r="C224" s="27" t="str">
        <f ca="1"/>
        <v>レボフロキサシン錠２５０ｍｇ「ＤＳＥＰ」</v>
      </c>
      <c r="D224" s="27">
        <f ca="1"/>
        <v>0</v>
      </c>
      <c r="E224" s="56">
        <f ca="1"/>
        <v>1</v>
      </c>
      <c r="F224" s="56" t="str">
        <f ca="1"/>
        <v>PTP</v>
      </c>
      <c r="G224" s="56" t="str">
        <f ca="1"/>
        <v>100T</v>
      </c>
    </row>
    <row r="225" spans="2:7">
      <c r="B225" s="27">
        <f t="shared" si="3"/>
        <v>221</v>
      </c>
      <c r="C225" s="27" t="str">
        <f ca="1"/>
        <v>ロキソプロフェンナトリウム錠６０ｍｇ「日医工」</v>
      </c>
      <c r="D225" s="27">
        <f ca="1"/>
        <v>0</v>
      </c>
      <c r="E225" s="56">
        <f ca="1"/>
        <v>5</v>
      </c>
      <c r="F225" s="56" t="str">
        <f ca="1"/>
        <v>PTP</v>
      </c>
      <c r="G225" s="56" t="str">
        <f ca="1"/>
        <v>1000T</v>
      </c>
    </row>
    <row r="226" spans="2:7">
      <c r="B226" s="27">
        <f t="shared" si="3"/>
        <v>222</v>
      </c>
      <c r="C226" s="27" t="str">
        <f ca="1"/>
        <v>ロキソプロフェンナトリウム錠６０ｍｇ「日医工」</v>
      </c>
      <c r="D226" s="27">
        <f ca="1"/>
        <v>0</v>
      </c>
      <c r="E226" s="56">
        <f ca="1"/>
        <v>5</v>
      </c>
      <c r="F226" s="56" t="str">
        <f ca="1"/>
        <v>バラ</v>
      </c>
      <c r="G226" s="56" t="str">
        <f ca="1"/>
        <v>1000T</v>
      </c>
    </row>
    <row r="227" spans="2:7">
      <c r="B227" s="27">
        <f t="shared" si="3"/>
        <v>223</v>
      </c>
      <c r="C227" s="27" t="str">
        <f ca="1"/>
        <v>ロスバスタチン錠２．５ｍｇ「トーワ」</v>
      </c>
      <c r="D227" s="27">
        <f ca="1"/>
        <v>0</v>
      </c>
      <c r="E227" s="56">
        <f ca="1"/>
        <v>5</v>
      </c>
      <c r="F227" s="56" t="str">
        <f ca="1"/>
        <v>PTP</v>
      </c>
      <c r="G227" s="56" t="str">
        <f ca="1"/>
        <v>100T</v>
      </c>
    </row>
    <row r="228" spans="2:7">
      <c r="B228" s="27">
        <f t="shared" si="3"/>
        <v>224</v>
      </c>
      <c r="C228" s="27" t="str">
        <f ca="1"/>
        <v>ロスバスタチン錠２．５ｍｇ「トーワ」</v>
      </c>
      <c r="D228" s="27">
        <f ca="1"/>
        <v>0</v>
      </c>
      <c r="E228" s="56">
        <f ca="1"/>
        <v>5</v>
      </c>
      <c r="F228" s="56" t="str">
        <f ca="1"/>
        <v>バラ</v>
      </c>
      <c r="G228" s="56" t="str">
        <f ca="1"/>
        <v>300T</v>
      </c>
    </row>
    <row r="229" spans="2:7">
      <c r="B229" s="27">
        <f t="shared" si="3"/>
        <v>225</v>
      </c>
      <c r="C229" s="27" t="str">
        <f ca="1"/>
        <v>ロラゼパム錠０．５ｍｇ「サワイ」</v>
      </c>
      <c r="D229" s="27">
        <f ca="1"/>
        <v>0</v>
      </c>
      <c r="E229" s="56">
        <f ca="1"/>
        <v>5</v>
      </c>
      <c r="F229" s="56" t="str">
        <f ca="1"/>
        <v>PTP</v>
      </c>
      <c r="G229" s="56" t="str">
        <f ca="1"/>
        <v>1000Ｔ</v>
      </c>
    </row>
    <row r="230" spans="2:7">
      <c r="B230" s="27">
        <f t="shared" si="3"/>
        <v>226</v>
      </c>
      <c r="C230" s="27" t="str">
        <f ca="1"/>
        <v>ロラメット錠１．０（アスカ）</v>
      </c>
      <c r="D230" s="27">
        <f ca="1"/>
        <v>0</v>
      </c>
      <c r="E230" s="56">
        <f ca="1"/>
        <v>5</v>
      </c>
      <c r="F230" s="56" t="str">
        <f ca="1"/>
        <v>PTP</v>
      </c>
      <c r="G230" s="56" t="str">
        <f ca="1"/>
        <v>100T</v>
      </c>
    </row>
    <row r="231" spans="2:7">
      <c r="B231" s="27">
        <f t="shared" si="3"/>
        <v>227</v>
      </c>
      <c r="C231" s="27" t="str">
        <f ca="1"/>
        <v>ロラメット錠１．０（アスカ）</v>
      </c>
      <c r="D231" s="27">
        <f ca="1"/>
        <v>0</v>
      </c>
      <c r="E231" s="56">
        <f ca="1"/>
        <v>5</v>
      </c>
      <c r="F231" s="56" t="str">
        <f ca="1"/>
        <v>バラ</v>
      </c>
      <c r="G231" s="56" t="str">
        <f ca="1"/>
        <v>500T</v>
      </c>
    </row>
    <row r="232" spans="2:7">
      <c r="B232" s="27">
        <f t="shared" si="3"/>
        <v>228</v>
      </c>
      <c r="C232" s="27" t="str">
        <f ca="1"/>
        <v>ワーファリン錠１ｍｇ</v>
      </c>
      <c r="D232" s="27">
        <f ca="1"/>
        <v>0</v>
      </c>
      <c r="E232" s="56">
        <f ca="1"/>
        <v>5</v>
      </c>
      <c r="F232" s="56" t="str">
        <f ca="1"/>
        <v>バラ</v>
      </c>
      <c r="G232" s="56" t="str">
        <f ca="1"/>
        <v>100Ｔ</v>
      </c>
    </row>
    <row r="233" spans="2:7">
      <c r="B233" s="27">
        <f t="shared" si="3"/>
        <v>229</v>
      </c>
      <c r="C233" s="27" t="str">
        <f ca="1"/>
        <v>ワソラン錠４０ｍｇ</v>
      </c>
      <c r="D233" s="27">
        <f ca="1"/>
        <v>0</v>
      </c>
      <c r="E233" s="56">
        <f ca="1"/>
        <v>4</v>
      </c>
      <c r="F233" s="56" t="str">
        <f ca="1"/>
        <v>バラ</v>
      </c>
      <c r="G233" s="56" t="str">
        <f ca="1"/>
        <v>100Ｔ</v>
      </c>
    </row>
    <row r="234" spans="2:7">
      <c r="B234" s="27">
        <f t="shared" si="3"/>
        <v>230</v>
      </c>
      <c r="C234" s="27" t="str">
        <f ca="1"/>
        <v>ジスチグミン臭化物錠５ｍｇ「ＮＩＧ」</v>
      </c>
      <c r="D234" s="27">
        <f ca="1"/>
        <v>1</v>
      </c>
      <c r="E234" s="56">
        <f ca="1"/>
        <v>3</v>
      </c>
      <c r="F234" s="56" t="str">
        <f ca="1"/>
        <v>PTP</v>
      </c>
      <c r="G234" s="56" t="str">
        <f ca="1"/>
        <v>100Ｔ</v>
      </c>
    </row>
    <row r="235" spans="2:7">
      <c r="B235" s="27">
        <f t="shared" si="3"/>
        <v>231</v>
      </c>
      <c r="C235" s="27" t="str">
        <f ca="1"/>
        <v>アダラートＣＲ錠２０ｍｇ</v>
      </c>
      <c r="D235" s="27">
        <f ca="1"/>
        <v>2</v>
      </c>
      <c r="E235" s="56">
        <f ca="1"/>
        <v>6</v>
      </c>
      <c r="F235" s="56" t="str">
        <f ca="1"/>
        <v>PTP</v>
      </c>
      <c r="G235" s="56" t="str">
        <f ca="1"/>
        <v>100Ｔ</v>
      </c>
    </row>
    <row r="236" spans="2:7">
      <c r="B236" s="27">
        <f t="shared" si="3"/>
        <v>232</v>
      </c>
      <c r="C236" s="27" t="str">
        <f ca="1"/>
        <v>アムロジピンＯＤ錠２．５ｍｇ「明治」</v>
      </c>
      <c r="D236" s="27">
        <f ca="1"/>
        <v>2</v>
      </c>
      <c r="E236" s="56">
        <f ca="1"/>
        <v>5</v>
      </c>
      <c r="F236" s="56" t="str">
        <f ca="1"/>
        <v>PTP</v>
      </c>
      <c r="G236" s="56" t="str">
        <f ca="1"/>
        <v>500T</v>
      </c>
    </row>
    <row r="237" spans="2:7">
      <c r="B237" s="27">
        <f t="shared" si="3"/>
        <v>233</v>
      </c>
      <c r="C237" s="27" t="str">
        <f ca="1"/>
        <v>アムロジピンＯＤ錠２．５ｍｇ「明治」</v>
      </c>
      <c r="D237" s="27">
        <f ca="1"/>
        <v>2</v>
      </c>
      <c r="E237" s="56">
        <f ca="1"/>
        <v>5</v>
      </c>
      <c r="F237" s="56" t="str">
        <f ca="1"/>
        <v>バラ</v>
      </c>
      <c r="G237" s="56" t="str">
        <f ca="1"/>
        <v>500T</v>
      </c>
    </row>
    <row r="238" spans="2:7">
      <c r="B238" s="27">
        <f t="shared" si="3"/>
        <v>234</v>
      </c>
      <c r="C238" s="27" t="str">
        <f ca="1"/>
        <v>アリピプラゾールＯＤ錠１２ｍｇ「ニプロ」</v>
      </c>
      <c r="D238" s="27">
        <f ca="1"/>
        <v>2</v>
      </c>
      <c r="E238" s="56">
        <f ca="1"/>
        <v>6</v>
      </c>
      <c r="F238" s="56" t="str">
        <f ca="1"/>
        <v>ＰＴＰ</v>
      </c>
      <c r="G238" s="56" t="str">
        <f ca="1"/>
        <v>100Ｔ</v>
      </c>
    </row>
    <row r="239" spans="2:7">
      <c r="B239" s="27">
        <f t="shared" si="3"/>
        <v>235</v>
      </c>
      <c r="C239" s="27" t="str">
        <f ca="1"/>
        <v>アリピプラゾールＯＤ錠１２ｍｇ「ニプロ」</v>
      </c>
      <c r="D239" s="27">
        <f ca="1"/>
        <v>2</v>
      </c>
      <c r="E239" s="56">
        <f ca="1"/>
        <v>6</v>
      </c>
      <c r="F239" s="56" t="str">
        <f ca="1"/>
        <v>バラ</v>
      </c>
      <c r="G239" s="56" t="str">
        <f ca="1"/>
        <v>500Ｔ</v>
      </c>
    </row>
    <row r="240" spans="2:7">
      <c r="B240" s="27">
        <f t="shared" si="3"/>
        <v>236</v>
      </c>
      <c r="C240" s="27" t="str">
        <f ca="1"/>
        <v>アリピプラゾールＯＤ錠３ｍｇ「ニプロ」</v>
      </c>
      <c r="D240" s="27">
        <f ca="1"/>
        <v>2</v>
      </c>
      <c r="E240" s="56">
        <f ca="1"/>
        <v>6</v>
      </c>
      <c r="F240" s="56" t="str">
        <f ca="1"/>
        <v>ＰＴＰ</v>
      </c>
      <c r="G240" s="56" t="str">
        <f ca="1"/>
        <v>100Ｔ</v>
      </c>
    </row>
    <row r="241" spans="2:7">
      <c r="B241" s="27">
        <f t="shared" si="3"/>
        <v>237</v>
      </c>
      <c r="C241" s="27" t="str">
        <f ca="1"/>
        <v>アリピプラゾールＯＤ錠３ｍｇ「ニプロ」</v>
      </c>
      <c r="D241" s="27">
        <f ca="1"/>
        <v>2</v>
      </c>
      <c r="E241" s="56">
        <f ca="1"/>
        <v>6</v>
      </c>
      <c r="F241" s="56" t="str">
        <f ca="1"/>
        <v>バラ</v>
      </c>
      <c r="G241" s="56" t="str">
        <f ca="1"/>
        <v>100Ｔ</v>
      </c>
    </row>
    <row r="242" spans="2:7">
      <c r="B242" s="27">
        <f t="shared" si="3"/>
        <v>238</v>
      </c>
      <c r="C242" s="27" t="str">
        <f ca="1"/>
        <v>アリピプラゾールＯＤ錠６ｍｇ「ニプロ」</v>
      </c>
      <c r="D242" s="27">
        <f ca="1"/>
        <v>2</v>
      </c>
      <c r="E242" s="56">
        <f ca="1"/>
        <v>6</v>
      </c>
      <c r="F242" s="56" t="str">
        <f ca="1"/>
        <v>ＰＴＰ</v>
      </c>
      <c r="G242" s="56" t="str">
        <f ca="1"/>
        <v>100Ｔ</v>
      </c>
    </row>
    <row r="243" spans="2:7">
      <c r="B243" s="27">
        <f t="shared" si="3"/>
        <v>239</v>
      </c>
      <c r="C243" s="27" t="str">
        <f ca="1"/>
        <v>アリピプラゾールＯＤ錠６ｍｇ「ニプロ」</v>
      </c>
      <c r="D243" s="27">
        <f ca="1"/>
        <v>2</v>
      </c>
      <c r="E243" s="56">
        <f ca="1"/>
        <v>6</v>
      </c>
      <c r="F243" s="56" t="str">
        <f ca="1"/>
        <v>バラ</v>
      </c>
      <c r="G243" s="56" t="str">
        <f ca="1"/>
        <v>100Ｔ</v>
      </c>
    </row>
    <row r="244" spans="2:7">
      <c r="B244" s="27">
        <f t="shared" si="3"/>
        <v>240</v>
      </c>
      <c r="C244" s="27" t="str">
        <f ca="1"/>
        <v>アリピプラゾール錠１ｍｇ「サワイ」</v>
      </c>
      <c r="D244" s="27">
        <f ca="1"/>
        <v>2</v>
      </c>
      <c r="E244" s="56">
        <f ca="1"/>
        <v>6</v>
      </c>
      <c r="F244" s="56" t="str">
        <f ca="1"/>
        <v>PTP</v>
      </c>
      <c r="G244" s="56" t="str">
        <f ca="1"/>
        <v>100T</v>
      </c>
    </row>
    <row r="245" spans="2:7">
      <c r="B245" s="27">
        <f t="shared" si="3"/>
        <v>241</v>
      </c>
      <c r="C245" s="27" t="str">
        <f ca="1"/>
        <v>インヴェガ錠３ｍｇ</v>
      </c>
      <c r="D245" s="27">
        <f ca="1"/>
        <v>2</v>
      </c>
      <c r="E245" s="56">
        <f ca="1"/>
        <v>6</v>
      </c>
      <c r="F245" s="56" t="str">
        <f ca="1"/>
        <v>PTP</v>
      </c>
      <c r="G245" s="56" t="str">
        <f ca="1"/>
        <v>100Ｔ</v>
      </c>
    </row>
    <row r="246" spans="2:7">
      <c r="B246" s="27">
        <f t="shared" si="3"/>
        <v>242</v>
      </c>
      <c r="C246" s="27" t="str">
        <f ca="1"/>
        <v>インヴェガ錠６ｍｇ</v>
      </c>
      <c r="D246" s="27">
        <f ca="1"/>
        <v>2</v>
      </c>
      <c r="E246" s="56">
        <f ca="1"/>
        <v>6</v>
      </c>
      <c r="F246" s="56" t="str">
        <f ca="1"/>
        <v>PTP</v>
      </c>
      <c r="G246" s="56" t="str">
        <f ca="1"/>
        <v>100T</v>
      </c>
    </row>
    <row r="247" spans="2:7">
      <c r="B247" s="27">
        <f t="shared" si="3"/>
        <v>243</v>
      </c>
      <c r="C247" s="27" t="str">
        <f ca="1"/>
        <v>インデラル錠１０ｍｇ</v>
      </c>
      <c r="D247" s="27">
        <f ca="1"/>
        <v>2</v>
      </c>
      <c r="E247" s="56">
        <f ca="1"/>
        <v>3</v>
      </c>
      <c r="F247" s="56" t="str">
        <f ca="1"/>
        <v>PTP</v>
      </c>
      <c r="G247" s="56" t="str">
        <f ca="1"/>
        <v>500T</v>
      </c>
    </row>
    <row r="248" spans="2:7">
      <c r="B248" s="27">
        <f t="shared" si="3"/>
        <v>244</v>
      </c>
      <c r="C248" s="27" t="str">
        <f ca="1"/>
        <v>エスシタロプラムＯＤ錠１０ｍｇ「トーワ」</v>
      </c>
      <c r="D248" s="27">
        <f ca="1"/>
        <v>2</v>
      </c>
      <c r="E248" s="56">
        <f ca="1"/>
        <v>6</v>
      </c>
      <c r="F248" s="56" t="str">
        <f ca="1"/>
        <v>PTP</v>
      </c>
      <c r="G248" s="56" t="str">
        <f ca="1"/>
        <v>100T</v>
      </c>
    </row>
    <row r="249" spans="2:7">
      <c r="B249" s="27">
        <f t="shared" si="3"/>
        <v>245</v>
      </c>
      <c r="C249" s="27" t="str">
        <f ca="1"/>
        <v>エスシタロプラムＯＤ錠１０ｍｇ「トーワ」</v>
      </c>
      <c r="D249" s="27">
        <f ca="1"/>
        <v>2</v>
      </c>
      <c r="E249" s="56">
        <f ca="1"/>
        <v>6</v>
      </c>
      <c r="F249" s="56" t="str">
        <f ca="1"/>
        <v>バラ</v>
      </c>
      <c r="G249" s="56" t="str">
        <f ca="1"/>
        <v>300T</v>
      </c>
    </row>
    <row r="250" spans="2:7">
      <c r="B250" s="27">
        <f t="shared" si="3"/>
        <v>246</v>
      </c>
      <c r="C250" s="27" t="str">
        <f ca="1"/>
        <v>オランザピンＯＤ錠１０ｍｇ「ニプロ」</v>
      </c>
      <c r="D250" s="27">
        <f ca="1"/>
        <v>2</v>
      </c>
      <c r="E250" s="56">
        <f ca="1"/>
        <v>6</v>
      </c>
      <c r="F250" s="56" t="str">
        <f ca="1"/>
        <v>PTP</v>
      </c>
      <c r="G250" s="56" t="str">
        <f ca="1"/>
        <v>100Ｔ</v>
      </c>
    </row>
    <row r="251" spans="2:7">
      <c r="B251" s="27">
        <f t="shared" si="3"/>
        <v>247</v>
      </c>
      <c r="C251" s="27" t="str">
        <f ca="1"/>
        <v>オランザピンＯＤ錠１０ｍｇ「ニプロ」</v>
      </c>
      <c r="D251" s="27">
        <f ca="1"/>
        <v>2</v>
      </c>
      <c r="E251" s="56">
        <f ca="1"/>
        <v>6</v>
      </c>
      <c r="F251" s="56" t="str">
        <f ca="1"/>
        <v>バラ</v>
      </c>
      <c r="G251" s="56" t="str">
        <f ca="1"/>
        <v>100Ｔ</v>
      </c>
    </row>
    <row r="252" spans="2:7">
      <c r="B252" s="27">
        <f t="shared" si="3"/>
        <v>248</v>
      </c>
      <c r="C252" s="27" t="str">
        <f ca="1"/>
        <v>オランザピンＯＤ錠５ｍｇ「ニプロ」</v>
      </c>
      <c r="D252" s="27">
        <f ca="1"/>
        <v>2</v>
      </c>
      <c r="E252" s="56">
        <f ca="1"/>
        <v>6</v>
      </c>
      <c r="F252" s="56" t="str">
        <f ca="1"/>
        <v>PTP</v>
      </c>
      <c r="G252" s="56" t="str">
        <f ca="1"/>
        <v>100Ｔ</v>
      </c>
    </row>
    <row r="253" spans="2:7">
      <c r="B253" s="27">
        <f t="shared" si="3"/>
        <v>249</v>
      </c>
      <c r="C253" s="27" t="str">
        <f ca="1"/>
        <v>オランザピンＯＤ錠５ｍｇ「ニプロ」</v>
      </c>
      <c r="D253" s="27">
        <f ca="1"/>
        <v>2</v>
      </c>
      <c r="E253" s="56">
        <f ca="1"/>
        <v>6</v>
      </c>
      <c r="F253" s="56" t="str">
        <f ca="1"/>
        <v>バラ</v>
      </c>
      <c r="G253" s="56" t="str">
        <f ca="1"/>
        <v>100Ｔ</v>
      </c>
    </row>
    <row r="254" spans="2:7">
      <c r="B254" s="27">
        <f t="shared" si="3"/>
        <v>250</v>
      </c>
      <c r="C254" s="27" t="str">
        <f ca="1"/>
        <v>オランザピン錠２．５ｍｇ「ニプロ」　　</v>
      </c>
      <c r="D254" s="27">
        <f ca="1"/>
        <v>2</v>
      </c>
      <c r="E254" s="56">
        <f ca="1"/>
        <v>1</v>
      </c>
      <c r="F254" s="56" t="str">
        <f ca="1"/>
        <v>PTP</v>
      </c>
      <c r="G254" s="56" t="str">
        <f ca="1"/>
        <v>100T</v>
      </c>
    </row>
    <row r="255" spans="2:7">
      <c r="B255" s="27">
        <f t="shared" si="3"/>
        <v>251</v>
      </c>
      <c r="C255" s="27" t="str">
        <f ca="1"/>
        <v>オランザピン錠２．５ｍｇ「ニプロ」　　</v>
      </c>
      <c r="D255" s="27">
        <f ca="1"/>
        <v>2</v>
      </c>
      <c r="E255" s="56">
        <f ca="1"/>
        <v>1</v>
      </c>
      <c r="F255" s="56" t="str">
        <f ca="1"/>
        <v>バラ</v>
      </c>
      <c r="G255" s="56" t="str">
        <f ca="1"/>
        <v>100T</v>
      </c>
    </row>
    <row r="256" spans="2:7">
      <c r="B256" s="27">
        <f t="shared" si="3"/>
        <v>252</v>
      </c>
      <c r="C256" s="27" t="str">
        <f ca="1"/>
        <v>ガランタミンＯＤ錠１２ｍｇ「日医工」</v>
      </c>
      <c r="D256" s="27">
        <f ca="1"/>
        <v>2</v>
      </c>
      <c r="E256" s="56">
        <f ca="1"/>
        <v>6</v>
      </c>
      <c r="F256" s="56" t="str">
        <f ca="1"/>
        <v>PTP</v>
      </c>
      <c r="G256" s="56" t="str">
        <f ca="1"/>
        <v>56Ｔ</v>
      </c>
    </row>
    <row r="257" spans="2:7">
      <c r="B257" s="27">
        <f t="shared" si="3"/>
        <v>253</v>
      </c>
      <c r="C257" s="27" t="str">
        <f ca="1"/>
        <v>ガランタミンＯＤ錠４ｍｇ「日医工」</v>
      </c>
      <c r="D257" s="27">
        <f ca="1"/>
        <v>2</v>
      </c>
      <c r="E257" s="56">
        <f ca="1"/>
        <v>6</v>
      </c>
      <c r="F257" s="56" t="str">
        <f ca="1"/>
        <v>PTP</v>
      </c>
      <c r="G257" s="56" t="str">
        <f ca="1"/>
        <v>140Ｔ</v>
      </c>
    </row>
    <row r="258" spans="2:7">
      <c r="B258" s="27">
        <f t="shared" si="3"/>
        <v>254</v>
      </c>
      <c r="C258" s="27" t="str">
        <f ca="1"/>
        <v>クエチアピン錠１００ｍｇ「アメル」</v>
      </c>
      <c r="D258" s="27">
        <f ca="1"/>
        <v>2</v>
      </c>
      <c r="E258" s="56">
        <f ca="1"/>
        <v>6</v>
      </c>
      <c r="F258" s="56" t="str">
        <f ca="1"/>
        <v>ＰＴＰ</v>
      </c>
      <c r="G258" s="56" t="str">
        <f ca="1"/>
        <v>100T</v>
      </c>
    </row>
    <row r="259" spans="2:7">
      <c r="B259" s="27">
        <f t="shared" si="3"/>
        <v>255</v>
      </c>
      <c r="C259" s="27" t="str">
        <f ca="1"/>
        <v>クエチアピン錠１００ｍｇ「アメル」</v>
      </c>
      <c r="D259" s="27">
        <f ca="1"/>
        <v>2</v>
      </c>
      <c r="E259" s="56">
        <f ca="1"/>
        <v>6</v>
      </c>
      <c r="F259" s="56" t="str">
        <f ca="1"/>
        <v>バラ</v>
      </c>
      <c r="G259" s="56" t="str">
        <f ca="1"/>
        <v>1000T</v>
      </c>
    </row>
    <row r="260" spans="2:7">
      <c r="B260" s="27">
        <f t="shared" si="3"/>
        <v>256</v>
      </c>
      <c r="C260" s="27" t="str">
        <f ca="1"/>
        <v>クエチアピン錠１２．５ｍｇ「アメル」</v>
      </c>
      <c r="D260" s="27">
        <f ca="1"/>
        <v>2</v>
      </c>
      <c r="E260" s="56">
        <f ca="1"/>
        <v>6</v>
      </c>
      <c r="F260" s="56" t="str">
        <f ca="1"/>
        <v>PTP</v>
      </c>
      <c r="G260" s="56" t="str">
        <f ca="1"/>
        <v>100T</v>
      </c>
    </row>
    <row r="261" spans="2:7">
      <c r="B261" s="27">
        <f t="shared" si="3"/>
        <v>257</v>
      </c>
      <c r="C261" s="27" t="str">
        <f ca="1"/>
        <v>クエチアピン錠１２．５ｍｇ「アメル」</v>
      </c>
      <c r="D261" s="27">
        <f ca="1"/>
        <v>2</v>
      </c>
      <c r="E261" s="56">
        <f ca="1"/>
        <v>6</v>
      </c>
      <c r="F261" s="56" t="str">
        <f ca="1"/>
        <v>バラ</v>
      </c>
      <c r="G261" s="56" t="str">
        <f ca="1"/>
        <v>200T</v>
      </c>
    </row>
    <row r="262" spans="2:7">
      <c r="B262" s="27">
        <f t="shared" si="3"/>
        <v>258</v>
      </c>
      <c r="C262" s="27" t="str">
        <f ca="1"/>
        <v>クエチアピン錠２００ｍｇ「アメル」</v>
      </c>
      <c r="D262" s="27">
        <f ca="1"/>
        <v>2</v>
      </c>
      <c r="E262" s="56">
        <f ca="1"/>
        <v>6</v>
      </c>
      <c r="F262" s="56" t="str">
        <f ca="1"/>
        <v>ＰＴＰ</v>
      </c>
      <c r="G262" s="56" t="str">
        <f ca="1"/>
        <v>100Ｔ</v>
      </c>
    </row>
    <row r="263" spans="2:7">
      <c r="B263" s="27">
        <f t="shared" ref="B263:B326" si="4">B262+1</f>
        <v>259</v>
      </c>
      <c r="C263" s="27" t="str">
        <f ca="1"/>
        <v>クエチアピン錠２００ｍｇ「アメル」</v>
      </c>
      <c r="D263" s="27">
        <f ca="1"/>
        <v>2</v>
      </c>
      <c r="E263" s="56">
        <f ca="1"/>
        <v>6</v>
      </c>
      <c r="F263" s="56" t="str">
        <f ca="1"/>
        <v>バラ</v>
      </c>
      <c r="G263" s="56" t="str">
        <f ca="1"/>
        <v>500Ｔ</v>
      </c>
    </row>
    <row r="264" spans="2:7">
      <c r="B264" s="27">
        <f t="shared" si="4"/>
        <v>260</v>
      </c>
      <c r="C264" s="27" t="str">
        <f ca="1"/>
        <v>クエチアピン錠２５ｍｇ「アメル」</v>
      </c>
      <c r="D264" s="27">
        <f ca="1"/>
        <v>2</v>
      </c>
      <c r="E264" s="56">
        <f ca="1"/>
        <v>6</v>
      </c>
      <c r="F264" s="56" t="str">
        <f ca="1"/>
        <v>ＰＴＰ</v>
      </c>
      <c r="G264" s="56" t="str">
        <f ca="1"/>
        <v>100Ｔ</v>
      </c>
    </row>
    <row r="265" spans="2:7">
      <c r="B265" s="27">
        <f t="shared" si="4"/>
        <v>261</v>
      </c>
      <c r="C265" s="27" t="str">
        <f ca="1"/>
        <v>クエチアピン錠２５ｍｇ「アメル」</v>
      </c>
      <c r="D265" s="27">
        <f ca="1"/>
        <v>2</v>
      </c>
      <c r="E265" s="56">
        <f ca="1"/>
        <v>6</v>
      </c>
      <c r="F265" s="56" t="str">
        <f ca="1"/>
        <v>バラ</v>
      </c>
      <c r="G265" s="56" t="str">
        <f ca="1"/>
        <v>1000T</v>
      </c>
    </row>
    <row r="266" spans="2:7">
      <c r="B266" s="27">
        <f t="shared" si="4"/>
        <v>262</v>
      </c>
      <c r="C266" s="27" t="str">
        <f ca="1"/>
        <v>グリメピリドＯＤ錠１ｍｇ「トーワ」</v>
      </c>
      <c r="D266" s="27">
        <f ca="1"/>
        <v>2</v>
      </c>
      <c r="E266" s="56">
        <f ca="1"/>
        <v>6</v>
      </c>
      <c r="F266" s="56" t="str">
        <f ca="1"/>
        <v>バラ</v>
      </c>
      <c r="G266" s="56" t="str">
        <f ca="1"/>
        <v>300Ｔ</v>
      </c>
    </row>
    <row r="267" spans="2:7">
      <c r="B267" s="27">
        <f t="shared" si="4"/>
        <v>263</v>
      </c>
      <c r="C267" s="27" t="str">
        <f ca="1"/>
        <v>コントミン糖衣錠１００ｍｇ</v>
      </c>
      <c r="D267" s="27">
        <f ca="1"/>
        <v>2</v>
      </c>
      <c r="E267" s="56">
        <f ca="1"/>
        <v>6</v>
      </c>
      <c r="F267" s="56" t="str">
        <f ca="1"/>
        <v>PTP</v>
      </c>
      <c r="G267" s="56" t="str">
        <f ca="1"/>
        <v>100Ｔ</v>
      </c>
    </row>
    <row r="268" spans="2:7">
      <c r="B268" s="27">
        <f t="shared" si="4"/>
        <v>264</v>
      </c>
      <c r="C268" s="27" t="str">
        <f ca="1"/>
        <v>コントミン糖衣錠５０ｍｇ</v>
      </c>
      <c r="D268" s="27">
        <f ca="1"/>
        <v>2</v>
      </c>
      <c r="E268" s="56">
        <f ca="1"/>
        <v>5</v>
      </c>
      <c r="F268" s="56" t="str">
        <f ca="1"/>
        <v>PTP</v>
      </c>
      <c r="G268" s="56" t="str">
        <f ca="1"/>
        <v>100Ｔ</v>
      </c>
    </row>
    <row r="269" spans="2:7">
      <c r="B269" s="27">
        <f t="shared" si="4"/>
        <v>265</v>
      </c>
      <c r="C269" s="27" t="str">
        <f ca="1"/>
        <v>コントミン糖衣錠５０ｍｇ</v>
      </c>
      <c r="D269" s="27">
        <f ca="1"/>
        <v>2</v>
      </c>
      <c r="E269" s="56">
        <f ca="1"/>
        <v>5</v>
      </c>
      <c r="F269" s="56" t="str">
        <f ca="1"/>
        <v>バラ</v>
      </c>
      <c r="G269" s="56" t="str">
        <f ca="1"/>
        <v>1000Ｔ</v>
      </c>
    </row>
    <row r="270" spans="2:7">
      <c r="B270" s="27">
        <f t="shared" si="4"/>
        <v>266</v>
      </c>
      <c r="C270" s="27" t="str">
        <f ca="1"/>
        <v>シクレスト舌下錠１０ｍｇ</v>
      </c>
      <c r="D270" s="27">
        <f ca="1"/>
        <v>2</v>
      </c>
      <c r="E270" s="56">
        <f ca="1"/>
        <v>1</v>
      </c>
      <c r="F270" s="56" t="str">
        <f ca="1"/>
        <v>PTP</v>
      </c>
      <c r="G270" s="56" t="str">
        <f ca="1"/>
        <v>100T</v>
      </c>
    </row>
    <row r="271" spans="2:7">
      <c r="B271" s="27">
        <f t="shared" si="4"/>
        <v>267</v>
      </c>
      <c r="C271" s="27" t="str">
        <f ca="1"/>
        <v>シクレスト舌下錠５ｍｇ</v>
      </c>
      <c r="D271" s="27">
        <f ca="1"/>
        <v>2</v>
      </c>
      <c r="E271" s="56">
        <f ca="1"/>
        <v>1</v>
      </c>
      <c r="F271" s="56" t="str">
        <f ca="1"/>
        <v>PTP</v>
      </c>
      <c r="G271" s="56" t="str">
        <f ca="1"/>
        <v>100T</v>
      </c>
    </row>
    <row r="272" spans="2:7">
      <c r="B272" s="27">
        <f t="shared" si="4"/>
        <v>268</v>
      </c>
      <c r="C272" s="27" t="str">
        <f ca="1"/>
        <v>ジプレキサ　ザイディス錠１０ｍｇ</v>
      </c>
      <c r="D272" s="27">
        <f ca="1"/>
        <v>2</v>
      </c>
      <c r="E272" s="56">
        <f ca="1"/>
        <v>1</v>
      </c>
      <c r="F272" s="56" t="str">
        <f ca="1"/>
        <v>PTP</v>
      </c>
      <c r="G272" s="56" t="str">
        <f ca="1"/>
        <v>350T</v>
      </c>
    </row>
    <row r="273" spans="2:7">
      <c r="B273" s="27">
        <f t="shared" si="4"/>
        <v>269</v>
      </c>
      <c r="C273" s="27" t="str">
        <f ca="1"/>
        <v>ジプレキサ　ザイディス錠２．５ｍｇ</v>
      </c>
      <c r="D273" s="27">
        <f ca="1"/>
        <v>2</v>
      </c>
      <c r="E273" s="56">
        <f ca="1"/>
        <v>1</v>
      </c>
      <c r="F273" s="56" t="str">
        <f ca="1"/>
        <v>ＰＴＰ</v>
      </c>
      <c r="G273" s="56" t="str">
        <f ca="1"/>
        <v>70Ｔ</v>
      </c>
    </row>
    <row r="274" spans="2:7">
      <c r="B274" s="27">
        <f t="shared" si="4"/>
        <v>270</v>
      </c>
      <c r="C274" s="27" t="str">
        <f ca="1"/>
        <v>ジプレキサ　ザイディス錠５ｍｇ</v>
      </c>
      <c r="D274" s="27">
        <f ca="1"/>
        <v>2</v>
      </c>
      <c r="E274" s="56">
        <f ca="1"/>
        <v>1</v>
      </c>
      <c r="F274" s="56" t="str">
        <f ca="1"/>
        <v>PTP</v>
      </c>
      <c r="G274" s="56" t="str">
        <f ca="1"/>
        <v>350T</v>
      </c>
    </row>
    <row r="275" spans="2:7">
      <c r="B275" s="27">
        <f t="shared" si="4"/>
        <v>271</v>
      </c>
      <c r="C275" s="27" t="str">
        <f ca="1"/>
        <v>シロドシンＯＤ錠４ｍｇ「ＫＭＰ」</v>
      </c>
      <c r="D275" s="27">
        <f ca="1"/>
        <v>2</v>
      </c>
      <c r="E275" s="56">
        <f ca="1"/>
        <v>6</v>
      </c>
      <c r="F275" s="56" t="str">
        <f ca="1"/>
        <v>PTP</v>
      </c>
      <c r="G275" s="56" t="str">
        <f ca="1"/>
        <v>100T</v>
      </c>
    </row>
    <row r="276" spans="2:7">
      <c r="B276" s="27">
        <f t="shared" si="4"/>
        <v>272</v>
      </c>
      <c r="C276" s="27" t="str">
        <f ca="1"/>
        <v>スルピリド錠１００ｍｇ「アメル」</v>
      </c>
      <c r="D276" s="27">
        <f ca="1"/>
        <v>2</v>
      </c>
      <c r="E276" s="56">
        <f ca="1"/>
        <v>6</v>
      </c>
      <c r="F276" s="56" t="str">
        <f ca="1"/>
        <v>PTP</v>
      </c>
      <c r="G276" s="56" t="str">
        <f ca="1"/>
        <v>100T</v>
      </c>
    </row>
    <row r="277" spans="2:7">
      <c r="B277" s="27">
        <f t="shared" si="4"/>
        <v>273</v>
      </c>
      <c r="C277" s="27" t="str">
        <f ca="1"/>
        <v>スルピリド錠２００ｍｇ「アメル」</v>
      </c>
      <c r="D277" s="27">
        <f ca="1"/>
        <v>2</v>
      </c>
      <c r="E277" s="56">
        <f ca="1"/>
        <v>6</v>
      </c>
      <c r="F277" s="56" t="str">
        <f ca="1"/>
        <v>PTP</v>
      </c>
      <c r="G277" s="56" t="str">
        <f ca="1"/>
        <v>100Ｔ</v>
      </c>
    </row>
    <row r="278" spans="2:7">
      <c r="B278" s="27">
        <f t="shared" si="4"/>
        <v>274</v>
      </c>
      <c r="C278" s="27" t="str">
        <f ca="1"/>
        <v>セディール錠１０ｍｇ　　　　　　　　　　</v>
      </c>
      <c r="D278" s="27">
        <f ca="1"/>
        <v>2</v>
      </c>
      <c r="E278" s="56">
        <f ca="1"/>
        <v>6</v>
      </c>
      <c r="F278" s="56" t="str">
        <f ca="1"/>
        <v>PTP</v>
      </c>
      <c r="G278" s="56" t="str">
        <f ca="1"/>
        <v>100T</v>
      </c>
    </row>
    <row r="279" spans="2:7">
      <c r="B279" s="27">
        <f t="shared" si="4"/>
        <v>275</v>
      </c>
      <c r="C279" s="27" t="str">
        <f ca="1"/>
        <v>セディール錠１０ｍｇ　　　　　　　　　　</v>
      </c>
      <c r="D279" s="27">
        <f ca="1"/>
        <v>2</v>
      </c>
      <c r="E279" s="56">
        <f ca="1"/>
        <v>6</v>
      </c>
      <c r="F279" s="56" t="str">
        <f ca="1"/>
        <v>バラ</v>
      </c>
      <c r="G279" s="56" t="str">
        <f ca="1"/>
        <v>５００Ｔ</v>
      </c>
    </row>
    <row r="280" spans="2:7">
      <c r="B280" s="27">
        <f t="shared" si="4"/>
        <v>276</v>
      </c>
      <c r="C280" s="27" t="str">
        <f ca="1"/>
        <v>セルトラリン錠２５ｍｇ「明治」</v>
      </c>
      <c r="D280" s="27">
        <f ca="1"/>
        <v>2</v>
      </c>
      <c r="E280" s="56">
        <f ca="1"/>
        <v>6</v>
      </c>
      <c r="F280" s="56" t="str">
        <f ca="1"/>
        <v>PTP</v>
      </c>
      <c r="G280" s="56" t="str">
        <f ca="1"/>
        <v>100T</v>
      </c>
    </row>
    <row r="281" spans="2:7">
      <c r="B281" s="27">
        <f t="shared" si="4"/>
        <v>277</v>
      </c>
      <c r="C281" s="27" t="str">
        <f ca="1"/>
        <v>セルトラリン錠２５ｍｇ「明治」</v>
      </c>
      <c r="D281" s="27">
        <f ca="1"/>
        <v>2</v>
      </c>
      <c r="E281" s="56">
        <f ca="1"/>
        <v>6</v>
      </c>
      <c r="F281" s="56" t="str">
        <f ca="1"/>
        <v>バラ</v>
      </c>
      <c r="G281" s="56" t="str">
        <f ca="1"/>
        <v>500T</v>
      </c>
    </row>
    <row r="282" spans="2:7">
      <c r="B282" s="27">
        <f t="shared" si="4"/>
        <v>278</v>
      </c>
      <c r="C282" s="27" t="str">
        <f ca="1"/>
        <v>セレコキシブ錠１００ｍｇ「ＤＳＥＰ」</v>
      </c>
      <c r="D282" s="27">
        <f ca="1"/>
        <v>2</v>
      </c>
      <c r="E282" s="56">
        <f ca="1"/>
        <v>6</v>
      </c>
      <c r="F282" s="56" t="str">
        <f ca="1"/>
        <v>PTP</v>
      </c>
      <c r="G282" s="56" t="str">
        <f ca="1"/>
        <v>100T</v>
      </c>
    </row>
    <row r="283" spans="2:7">
      <c r="B283" s="27">
        <f t="shared" si="4"/>
        <v>279</v>
      </c>
      <c r="C283" s="27" t="str">
        <f ca="1"/>
        <v>セレコキシブ錠１００ｍｇ「ＤＳＥＰ」</v>
      </c>
      <c r="D283" s="27">
        <f ca="1"/>
        <v>2</v>
      </c>
      <c r="E283" s="56">
        <f ca="1"/>
        <v>6</v>
      </c>
      <c r="F283" s="56" t="str">
        <f ca="1"/>
        <v>バラ</v>
      </c>
      <c r="G283" s="56" t="str">
        <f ca="1"/>
        <v>500T</v>
      </c>
    </row>
    <row r="284" spans="2:7">
      <c r="B284" s="27">
        <f t="shared" si="4"/>
        <v>280</v>
      </c>
      <c r="C284" s="27" t="str">
        <f ca="1"/>
        <v>ゾニサミドＯＤ錠２５ｍｇＴＲＥ「ＤＳＥＰ」</v>
      </c>
      <c r="D284" s="27">
        <f ca="1"/>
        <v>2</v>
      </c>
      <c r="E284" s="56">
        <f ca="1"/>
        <v>6</v>
      </c>
      <c r="F284" s="56" t="str">
        <f ca="1"/>
        <v>バラ</v>
      </c>
      <c r="G284" s="56" t="str">
        <f ca="1"/>
        <v>100T</v>
      </c>
    </row>
    <row r="285" spans="2:7">
      <c r="B285" s="27">
        <f t="shared" si="4"/>
        <v>281</v>
      </c>
      <c r="C285" s="27" t="str">
        <f ca="1"/>
        <v>ゾニサミド錠１００ＭＧ「アメル」</v>
      </c>
      <c r="D285" s="27">
        <f ca="1"/>
        <v>2</v>
      </c>
      <c r="E285" s="56">
        <f ca="1"/>
        <v>6</v>
      </c>
      <c r="F285" s="56" t="str">
        <f ca="1"/>
        <v>バラ</v>
      </c>
      <c r="G285" s="56" t="str">
        <f ca="1"/>
        <v>1000T</v>
      </c>
    </row>
    <row r="286" spans="2:7">
      <c r="B286" s="27">
        <f t="shared" si="4"/>
        <v>282</v>
      </c>
      <c r="C286" s="27" t="str">
        <f ca="1"/>
        <v>チラーヂンＳ錠２５μｇ</v>
      </c>
      <c r="D286" s="27">
        <f ca="1"/>
        <v>2</v>
      </c>
      <c r="E286" s="56">
        <f ca="1"/>
        <v>6</v>
      </c>
      <c r="F286" s="56" t="str">
        <f ca="1"/>
        <v>バラ</v>
      </c>
      <c r="G286" s="56" t="str">
        <f ca="1"/>
        <v>500T</v>
      </c>
    </row>
    <row r="287" spans="2:7">
      <c r="B287" s="27">
        <f t="shared" si="4"/>
        <v>283</v>
      </c>
      <c r="C287" s="27" t="str">
        <f ca="1"/>
        <v>チラーヂンＳ錠５０μｇ</v>
      </c>
      <c r="D287" s="27">
        <f ca="1"/>
        <v>2</v>
      </c>
      <c r="E287" s="56">
        <f ca="1"/>
        <v>6</v>
      </c>
      <c r="F287" s="56" t="str">
        <f ca="1"/>
        <v>バラ</v>
      </c>
      <c r="G287" s="56" t="str">
        <f ca="1"/>
        <v>500T</v>
      </c>
    </row>
    <row r="288" spans="2:7">
      <c r="B288" s="27">
        <f t="shared" si="4"/>
        <v>284</v>
      </c>
      <c r="C288" s="27" t="str">
        <f ca="1"/>
        <v>テオフィリン徐放Ｕ錠２００ｍｇ「トーワ」</v>
      </c>
      <c r="D288" s="27">
        <f ca="1"/>
        <v>2</v>
      </c>
      <c r="E288" s="56">
        <f ca="1"/>
        <v>6</v>
      </c>
      <c r="F288" s="56" t="str">
        <f ca="1"/>
        <v>PTP</v>
      </c>
      <c r="G288" s="56" t="str">
        <f ca="1"/>
        <v>100Ｔ</v>
      </c>
    </row>
    <row r="289" spans="2:7">
      <c r="B289" s="27">
        <f t="shared" si="4"/>
        <v>285</v>
      </c>
      <c r="C289" s="27" t="str">
        <f ca="1"/>
        <v>ドネペジル塩酸塩ＯＤ錠１０ｍｇ「トーワ」</v>
      </c>
      <c r="D289" s="27">
        <f ca="1"/>
        <v>2</v>
      </c>
      <c r="E289" s="56">
        <f ca="1"/>
        <v>6</v>
      </c>
      <c r="F289" s="56" t="str">
        <f ca="1"/>
        <v>PTP</v>
      </c>
      <c r="G289" s="56" t="str">
        <f ca="1"/>
        <v>140T</v>
      </c>
    </row>
    <row r="290" spans="2:7">
      <c r="B290" s="27">
        <f t="shared" si="4"/>
        <v>286</v>
      </c>
      <c r="C290" s="27" t="str">
        <f ca="1"/>
        <v>ドネペジル塩酸塩ＯＤ錠１０ｍｇ「トーワ」</v>
      </c>
      <c r="D290" s="27">
        <f ca="1"/>
        <v>2</v>
      </c>
      <c r="E290" s="56">
        <f ca="1"/>
        <v>6</v>
      </c>
      <c r="F290" s="56" t="str">
        <f ca="1"/>
        <v>バラ</v>
      </c>
      <c r="G290" s="56" t="str">
        <f ca="1"/>
        <v>100T</v>
      </c>
    </row>
    <row r="291" spans="2:7">
      <c r="B291" s="27">
        <f t="shared" si="4"/>
        <v>287</v>
      </c>
      <c r="C291" s="27" t="str">
        <f ca="1"/>
        <v>ドネペジル塩酸塩ＯＤ錠３ｍｇ「トーワ」</v>
      </c>
      <c r="D291" s="27">
        <f ca="1"/>
        <v>2</v>
      </c>
      <c r="E291" s="56">
        <f ca="1"/>
        <v>6</v>
      </c>
      <c r="F291" s="56" t="str">
        <f ca="1"/>
        <v>PTP</v>
      </c>
      <c r="G291" s="56" t="str">
        <f ca="1"/>
        <v>28T</v>
      </c>
    </row>
    <row r="292" spans="2:7">
      <c r="B292" s="27">
        <f t="shared" si="4"/>
        <v>288</v>
      </c>
      <c r="C292" s="27" t="str">
        <f ca="1"/>
        <v>ドネペジル塩酸塩ＯＤ錠３ｍｇ「トーワ」</v>
      </c>
      <c r="D292" s="27">
        <f ca="1"/>
        <v>2</v>
      </c>
      <c r="E292" s="56">
        <f ca="1"/>
        <v>6</v>
      </c>
      <c r="F292" s="56" t="str">
        <f ca="1"/>
        <v>バラ</v>
      </c>
      <c r="G292" s="56" t="str">
        <f ca="1"/>
        <v>100T</v>
      </c>
    </row>
    <row r="293" spans="2:7">
      <c r="B293" s="27">
        <f t="shared" si="4"/>
        <v>289</v>
      </c>
      <c r="C293" s="27" t="str">
        <f ca="1"/>
        <v>ドネペジル塩酸塩ＯＤ錠５ｍｇ「トーワ」</v>
      </c>
      <c r="D293" s="27">
        <f ca="1"/>
        <v>2</v>
      </c>
      <c r="E293" s="56">
        <f ca="1"/>
        <v>6</v>
      </c>
      <c r="F293" s="56" t="str">
        <f ca="1"/>
        <v>PTP</v>
      </c>
      <c r="G293" s="56" t="str">
        <f ca="1"/>
        <v>140T</v>
      </c>
    </row>
    <row r="294" spans="2:7">
      <c r="B294" s="27">
        <f t="shared" si="4"/>
        <v>290</v>
      </c>
      <c r="C294" s="27" t="str">
        <f ca="1"/>
        <v>ドネペジル塩酸塩ＯＤ錠５ｍｇ「トーワ」</v>
      </c>
      <c r="D294" s="27">
        <f ca="1"/>
        <v>2</v>
      </c>
      <c r="E294" s="56">
        <f ca="1"/>
        <v>6</v>
      </c>
      <c r="F294" s="56" t="str">
        <f ca="1"/>
        <v>バラ</v>
      </c>
      <c r="G294" s="56" t="str">
        <f ca="1"/>
        <v>100T</v>
      </c>
    </row>
    <row r="295" spans="2:7">
      <c r="B295" s="27">
        <f t="shared" si="4"/>
        <v>291</v>
      </c>
      <c r="C295" s="27" t="str">
        <f ca="1"/>
        <v>トラゾドン塩酸塩錠２５ｍｇ「アメル」</v>
      </c>
      <c r="D295" s="27">
        <f ca="1"/>
        <v>2</v>
      </c>
      <c r="E295" s="56">
        <f ca="1"/>
        <v>6</v>
      </c>
      <c r="F295" s="56" t="str">
        <f ca="1"/>
        <v>PTP</v>
      </c>
      <c r="G295" s="56" t="str">
        <f ca="1"/>
        <v>100Ｔ</v>
      </c>
    </row>
    <row r="296" spans="2:7">
      <c r="B296" s="27">
        <f t="shared" si="4"/>
        <v>292</v>
      </c>
      <c r="C296" s="27" t="str">
        <f ca="1"/>
        <v>トラゾドン塩酸塩錠２５ｍｇ「アメル」</v>
      </c>
      <c r="D296" s="27">
        <f ca="1"/>
        <v>2</v>
      </c>
      <c r="E296" s="56">
        <f ca="1"/>
        <v>6</v>
      </c>
      <c r="F296" s="56" t="str">
        <f ca="1"/>
        <v>バラ</v>
      </c>
      <c r="G296" s="56" t="str">
        <f ca="1"/>
        <v>1000Ｔ</v>
      </c>
    </row>
    <row r="297" spans="2:7">
      <c r="B297" s="27">
        <f t="shared" si="4"/>
        <v>293</v>
      </c>
      <c r="C297" s="27" t="str">
        <f ca="1"/>
        <v>トリンテリックス錠１０ｍｇ</v>
      </c>
      <c r="D297" s="27">
        <f ca="1"/>
        <v>2</v>
      </c>
      <c r="E297" s="56">
        <f ca="1"/>
        <v>6</v>
      </c>
      <c r="F297" s="56" t="str">
        <f ca="1"/>
        <v>ＰＴＰ</v>
      </c>
      <c r="G297" s="56" t="str">
        <f ca="1"/>
        <v>100Ｔ</v>
      </c>
    </row>
    <row r="298" spans="2:7">
      <c r="B298" s="27">
        <f t="shared" si="4"/>
        <v>294</v>
      </c>
      <c r="C298" s="27" t="str">
        <f ca="1"/>
        <v>トレドミン錠１５ｍｇ　　　　　　　</v>
      </c>
      <c r="D298" s="27">
        <f ca="1"/>
        <v>2</v>
      </c>
      <c r="E298" s="56">
        <f ca="1"/>
        <v>6</v>
      </c>
      <c r="F298" s="56" t="str">
        <f ca="1"/>
        <v>PTP</v>
      </c>
      <c r="G298" s="56" t="str">
        <f ca="1"/>
        <v>100Ｔ</v>
      </c>
    </row>
    <row r="299" spans="2:7">
      <c r="B299" s="27">
        <f t="shared" si="4"/>
        <v>295</v>
      </c>
      <c r="C299" s="27" t="str">
        <f ca="1"/>
        <v>トレドミン錠２５ｍｇ　　　　　　　</v>
      </c>
      <c r="D299" s="27">
        <f ca="1"/>
        <v>2</v>
      </c>
      <c r="E299" s="56">
        <f ca="1"/>
        <v>6</v>
      </c>
      <c r="F299" s="56" t="str">
        <f ca="1"/>
        <v>PTP</v>
      </c>
      <c r="G299" s="56" t="str">
        <f ca="1"/>
        <v>100Ｔ</v>
      </c>
    </row>
    <row r="300" spans="2:7">
      <c r="B300" s="27">
        <f t="shared" si="4"/>
        <v>296</v>
      </c>
      <c r="C300" s="27" t="str">
        <f ca="1"/>
        <v>ニトロペン舌下錠０．３ｍｇ</v>
      </c>
      <c r="D300" s="27">
        <f ca="1"/>
        <v>2</v>
      </c>
      <c r="E300" s="56">
        <f ca="1"/>
        <v>1</v>
      </c>
      <c r="F300" s="56" t="str">
        <f ca="1"/>
        <v>PTP</v>
      </c>
      <c r="G300" s="56" t="str">
        <f ca="1"/>
        <v>100Ｔ</v>
      </c>
    </row>
    <row r="301" spans="2:7">
      <c r="B301" s="27">
        <f t="shared" si="4"/>
        <v>297</v>
      </c>
      <c r="C301" s="27" t="str">
        <f ca="1"/>
        <v>ニルバジピン錠４ｍｇ「サワイ」</v>
      </c>
      <c r="D301" s="27">
        <f ca="1"/>
        <v>2</v>
      </c>
      <c r="E301" s="56">
        <f ca="1"/>
        <v>6</v>
      </c>
      <c r="F301" s="56" t="str">
        <f ca="1"/>
        <v>PTP</v>
      </c>
      <c r="G301" s="56" t="str">
        <f ca="1"/>
        <v>100T</v>
      </c>
    </row>
    <row r="302" spans="2:7">
      <c r="B302" s="27">
        <f t="shared" si="4"/>
        <v>298</v>
      </c>
      <c r="C302" s="27" t="str">
        <f ca="1"/>
        <v>ハイペン錠２００ｍｇ</v>
      </c>
      <c r="D302" s="27">
        <f ca="1"/>
        <v>2</v>
      </c>
      <c r="E302" s="56">
        <f ca="1"/>
        <v>6</v>
      </c>
      <c r="F302" s="56" t="str">
        <f ca="1"/>
        <v>PTP</v>
      </c>
      <c r="G302" s="56" t="str">
        <f ca="1"/>
        <v>100T</v>
      </c>
    </row>
    <row r="303" spans="2:7">
      <c r="B303" s="27">
        <f t="shared" si="4"/>
        <v>299</v>
      </c>
      <c r="C303" s="27" t="str">
        <f ca="1"/>
        <v>パキシルＣＲ錠１２．５ｍｇ</v>
      </c>
      <c r="D303" s="27">
        <f ca="1"/>
        <v>2</v>
      </c>
      <c r="E303" s="56">
        <f ca="1"/>
        <v>6</v>
      </c>
      <c r="F303" s="56" t="str">
        <f ca="1"/>
        <v>PTP</v>
      </c>
      <c r="G303" s="56" t="str">
        <f ca="1"/>
        <v>140Ｔ</v>
      </c>
    </row>
    <row r="304" spans="2:7">
      <c r="B304" s="27">
        <f t="shared" si="4"/>
        <v>300</v>
      </c>
      <c r="C304" s="27" t="str">
        <f ca="1"/>
        <v>パキシルＣＲ錠１２．５ｍｇ</v>
      </c>
      <c r="D304" s="27">
        <f ca="1"/>
        <v>2</v>
      </c>
      <c r="E304" s="56">
        <f ca="1"/>
        <v>6</v>
      </c>
      <c r="F304" s="56" t="str">
        <f ca="1"/>
        <v>バラ</v>
      </c>
      <c r="G304" s="56" t="str">
        <f ca="1"/>
        <v>500Ｔ</v>
      </c>
    </row>
    <row r="305" spans="2:7">
      <c r="B305" s="27">
        <f t="shared" si="4"/>
        <v>301</v>
      </c>
      <c r="C305" s="56" t="str">
        <f ca="1"/>
        <v>パロキセチンＯＤ錠１０ｍｇ「トーワ」</v>
      </c>
      <c r="D305" s="56">
        <f ca="1"/>
        <v>2</v>
      </c>
      <c r="E305" s="56">
        <f ca="1"/>
        <v>6</v>
      </c>
      <c r="F305" s="56" t="str">
        <f ca="1"/>
        <v>ＰＴＰ</v>
      </c>
      <c r="G305" s="56" t="str">
        <f ca="1"/>
        <v>100T</v>
      </c>
    </row>
    <row r="306" spans="2:7">
      <c r="B306" s="27">
        <f t="shared" si="4"/>
        <v>302</v>
      </c>
      <c r="C306" s="56" t="str">
        <f ca="1"/>
        <v>パロキセチンＯＤ錠１０ｍｇ「トーワ」</v>
      </c>
      <c r="D306" s="56">
        <f ca="1"/>
        <v>2</v>
      </c>
      <c r="E306" s="56">
        <f ca="1"/>
        <v>6</v>
      </c>
      <c r="F306" s="56" t="str">
        <f ca="1"/>
        <v>バラ</v>
      </c>
      <c r="G306" s="56" t="str">
        <f ca="1"/>
        <v>300T</v>
      </c>
    </row>
    <row r="307" spans="2:7">
      <c r="B307" s="27">
        <f t="shared" si="4"/>
        <v>303</v>
      </c>
      <c r="C307" s="56" t="str">
        <f ca="1"/>
        <v>ハロペリドール錠０．７５ｍｇ「アメル」　　　　　　</v>
      </c>
      <c r="D307" s="56">
        <f ca="1"/>
        <v>2</v>
      </c>
      <c r="E307" s="56">
        <f ca="1"/>
        <v>6</v>
      </c>
      <c r="F307" s="56" t="str">
        <f ca="1"/>
        <v>バラ</v>
      </c>
      <c r="G307" s="56" t="str">
        <f ca="1"/>
        <v>1000T</v>
      </c>
    </row>
    <row r="308" spans="2:7">
      <c r="B308" s="27">
        <f t="shared" si="4"/>
        <v>304</v>
      </c>
      <c r="C308" s="56" t="str">
        <f ca="1"/>
        <v>ハロペリドール錠１．５ｍｇ「アメル」　　　　　　　</v>
      </c>
      <c r="D308" s="56">
        <f ca="1"/>
        <v>2</v>
      </c>
      <c r="E308" s="56">
        <f ca="1"/>
        <v>6</v>
      </c>
      <c r="F308" s="56" t="str">
        <f ca="1"/>
        <v>バラ</v>
      </c>
      <c r="G308" s="56" t="str">
        <f ca="1"/>
        <v>1000Ｔ</v>
      </c>
    </row>
    <row r="309" spans="2:7">
      <c r="B309" s="27">
        <f t="shared" si="4"/>
        <v>305</v>
      </c>
      <c r="C309" s="56" t="str">
        <f ca="1"/>
        <v>ハロペリドール錠１ｍｇ「アメル」</v>
      </c>
      <c r="D309" s="56">
        <f ca="1"/>
        <v>2</v>
      </c>
      <c r="E309" s="56">
        <f ca="1"/>
        <v>6</v>
      </c>
      <c r="F309" s="56" t="str">
        <f ca="1"/>
        <v>PTP</v>
      </c>
      <c r="G309" s="56" t="str">
        <f ca="1"/>
        <v>100Ｔ</v>
      </c>
    </row>
    <row r="310" spans="2:7">
      <c r="B310" s="27">
        <f t="shared" si="4"/>
        <v>306</v>
      </c>
      <c r="C310" s="56" t="str">
        <f ca="1"/>
        <v>ハロペリドール錠１ｍｇ「アメル」</v>
      </c>
      <c r="D310" s="56">
        <f ca="1"/>
        <v>2</v>
      </c>
      <c r="E310" s="56">
        <f ca="1"/>
        <v>6</v>
      </c>
      <c r="F310" s="56" t="str">
        <f ca="1"/>
        <v>バラ</v>
      </c>
      <c r="G310" s="56" t="str">
        <f ca="1"/>
        <v>1000T</v>
      </c>
    </row>
    <row r="311" spans="2:7">
      <c r="B311" s="27">
        <f t="shared" si="4"/>
        <v>307</v>
      </c>
      <c r="C311" s="56" t="str">
        <f ca="1"/>
        <v>ハロペリドール錠３ｍｇ「アメル」</v>
      </c>
      <c r="D311" s="56">
        <f ca="1"/>
        <v>2</v>
      </c>
      <c r="E311" s="56">
        <f ca="1"/>
        <v>6</v>
      </c>
      <c r="F311" s="56" t="str">
        <f ca="1"/>
        <v>バラ</v>
      </c>
      <c r="G311" s="56" t="str">
        <f ca="1"/>
        <v>1000Ｔ</v>
      </c>
    </row>
    <row r="312" spans="2:7">
      <c r="B312" s="27">
        <f t="shared" si="4"/>
        <v>308</v>
      </c>
      <c r="C312" s="56" t="str">
        <f ca="1"/>
        <v>ヒルナミン錠（５０ｍｇ）</v>
      </c>
      <c r="D312" s="56">
        <f ca="1"/>
        <v>2</v>
      </c>
      <c r="E312" s="56">
        <f ca="1"/>
        <v>6</v>
      </c>
      <c r="F312" s="56" t="str">
        <f ca="1"/>
        <v>バラ</v>
      </c>
      <c r="G312" s="56" t="str">
        <f ca="1"/>
        <v>1000T</v>
      </c>
    </row>
    <row r="313" spans="2:7">
      <c r="B313" s="27">
        <f t="shared" si="4"/>
        <v>309</v>
      </c>
      <c r="C313" s="56" t="str">
        <f ca="1"/>
        <v>フェロジピン錠５ｍｇ「ＮＩＧ」</v>
      </c>
      <c r="D313" s="56">
        <f ca="1"/>
        <v>2</v>
      </c>
      <c r="E313" s="56">
        <f ca="1"/>
        <v>6</v>
      </c>
      <c r="F313" s="56" t="str">
        <f ca="1"/>
        <v>PTP</v>
      </c>
      <c r="G313" s="56" t="str">
        <f ca="1"/>
        <v>100T</v>
      </c>
    </row>
    <row r="314" spans="2:7">
      <c r="B314" s="27">
        <f t="shared" si="4"/>
        <v>310</v>
      </c>
      <c r="C314" s="56" t="str">
        <f ca="1"/>
        <v>ブロナンセリン錠２ｍｇ「ＤＳＰＢ」</v>
      </c>
      <c r="D314" s="56">
        <f ca="1"/>
        <v>2</v>
      </c>
      <c r="E314" s="56">
        <f ca="1"/>
        <v>6</v>
      </c>
      <c r="F314" s="56" t="str">
        <f ca="1"/>
        <v>ＰＴＰ</v>
      </c>
      <c r="G314" s="56" t="str">
        <f ca="1"/>
        <v>100T</v>
      </c>
    </row>
    <row r="315" spans="2:7">
      <c r="B315" s="27">
        <f t="shared" si="4"/>
        <v>311</v>
      </c>
      <c r="C315" s="56" t="str">
        <f ca="1"/>
        <v>ブロナンセリン錠４ｍｇ「ＤＳＰＢ」</v>
      </c>
      <c r="D315" s="56">
        <f ca="1"/>
        <v>2</v>
      </c>
      <c r="E315" s="56">
        <f ca="1"/>
        <v>6</v>
      </c>
      <c r="F315" s="56" t="str">
        <f ca="1"/>
        <v>ＰＴＰ</v>
      </c>
      <c r="G315" s="56" t="str">
        <f ca="1"/>
        <v>100T</v>
      </c>
    </row>
    <row r="316" spans="2:7">
      <c r="B316" s="27">
        <f t="shared" si="4"/>
        <v>312</v>
      </c>
      <c r="C316" s="56" t="str">
        <f ca="1"/>
        <v>ブロナンセリン錠４ｍｇ「ＤＳＰＢ」</v>
      </c>
      <c r="D316" s="56">
        <f ca="1"/>
        <v>2</v>
      </c>
      <c r="E316" s="56">
        <f ca="1"/>
        <v>6</v>
      </c>
      <c r="F316" s="56" t="str">
        <f ca="1"/>
        <v>バラ</v>
      </c>
      <c r="G316" s="56" t="str">
        <f ca="1"/>
        <v>1000T</v>
      </c>
    </row>
    <row r="317" spans="2:7">
      <c r="B317" s="27">
        <f t="shared" si="4"/>
        <v>313</v>
      </c>
      <c r="C317" s="56" t="str">
        <f ca="1"/>
        <v>ブロナンセリン錠８ｍｇ「ＤＳＰＢ」</v>
      </c>
      <c r="D317" s="56">
        <f ca="1"/>
        <v>2</v>
      </c>
      <c r="E317" s="56">
        <f ca="1"/>
        <v>6</v>
      </c>
      <c r="F317" s="56" t="str">
        <f ca="1"/>
        <v>ＰＴＰ</v>
      </c>
      <c r="G317" s="56" t="str">
        <f ca="1"/>
        <v>100T</v>
      </c>
    </row>
    <row r="318" spans="2:7">
      <c r="B318" s="27">
        <f t="shared" si="4"/>
        <v>314</v>
      </c>
      <c r="C318" s="56" t="str">
        <f ca="1"/>
        <v>ブロナンセリン錠８ｍｇ「ＤＳＰＢ」</v>
      </c>
      <c r="D318" s="56">
        <f ca="1"/>
        <v>2</v>
      </c>
      <c r="E318" s="56">
        <f ca="1"/>
        <v>6</v>
      </c>
      <c r="F318" s="56" t="str">
        <f ca="1"/>
        <v>バラ</v>
      </c>
      <c r="G318" s="56" t="str">
        <f ca="1"/>
        <v>1000T</v>
      </c>
    </row>
    <row r="319" spans="2:7">
      <c r="B319" s="27">
        <f t="shared" si="4"/>
        <v>315</v>
      </c>
      <c r="C319" s="56" t="str">
        <f ca="1"/>
        <v>ブロムペリドール錠３ｍｇ「アメル」</v>
      </c>
      <c r="D319" s="56">
        <f ca="1"/>
        <v>2</v>
      </c>
      <c r="E319" s="56">
        <f ca="1"/>
        <v>6</v>
      </c>
      <c r="F319" s="56" t="str">
        <f ca="1"/>
        <v>PTP</v>
      </c>
      <c r="G319" s="56" t="str">
        <f ca="1"/>
        <v>100T</v>
      </c>
    </row>
    <row r="320" spans="2:7">
      <c r="B320" s="27">
        <f t="shared" si="4"/>
        <v>316</v>
      </c>
      <c r="C320" s="56" t="str">
        <f ca="1"/>
        <v>ミノドロン酸錠５０ｍｇ「ＪＧ」</v>
      </c>
      <c r="D320" s="56">
        <f ca="1"/>
        <v>2</v>
      </c>
      <c r="E320" s="56">
        <f ca="1"/>
        <v>1</v>
      </c>
      <c r="F320" s="56" t="str">
        <f ca="1"/>
        <v>ＰＴＰ</v>
      </c>
      <c r="G320" s="56" t="str">
        <f ca="1"/>
        <v>2Ｔ</v>
      </c>
    </row>
    <row r="321" spans="2:7">
      <c r="B321" s="27">
        <f t="shared" si="4"/>
        <v>317</v>
      </c>
      <c r="C321" s="56" t="str">
        <f ca="1"/>
        <v>ミルタザピンＯＤ錠１５ｍｇ「サワイ」</v>
      </c>
      <c r="D321" s="56">
        <f ca="1"/>
        <v>2</v>
      </c>
      <c r="E321" s="56">
        <f ca="1"/>
        <v>6</v>
      </c>
      <c r="F321" s="56" t="str">
        <f ca="1"/>
        <v>PTP</v>
      </c>
      <c r="G321" s="56" t="str">
        <f ca="1"/>
        <v>100Ｔ</v>
      </c>
    </row>
    <row r="322" spans="2:7">
      <c r="B322" s="27">
        <f t="shared" si="4"/>
        <v>318</v>
      </c>
      <c r="C322" s="56" t="str">
        <f ca="1"/>
        <v>ミルタザピンＯＤ錠１５ｍｇ「サワイ」</v>
      </c>
      <c r="D322" s="56">
        <f ca="1"/>
        <v>2</v>
      </c>
      <c r="E322" s="56">
        <f ca="1"/>
        <v>6</v>
      </c>
      <c r="F322" s="56" t="str">
        <f ca="1"/>
        <v>バラ</v>
      </c>
      <c r="G322" s="56" t="str">
        <f ca="1"/>
        <v>200Ｔ</v>
      </c>
    </row>
    <row r="323" spans="2:7">
      <c r="B323" s="27">
        <f t="shared" si="4"/>
        <v>319</v>
      </c>
      <c r="C323" s="56" t="str">
        <f ca="1"/>
        <v>メトホルミン塩酸塩錠２５０ｍｇＭＴ「ＤＳＰＢ」</v>
      </c>
      <c r="D323" s="56">
        <f ca="1"/>
        <v>2</v>
      </c>
      <c r="E323" s="56">
        <f ca="1"/>
        <v>6</v>
      </c>
      <c r="F323" s="56" t="str">
        <f ca="1"/>
        <v>バラ</v>
      </c>
      <c r="G323" s="56" t="str">
        <f ca="1"/>
        <v>500T</v>
      </c>
    </row>
    <row r="324" spans="2:7">
      <c r="B324" s="27">
        <f t="shared" si="4"/>
        <v>320</v>
      </c>
      <c r="C324" s="56" t="str">
        <f ca="1"/>
        <v>メマンチン塩酸塩ＯＤ錠２０ｍｇ「ＤＳＥＰ」</v>
      </c>
      <c r="D324" s="56">
        <f ca="1"/>
        <v>2</v>
      </c>
      <c r="E324" s="56">
        <f ca="1"/>
        <v>6</v>
      </c>
      <c r="F324" s="56" t="str">
        <f ca="1"/>
        <v>PTP</v>
      </c>
      <c r="G324" s="56" t="str">
        <f ca="1"/>
        <v>56Ｔ</v>
      </c>
    </row>
    <row r="325" spans="2:7">
      <c r="B325" s="27">
        <f t="shared" si="4"/>
        <v>321</v>
      </c>
      <c r="C325" s="56" t="str">
        <f ca="1"/>
        <v>メマンチン塩酸塩ＯＤ錠２０ｍｇ「ＤＳＥＰ」</v>
      </c>
      <c r="D325" s="56">
        <f ca="1"/>
        <v>2</v>
      </c>
      <c r="E325" s="56">
        <f ca="1"/>
        <v>6</v>
      </c>
      <c r="F325" s="56" t="str">
        <f ca="1"/>
        <v>バラ</v>
      </c>
      <c r="G325" s="56" t="str">
        <f ca="1"/>
        <v>100Ｔ</v>
      </c>
    </row>
    <row r="326" spans="2:7">
      <c r="B326" s="27">
        <f t="shared" si="4"/>
        <v>322</v>
      </c>
      <c r="C326" s="56" t="str">
        <f ca="1"/>
        <v>メマンチン塩酸塩ＯＤ錠５ｍｇ「ＤＳＥＰ」</v>
      </c>
      <c r="D326" s="56">
        <f ca="1"/>
        <v>2</v>
      </c>
      <c r="E326" s="56">
        <f ca="1"/>
        <v>6</v>
      </c>
      <c r="F326" s="56" t="str">
        <f ca="1"/>
        <v>PTP</v>
      </c>
      <c r="G326" s="56" t="str">
        <f ca="1"/>
        <v>56Ｔ</v>
      </c>
    </row>
    <row r="327" spans="2:7">
      <c r="B327" s="27">
        <f t="shared" ref="B327:B390" si="5">B326+1</f>
        <v>323</v>
      </c>
      <c r="C327" s="56" t="str">
        <f ca="1"/>
        <v>メマンチン塩酸塩ＯＤ錠５ｍｇ「ＤＳＥＰ」</v>
      </c>
      <c r="D327" s="56">
        <f ca="1"/>
        <v>2</v>
      </c>
      <c r="E327" s="56">
        <f ca="1"/>
        <v>6</v>
      </c>
      <c r="F327" s="56" t="str">
        <f ca="1"/>
        <v>バラ</v>
      </c>
      <c r="G327" s="56" t="str">
        <f ca="1"/>
        <v>100Ｔ</v>
      </c>
    </row>
    <row r="328" spans="2:7">
      <c r="B328" s="27">
        <f t="shared" si="5"/>
        <v>324</v>
      </c>
      <c r="C328" s="56" t="str">
        <f ca="1"/>
        <v>モディオダール錠１００ｍｇ</v>
      </c>
      <c r="D328" s="56">
        <f ca="1"/>
        <v>2</v>
      </c>
      <c r="E328" s="56">
        <f ca="1"/>
        <v>3</v>
      </c>
      <c r="F328" s="56" t="str">
        <f ca="1"/>
        <v>PTP</v>
      </c>
      <c r="G328" s="56" t="str">
        <f ca="1"/>
        <v>100T</v>
      </c>
    </row>
    <row r="329" spans="2:7">
      <c r="B329" s="27">
        <f t="shared" si="5"/>
        <v>325</v>
      </c>
      <c r="C329" s="56" t="str">
        <f ca="1"/>
        <v>ラツーダ錠２０ｍｇ</v>
      </c>
      <c r="D329" s="56">
        <f ca="1"/>
        <v>2</v>
      </c>
      <c r="E329" s="56">
        <f ca="1"/>
        <v>6</v>
      </c>
      <c r="F329" s="56" t="str">
        <f ca="1"/>
        <v>PTP</v>
      </c>
      <c r="G329" s="56" t="str">
        <f ca="1"/>
        <v>100T</v>
      </c>
    </row>
    <row r="330" spans="2:7">
      <c r="B330" s="27">
        <f t="shared" si="5"/>
        <v>326</v>
      </c>
      <c r="C330" s="56" t="str">
        <f ca="1"/>
        <v>ラツーダ錠２０ｍｇ</v>
      </c>
      <c r="D330" s="56">
        <f ca="1"/>
        <v>2</v>
      </c>
      <c r="E330" s="56">
        <f ca="1"/>
        <v>6</v>
      </c>
      <c r="F330" s="56" t="str">
        <f ca="1"/>
        <v>バラ</v>
      </c>
      <c r="G330" s="56" t="str">
        <f ca="1"/>
        <v>500T</v>
      </c>
    </row>
    <row r="331" spans="2:7">
      <c r="B331" s="27">
        <f t="shared" si="5"/>
        <v>327</v>
      </c>
      <c r="C331" s="56" t="str">
        <f ca="1"/>
        <v>ラツーダ錠４０ｍｇ</v>
      </c>
      <c r="D331" s="56">
        <f ca="1"/>
        <v>2</v>
      </c>
      <c r="E331" s="56">
        <f ca="1"/>
        <v>6</v>
      </c>
      <c r="F331" s="56" t="str">
        <f ca="1"/>
        <v>PTP</v>
      </c>
      <c r="G331" s="56" t="str">
        <f ca="1"/>
        <v>100T</v>
      </c>
    </row>
    <row r="332" spans="2:7">
      <c r="B332" s="27">
        <f t="shared" si="5"/>
        <v>328</v>
      </c>
      <c r="C332" s="56" t="str">
        <f ca="1"/>
        <v>ラツーダ錠４０ｍｇ</v>
      </c>
      <c r="D332" s="56">
        <f ca="1"/>
        <v>2</v>
      </c>
      <c r="E332" s="56">
        <f ca="1"/>
        <v>6</v>
      </c>
      <c r="F332" s="56" t="str">
        <f ca="1"/>
        <v>バラ</v>
      </c>
      <c r="G332" s="56" t="str">
        <f ca="1"/>
        <v>500T</v>
      </c>
    </row>
    <row r="333" spans="2:7">
      <c r="B333" s="27">
        <f t="shared" si="5"/>
        <v>329</v>
      </c>
      <c r="C333" s="56" t="str">
        <f ca="1"/>
        <v>ラモトリギン錠１００ｍｇ「トーワ」</v>
      </c>
      <c r="D333" s="56">
        <f ca="1"/>
        <v>2</v>
      </c>
      <c r="E333" s="56">
        <f ca="1"/>
        <v>6</v>
      </c>
      <c r="F333" s="56" t="str">
        <f ca="1"/>
        <v>PTP</v>
      </c>
      <c r="G333" s="56" t="str">
        <f ca="1"/>
        <v>140Ｔ</v>
      </c>
    </row>
    <row r="334" spans="2:7">
      <c r="B334" s="27">
        <f t="shared" si="5"/>
        <v>330</v>
      </c>
      <c r="C334" s="56" t="str">
        <f ca="1"/>
        <v>ラモトリギン錠１００ｍｇ「トーワ」</v>
      </c>
      <c r="D334" s="56">
        <f ca="1"/>
        <v>2</v>
      </c>
      <c r="E334" s="56">
        <f ca="1"/>
        <v>6</v>
      </c>
      <c r="F334" s="56" t="str">
        <f ca="1"/>
        <v>バラ</v>
      </c>
      <c r="G334" s="56" t="str">
        <f ca="1"/>
        <v>100Ｔ</v>
      </c>
    </row>
    <row r="335" spans="2:7">
      <c r="B335" s="27">
        <f t="shared" si="5"/>
        <v>331</v>
      </c>
      <c r="C335" s="56" t="str">
        <f ca="1"/>
        <v>ラモトリギン錠２５ｍｇ「トーワ」</v>
      </c>
      <c r="D335" s="56">
        <f ca="1"/>
        <v>2</v>
      </c>
      <c r="E335" s="56">
        <f ca="1"/>
        <v>6</v>
      </c>
      <c r="F335" s="56" t="str">
        <f ca="1"/>
        <v>PTP</v>
      </c>
      <c r="G335" s="56" t="str">
        <f ca="1"/>
        <v>140T</v>
      </c>
    </row>
    <row r="336" spans="2:7">
      <c r="B336" s="27">
        <f t="shared" si="5"/>
        <v>332</v>
      </c>
      <c r="C336" s="56" t="str">
        <f ca="1"/>
        <v>ラモトリギン錠２５ｍｇ「トーワ」</v>
      </c>
      <c r="D336" s="56">
        <f ca="1"/>
        <v>2</v>
      </c>
      <c r="E336" s="56">
        <f ca="1"/>
        <v>6</v>
      </c>
      <c r="F336" s="56" t="str">
        <f ca="1"/>
        <v>バラ</v>
      </c>
      <c r="G336" s="56" t="str">
        <f ca="1"/>
        <v>100T</v>
      </c>
    </row>
    <row r="337" spans="2:7">
      <c r="B337" s="27">
        <f t="shared" si="5"/>
        <v>333</v>
      </c>
      <c r="C337" s="56" t="str">
        <f ca="1"/>
        <v>リスパダール錠１ｍｇ　　　　　　　　　　</v>
      </c>
      <c r="D337" s="56">
        <f ca="1"/>
        <v>2</v>
      </c>
      <c r="E337" s="56">
        <f ca="1"/>
        <v>6</v>
      </c>
      <c r="F337" s="56" t="str">
        <f ca="1"/>
        <v>PTP</v>
      </c>
      <c r="G337" s="56" t="str">
        <f ca="1"/>
        <v>100Ｔ</v>
      </c>
    </row>
    <row r="338" spans="2:7">
      <c r="B338" s="27">
        <f t="shared" si="5"/>
        <v>334</v>
      </c>
      <c r="C338" s="56" t="str">
        <f ca="1"/>
        <v>リスパダール錠１ｍｇ　　　　　　　　　　</v>
      </c>
      <c r="D338" s="56">
        <f ca="1"/>
        <v>2</v>
      </c>
      <c r="E338" s="56">
        <f ca="1"/>
        <v>6</v>
      </c>
      <c r="F338" s="56" t="str">
        <f ca="1"/>
        <v>バラ</v>
      </c>
      <c r="G338" s="56" t="str">
        <f ca="1"/>
        <v>1000Ｔ</v>
      </c>
    </row>
    <row r="339" spans="2:7">
      <c r="B339" s="27">
        <f t="shared" si="5"/>
        <v>335</v>
      </c>
      <c r="C339" s="56" t="str">
        <f ca="1"/>
        <v>リスパダール錠２ｍｇ　　　　　　　　　　</v>
      </c>
      <c r="D339" s="56">
        <f ca="1"/>
        <v>2</v>
      </c>
      <c r="E339" s="56">
        <f ca="1"/>
        <v>6</v>
      </c>
      <c r="F339" s="56" t="str">
        <f ca="1"/>
        <v>PTP</v>
      </c>
      <c r="G339" s="56" t="str">
        <f ca="1"/>
        <v>100Ｔ</v>
      </c>
    </row>
    <row r="340" spans="2:7">
      <c r="B340" s="27">
        <f t="shared" si="5"/>
        <v>336</v>
      </c>
      <c r="C340" s="56" t="str">
        <f ca="1"/>
        <v>リスパダール錠２ｍｇ　　　　　　　　　　</v>
      </c>
      <c r="D340" s="56">
        <f ca="1"/>
        <v>2</v>
      </c>
      <c r="E340" s="56">
        <f ca="1"/>
        <v>6</v>
      </c>
      <c r="F340" s="56" t="str">
        <f ca="1"/>
        <v>バラ</v>
      </c>
      <c r="G340" s="56" t="str">
        <f ca="1"/>
        <v>1000Ｔ</v>
      </c>
    </row>
    <row r="341" spans="2:7">
      <c r="B341" s="27">
        <f t="shared" si="5"/>
        <v>337</v>
      </c>
      <c r="C341" s="56" t="str">
        <f ca="1"/>
        <v>リスパダール錠３ｍｇ</v>
      </c>
      <c r="D341" s="56">
        <f ca="1"/>
        <v>2</v>
      </c>
      <c r="E341" s="56">
        <f ca="1"/>
        <v>6</v>
      </c>
      <c r="F341" s="56" t="str">
        <f ca="1"/>
        <v>PTP</v>
      </c>
      <c r="G341" s="56" t="str">
        <f ca="1"/>
        <v>100Ｔ</v>
      </c>
    </row>
    <row r="342" spans="2:7">
      <c r="B342" s="27">
        <f t="shared" si="5"/>
        <v>338</v>
      </c>
      <c r="C342" s="56" t="str">
        <f ca="1"/>
        <v>リスパダール錠３ｍｇ</v>
      </c>
      <c r="D342" s="56">
        <f ca="1"/>
        <v>2</v>
      </c>
      <c r="E342" s="56">
        <f ca="1"/>
        <v>6</v>
      </c>
      <c r="F342" s="56" t="str">
        <f ca="1"/>
        <v>バラ</v>
      </c>
      <c r="G342" s="56" t="str">
        <f ca="1"/>
        <v>1000Ｔ</v>
      </c>
    </row>
    <row r="343" spans="2:7">
      <c r="B343" s="27">
        <f t="shared" si="5"/>
        <v>339</v>
      </c>
      <c r="C343" s="56" t="str">
        <f ca="1"/>
        <v>リスペリドンＯＤ錠０．５ｍｇ「アメル」</v>
      </c>
      <c r="D343" s="56">
        <f ca="1"/>
        <v>2</v>
      </c>
      <c r="E343" s="56">
        <f ca="1"/>
        <v>6</v>
      </c>
      <c r="F343" s="56" t="str">
        <f ca="1"/>
        <v>PTP</v>
      </c>
      <c r="G343" s="56" t="str">
        <f ca="1"/>
        <v>100T</v>
      </c>
    </row>
    <row r="344" spans="2:7">
      <c r="B344" s="27">
        <f t="shared" si="5"/>
        <v>340</v>
      </c>
      <c r="C344" s="56" t="str">
        <f ca="1"/>
        <v>リスペリドンＯＤ錠０．５ｍｇ「アメル」</v>
      </c>
      <c r="D344" s="56">
        <f ca="1"/>
        <v>2</v>
      </c>
      <c r="E344" s="56">
        <f ca="1"/>
        <v>6</v>
      </c>
      <c r="F344" s="56" t="str">
        <f ca="1"/>
        <v>バラ</v>
      </c>
      <c r="G344" s="56" t="str">
        <f ca="1"/>
        <v>500T</v>
      </c>
    </row>
    <row r="345" spans="2:7">
      <c r="B345" s="27">
        <f t="shared" si="5"/>
        <v>341</v>
      </c>
      <c r="C345" s="56" t="str">
        <f ca="1"/>
        <v>リスペリドンＯＤ錠１ｍｇ「アメル」</v>
      </c>
      <c r="D345" s="56">
        <f ca="1"/>
        <v>2</v>
      </c>
      <c r="E345" s="56">
        <f ca="1"/>
        <v>6</v>
      </c>
      <c r="F345" s="56" t="str">
        <f ca="1"/>
        <v>PTP</v>
      </c>
      <c r="G345" s="56" t="str">
        <f ca="1"/>
        <v>100T</v>
      </c>
    </row>
    <row r="346" spans="2:7">
      <c r="B346" s="27">
        <f t="shared" si="5"/>
        <v>342</v>
      </c>
      <c r="C346" s="56" t="str">
        <f ca="1"/>
        <v>リスペリドンＯＤ錠１ｍｇ「アメル」</v>
      </c>
      <c r="D346" s="56">
        <f ca="1"/>
        <v>2</v>
      </c>
      <c r="E346" s="56">
        <f ca="1"/>
        <v>6</v>
      </c>
      <c r="F346" s="56" t="str">
        <f ca="1"/>
        <v>バラ</v>
      </c>
      <c r="G346" s="56" t="str">
        <f ca="1"/>
        <v>500T</v>
      </c>
    </row>
    <row r="347" spans="2:7">
      <c r="B347" s="27">
        <f t="shared" si="5"/>
        <v>343</v>
      </c>
      <c r="C347" s="56" t="str">
        <f ca="1"/>
        <v>リスペリドンＯＤ錠２ｍｇ「アメル」</v>
      </c>
      <c r="D347" s="56">
        <f ca="1"/>
        <v>2</v>
      </c>
      <c r="E347" s="56">
        <f ca="1"/>
        <v>6</v>
      </c>
      <c r="F347" s="56" t="str">
        <f ca="1"/>
        <v>ＰＴＰ</v>
      </c>
      <c r="G347" s="56" t="str">
        <f ca="1"/>
        <v>100T</v>
      </c>
    </row>
    <row r="348" spans="2:7">
      <c r="B348" s="27">
        <f t="shared" si="5"/>
        <v>344</v>
      </c>
      <c r="C348" s="56" t="str">
        <f ca="1"/>
        <v>リスペリドンＯＤ錠２ｍｇ「アメル」</v>
      </c>
      <c r="D348" s="56">
        <f ca="1"/>
        <v>2</v>
      </c>
      <c r="E348" s="56">
        <f ca="1"/>
        <v>6</v>
      </c>
      <c r="F348" s="56" t="str">
        <f ca="1"/>
        <v>バラ</v>
      </c>
      <c r="G348" s="56" t="str">
        <f ca="1"/>
        <v>500T</v>
      </c>
    </row>
    <row r="349" spans="2:7">
      <c r="B349" s="27">
        <f t="shared" si="5"/>
        <v>345</v>
      </c>
      <c r="C349" s="56" t="str">
        <f ca="1"/>
        <v>リスペリドンＯＤ錠３ｍｇ「アメル」</v>
      </c>
      <c r="D349" s="56">
        <f ca="1"/>
        <v>2</v>
      </c>
      <c r="E349" s="56">
        <f ca="1"/>
        <v>6</v>
      </c>
      <c r="F349" s="56" t="str">
        <f ca="1"/>
        <v>ＰＴＰ</v>
      </c>
      <c r="G349" s="56" t="str">
        <f ca="1"/>
        <v>100T</v>
      </c>
    </row>
    <row r="350" spans="2:7">
      <c r="B350" s="27">
        <f t="shared" si="5"/>
        <v>346</v>
      </c>
      <c r="C350" s="56" t="str">
        <f ca="1"/>
        <v>リスペリドンＯＤ錠３ｍｇ「アメル」</v>
      </c>
      <c r="D350" s="56">
        <f ca="1"/>
        <v>2</v>
      </c>
      <c r="E350" s="56">
        <f ca="1"/>
        <v>6</v>
      </c>
      <c r="F350" s="56" t="str">
        <f ca="1"/>
        <v>バラ</v>
      </c>
      <c r="G350" s="56" t="str">
        <f ca="1"/>
        <v>500T</v>
      </c>
    </row>
    <row r="351" spans="2:7">
      <c r="B351" s="27">
        <f t="shared" si="5"/>
        <v>347</v>
      </c>
      <c r="C351" s="56" t="str">
        <f ca="1"/>
        <v>リスペリドン錠０．５ｍｇ「アメル」</v>
      </c>
      <c r="D351" s="56">
        <f ca="1"/>
        <v>2</v>
      </c>
      <c r="E351" s="56">
        <f ca="1"/>
        <v>6</v>
      </c>
      <c r="F351" s="56" t="str">
        <f ca="1"/>
        <v>ＰＴＰ</v>
      </c>
      <c r="G351" s="56" t="str">
        <f ca="1"/>
        <v>100Ｔ</v>
      </c>
    </row>
    <row r="352" spans="2:7">
      <c r="B352" s="27">
        <f t="shared" si="5"/>
        <v>348</v>
      </c>
      <c r="C352" s="56" t="str">
        <f ca="1"/>
        <v>リスペリドン錠１ｍｇ「アメル」</v>
      </c>
      <c r="D352" s="56">
        <f ca="1"/>
        <v>2</v>
      </c>
      <c r="E352" s="56">
        <f ca="1"/>
        <v>6</v>
      </c>
      <c r="F352" s="56" t="str">
        <f ca="1"/>
        <v>PTP</v>
      </c>
      <c r="G352" s="56" t="str">
        <f ca="1"/>
        <v>100T</v>
      </c>
    </row>
    <row r="353" spans="2:7">
      <c r="B353" s="27">
        <f t="shared" si="5"/>
        <v>349</v>
      </c>
      <c r="C353" s="56" t="str">
        <f ca="1"/>
        <v>ルーラン錠４ｍｇ　　　　　　　　　　　　</v>
      </c>
      <c r="D353" s="56">
        <f ca="1"/>
        <v>2</v>
      </c>
      <c r="E353" s="56">
        <f ca="1"/>
        <v>6</v>
      </c>
      <c r="F353" s="56" t="str">
        <f ca="1"/>
        <v>PTP</v>
      </c>
      <c r="G353" s="56" t="str">
        <f ca="1"/>
        <v>100Ｔ　　　　</v>
      </c>
    </row>
    <row r="354" spans="2:7">
      <c r="B354" s="27">
        <f t="shared" si="5"/>
        <v>350</v>
      </c>
      <c r="C354" s="56" t="str">
        <f ca="1"/>
        <v>ルーラン錠４ｍｇ　　　　　　　　　　　　</v>
      </c>
      <c r="D354" s="56">
        <f ca="1"/>
        <v>2</v>
      </c>
      <c r="E354" s="56">
        <f ca="1"/>
        <v>6</v>
      </c>
      <c r="F354" s="56" t="str">
        <f ca="1"/>
        <v>バラ</v>
      </c>
      <c r="G354" s="56" t="str">
        <f ca="1"/>
        <v>1000Ｔ</v>
      </c>
    </row>
    <row r="355" spans="2:7">
      <c r="B355" s="27">
        <f t="shared" si="5"/>
        <v>351</v>
      </c>
      <c r="C355" s="56" t="str">
        <f ca="1"/>
        <v>ルーラン錠８ｍｇ</v>
      </c>
      <c r="D355" s="56">
        <f ca="1"/>
        <v>2</v>
      </c>
      <c r="E355" s="56">
        <f ca="1"/>
        <v>6</v>
      </c>
      <c r="F355" s="56" t="str">
        <f ca="1"/>
        <v>バラ</v>
      </c>
      <c r="G355" s="56" t="str">
        <f ca="1"/>
        <v>1000T</v>
      </c>
    </row>
    <row r="356" spans="2:7">
      <c r="B356" s="27">
        <f t="shared" si="5"/>
        <v>352</v>
      </c>
      <c r="C356" s="56" t="str">
        <f ca="1"/>
        <v>ルーラン錠８ｍｇ　　　　　　　　　　　　</v>
      </c>
      <c r="D356" s="56">
        <f ca="1"/>
        <v>2</v>
      </c>
      <c r="E356" s="56">
        <f ca="1"/>
        <v>6</v>
      </c>
      <c r="F356" s="56" t="str">
        <f ca="1"/>
        <v>PTP</v>
      </c>
      <c r="G356" s="56" t="str">
        <f ca="1"/>
        <v>100Ｔ</v>
      </c>
    </row>
    <row r="357" spans="2:7">
      <c r="B357" s="27">
        <f t="shared" si="5"/>
        <v>353</v>
      </c>
      <c r="C357" s="56" t="str">
        <f ca="1"/>
        <v>レキサルティＯＤ錠０．５ｍｇ</v>
      </c>
      <c r="D357" s="56">
        <f ca="1"/>
        <v>2</v>
      </c>
      <c r="E357" s="56">
        <f ca="1"/>
        <v>6</v>
      </c>
      <c r="F357" s="56" t="str">
        <f ca="1"/>
        <v>ＰＴＰ</v>
      </c>
      <c r="G357" s="56" t="str">
        <f ca="1"/>
        <v>100T</v>
      </c>
    </row>
    <row r="358" spans="2:7">
      <c r="B358" s="27">
        <f t="shared" si="5"/>
        <v>354</v>
      </c>
      <c r="C358" s="56" t="str">
        <f ca="1"/>
        <v>レキサルティＯＤ錠０．５ｍｇ</v>
      </c>
      <c r="D358" s="56">
        <f ca="1"/>
        <v>2</v>
      </c>
      <c r="E358" s="56">
        <f ca="1"/>
        <v>6</v>
      </c>
      <c r="F358" s="56" t="str">
        <f ca="1"/>
        <v>バラ</v>
      </c>
      <c r="G358" s="56" t="str">
        <f ca="1"/>
        <v>500T</v>
      </c>
    </row>
    <row r="359" spans="2:7">
      <c r="B359" s="27">
        <f t="shared" si="5"/>
        <v>355</v>
      </c>
      <c r="C359" s="56" t="str">
        <f ca="1"/>
        <v>レキサルティＯＤ錠１ｍｇ</v>
      </c>
      <c r="D359" s="56">
        <f ca="1"/>
        <v>2</v>
      </c>
      <c r="E359" s="56">
        <f ca="1"/>
        <v>6</v>
      </c>
      <c r="F359" s="56" t="str">
        <f ca="1"/>
        <v>PTP</v>
      </c>
      <c r="G359" s="56" t="str">
        <f ca="1"/>
        <v>100T</v>
      </c>
    </row>
    <row r="360" spans="2:7">
      <c r="B360" s="27">
        <f t="shared" si="5"/>
        <v>356</v>
      </c>
      <c r="C360" s="56" t="str">
        <f ca="1"/>
        <v>レキサルティＯＤ錠１ｍｇ</v>
      </c>
      <c r="D360" s="56">
        <f ca="1"/>
        <v>2</v>
      </c>
      <c r="E360" s="56">
        <f ca="1"/>
        <v>6</v>
      </c>
      <c r="F360" s="56" t="str">
        <f ca="1"/>
        <v>バラ</v>
      </c>
      <c r="G360" s="56" t="str">
        <f ca="1"/>
        <v>500T</v>
      </c>
    </row>
    <row r="361" spans="2:7">
      <c r="B361" s="27">
        <f t="shared" si="5"/>
        <v>357</v>
      </c>
      <c r="C361" s="56" t="str">
        <f ca="1"/>
        <v>レキサルティＯＤ錠２ｍｇ</v>
      </c>
      <c r="D361" s="56">
        <f ca="1"/>
        <v>2</v>
      </c>
      <c r="E361" s="56">
        <f ca="1"/>
        <v>6</v>
      </c>
      <c r="F361" s="56" t="str">
        <f ca="1"/>
        <v>ＰＴＰ</v>
      </c>
      <c r="G361" s="56" t="str">
        <f ca="1"/>
        <v>100T</v>
      </c>
    </row>
    <row r="362" spans="2:7">
      <c r="B362" s="27">
        <f t="shared" si="5"/>
        <v>358</v>
      </c>
      <c r="C362" s="56" t="str">
        <f ca="1"/>
        <v>レキサルティＯＤ錠２ｍｇ</v>
      </c>
      <c r="D362" s="56">
        <f ca="1"/>
        <v>2</v>
      </c>
      <c r="E362" s="56">
        <f ca="1"/>
        <v>6</v>
      </c>
      <c r="F362" s="56" t="str">
        <f ca="1"/>
        <v>バラ</v>
      </c>
      <c r="G362" s="56" t="str">
        <f ca="1"/>
        <v>500T</v>
      </c>
    </row>
    <row r="363" spans="2:7">
      <c r="B363" s="27">
        <f t="shared" si="5"/>
        <v>359</v>
      </c>
      <c r="C363" s="56" t="str">
        <f ca="1"/>
        <v>ロドピン錠２５ｍｇ</v>
      </c>
      <c r="D363" s="56">
        <f ca="1"/>
        <v>2</v>
      </c>
      <c r="E363" s="56">
        <f ca="1"/>
        <v>6</v>
      </c>
      <c r="F363" s="56" t="str">
        <f ca="1"/>
        <v>ＰＴＰ</v>
      </c>
      <c r="G363" s="56" t="str">
        <f ca="1"/>
        <v>100Ｔ</v>
      </c>
    </row>
    <row r="364" spans="2:7">
      <c r="B364" s="27">
        <f t="shared" si="5"/>
        <v>360</v>
      </c>
      <c r="C364" s="56" t="str">
        <f ca="1"/>
        <v>ロドピン錠２５ｍｇ</v>
      </c>
      <c r="D364" s="56">
        <f ca="1"/>
        <v>2</v>
      </c>
      <c r="E364" s="56">
        <f ca="1"/>
        <v>6</v>
      </c>
      <c r="F364" s="56" t="str">
        <f ca="1"/>
        <v>バラ</v>
      </c>
      <c r="G364" s="56" t="str">
        <f ca="1"/>
        <v>1000Ｔ</v>
      </c>
    </row>
    <row r="365" spans="2:7">
      <c r="B365" s="27">
        <f t="shared" si="5"/>
        <v>361</v>
      </c>
      <c r="C365" s="56" t="str">
        <f ca="1"/>
        <v>ロドピン錠５０ｍｇ</v>
      </c>
      <c r="D365" s="56">
        <f ca="1"/>
        <v>2</v>
      </c>
      <c r="E365" s="56">
        <f ca="1"/>
        <v>6</v>
      </c>
      <c r="F365" s="56" t="str">
        <f ca="1"/>
        <v>ＰＴＰ</v>
      </c>
      <c r="G365" s="56" t="str">
        <f ca="1"/>
        <v>100Ｔ</v>
      </c>
    </row>
    <row r="366" spans="2:7">
      <c r="B366" s="27">
        <f t="shared" si="5"/>
        <v>362</v>
      </c>
      <c r="C366" s="56" t="str">
        <f ca="1"/>
        <v>ロドピン錠５０ｍｇ</v>
      </c>
      <c r="D366" s="56">
        <f ca="1"/>
        <v>2</v>
      </c>
      <c r="E366" s="56">
        <f ca="1"/>
        <v>6</v>
      </c>
      <c r="F366" s="56" t="str">
        <f ca="1"/>
        <v>バラ</v>
      </c>
      <c r="G366" s="56" t="str">
        <f ca="1"/>
        <v>1000Ｔ</v>
      </c>
    </row>
    <row r="367" spans="2:7">
      <c r="B367" s="27">
        <f t="shared" si="5"/>
        <v>363</v>
      </c>
      <c r="C367" s="56" t="str">
        <f ca="1"/>
        <v>炭酸リチウム錠１００ｍｇ「大正」</v>
      </c>
      <c r="D367" s="56">
        <f ca="1"/>
        <v>2</v>
      </c>
      <c r="E367" s="56">
        <f ca="1"/>
        <v>6</v>
      </c>
      <c r="F367" s="56" t="str">
        <f ca="1"/>
        <v>PTP</v>
      </c>
      <c r="G367" s="56" t="str">
        <f ca="1"/>
        <v>100Ｔ　　</v>
      </c>
    </row>
    <row r="368" spans="2:7">
      <c r="B368" s="27">
        <f t="shared" si="5"/>
        <v>364</v>
      </c>
      <c r="C368" s="56" t="str">
        <f ca="1"/>
        <v>炭酸リチウム錠１００ｍｇ「大正」</v>
      </c>
      <c r="D368" s="56">
        <f ca="1"/>
        <v>2</v>
      </c>
      <c r="E368" s="56">
        <f ca="1"/>
        <v>6</v>
      </c>
      <c r="F368" s="56" t="str">
        <f ca="1"/>
        <v>バラ</v>
      </c>
      <c r="G368" s="56" t="str">
        <f ca="1"/>
        <v>1000Ｔ　　</v>
      </c>
    </row>
    <row r="369" spans="2:7">
      <c r="B369" s="27">
        <f t="shared" si="5"/>
        <v>365</v>
      </c>
      <c r="C369" s="56" t="str">
        <f ca="1"/>
        <v>炭酸リチウム錠２００ｍｇ「大正」</v>
      </c>
      <c r="D369" s="56">
        <f ca="1"/>
        <v>2</v>
      </c>
      <c r="E369" s="56">
        <f ca="1"/>
        <v>6</v>
      </c>
      <c r="F369" s="56" t="str">
        <f ca="1"/>
        <v>PTP</v>
      </c>
      <c r="G369" s="56" t="str">
        <f ca="1"/>
        <v>100T</v>
      </c>
    </row>
    <row r="370" spans="2:7">
      <c r="B370" s="27">
        <f t="shared" si="5"/>
        <v>366</v>
      </c>
      <c r="C370" s="56" t="str">
        <f ca="1"/>
        <v>炭酸リチウム錠２００ｍｇ「大正」</v>
      </c>
      <c r="D370" s="56">
        <f ca="1"/>
        <v>2</v>
      </c>
      <c r="E370" s="56">
        <f ca="1"/>
        <v>6</v>
      </c>
      <c r="F370" s="56" t="str">
        <f ca="1"/>
        <v>バラ</v>
      </c>
      <c r="G370" s="56" t="str">
        <f ca="1"/>
        <v>1000T</v>
      </c>
    </row>
    <row r="371" spans="2:7">
      <c r="B371" s="27">
        <f t="shared" si="5"/>
        <v>367</v>
      </c>
      <c r="C371" s="56"/>
      <c r="D371" s="56"/>
      <c r="E371" s="56"/>
      <c r="F371" s="56"/>
      <c r="G371" s="56"/>
    </row>
    <row r="372" spans="2:7">
      <c r="B372" s="27">
        <f t="shared" si="5"/>
        <v>368</v>
      </c>
      <c r="C372" s="56"/>
      <c r="D372" s="56"/>
      <c r="E372" s="56"/>
      <c r="F372" s="56"/>
      <c r="G372" s="56"/>
    </row>
    <row r="373" spans="2:7">
      <c r="B373" s="27">
        <f t="shared" si="5"/>
        <v>369</v>
      </c>
      <c r="C373" s="56"/>
      <c r="D373" s="56"/>
      <c r="E373" s="56"/>
      <c r="F373" s="56"/>
      <c r="G373" s="56"/>
    </row>
    <row r="374" spans="2:7">
      <c r="B374" s="27">
        <f t="shared" si="5"/>
        <v>370</v>
      </c>
      <c r="C374" s="56"/>
      <c r="D374" s="56"/>
      <c r="E374" s="56"/>
      <c r="F374" s="56"/>
      <c r="G374" s="56"/>
    </row>
    <row r="375" spans="2:7">
      <c r="B375" s="27">
        <f t="shared" si="5"/>
        <v>371</v>
      </c>
      <c r="C375" s="56"/>
      <c r="D375" s="56"/>
      <c r="E375" s="56"/>
      <c r="F375" s="56"/>
      <c r="G375" s="56"/>
    </row>
    <row r="376" spans="2:7">
      <c r="B376" s="27">
        <f t="shared" si="5"/>
        <v>372</v>
      </c>
      <c r="C376" s="56"/>
      <c r="D376" s="56"/>
      <c r="E376" s="56"/>
      <c r="F376" s="56"/>
      <c r="G376" s="56"/>
    </row>
    <row r="377" spans="2:7">
      <c r="B377" s="27">
        <f t="shared" si="5"/>
        <v>373</v>
      </c>
      <c r="C377" s="56"/>
      <c r="D377" s="56"/>
      <c r="E377" s="56"/>
      <c r="F377" s="56"/>
      <c r="G377" s="56"/>
    </row>
    <row r="378" spans="2:7">
      <c r="B378" s="27">
        <f t="shared" si="5"/>
        <v>374</v>
      </c>
      <c r="C378" s="56"/>
      <c r="D378" s="56"/>
      <c r="E378" s="56"/>
      <c r="F378" s="56"/>
      <c r="G378" s="56"/>
    </row>
    <row r="379" spans="2:7">
      <c r="B379" s="27">
        <f t="shared" si="5"/>
        <v>375</v>
      </c>
      <c r="C379" s="56"/>
      <c r="D379" s="56"/>
      <c r="E379" s="56"/>
      <c r="F379" s="56"/>
      <c r="G379" s="56"/>
    </row>
    <row r="380" spans="2:7">
      <c r="B380" s="27">
        <f t="shared" si="5"/>
        <v>376</v>
      </c>
      <c r="C380" s="56"/>
      <c r="D380" s="56"/>
      <c r="E380" s="56"/>
      <c r="F380" s="56"/>
      <c r="G380" s="56"/>
    </row>
    <row r="381" spans="2:7">
      <c r="B381" s="27">
        <f t="shared" si="5"/>
        <v>377</v>
      </c>
      <c r="C381" s="56"/>
      <c r="D381" s="56"/>
      <c r="E381" s="56"/>
      <c r="F381" s="56"/>
      <c r="G381" s="56"/>
    </row>
    <row r="382" spans="2:7">
      <c r="B382" s="27">
        <f t="shared" si="5"/>
        <v>378</v>
      </c>
      <c r="C382" s="56"/>
      <c r="D382" s="56"/>
      <c r="E382" s="56"/>
      <c r="F382" s="56"/>
      <c r="G382" s="56"/>
    </row>
    <row r="383" spans="2:7">
      <c r="B383" s="27">
        <f t="shared" si="5"/>
        <v>379</v>
      </c>
      <c r="C383" s="56"/>
      <c r="D383" s="56"/>
      <c r="E383" s="56"/>
      <c r="F383" s="56"/>
      <c r="G383" s="56"/>
    </row>
    <row r="384" spans="2:7">
      <c r="B384" s="27">
        <f t="shared" si="5"/>
        <v>380</v>
      </c>
      <c r="C384" s="56"/>
      <c r="D384" s="56"/>
      <c r="E384" s="56"/>
      <c r="F384" s="56"/>
      <c r="G384" s="56"/>
    </row>
    <row r="385" spans="2:7">
      <c r="B385" s="27">
        <f t="shared" si="5"/>
        <v>381</v>
      </c>
      <c r="C385" s="56"/>
      <c r="D385" s="56"/>
      <c r="E385" s="56"/>
      <c r="F385" s="56"/>
      <c r="G385" s="56"/>
    </row>
    <row r="386" spans="2:7">
      <c r="B386" s="27">
        <f t="shared" si="5"/>
        <v>382</v>
      </c>
      <c r="C386" s="56"/>
      <c r="D386" s="56"/>
      <c r="E386" s="56"/>
      <c r="F386" s="56"/>
      <c r="G386" s="56"/>
    </row>
    <row r="387" spans="2:7">
      <c r="B387" s="27">
        <f t="shared" si="5"/>
        <v>383</v>
      </c>
      <c r="C387" s="56"/>
      <c r="D387" s="56"/>
      <c r="E387" s="56"/>
      <c r="F387" s="56"/>
      <c r="G387" s="56"/>
    </row>
    <row r="388" spans="2:7">
      <c r="B388" s="27">
        <f t="shared" si="5"/>
        <v>384</v>
      </c>
      <c r="C388" s="56"/>
      <c r="D388" s="56"/>
      <c r="E388" s="56"/>
      <c r="F388" s="56"/>
      <c r="G388" s="56"/>
    </row>
    <row r="389" spans="2:7">
      <c r="B389" s="27">
        <f t="shared" si="5"/>
        <v>385</v>
      </c>
      <c r="C389" s="56"/>
      <c r="D389" s="56"/>
      <c r="E389" s="56"/>
      <c r="F389" s="56"/>
      <c r="G389" s="56"/>
    </row>
    <row r="390" spans="2:7">
      <c r="B390" s="27">
        <f t="shared" si="5"/>
        <v>386</v>
      </c>
      <c r="C390" s="56"/>
      <c r="D390" s="56"/>
      <c r="E390" s="56"/>
      <c r="F390" s="56"/>
      <c r="G390" s="56"/>
    </row>
    <row r="391" spans="2:7">
      <c r="B391" s="27">
        <f t="shared" ref="B391:B454" si="6">B390+1</f>
        <v>387</v>
      </c>
      <c r="C391" s="56"/>
      <c r="D391" s="56"/>
      <c r="E391" s="56"/>
      <c r="F391" s="56"/>
      <c r="G391" s="56"/>
    </row>
    <row r="392" spans="2:7">
      <c r="B392" s="27">
        <f t="shared" si="6"/>
        <v>388</v>
      </c>
      <c r="C392" s="56"/>
      <c r="D392" s="56"/>
      <c r="E392" s="56"/>
      <c r="F392" s="56"/>
      <c r="G392" s="56"/>
    </row>
    <row r="393" spans="2:7">
      <c r="B393" s="27">
        <f t="shared" si="6"/>
        <v>389</v>
      </c>
      <c r="C393" s="56"/>
      <c r="D393" s="56"/>
      <c r="E393" s="56"/>
      <c r="F393" s="56"/>
      <c r="G393" s="56"/>
    </row>
    <row r="394" spans="2:7">
      <c r="B394" s="27">
        <f t="shared" si="6"/>
        <v>390</v>
      </c>
      <c r="C394" s="56"/>
      <c r="D394" s="56"/>
      <c r="E394" s="56"/>
      <c r="F394" s="56"/>
      <c r="G394" s="56"/>
    </row>
    <row r="395" spans="2:7">
      <c r="B395" s="27">
        <f t="shared" si="6"/>
        <v>391</v>
      </c>
      <c r="C395" s="56"/>
      <c r="D395" s="56"/>
      <c r="E395" s="56"/>
      <c r="F395" s="56"/>
      <c r="G395" s="56"/>
    </row>
    <row r="396" spans="2:7">
      <c r="B396" s="27">
        <f t="shared" si="6"/>
        <v>392</v>
      </c>
      <c r="C396" s="56"/>
      <c r="D396" s="56"/>
      <c r="E396" s="56"/>
      <c r="F396" s="56"/>
      <c r="G396" s="56"/>
    </row>
    <row r="397" spans="2:7">
      <c r="B397" s="27">
        <f t="shared" si="6"/>
        <v>393</v>
      </c>
      <c r="C397" s="56"/>
      <c r="D397" s="56"/>
      <c r="E397" s="56"/>
      <c r="F397" s="56"/>
      <c r="G397" s="56"/>
    </row>
    <row r="398" spans="2:7">
      <c r="B398" s="27">
        <f t="shared" si="6"/>
        <v>394</v>
      </c>
      <c r="C398" s="56"/>
      <c r="D398" s="56"/>
      <c r="E398" s="56"/>
      <c r="F398" s="56"/>
      <c r="G398" s="56"/>
    </row>
    <row r="399" spans="2:7">
      <c r="B399" s="27">
        <f t="shared" si="6"/>
        <v>395</v>
      </c>
      <c r="C399" s="56"/>
      <c r="D399" s="56"/>
      <c r="E399" s="56"/>
      <c r="F399" s="56"/>
      <c r="G399" s="56"/>
    </row>
    <row r="400" spans="2:7">
      <c r="B400" s="27">
        <f t="shared" si="6"/>
        <v>396</v>
      </c>
      <c r="C400" s="56"/>
      <c r="D400" s="56"/>
      <c r="E400" s="56"/>
      <c r="F400" s="56"/>
      <c r="G400" s="56"/>
    </row>
    <row r="401" spans="2:7">
      <c r="B401" s="27">
        <f t="shared" si="6"/>
        <v>397</v>
      </c>
      <c r="C401" s="56"/>
      <c r="D401" s="56"/>
      <c r="E401" s="56"/>
      <c r="F401" s="56"/>
      <c r="G401" s="56"/>
    </row>
    <row r="402" spans="2:7">
      <c r="B402" s="27">
        <f t="shared" si="6"/>
        <v>398</v>
      </c>
      <c r="C402" s="56"/>
      <c r="D402" s="56"/>
      <c r="E402" s="56"/>
      <c r="F402" s="56"/>
      <c r="G402" s="56"/>
    </row>
    <row r="403" spans="2:7">
      <c r="B403" s="27">
        <f t="shared" si="6"/>
        <v>399</v>
      </c>
      <c r="C403" s="56"/>
      <c r="D403" s="56"/>
      <c r="E403" s="56"/>
      <c r="F403" s="56"/>
      <c r="G403" s="56"/>
    </row>
    <row r="404" spans="2:7">
      <c r="B404" s="27">
        <f t="shared" si="6"/>
        <v>400</v>
      </c>
      <c r="C404" s="56"/>
      <c r="D404" s="56"/>
      <c r="E404" s="56"/>
      <c r="F404" s="56"/>
      <c r="G404" s="56"/>
    </row>
    <row r="405" spans="2:7">
      <c r="B405" s="27">
        <f t="shared" si="6"/>
        <v>401</v>
      </c>
      <c r="C405" s="56"/>
      <c r="D405" s="56"/>
      <c r="E405" s="56"/>
      <c r="F405" s="56"/>
      <c r="G405" s="56"/>
    </row>
    <row r="406" spans="2:7">
      <c r="B406" s="27">
        <f t="shared" si="6"/>
        <v>402</v>
      </c>
      <c r="C406" s="56"/>
      <c r="D406" s="56"/>
      <c r="E406" s="56"/>
      <c r="F406" s="56"/>
      <c r="G406" s="56"/>
    </row>
    <row r="407" spans="2:7">
      <c r="B407" s="27">
        <f t="shared" si="6"/>
        <v>403</v>
      </c>
      <c r="C407" s="56"/>
      <c r="D407" s="56"/>
      <c r="E407" s="56"/>
      <c r="F407" s="56"/>
      <c r="G407" s="56"/>
    </row>
    <row r="408" spans="2:7">
      <c r="B408" s="27">
        <f t="shared" si="6"/>
        <v>404</v>
      </c>
      <c r="C408" s="56"/>
      <c r="D408" s="56"/>
      <c r="E408" s="56"/>
      <c r="F408" s="56"/>
      <c r="G408" s="56"/>
    </row>
    <row r="409" spans="2:7">
      <c r="B409" s="27">
        <f t="shared" si="6"/>
        <v>405</v>
      </c>
      <c r="C409" s="56"/>
      <c r="D409" s="56"/>
      <c r="E409" s="56"/>
      <c r="F409" s="56"/>
      <c r="G409" s="56"/>
    </row>
    <row r="410" spans="2:7">
      <c r="B410" s="27">
        <f t="shared" si="6"/>
        <v>406</v>
      </c>
      <c r="C410" s="56"/>
      <c r="D410" s="56"/>
      <c r="E410" s="56"/>
      <c r="F410" s="56"/>
      <c r="G410" s="56"/>
    </row>
    <row r="411" spans="2:7">
      <c r="B411" s="27">
        <f t="shared" si="6"/>
        <v>407</v>
      </c>
      <c r="C411" s="56"/>
      <c r="D411" s="56"/>
      <c r="E411" s="56"/>
      <c r="F411" s="56"/>
      <c r="G411" s="56"/>
    </row>
    <row r="412" spans="2:7">
      <c r="B412" s="27">
        <f t="shared" si="6"/>
        <v>408</v>
      </c>
      <c r="C412" s="56"/>
      <c r="D412" s="56"/>
      <c r="E412" s="56"/>
      <c r="F412" s="56"/>
      <c r="G412" s="56"/>
    </row>
    <row r="413" spans="2:7">
      <c r="B413" s="27">
        <f t="shared" si="6"/>
        <v>409</v>
      </c>
      <c r="C413" s="56"/>
      <c r="D413" s="56"/>
      <c r="E413" s="56"/>
      <c r="F413" s="56"/>
      <c r="G413" s="56"/>
    </row>
    <row r="414" spans="2:7">
      <c r="B414" s="27">
        <f t="shared" si="6"/>
        <v>410</v>
      </c>
      <c r="C414" s="56"/>
      <c r="D414" s="56"/>
      <c r="E414" s="56"/>
      <c r="F414" s="56"/>
      <c r="G414" s="56"/>
    </row>
    <row r="415" spans="2:7">
      <c r="B415" s="27">
        <f t="shared" si="6"/>
        <v>411</v>
      </c>
      <c r="C415" s="56"/>
      <c r="D415" s="56"/>
      <c r="E415" s="56"/>
      <c r="F415" s="56"/>
      <c r="G415" s="56"/>
    </row>
    <row r="416" spans="2:7">
      <c r="B416" s="27">
        <f t="shared" si="6"/>
        <v>412</v>
      </c>
      <c r="C416" s="56"/>
      <c r="D416" s="56"/>
      <c r="E416" s="56"/>
      <c r="F416" s="56"/>
      <c r="G416" s="56"/>
    </row>
    <row r="417" spans="2:7">
      <c r="B417" s="27">
        <f t="shared" si="6"/>
        <v>413</v>
      </c>
      <c r="C417" s="56"/>
      <c r="D417" s="56"/>
      <c r="E417" s="56"/>
      <c r="F417" s="56"/>
      <c r="G417" s="56"/>
    </row>
    <row r="418" spans="2:7">
      <c r="B418" s="27">
        <f t="shared" si="6"/>
        <v>414</v>
      </c>
      <c r="C418" s="56"/>
      <c r="D418" s="56"/>
      <c r="E418" s="56"/>
      <c r="F418" s="56"/>
      <c r="G418" s="56"/>
    </row>
    <row r="419" spans="2:7">
      <c r="B419" s="27">
        <f t="shared" si="6"/>
        <v>415</v>
      </c>
      <c r="C419" s="56"/>
      <c r="D419" s="56"/>
      <c r="E419" s="56"/>
      <c r="F419" s="56"/>
      <c r="G419" s="56"/>
    </row>
    <row r="420" spans="2:7">
      <c r="B420" s="27">
        <f t="shared" si="6"/>
        <v>416</v>
      </c>
      <c r="C420" s="56"/>
      <c r="D420" s="56"/>
      <c r="E420" s="56"/>
      <c r="F420" s="56"/>
      <c r="G420" s="56"/>
    </row>
    <row r="421" spans="2:7">
      <c r="B421" s="27">
        <f t="shared" si="6"/>
        <v>417</v>
      </c>
      <c r="C421" s="56"/>
      <c r="D421" s="56"/>
      <c r="E421" s="56"/>
      <c r="F421" s="56"/>
      <c r="G421" s="56"/>
    </row>
    <row r="422" spans="2:7">
      <c r="B422" s="27">
        <f t="shared" si="6"/>
        <v>418</v>
      </c>
      <c r="C422" s="56"/>
      <c r="D422" s="56"/>
      <c r="E422" s="56"/>
      <c r="F422" s="56"/>
      <c r="G422" s="56"/>
    </row>
    <row r="423" spans="2:7">
      <c r="B423" s="27">
        <f t="shared" si="6"/>
        <v>419</v>
      </c>
      <c r="C423" s="56"/>
      <c r="D423" s="56"/>
      <c r="E423" s="56"/>
      <c r="F423" s="56"/>
      <c r="G423" s="56"/>
    </row>
    <row r="424" spans="2:7">
      <c r="B424" s="27">
        <f t="shared" si="6"/>
        <v>420</v>
      </c>
      <c r="C424" s="56"/>
      <c r="D424" s="56"/>
      <c r="E424" s="56"/>
      <c r="F424" s="56"/>
      <c r="G424" s="56"/>
    </row>
    <row r="425" spans="2:7">
      <c r="B425" s="27">
        <f t="shared" si="6"/>
        <v>421</v>
      </c>
      <c r="C425" s="56"/>
      <c r="D425" s="56"/>
      <c r="E425" s="56"/>
      <c r="F425" s="56"/>
      <c r="G425" s="56"/>
    </row>
    <row r="426" spans="2:7">
      <c r="B426" s="27">
        <f t="shared" si="6"/>
        <v>422</v>
      </c>
      <c r="C426" s="56"/>
      <c r="D426" s="56"/>
      <c r="E426" s="56"/>
      <c r="F426" s="56"/>
      <c r="G426" s="56"/>
    </row>
    <row r="427" spans="2:7">
      <c r="B427" s="27">
        <f t="shared" si="6"/>
        <v>423</v>
      </c>
      <c r="C427" s="56"/>
      <c r="D427" s="56"/>
      <c r="E427" s="56"/>
      <c r="F427" s="56"/>
      <c r="G427" s="56"/>
    </row>
    <row r="428" spans="2:7">
      <c r="B428" s="27">
        <f t="shared" si="6"/>
        <v>424</v>
      </c>
      <c r="C428" s="56"/>
      <c r="D428" s="56"/>
      <c r="E428" s="56"/>
      <c r="F428" s="56"/>
      <c r="G428" s="56"/>
    </row>
    <row r="429" spans="2:7">
      <c r="B429" s="27">
        <f t="shared" si="6"/>
        <v>425</v>
      </c>
      <c r="C429" s="56"/>
      <c r="D429" s="56"/>
      <c r="E429" s="56"/>
      <c r="F429" s="56"/>
      <c r="G429" s="56"/>
    </row>
    <row r="430" spans="2:7">
      <c r="B430" s="27">
        <f t="shared" si="6"/>
        <v>426</v>
      </c>
      <c r="C430" s="56"/>
      <c r="D430" s="56"/>
      <c r="E430" s="56"/>
      <c r="F430" s="56"/>
      <c r="G430" s="56"/>
    </row>
    <row r="431" spans="2:7">
      <c r="B431" s="27">
        <f t="shared" si="6"/>
        <v>427</v>
      </c>
      <c r="C431" s="56"/>
      <c r="D431" s="56"/>
      <c r="E431" s="56"/>
      <c r="F431" s="56"/>
      <c r="G431" s="56"/>
    </row>
    <row r="432" spans="2:7">
      <c r="B432" s="27">
        <f t="shared" si="6"/>
        <v>428</v>
      </c>
      <c r="C432" s="56"/>
      <c r="D432" s="56"/>
      <c r="E432" s="56"/>
      <c r="F432" s="56"/>
      <c r="G432" s="56"/>
    </row>
    <row r="433" spans="2:7">
      <c r="B433" s="27">
        <f t="shared" si="6"/>
        <v>429</v>
      </c>
      <c r="C433" s="56"/>
      <c r="D433" s="56"/>
      <c r="E433" s="56"/>
      <c r="F433" s="56"/>
      <c r="G433" s="56"/>
    </row>
    <row r="434" spans="2:7">
      <c r="B434" s="27">
        <f t="shared" si="6"/>
        <v>430</v>
      </c>
      <c r="C434" s="56"/>
      <c r="D434" s="56"/>
      <c r="E434" s="56"/>
      <c r="F434" s="56"/>
      <c r="G434" s="56"/>
    </row>
    <row r="435" spans="2:7">
      <c r="B435" s="27">
        <f t="shared" si="6"/>
        <v>431</v>
      </c>
      <c r="C435" s="56"/>
      <c r="D435" s="56"/>
      <c r="E435" s="56"/>
      <c r="F435" s="56"/>
      <c r="G435" s="56"/>
    </row>
    <row r="436" spans="2:7">
      <c r="B436" s="27">
        <f t="shared" si="6"/>
        <v>432</v>
      </c>
      <c r="C436" s="56"/>
      <c r="D436" s="56"/>
      <c r="E436" s="56"/>
      <c r="F436" s="56"/>
      <c r="G436" s="56"/>
    </row>
    <row r="437" spans="2:7">
      <c r="B437" s="27">
        <f t="shared" si="6"/>
        <v>433</v>
      </c>
      <c r="C437" s="56"/>
      <c r="D437" s="56"/>
      <c r="E437" s="56"/>
      <c r="F437" s="56"/>
      <c r="G437" s="56"/>
    </row>
    <row r="438" spans="2:7">
      <c r="B438" s="27">
        <f t="shared" si="6"/>
        <v>434</v>
      </c>
      <c r="C438" s="56"/>
      <c r="D438" s="56"/>
      <c r="E438" s="56"/>
      <c r="F438" s="56"/>
      <c r="G438" s="56"/>
    </row>
    <row r="439" spans="2:7">
      <c r="B439" s="27">
        <f t="shared" si="6"/>
        <v>435</v>
      </c>
      <c r="C439" s="56"/>
      <c r="D439" s="56"/>
      <c r="E439" s="56"/>
      <c r="F439" s="56"/>
      <c r="G439" s="56"/>
    </row>
    <row r="440" spans="2:7">
      <c r="B440" s="27">
        <f t="shared" si="6"/>
        <v>436</v>
      </c>
      <c r="C440" s="56"/>
      <c r="D440" s="56"/>
      <c r="E440" s="56"/>
      <c r="F440" s="56"/>
      <c r="G440" s="56"/>
    </row>
    <row r="441" spans="2:7">
      <c r="B441" s="27">
        <f t="shared" si="6"/>
        <v>437</v>
      </c>
      <c r="C441" s="56"/>
      <c r="D441" s="56"/>
      <c r="E441" s="56"/>
      <c r="F441" s="56"/>
      <c r="G441" s="56"/>
    </row>
    <row r="442" spans="2:7">
      <c r="B442" s="27">
        <f t="shared" si="6"/>
        <v>438</v>
      </c>
      <c r="C442" s="56"/>
      <c r="D442" s="56"/>
      <c r="E442" s="56"/>
      <c r="F442" s="56"/>
      <c r="G442" s="56"/>
    </row>
    <row r="443" spans="2:7">
      <c r="B443" s="27">
        <f t="shared" si="6"/>
        <v>439</v>
      </c>
      <c r="C443" s="56"/>
      <c r="D443" s="56"/>
      <c r="E443" s="56"/>
      <c r="F443" s="56"/>
      <c r="G443" s="56"/>
    </row>
    <row r="444" spans="2:7">
      <c r="B444" s="27">
        <f t="shared" si="6"/>
        <v>440</v>
      </c>
      <c r="C444" s="56"/>
      <c r="D444" s="56"/>
      <c r="E444" s="56"/>
      <c r="F444" s="56"/>
      <c r="G444" s="56"/>
    </row>
    <row r="445" spans="2:7">
      <c r="B445" s="27">
        <f t="shared" si="6"/>
        <v>441</v>
      </c>
      <c r="C445" s="56"/>
      <c r="D445" s="56"/>
      <c r="E445" s="56"/>
      <c r="F445" s="56"/>
      <c r="G445" s="56"/>
    </row>
    <row r="446" spans="2:7">
      <c r="B446" s="27">
        <f t="shared" si="6"/>
        <v>442</v>
      </c>
      <c r="C446" s="56"/>
      <c r="D446" s="56"/>
      <c r="E446" s="56"/>
      <c r="F446" s="56"/>
      <c r="G446" s="56"/>
    </row>
    <row r="447" spans="2:7">
      <c r="B447" s="27">
        <f t="shared" si="6"/>
        <v>443</v>
      </c>
      <c r="C447" s="56"/>
      <c r="D447" s="56"/>
      <c r="E447" s="56"/>
      <c r="F447" s="56"/>
      <c r="G447" s="56"/>
    </row>
    <row r="448" spans="2:7">
      <c r="B448" s="27">
        <f t="shared" si="6"/>
        <v>444</v>
      </c>
      <c r="C448" s="56"/>
      <c r="D448" s="56"/>
      <c r="E448" s="56"/>
      <c r="F448" s="56"/>
      <c r="G448" s="56"/>
    </row>
    <row r="449" spans="2:7">
      <c r="B449" s="27">
        <f t="shared" si="6"/>
        <v>445</v>
      </c>
      <c r="C449" s="56"/>
      <c r="D449" s="56"/>
      <c r="E449" s="56"/>
      <c r="F449" s="56"/>
      <c r="G449" s="56"/>
    </row>
    <row r="450" spans="2:7">
      <c r="B450" s="27">
        <f t="shared" si="6"/>
        <v>446</v>
      </c>
      <c r="C450" s="56"/>
      <c r="D450" s="56"/>
      <c r="E450" s="56"/>
      <c r="F450" s="56"/>
      <c r="G450" s="56"/>
    </row>
    <row r="451" spans="2:7">
      <c r="B451" s="27">
        <f t="shared" si="6"/>
        <v>447</v>
      </c>
      <c r="C451" s="56"/>
      <c r="D451" s="56"/>
      <c r="E451" s="56"/>
      <c r="F451" s="56"/>
      <c r="G451" s="56"/>
    </row>
    <row r="452" spans="2:7">
      <c r="B452" s="27">
        <f t="shared" si="6"/>
        <v>448</v>
      </c>
      <c r="C452" s="56"/>
      <c r="D452" s="56"/>
      <c r="E452" s="56"/>
      <c r="F452" s="56"/>
      <c r="G452" s="56"/>
    </row>
    <row r="453" spans="2:7">
      <c r="B453" s="27">
        <f t="shared" si="6"/>
        <v>449</v>
      </c>
      <c r="C453" s="56"/>
      <c r="D453" s="56"/>
      <c r="E453" s="56"/>
      <c r="F453" s="56"/>
      <c r="G453" s="56"/>
    </row>
    <row r="454" spans="2:7">
      <c r="B454" s="27">
        <f t="shared" si="6"/>
        <v>450</v>
      </c>
      <c r="C454" s="56"/>
      <c r="D454" s="56"/>
      <c r="E454" s="56"/>
      <c r="F454" s="56"/>
      <c r="G454" s="56"/>
    </row>
    <row r="455" spans="2:7">
      <c r="B455" s="27">
        <f t="shared" ref="B455:B504" si="7">B454+1</f>
        <v>451</v>
      </c>
      <c r="C455" s="56"/>
      <c r="D455" s="56"/>
      <c r="E455" s="56"/>
      <c r="F455" s="56"/>
      <c r="G455" s="56"/>
    </row>
    <row r="456" spans="2:7">
      <c r="B456" s="27">
        <f t="shared" si="7"/>
        <v>452</v>
      </c>
      <c r="C456" s="56"/>
      <c r="D456" s="56"/>
      <c r="E456" s="56"/>
      <c r="F456" s="56"/>
      <c r="G456" s="56"/>
    </row>
    <row r="457" spans="2:7">
      <c r="B457" s="27">
        <f t="shared" si="7"/>
        <v>453</v>
      </c>
      <c r="C457" s="56"/>
      <c r="D457" s="56"/>
      <c r="E457" s="56"/>
      <c r="F457" s="56"/>
      <c r="G457" s="56"/>
    </row>
    <row r="458" spans="2:7">
      <c r="B458" s="27">
        <f t="shared" si="7"/>
        <v>454</v>
      </c>
      <c r="C458" s="56"/>
      <c r="D458" s="56"/>
      <c r="E458" s="56"/>
      <c r="F458" s="56"/>
      <c r="G458" s="56"/>
    </row>
    <row r="459" spans="2:7">
      <c r="B459" s="27">
        <f t="shared" si="7"/>
        <v>455</v>
      </c>
      <c r="C459" s="56"/>
      <c r="D459" s="56"/>
      <c r="E459" s="56"/>
      <c r="F459" s="56"/>
      <c r="G459" s="56"/>
    </row>
    <row r="460" spans="2:7">
      <c r="B460" s="27">
        <f t="shared" si="7"/>
        <v>456</v>
      </c>
      <c r="C460" s="56"/>
      <c r="D460" s="56"/>
      <c r="E460" s="56"/>
      <c r="F460" s="56"/>
      <c r="G460" s="56"/>
    </row>
    <row r="461" spans="2:7">
      <c r="B461" s="27">
        <f t="shared" si="7"/>
        <v>457</v>
      </c>
      <c r="C461" s="56"/>
      <c r="D461" s="56"/>
      <c r="E461" s="56"/>
      <c r="F461" s="56"/>
      <c r="G461" s="56"/>
    </row>
    <row r="462" spans="2:7">
      <c r="B462" s="27">
        <f t="shared" si="7"/>
        <v>458</v>
      </c>
      <c r="C462" s="56"/>
      <c r="D462" s="56"/>
      <c r="E462" s="56"/>
      <c r="F462" s="56"/>
      <c r="G462" s="56"/>
    </row>
    <row r="463" spans="2:7">
      <c r="B463" s="27">
        <f t="shared" si="7"/>
        <v>459</v>
      </c>
      <c r="C463" s="56"/>
      <c r="D463" s="56"/>
      <c r="E463" s="56"/>
      <c r="F463" s="56"/>
      <c r="G463" s="56"/>
    </row>
    <row r="464" spans="2:7">
      <c r="B464" s="27">
        <f t="shared" si="7"/>
        <v>460</v>
      </c>
      <c r="C464" s="56"/>
      <c r="D464" s="56"/>
      <c r="E464" s="56"/>
      <c r="F464" s="56"/>
      <c r="G464" s="56"/>
    </row>
    <row r="465" spans="2:7">
      <c r="B465" s="27">
        <f t="shared" si="7"/>
        <v>461</v>
      </c>
      <c r="C465" s="56"/>
      <c r="D465" s="56"/>
      <c r="E465" s="56"/>
      <c r="F465" s="56"/>
      <c r="G465" s="56"/>
    </row>
    <row r="466" spans="2:7">
      <c r="B466" s="27">
        <f t="shared" si="7"/>
        <v>462</v>
      </c>
      <c r="C466" s="56"/>
      <c r="D466" s="56"/>
      <c r="E466" s="56"/>
      <c r="F466" s="56"/>
      <c r="G466" s="56"/>
    </row>
    <row r="467" spans="2:7">
      <c r="B467" s="27">
        <f t="shared" si="7"/>
        <v>463</v>
      </c>
      <c r="C467" s="56"/>
      <c r="D467" s="56"/>
      <c r="E467" s="56"/>
      <c r="F467" s="56"/>
      <c r="G467" s="56"/>
    </row>
    <row r="468" spans="2:7">
      <c r="B468" s="27">
        <f t="shared" si="7"/>
        <v>464</v>
      </c>
      <c r="C468" s="56"/>
      <c r="D468" s="56"/>
      <c r="E468" s="56"/>
      <c r="F468" s="56"/>
      <c r="G468" s="56"/>
    </row>
    <row r="469" spans="2:7">
      <c r="B469" s="27">
        <f t="shared" si="7"/>
        <v>465</v>
      </c>
      <c r="C469" s="56"/>
      <c r="D469" s="56"/>
      <c r="E469" s="56"/>
      <c r="F469" s="56"/>
      <c r="G469" s="56"/>
    </row>
    <row r="470" spans="2:7">
      <c r="B470" s="27">
        <f t="shared" si="7"/>
        <v>466</v>
      </c>
      <c r="C470" s="56"/>
      <c r="D470" s="56"/>
      <c r="E470" s="56"/>
      <c r="F470" s="56"/>
      <c r="G470" s="56"/>
    </row>
    <row r="471" spans="2:7">
      <c r="B471" s="27">
        <f t="shared" si="7"/>
        <v>467</v>
      </c>
      <c r="C471" s="56"/>
      <c r="D471" s="56"/>
      <c r="E471" s="56"/>
      <c r="F471" s="56"/>
      <c r="G471" s="56"/>
    </row>
    <row r="472" spans="2:7">
      <c r="B472" s="27">
        <f t="shared" si="7"/>
        <v>468</v>
      </c>
      <c r="C472" s="56"/>
      <c r="D472" s="56"/>
      <c r="E472" s="56"/>
      <c r="F472" s="56"/>
      <c r="G472" s="56"/>
    </row>
    <row r="473" spans="2:7">
      <c r="B473" s="27">
        <f t="shared" si="7"/>
        <v>469</v>
      </c>
      <c r="C473" s="56"/>
      <c r="D473" s="56"/>
      <c r="E473" s="56"/>
      <c r="F473" s="56"/>
      <c r="G473" s="56"/>
    </row>
    <row r="474" spans="2:7">
      <c r="B474" s="27">
        <f t="shared" si="7"/>
        <v>470</v>
      </c>
      <c r="C474" s="56"/>
      <c r="D474" s="56"/>
      <c r="E474" s="56"/>
      <c r="F474" s="56"/>
      <c r="G474" s="56"/>
    </row>
    <row r="475" spans="2:7">
      <c r="B475" s="27">
        <f t="shared" si="7"/>
        <v>471</v>
      </c>
      <c r="C475" s="56"/>
      <c r="D475" s="56"/>
      <c r="E475" s="56"/>
      <c r="F475" s="56"/>
      <c r="G475" s="56"/>
    </row>
    <row r="476" spans="2:7">
      <c r="B476" s="27">
        <f t="shared" si="7"/>
        <v>472</v>
      </c>
      <c r="C476" s="56"/>
      <c r="D476" s="56"/>
      <c r="E476" s="56"/>
      <c r="F476" s="56"/>
      <c r="G476" s="56"/>
    </row>
    <row r="477" spans="2:7">
      <c r="B477" s="27">
        <f t="shared" si="7"/>
        <v>473</v>
      </c>
      <c r="C477" s="56"/>
      <c r="D477" s="56"/>
      <c r="E477" s="56"/>
      <c r="F477" s="56"/>
      <c r="G477" s="56"/>
    </row>
    <row r="478" spans="2:7">
      <c r="B478" s="27">
        <f t="shared" si="7"/>
        <v>474</v>
      </c>
      <c r="C478" s="56"/>
      <c r="D478" s="56"/>
      <c r="E478" s="56"/>
      <c r="F478" s="56"/>
      <c r="G478" s="56"/>
    </row>
    <row r="479" spans="2:7">
      <c r="B479" s="27">
        <f t="shared" si="7"/>
        <v>475</v>
      </c>
      <c r="C479" s="56"/>
      <c r="D479" s="56"/>
      <c r="E479" s="56"/>
      <c r="F479" s="56"/>
      <c r="G479" s="56"/>
    </row>
    <row r="480" spans="2:7">
      <c r="B480" s="27">
        <f t="shared" si="7"/>
        <v>476</v>
      </c>
      <c r="C480" s="56"/>
      <c r="D480" s="56"/>
      <c r="E480" s="56"/>
      <c r="F480" s="56"/>
      <c r="G480" s="56"/>
    </row>
    <row r="481" spans="2:7">
      <c r="B481" s="27">
        <f t="shared" si="7"/>
        <v>477</v>
      </c>
      <c r="C481" s="56"/>
      <c r="D481" s="56"/>
      <c r="E481" s="56"/>
      <c r="F481" s="56"/>
      <c r="G481" s="56"/>
    </row>
    <row r="482" spans="2:7">
      <c r="B482" s="27">
        <f t="shared" si="7"/>
        <v>478</v>
      </c>
      <c r="C482" s="56"/>
      <c r="D482" s="56"/>
      <c r="E482" s="56"/>
      <c r="F482" s="56"/>
      <c r="G482" s="56"/>
    </row>
    <row r="483" spans="2:7">
      <c r="B483" s="27">
        <f t="shared" si="7"/>
        <v>479</v>
      </c>
      <c r="C483" s="56"/>
      <c r="D483" s="56"/>
      <c r="E483" s="56"/>
      <c r="F483" s="56"/>
      <c r="G483" s="56"/>
    </row>
    <row r="484" spans="2:7">
      <c r="B484" s="27">
        <f t="shared" si="7"/>
        <v>480</v>
      </c>
      <c r="C484" s="56"/>
      <c r="D484" s="56"/>
      <c r="E484" s="56"/>
      <c r="F484" s="56"/>
      <c r="G484" s="56"/>
    </row>
    <row r="485" spans="2:7">
      <c r="B485" s="27">
        <f t="shared" si="7"/>
        <v>481</v>
      </c>
      <c r="C485" s="56"/>
      <c r="D485" s="56"/>
      <c r="E485" s="56"/>
      <c r="F485" s="56"/>
      <c r="G485" s="56"/>
    </row>
    <row r="486" spans="2:7">
      <c r="B486" s="27">
        <f t="shared" si="7"/>
        <v>482</v>
      </c>
      <c r="C486" s="56"/>
      <c r="D486" s="56"/>
      <c r="E486" s="56"/>
      <c r="F486" s="56"/>
      <c r="G486" s="56"/>
    </row>
    <row r="487" spans="2:7">
      <c r="B487" s="27">
        <f t="shared" si="7"/>
        <v>483</v>
      </c>
      <c r="C487" s="56"/>
      <c r="D487" s="56"/>
      <c r="E487" s="56"/>
      <c r="F487" s="56"/>
      <c r="G487" s="56"/>
    </row>
    <row r="488" spans="2:7">
      <c r="B488" s="27">
        <f t="shared" si="7"/>
        <v>484</v>
      </c>
      <c r="C488" s="56"/>
      <c r="D488" s="56"/>
      <c r="E488" s="56"/>
      <c r="F488" s="56"/>
      <c r="G488" s="56"/>
    </row>
    <row r="489" spans="2:7">
      <c r="B489" s="27">
        <f t="shared" si="7"/>
        <v>485</v>
      </c>
      <c r="C489" s="56"/>
      <c r="D489" s="56"/>
      <c r="E489" s="56"/>
      <c r="F489" s="56"/>
      <c r="G489" s="56"/>
    </row>
    <row r="490" spans="2:7">
      <c r="B490" s="27">
        <f t="shared" si="7"/>
        <v>486</v>
      </c>
      <c r="C490" s="56"/>
      <c r="D490" s="56"/>
      <c r="E490" s="56"/>
      <c r="F490" s="56"/>
      <c r="G490" s="56"/>
    </row>
    <row r="491" spans="2:7">
      <c r="B491" s="27">
        <f t="shared" si="7"/>
        <v>487</v>
      </c>
      <c r="C491" s="56"/>
      <c r="D491" s="56"/>
      <c r="E491" s="56"/>
      <c r="F491" s="56"/>
      <c r="G491" s="56"/>
    </row>
    <row r="492" spans="2:7">
      <c r="B492" s="27">
        <f t="shared" si="7"/>
        <v>488</v>
      </c>
      <c r="C492" s="56"/>
      <c r="D492" s="56"/>
      <c r="E492" s="56"/>
      <c r="F492" s="56"/>
      <c r="G492" s="56"/>
    </row>
    <row r="493" spans="2:7">
      <c r="B493" s="27">
        <f t="shared" si="7"/>
        <v>489</v>
      </c>
      <c r="C493" s="56"/>
      <c r="D493" s="56"/>
      <c r="E493" s="56"/>
      <c r="F493" s="56"/>
      <c r="G493" s="56"/>
    </row>
    <row r="494" spans="2:7">
      <c r="B494" s="27">
        <f t="shared" si="7"/>
        <v>490</v>
      </c>
      <c r="C494" s="56"/>
      <c r="D494" s="56"/>
      <c r="E494" s="56"/>
      <c r="F494" s="56"/>
      <c r="G494" s="56"/>
    </row>
    <row r="495" spans="2:7">
      <c r="B495" s="27">
        <f t="shared" si="7"/>
        <v>491</v>
      </c>
      <c r="C495" s="56"/>
      <c r="D495" s="56"/>
      <c r="E495" s="56"/>
      <c r="F495" s="56"/>
      <c r="G495" s="56"/>
    </row>
    <row r="496" spans="2:7">
      <c r="B496" s="27">
        <f t="shared" si="7"/>
        <v>492</v>
      </c>
      <c r="C496" s="56"/>
      <c r="D496" s="56"/>
      <c r="E496" s="56"/>
      <c r="F496" s="56"/>
      <c r="G496" s="56"/>
    </row>
    <row r="497" spans="2:7">
      <c r="B497" s="27">
        <f t="shared" si="7"/>
        <v>493</v>
      </c>
      <c r="C497" s="56"/>
      <c r="D497" s="56"/>
      <c r="E497" s="56"/>
      <c r="F497" s="56"/>
      <c r="G497" s="56"/>
    </row>
    <row r="498" spans="2:7">
      <c r="B498" s="27">
        <f t="shared" si="7"/>
        <v>494</v>
      </c>
      <c r="C498" s="56"/>
      <c r="D498" s="56"/>
      <c r="E498" s="56"/>
      <c r="F498" s="56"/>
      <c r="G498" s="56"/>
    </row>
    <row r="499" spans="2:7">
      <c r="B499" s="27">
        <f t="shared" si="7"/>
        <v>495</v>
      </c>
      <c r="C499" s="56"/>
      <c r="D499" s="56"/>
      <c r="E499" s="56"/>
      <c r="F499" s="56"/>
      <c r="G499" s="56"/>
    </row>
    <row r="500" spans="2:7">
      <c r="B500" s="27">
        <f t="shared" si="7"/>
        <v>496</v>
      </c>
      <c r="C500" s="56"/>
      <c r="D500" s="56"/>
      <c r="E500" s="56"/>
      <c r="F500" s="56"/>
      <c r="G500" s="56"/>
    </row>
    <row r="501" spans="2:7">
      <c r="B501" s="27">
        <f t="shared" si="7"/>
        <v>497</v>
      </c>
      <c r="C501" s="56"/>
      <c r="D501" s="56"/>
      <c r="E501" s="56"/>
      <c r="F501" s="56"/>
      <c r="G501" s="56"/>
    </row>
    <row r="502" spans="2:7">
      <c r="B502" s="27">
        <f t="shared" si="7"/>
        <v>498</v>
      </c>
      <c r="C502" s="56"/>
      <c r="D502" s="56"/>
      <c r="E502" s="56"/>
      <c r="F502" s="56"/>
      <c r="G502" s="56"/>
    </row>
    <row r="503" spans="2:7">
      <c r="B503" s="27">
        <f t="shared" si="7"/>
        <v>499</v>
      </c>
      <c r="C503" s="56"/>
      <c r="D503" s="56"/>
      <c r="E503" s="56"/>
      <c r="F503" s="56"/>
      <c r="G503" s="56"/>
    </row>
    <row r="504" spans="2:7">
      <c r="B504" s="27">
        <f t="shared" si="7"/>
        <v>500</v>
      </c>
      <c r="C504" s="56"/>
      <c r="D504" s="56"/>
      <c r="E504" s="56"/>
      <c r="F504" s="56"/>
      <c r="G504" s="56"/>
    </row>
  </sheetData>
  <sheetProtection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EFDE-B1DA-4287-928D-1503B6A46A7E}">
  <sheetPr>
    <tabColor rgb="FFFFFF00"/>
  </sheetPr>
  <dimension ref="B2:G304"/>
  <sheetViews>
    <sheetView workbookViewId="0">
      <selection activeCell="J10" sqref="J10"/>
    </sheetView>
  </sheetViews>
  <sheetFormatPr defaultRowHeight="13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16384" width="8.88671875" style="29"/>
  </cols>
  <sheetData>
    <row r="2" spans="2:7" ht="16.2">
      <c r="B2" s="28" t="str" cm="1">
        <f t="array" aca="1" ref="B2" ca="1">RIGHT(CELL("filename",A1),LEN(CELL("filename",A1))-FIND("]",CELL("filename",A1)))</f>
        <v>注射</v>
      </c>
    </row>
    <row r="4" spans="2:7">
      <c r="B4" s="30" t="s">
        <v>4040</v>
      </c>
      <c r="C4" s="30" t="s">
        <v>4041</v>
      </c>
      <c r="D4" s="30" t="s">
        <v>4042</v>
      </c>
      <c r="E4" s="30" t="s">
        <v>4064</v>
      </c>
      <c r="F4" s="30" t="s">
        <v>4066</v>
      </c>
      <c r="G4" s="30" t="s">
        <v>4067</v>
      </c>
    </row>
    <row r="5" spans="2:7">
      <c r="B5" s="27">
        <v>1</v>
      </c>
      <c r="C5" s="27" t="str" cm="1">
        <f t="array" aca="1" ref="C5:G88" ca="1">_xlfn._xlws.SORT(_xlfn.CHOOSECOLS(_xlfn._xlws.FILTER(IFERROR(統合マスタ!B2:Z1500,""),IFERROR(統合マスタ!R2:R1500=1,FALSE)*IFERROR(ISNUMBER(MATCH(統合マスタ!V2:V1500,分類!Q8:Q15,0)),FALSE)),2,23,25,4,5),2,1)</f>
        <v>アクチット輸液　　　　　　　　　　　　　　</v>
      </c>
      <c r="D5" s="27">
        <f ca="1"/>
        <v>0</v>
      </c>
      <c r="E5" s="56">
        <f ca="1"/>
        <v>10</v>
      </c>
      <c r="F5" s="56" t="str">
        <f ca="1"/>
        <v/>
      </c>
      <c r="G5" s="56" t="str">
        <f ca="1"/>
        <v>500ｍｌｘ20袋</v>
      </c>
    </row>
    <row r="6" spans="2:7">
      <c r="B6" s="27">
        <f>B5+1</f>
        <v>2</v>
      </c>
      <c r="C6" s="27" t="str">
        <f ca="1"/>
        <v>アスコルビン酸注５００ｍｇ「イセイ」　</v>
      </c>
      <c r="D6" s="27">
        <f ca="1"/>
        <v>0</v>
      </c>
      <c r="E6" s="56">
        <f ca="1"/>
        <v>11</v>
      </c>
      <c r="F6" s="56" t="str">
        <f ca="1"/>
        <v/>
      </c>
      <c r="G6" s="56" t="str">
        <f ca="1"/>
        <v>2ｍｌｘ50Ａ</v>
      </c>
    </row>
    <row r="7" spans="2:7">
      <c r="B7" s="27">
        <f t="shared" ref="B7:B70" si="0">B6+1</f>
        <v>3</v>
      </c>
      <c r="C7" s="27" t="str">
        <f ca="1"/>
        <v>アスパラギン酸カリウム注　１０ＭＥＱキット「テルモ」</v>
      </c>
      <c r="D7" s="27">
        <f ca="1"/>
        <v>0</v>
      </c>
      <c r="E7" s="56">
        <f ca="1"/>
        <v>9</v>
      </c>
      <c r="F7" s="56" t="str">
        <f ca="1"/>
        <v/>
      </c>
      <c r="G7" s="56" t="str">
        <f ca="1"/>
        <v>10ｍｌｘ10</v>
      </c>
    </row>
    <row r="8" spans="2:7">
      <c r="B8" s="27">
        <f t="shared" si="0"/>
        <v>4</v>
      </c>
      <c r="C8" s="27" t="str">
        <f ca="1"/>
        <v>アドナ注（静脈用）５０ｍｇ　　　　　　　</v>
      </c>
      <c r="D8" s="27">
        <f ca="1"/>
        <v>0</v>
      </c>
      <c r="E8" s="56">
        <f ca="1"/>
        <v>9</v>
      </c>
      <c r="F8" s="56" t="str">
        <f ca="1"/>
        <v/>
      </c>
      <c r="G8" s="56" t="str">
        <f ca="1"/>
        <v>10ml×10A</v>
      </c>
    </row>
    <row r="9" spans="2:7">
      <c r="B9" s="27">
        <f t="shared" si="0"/>
        <v>5</v>
      </c>
      <c r="C9" s="27" t="str">
        <f ca="1"/>
        <v>アドナ注（静脈用）５０ｍｇ　　　　　　　</v>
      </c>
      <c r="D9" s="27">
        <f ca="1"/>
        <v>0</v>
      </c>
      <c r="E9" s="56">
        <f ca="1"/>
        <v>9</v>
      </c>
      <c r="F9" s="56" t="str">
        <f ca="1"/>
        <v/>
      </c>
      <c r="G9" s="56" t="str">
        <f ca="1"/>
        <v>10ml×50A</v>
      </c>
    </row>
    <row r="10" spans="2:7">
      <c r="B10" s="27">
        <f t="shared" si="0"/>
        <v>6</v>
      </c>
      <c r="C10" s="27" t="str">
        <f ca="1"/>
        <v>アルブミナー２５％静注１２．５ｇ／５０ｍｌ</v>
      </c>
      <c r="D10" s="27">
        <f ca="1"/>
        <v>0</v>
      </c>
      <c r="E10" s="56">
        <f ca="1"/>
        <v>6</v>
      </c>
      <c r="F10" s="56" t="str">
        <f ca="1"/>
        <v/>
      </c>
      <c r="G10" s="56" t="str">
        <f ca="1"/>
        <v>50ｍｌｘ1V</v>
      </c>
    </row>
    <row r="11" spans="2:7">
      <c r="B11" s="27">
        <f t="shared" si="0"/>
        <v>7</v>
      </c>
      <c r="C11" s="27" t="str">
        <f ca="1"/>
        <v>イベニティ皮下注１０５ｍｇシリンジ</v>
      </c>
      <c r="D11" s="27">
        <f ca="1"/>
        <v>0</v>
      </c>
      <c r="E11" s="56">
        <f ca="1"/>
        <v>11</v>
      </c>
      <c r="F11" s="56" t="str">
        <f ca="1"/>
        <v/>
      </c>
      <c r="G11" s="56" t="str">
        <f ca="1"/>
        <v>2筒</v>
      </c>
    </row>
    <row r="12" spans="2:7">
      <c r="B12" s="27">
        <f t="shared" si="0"/>
        <v>8</v>
      </c>
      <c r="C12" s="27" t="str">
        <f ca="1"/>
        <v>グリセオール注</v>
      </c>
      <c r="D12" s="27">
        <f ca="1"/>
        <v>0</v>
      </c>
      <c r="E12" s="56">
        <f ca="1"/>
        <v>9</v>
      </c>
      <c r="F12" s="56" t="str">
        <f ca="1"/>
        <v/>
      </c>
      <c r="G12" s="56" t="str">
        <f ca="1"/>
        <v>200ｍｌｘ10</v>
      </c>
    </row>
    <row r="13" spans="2:7">
      <c r="B13" s="27">
        <f t="shared" si="0"/>
        <v>9</v>
      </c>
      <c r="C13" s="27" t="str">
        <f ca="1"/>
        <v>ケイツーＮ静注１０ｍｇ</v>
      </c>
      <c r="D13" s="27">
        <f ca="1"/>
        <v>0</v>
      </c>
      <c r="E13" s="56">
        <f ca="1"/>
        <v>9</v>
      </c>
      <c r="F13" s="56" t="str">
        <f ca="1"/>
        <v/>
      </c>
      <c r="G13" s="56" t="str">
        <f ca="1"/>
        <v>2ｍｌｘ１０管</v>
      </c>
    </row>
    <row r="14" spans="2:7">
      <c r="B14" s="27">
        <f t="shared" si="0"/>
        <v>10</v>
      </c>
      <c r="C14" s="27" t="str">
        <f ca="1"/>
        <v>ジアゼパム注射液５ｍｇ「ＮＩＧ」</v>
      </c>
      <c r="D14" s="27">
        <f ca="1"/>
        <v>0</v>
      </c>
      <c r="E14" s="56">
        <f ca="1"/>
        <v>9</v>
      </c>
      <c r="F14" s="56" t="str">
        <f ca="1"/>
        <v/>
      </c>
      <c r="G14" s="56" t="str">
        <f ca="1"/>
        <v>1ｍｌｘ10A</v>
      </c>
    </row>
    <row r="15" spans="2:7">
      <c r="B15" s="27">
        <f t="shared" si="0"/>
        <v>11</v>
      </c>
      <c r="C15" s="27" t="str">
        <f ca="1"/>
        <v>スルバシリン静注用１．５ｇ</v>
      </c>
      <c r="D15" s="27">
        <f ca="1"/>
        <v>0</v>
      </c>
      <c r="E15" s="56">
        <f ca="1"/>
        <v>8</v>
      </c>
      <c r="F15" s="56" t="str">
        <f ca="1"/>
        <v/>
      </c>
      <c r="G15" s="56" t="str">
        <f ca="1"/>
        <v>10瓶</v>
      </c>
    </row>
    <row r="16" spans="2:7">
      <c r="B16" s="27">
        <f t="shared" si="0"/>
        <v>12</v>
      </c>
      <c r="C16" s="27" t="str">
        <f ca="1"/>
        <v>セフェピム塩酸塩静注用１ｇ「サンド」</v>
      </c>
      <c r="D16" s="27">
        <f ca="1"/>
        <v>0</v>
      </c>
      <c r="E16" s="56">
        <f ca="1"/>
        <v>8</v>
      </c>
      <c r="F16" s="56" t="str">
        <f ca="1"/>
        <v/>
      </c>
      <c r="G16" s="56" t="str">
        <f ca="1"/>
        <v>10V</v>
      </c>
    </row>
    <row r="17" spans="2:7">
      <c r="B17" s="27">
        <f t="shared" si="0"/>
        <v>13</v>
      </c>
      <c r="C17" s="27" t="str">
        <f ca="1"/>
        <v>セフタジジム静注用１ｇ「ＶＴＲＳ」</v>
      </c>
      <c r="D17" s="27">
        <f ca="1"/>
        <v>0</v>
      </c>
      <c r="E17" s="56">
        <f ca="1"/>
        <v>8</v>
      </c>
      <c r="F17" s="56" t="str">
        <f ca="1"/>
        <v/>
      </c>
      <c r="G17" s="56" t="str">
        <f ca="1"/>
        <v>10V</v>
      </c>
    </row>
    <row r="18" spans="2:7">
      <c r="B18" s="27">
        <f t="shared" si="0"/>
        <v>14</v>
      </c>
      <c r="C18" s="27" t="str">
        <f ca="1"/>
        <v>セフトリアキソンＮａ静注１Ｇ「ニチイコウ」</v>
      </c>
      <c r="D18" s="27">
        <f ca="1"/>
        <v>0</v>
      </c>
      <c r="E18" s="56">
        <f ca="1"/>
        <v>8</v>
      </c>
      <c r="F18" s="56" t="str">
        <f ca="1"/>
        <v/>
      </c>
      <c r="G18" s="56" t="str">
        <f ca="1"/>
        <v>1G   10V</v>
      </c>
    </row>
    <row r="19" spans="2:7">
      <c r="B19" s="27">
        <f t="shared" si="0"/>
        <v>15</v>
      </c>
      <c r="C19" s="27" t="str">
        <f ca="1"/>
        <v>ゾシン静注用４．５</v>
      </c>
      <c r="D19" s="27">
        <f ca="1"/>
        <v>0</v>
      </c>
      <c r="E19" s="56">
        <f ca="1"/>
        <v>8</v>
      </c>
      <c r="F19" s="56" t="str">
        <f ca="1"/>
        <v/>
      </c>
      <c r="G19" s="56" t="str">
        <f ca="1"/>
        <v>10Ｖ</v>
      </c>
    </row>
    <row r="20" spans="2:7">
      <c r="B20" s="27">
        <f t="shared" si="0"/>
        <v>16</v>
      </c>
      <c r="C20" s="27" t="str">
        <f ca="1"/>
        <v>ソルデム－１輸液　２００ｍｌ</v>
      </c>
      <c r="D20" s="27">
        <f ca="1"/>
        <v>0</v>
      </c>
      <c r="E20" s="56">
        <f ca="1"/>
        <v>10</v>
      </c>
      <c r="F20" s="56" t="str">
        <f ca="1"/>
        <v/>
      </c>
      <c r="G20" s="56" t="str">
        <f ca="1"/>
        <v>200MLX30</v>
      </c>
    </row>
    <row r="21" spans="2:7">
      <c r="B21" s="27">
        <f t="shared" si="0"/>
        <v>17</v>
      </c>
      <c r="C21" s="27" t="str">
        <f ca="1"/>
        <v>ソルデム１輸液　５００ｍｌ</v>
      </c>
      <c r="D21" s="27">
        <f ca="1"/>
        <v>0</v>
      </c>
      <c r="E21" s="56">
        <f ca="1"/>
        <v>10</v>
      </c>
      <c r="F21" s="56" t="str">
        <f ca="1"/>
        <v/>
      </c>
      <c r="G21" s="56" t="str">
        <f ca="1"/>
        <v>２０袋</v>
      </c>
    </row>
    <row r="22" spans="2:7">
      <c r="B22" s="27">
        <f t="shared" si="0"/>
        <v>18</v>
      </c>
      <c r="C22" s="27" t="str">
        <f ca="1"/>
        <v>ダイビタミックス注</v>
      </c>
      <c r="D22" s="27">
        <f ca="1"/>
        <v>0</v>
      </c>
      <c r="E22" s="56">
        <f ca="1"/>
        <v>11</v>
      </c>
      <c r="F22" s="56" t="str">
        <f ca="1"/>
        <v/>
      </c>
      <c r="G22" s="56" t="str">
        <f ca="1"/>
        <v>2ｍｌｘ50管</v>
      </c>
    </row>
    <row r="23" spans="2:7">
      <c r="B23" s="27">
        <f t="shared" si="0"/>
        <v>19</v>
      </c>
      <c r="C23" s="27" t="str">
        <f ca="1"/>
        <v>タケプロン静注用３０ｍｇ</v>
      </c>
      <c r="D23" s="27">
        <f ca="1"/>
        <v>0</v>
      </c>
      <c r="E23" s="56">
        <f ca="1"/>
        <v>9</v>
      </c>
      <c r="F23" s="56" t="str">
        <f ca="1"/>
        <v/>
      </c>
      <c r="G23" s="56" t="str">
        <f ca="1"/>
        <v>1Vx10</v>
      </c>
    </row>
    <row r="24" spans="2:7">
      <c r="B24" s="27">
        <f t="shared" si="0"/>
        <v>20</v>
      </c>
      <c r="C24" s="27" t="str">
        <f ca="1"/>
        <v>ダントリウム静注用２０ＭＧ</v>
      </c>
      <c r="D24" s="27">
        <f ca="1"/>
        <v>0</v>
      </c>
      <c r="E24" s="56">
        <f ca="1"/>
        <v>9</v>
      </c>
      <c r="F24" s="56" t="str">
        <f ca="1"/>
        <v/>
      </c>
      <c r="G24" s="56" t="str">
        <f ca="1"/>
        <v>5V</v>
      </c>
    </row>
    <row r="25" spans="2:7">
      <c r="B25" s="27">
        <f t="shared" si="0"/>
        <v>21</v>
      </c>
      <c r="C25" s="27" t="str">
        <f ca="1"/>
        <v>デカドロン注射液３．３ｍｇ</v>
      </c>
      <c r="D25" s="27">
        <f ca="1"/>
        <v>0</v>
      </c>
      <c r="E25" s="56">
        <f ca="1"/>
        <v>11</v>
      </c>
      <c r="F25" s="56" t="str">
        <f ca="1"/>
        <v/>
      </c>
      <c r="G25" s="56" t="str">
        <f ca="1"/>
        <v>1ｍｌｘ10A</v>
      </c>
    </row>
    <row r="26" spans="2:7">
      <c r="B26" s="27">
        <f t="shared" si="0"/>
        <v>22</v>
      </c>
      <c r="C26" s="27" t="str">
        <f ca="1"/>
        <v>トランサミン注５％　　　　　　　　　　</v>
      </c>
      <c r="D26" s="27">
        <f ca="1"/>
        <v>0</v>
      </c>
      <c r="E26" s="56">
        <f ca="1"/>
        <v>9</v>
      </c>
      <c r="F26" s="56" t="str">
        <f ca="1"/>
        <v/>
      </c>
      <c r="G26" s="56" t="str">
        <f ca="1"/>
        <v>5ml×10Ａ</v>
      </c>
    </row>
    <row r="27" spans="2:7">
      <c r="B27" s="27">
        <f t="shared" si="0"/>
        <v>23</v>
      </c>
      <c r="C27" s="27" t="str">
        <f ca="1"/>
        <v>トリフリード輸液（１）</v>
      </c>
      <c r="D27" s="27">
        <f ca="1"/>
        <v>0</v>
      </c>
      <c r="E27" s="56">
        <f ca="1"/>
        <v>10</v>
      </c>
      <c r="F27" s="56" t="str">
        <f ca="1"/>
        <v/>
      </c>
      <c r="G27" s="56" t="str">
        <f ca="1"/>
        <v>500ｍｌｘ20</v>
      </c>
    </row>
    <row r="28" spans="2:7">
      <c r="B28" s="27">
        <f t="shared" si="0"/>
        <v>24</v>
      </c>
      <c r="C28" s="27" t="str">
        <f ca="1"/>
        <v>ネオファーゲン静注２０ｍｌ</v>
      </c>
      <c r="D28" s="27">
        <f ca="1"/>
        <v>0</v>
      </c>
      <c r="E28" s="56">
        <f ca="1"/>
        <v>8</v>
      </c>
      <c r="F28" s="56" t="str">
        <f ca="1"/>
        <v/>
      </c>
      <c r="G28" s="56" t="str">
        <f ca="1"/>
        <v>20ｍｌｘ50A</v>
      </c>
    </row>
    <row r="29" spans="2:7">
      <c r="B29" s="27">
        <f t="shared" si="0"/>
        <v>25</v>
      </c>
      <c r="C29" s="27" t="str">
        <f ca="1"/>
        <v>ネオフィリン注２５０ｍｇ</v>
      </c>
      <c r="D29" s="27">
        <f ca="1"/>
        <v>0</v>
      </c>
      <c r="E29" s="56">
        <f ca="1"/>
        <v>15</v>
      </c>
      <c r="F29" s="56" t="str">
        <f ca="1"/>
        <v/>
      </c>
      <c r="G29" s="56" t="str">
        <f ca="1"/>
        <v>10ｍｌｘ10</v>
      </c>
    </row>
    <row r="30" spans="2:7">
      <c r="B30" s="27">
        <f t="shared" si="0"/>
        <v>26</v>
      </c>
      <c r="C30" s="27" t="str">
        <f ca="1"/>
        <v>パレプラス輸液</v>
      </c>
      <c r="D30" s="27">
        <f ca="1"/>
        <v>0</v>
      </c>
      <c r="E30" s="56">
        <f ca="1"/>
        <v>10</v>
      </c>
      <c r="F30" s="56" t="str">
        <f ca="1"/>
        <v/>
      </c>
      <c r="G30" s="56" t="str">
        <f ca="1"/>
        <v>500ｍｌｘ20</v>
      </c>
    </row>
    <row r="31" spans="2:7">
      <c r="B31" s="27">
        <f t="shared" si="0"/>
        <v>27</v>
      </c>
      <c r="C31" s="27" t="str">
        <f ca="1"/>
        <v>バンコマイシン塩酸塩点滴静注用０．５ｇ「ＶＴＲＳ」</v>
      </c>
      <c r="D31" s="27">
        <f ca="1"/>
        <v>0</v>
      </c>
      <c r="E31" s="56">
        <f ca="1"/>
        <v>8</v>
      </c>
      <c r="F31" s="56" t="str">
        <f ca="1"/>
        <v/>
      </c>
      <c r="G31" s="56" t="str">
        <f ca="1"/>
        <v>10V</v>
      </c>
    </row>
    <row r="32" spans="2:7">
      <c r="B32" s="27">
        <f t="shared" si="0"/>
        <v>28</v>
      </c>
      <c r="C32" s="27" t="str">
        <f ca="1"/>
        <v>パントール注射液５００ＭＧ</v>
      </c>
      <c r="D32" s="27">
        <f ca="1"/>
        <v>0</v>
      </c>
      <c r="E32" s="56">
        <f ca="1"/>
        <v>9</v>
      </c>
      <c r="F32" s="56" t="str">
        <f ca="1"/>
        <v/>
      </c>
      <c r="G32" s="56" t="str">
        <f ca="1"/>
        <v>２ｍｌｘ50A</v>
      </c>
    </row>
    <row r="33" spans="2:7">
      <c r="B33" s="27">
        <f t="shared" si="0"/>
        <v>29</v>
      </c>
      <c r="C33" s="27" t="str">
        <f ca="1"/>
        <v>ファモチジン静注液２０ｍｇ「サワイ」</v>
      </c>
      <c r="D33" s="27">
        <f ca="1"/>
        <v>0</v>
      </c>
      <c r="E33" s="56">
        <f ca="1"/>
        <v>9</v>
      </c>
      <c r="F33" s="56" t="str">
        <f ca="1"/>
        <v/>
      </c>
      <c r="G33" s="56" t="str">
        <f ca="1"/>
        <v>20mgx10A</v>
      </c>
    </row>
    <row r="34" spans="2:7">
      <c r="B34" s="27">
        <f t="shared" si="0"/>
        <v>30</v>
      </c>
      <c r="C34" s="27" t="str">
        <f ca="1"/>
        <v>フェジン静注４０ｍｇ</v>
      </c>
      <c r="D34" s="27">
        <f ca="1"/>
        <v>0</v>
      </c>
      <c r="E34" s="56">
        <f ca="1"/>
        <v>9</v>
      </c>
      <c r="F34" s="56" t="str">
        <f ca="1"/>
        <v/>
      </c>
      <c r="G34" s="56" t="str">
        <f ca="1"/>
        <v xml:space="preserve"> 2MLX10A</v>
      </c>
    </row>
    <row r="35" spans="2:7">
      <c r="B35" s="27">
        <f t="shared" si="0"/>
        <v>31</v>
      </c>
      <c r="C35" s="27" t="str">
        <f ca="1"/>
        <v>ブドウ糖注５％ＰＬ「フソー」　　　　　　</v>
      </c>
      <c r="D35" s="27">
        <f ca="1"/>
        <v>0</v>
      </c>
      <c r="E35" s="56">
        <f ca="1"/>
        <v>8</v>
      </c>
      <c r="F35" s="56" t="str">
        <f ca="1"/>
        <v/>
      </c>
      <c r="G35" s="56" t="str">
        <f ca="1"/>
        <v>100ｍｌ×10Ｐ</v>
      </c>
    </row>
    <row r="36" spans="2:7">
      <c r="B36" s="27">
        <f t="shared" si="0"/>
        <v>32</v>
      </c>
      <c r="C36" s="27" t="str">
        <f ca="1"/>
        <v>プリンペラン注射液１０ｍｇ</v>
      </c>
      <c r="D36" s="27">
        <f ca="1"/>
        <v>0</v>
      </c>
      <c r="E36" s="56">
        <f ca="1"/>
        <v>9</v>
      </c>
      <c r="F36" s="56" t="str">
        <f ca="1"/>
        <v/>
      </c>
      <c r="G36" s="56" t="str">
        <f ca="1"/>
        <v>2ｍｌｘ10A</v>
      </c>
    </row>
    <row r="37" spans="2:7">
      <c r="B37" s="27">
        <f t="shared" si="0"/>
        <v>33</v>
      </c>
      <c r="C37" s="27" t="str">
        <f ca="1"/>
        <v>フロセミド注２０ｍｇ「トーワ」</v>
      </c>
      <c r="D37" s="27">
        <f ca="1"/>
        <v>0</v>
      </c>
      <c r="E37" s="56">
        <f ca="1"/>
        <v>9</v>
      </c>
      <c r="F37" s="56" t="str">
        <f ca="1"/>
        <v/>
      </c>
      <c r="G37" s="56" t="str">
        <f ca="1"/>
        <v>2ｍｌｘ50管</v>
      </c>
    </row>
    <row r="38" spans="2:7">
      <c r="B38" s="27">
        <f t="shared" si="0"/>
        <v>34</v>
      </c>
      <c r="C38" s="27" t="str">
        <f ca="1"/>
        <v>ブロムヘキシン塩酸塩注射液４ｍｇ「タイヨー」</v>
      </c>
      <c r="D38" s="27">
        <f ca="1"/>
        <v>0</v>
      </c>
      <c r="E38" s="56">
        <f ca="1"/>
        <v>9</v>
      </c>
      <c r="F38" s="56" t="str">
        <f ca="1"/>
        <v/>
      </c>
      <c r="G38" s="56" t="str">
        <f ca="1"/>
        <v>2ｍｌｘ50A</v>
      </c>
    </row>
    <row r="39" spans="2:7">
      <c r="B39" s="27">
        <f t="shared" si="0"/>
        <v>35</v>
      </c>
      <c r="C39" s="27" t="str">
        <f ca="1"/>
        <v>ベクルリー点滴静注用１００ｍｇ</v>
      </c>
      <c r="D39" s="27">
        <f ca="1"/>
        <v>0</v>
      </c>
      <c r="E39" s="56">
        <f ca="1"/>
        <v>6</v>
      </c>
      <c r="F39" s="56" t="str">
        <f ca="1"/>
        <v/>
      </c>
      <c r="G39" s="56" t="str">
        <f ca="1"/>
        <v>1Ｖ</v>
      </c>
    </row>
    <row r="40" spans="2:7">
      <c r="B40" s="27">
        <f t="shared" si="0"/>
        <v>36</v>
      </c>
      <c r="C40" s="27" t="str">
        <f ca="1"/>
        <v>ヘパリンＮＡロック用１０単位／ｍｌ「オーツカ」　１００単位</v>
      </c>
      <c r="D40" s="27">
        <f ca="1"/>
        <v>0</v>
      </c>
      <c r="E40" s="56">
        <f ca="1"/>
        <v>8</v>
      </c>
      <c r="F40" s="56" t="str">
        <f ca="1"/>
        <v/>
      </c>
      <c r="G40" s="56" t="str">
        <f ca="1"/>
        <v>10ｍｌｘ10</v>
      </c>
    </row>
    <row r="41" spans="2:7">
      <c r="B41" s="27">
        <f t="shared" si="0"/>
        <v>37</v>
      </c>
      <c r="C41" s="27" t="str">
        <f ca="1"/>
        <v>ヘパリンＮａ注５千単位／５ｍｌ「モチダ」</v>
      </c>
      <c r="D41" s="27">
        <f ca="1"/>
        <v>0</v>
      </c>
      <c r="E41" s="56">
        <f ca="1"/>
        <v>9</v>
      </c>
      <c r="F41" s="56" t="str">
        <f ca="1"/>
        <v/>
      </c>
      <c r="G41" s="56" t="str">
        <f ca="1"/>
        <v>5ｍｌｘ5Ｖ</v>
      </c>
    </row>
    <row r="42" spans="2:7">
      <c r="B42" s="27">
        <f t="shared" si="0"/>
        <v>38</v>
      </c>
      <c r="C42" s="27" t="str">
        <f ca="1"/>
        <v>ヘブスブリンＩＨ静注１０００単位</v>
      </c>
      <c r="D42" s="27">
        <f ca="1"/>
        <v>0</v>
      </c>
      <c r="E42" s="56">
        <f ca="1"/>
        <v>11</v>
      </c>
      <c r="F42" s="56" t="str">
        <f ca="1"/>
        <v/>
      </c>
      <c r="G42" s="56" t="str">
        <f ca="1"/>
        <v>5ｍｌｘ1Ｖ</v>
      </c>
    </row>
    <row r="43" spans="2:7">
      <c r="B43" s="27">
        <f t="shared" si="0"/>
        <v>39</v>
      </c>
      <c r="C43" s="27" t="str">
        <f ca="1"/>
        <v>ペントシリン注射用１ｇ　　　　　　　　　</v>
      </c>
      <c r="D43" s="27">
        <f ca="1"/>
        <v>0</v>
      </c>
      <c r="E43" s="56">
        <f ca="1"/>
        <v>8</v>
      </c>
      <c r="F43" s="56" t="str">
        <f ca="1"/>
        <v/>
      </c>
      <c r="G43" s="56" t="str">
        <f ca="1"/>
        <v>１０Ｖ</v>
      </c>
    </row>
    <row r="44" spans="2:7">
      <c r="B44" s="27">
        <f t="shared" si="0"/>
        <v>40</v>
      </c>
      <c r="C44" s="27" t="str">
        <f ca="1"/>
        <v>ホスホマイシンナトリウム静注用２ｇ「日医工」</v>
      </c>
      <c r="D44" s="27">
        <f ca="1"/>
        <v>0</v>
      </c>
      <c r="E44" s="56">
        <f ca="1"/>
        <v>8</v>
      </c>
      <c r="F44" s="56" t="str">
        <f ca="1"/>
        <v/>
      </c>
      <c r="G44" s="56" t="str">
        <f ca="1"/>
        <v>２ｇ×１０Ｖ</v>
      </c>
    </row>
    <row r="45" spans="2:7">
      <c r="B45" s="27">
        <f t="shared" si="0"/>
        <v>41</v>
      </c>
      <c r="C45" s="27" t="str">
        <f ca="1"/>
        <v>ポタコールＲ輸液　２５０ｍｌ</v>
      </c>
      <c r="D45" s="27">
        <f ca="1"/>
        <v>0</v>
      </c>
      <c r="E45" s="56">
        <f ca="1"/>
        <v>10</v>
      </c>
      <c r="F45" s="56" t="str">
        <f ca="1"/>
        <v/>
      </c>
      <c r="G45" s="56" t="str">
        <f ca="1"/>
        <v>250ｍｌX20B</v>
      </c>
    </row>
    <row r="46" spans="2:7">
      <c r="B46" s="27">
        <f t="shared" si="0"/>
        <v>42</v>
      </c>
      <c r="C46" s="27" t="str">
        <f ca="1"/>
        <v>ポタコールＲ輸液　５００ｍｌ</v>
      </c>
      <c r="D46" s="27">
        <f ca="1"/>
        <v>0</v>
      </c>
      <c r="E46" s="56">
        <f ca="1"/>
        <v>10</v>
      </c>
      <c r="F46" s="56" t="str">
        <f ca="1"/>
        <v/>
      </c>
      <c r="G46" s="56" t="str">
        <f ca="1"/>
        <v>500ｍｌｘ20</v>
      </c>
    </row>
    <row r="47" spans="2:7">
      <c r="B47" s="27">
        <f t="shared" si="0"/>
        <v>43</v>
      </c>
      <c r="C47" s="27" t="str">
        <f ca="1"/>
        <v>ミノサイクリン塩酸塩点滴静注用１００ｍｇ「日医工」</v>
      </c>
      <c r="D47" s="27">
        <f ca="1"/>
        <v>0</v>
      </c>
      <c r="E47" s="56">
        <f ca="1"/>
        <v>8</v>
      </c>
      <c r="F47" s="56" t="str">
        <f ca="1"/>
        <v/>
      </c>
      <c r="G47" s="56" t="str">
        <f ca="1"/>
        <v>10Ｖ</v>
      </c>
    </row>
    <row r="48" spans="2:7">
      <c r="B48" s="27">
        <f t="shared" si="0"/>
        <v>44</v>
      </c>
      <c r="C48" s="27" t="str">
        <f ca="1"/>
        <v>メイロン静注７％　プラアンプル</v>
      </c>
      <c r="D48" s="27">
        <f ca="1"/>
        <v>0</v>
      </c>
      <c r="E48" s="56">
        <f ca="1"/>
        <v>9</v>
      </c>
      <c r="F48" s="56" t="str">
        <f ca="1"/>
        <v/>
      </c>
      <c r="G48" s="56" t="str">
        <f ca="1"/>
        <v>20MLX10A</v>
      </c>
    </row>
    <row r="49" spans="2:7">
      <c r="B49" s="27">
        <f t="shared" si="0"/>
        <v>45</v>
      </c>
      <c r="C49" s="27" t="str">
        <f ca="1"/>
        <v>メロペネム点滴静注用０．５ｇ「サワイ」</v>
      </c>
      <c r="D49" s="27">
        <f ca="1"/>
        <v>0</v>
      </c>
      <c r="E49" s="56">
        <f ca="1"/>
        <v>8</v>
      </c>
      <c r="F49" s="56" t="str">
        <f ca="1"/>
        <v/>
      </c>
      <c r="G49" s="56" t="str">
        <f ca="1"/>
        <v>500ｍｇｘ10V</v>
      </c>
    </row>
    <row r="50" spans="2:7">
      <c r="B50" s="27">
        <f t="shared" si="0"/>
        <v>46</v>
      </c>
      <c r="C50" s="27" t="str">
        <f ca="1"/>
        <v>レベチラセタム点滴静注５００ｍｇ「明治」</v>
      </c>
      <c r="D50" s="27">
        <f ca="1"/>
        <v>0</v>
      </c>
      <c r="E50" s="56">
        <f ca="1"/>
        <v>9</v>
      </c>
      <c r="F50" s="56" t="str">
        <f ca="1"/>
        <v/>
      </c>
      <c r="G50" s="56" t="str">
        <f ca="1"/>
        <v>5ｍｌｘ10Ａ</v>
      </c>
    </row>
    <row r="51" spans="2:7">
      <c r="B51" s="27">
        <f t="shared" si="0"/>
        <v>47</v>
      </c>
      <c r="C51" s="27" t="str">
        <f ca="1"/>
        <v>レボフロキサシン点滴静注バッグ５００ｍｇ／１００ｍｌ「ＤＳＥＰ」</v>
      </c>
      <c r="D51" s="27">
        <f ca="1"/>
        <v>0</v>
      </c>
      <c r="E51" s="56">
        <f ca="1"/>
        <v>9</v>
      </c>
      <c r="F51" s="56" t="str">
        <f ca="1"/>
        <v/>
      </c>
      <c r="G51" s="56" t="str">
        <f ca="1"/>
        <v>10袋</v>
      </c>
    </row>
    <row r="52" spans="2:7">
      <c r="B52" s="27">
        <f t="shared" si="0"/>
        <v>48</v>
      </c>
      <c r="C52" s="27" t="str">
        <f ca="1"/>
        <v>ワンパル２号輸液（１）</v>
      </c>
      <c r="D52" s="27">
        <f ca="1"/>
        <v>0</v>
      </c>
      <c r="E52" s="56">
        <f ca="1"/>
        <v>10</v>
      </c>
      <c r="F52" s="56" t="str">
        <f ca="1"/>
        <v/>
      </c>
      <c r="G52" s="56" t="str">
        <f ca="1"/>
        <v>800ｍｌｘ10袋</v>
      </c>
    </row>
    <row r="53" spans="2:7">
      <c r="B53" s="27">
        <f t="shared" si="0"/>
        <v>49</v>
      </c>
      <c r="C53" s="27" t="str">
        <f ca="1"/>
        <v>ワンパル２号輸液１２００ｍｌ</v>
      </c>
      <c r="D53" s="27">
        <f ca="1"/>
        <v>0</v>
      </c>
      <c r="E53" s="56">
        <f ca="1"/>
        <v>10</v>
      </c>
      <c r="F53" s="56" t="str">
        <f ca="1"/>
        <v/>
      </c>
      <c r="G53" s="56" t="str">
        <f ca="1"/>
        <v>1200ｍｌｘ7</v>
      </c>
    </row>
    <row r="54" spans="2:7">
      <c r="B54" s="27">
        <f t="shared" si="0"/>
        <v>50</v>
      </c>
      <c r="C54" s="27" t="str">
        <f ca="1"/>
        <v>水溶性ハイドロコートン注射１００ｍｇ</v>
      </c>
      <c r="D54" s="27">
        <f ca="1"/>
        <v>0</v>
      </c>
      <c r="E54" s="56">
        <f ca="1"/>
        <v>9</v>
      </c>
      <c r="F54" s="56" t="str">
        <f ca="1"/>
        <v/>
      </c>
      <c r="G54" s="56" t="str">
        <f ca="1"/>
        <v>２ｍＬＸ１０瓶</v>
      </c>
    </row>
    <row r="55" spans="2:7">
      <c r="B55" s="27">
        <f t="shared" si="0"/>
        <v>51</v>
      </c>
      <c r="C55" s="27" t="str">
        <f ca="1"/>
        <v>生食溶解液キットＨ（１）</v>
      </c>
      <c r="D55" s="27">
        <f ca="1"/>
        <v>0</v>
      </c>
      <c r="E55" s="56">
        <f ca="1"/>
        <v>9</v>
      </c>
      <c r="F55" s="56" t="str">
        <f ca="1"/>
        <v/>
      </c>
      <c r="G55" s="56" t="str">
        <f ca="1"/>
        <v>100ｍｌｘ10</v>
      </c>
    </row>
    <row r="56" spans="2:7">
      <c r="B56" s="27">
        <f t="shared" si="0"/>
        <v>52</v>
      </c>
      <c r="C56" s="27" t="str">
        <f ca="1"/>
        <v>生理食塩液「ＶＴＲＳ」１００ｍｌ</v>
      </c>
      <c r="D56" s="27">
        <f ca="1"/>
        <v>0</v>
      </c>
      <c r="E56" s="56">
        <f ca="1"/>
        <v>9</v>
      </c>
      <c r="F56" s="56" t="str">
        <f ca="1"/>
        <v/>
      </c>
      <c r="G56" s="56" t="str">
        <f ca="1"/>
        <v>100ｍｌｘ10Ｖ</v>
      </c>
    </row>
    <row r="57" spans="2:7">
      <c r="B57" s="27">
        <f t="shared" si="0"/>
        <v>53</v>
      </c>
      <c r="C57" s="27" t="str">
        <f ca="1"/>
        <v>大塚糖液５％　　　　　　　　　　　　　</v>
      </c>
      <c r="D57" s="27">
        <f ca="1"/>
        <v>0</v>
      </c>
      <c r="E57" s="56">
        <f ca="1"/>
        <v>10</v>
      </c>
      <c r="F57" s="56" t="str">
        <f ca="1"/>
        <v/>
      </c>
      <c r="G57" s="56" t="str">
        <f ca="1"/>
        <v>500ｍｌｘ20袋</v>
      </c>
    </row>
    <row r="58" spans="2:7">
      <c r="B58" s="27">
        <f t="shared" si="0"/>
        <v>54</v>
      </c>
      <c r="C58" s="27" t="str">
        <f ca="1"/>
        <v>アキネトン注射液５ｍｇ　　　　　　　　　</v>
      </c>
      <c r="D58" s="27">
        <f ca="1"/>
        <v>2</v>
      </c>
      <c r="E58" s="56">
        <f ca="1"/>
        <v>9</v>
      </c>
      <c r="F58" s="56" t="str">
        <f ca="1"/>
        <v/>
      </c>
      <c r="G58" s="56" t="str">
        <f ca="1"/>
        <v>１ｍＬ×5０Ａ</v>
      </c>
    </row>
    <row r="59" spans="2:7">
      <c r="B59" s="27">
        <f t="shared" si="0"/>
        <v>55</v>
      </c>
      <c r="C59" s="27" t="str">
        <f ca="1"/>
        <v>アトロピン硫酸塩注０．５ｍｇ「ニプロ」</v>
      </c>
      <c r="D59" s="27">
        <f ca="1"/>
        <v>2</v>
      </c>
      <c r="E59" s="56">
        <f ca="1"/>
        <v>9</v>
      </c>
      <c r="F59" s="56" t="str">
        <f ca="1"/>
        <v/>
      </c>
      <c r="G59" s="56" t="str">
        <f ca="1"/>
        <v>1ｍｌｘ10A</v>
      </c>
    </row>
    <row r="60" spans="2:7">
      <c r="B60" s="27">
        <f t="shared" si="0"/>
        <v>56</v>
      </c>
      <c r="C60" s="27" t="str">
        <f ca="1"/>
        <v>アネキセート注射液０．５ＭＧ</v>
      </c>
      <c r="D60" s="27">
        <f ca="1"/>
        <v>2</v>
      </c>
      <c r="E60" s="56">
        <f ca="1"/>
        <v>9</v>
      </c>
      <c r="F60" s="56" t="str">
        <f ca="1"/>
        <v/>
      </c>
      <c r="G60" s="56" t="str">
        <f ca="1"/>
        <v>5MLX5A</v>
      </c>
    </row>
    <row r="61" spans="2:7">
      <c r="B61" s="27">
        <f t="shared" si="0"/>
        <v>57</v>
      </c>
      <c r="C61" s="27" t="str">
        <f ca="1"/>
        <v>アレビアチン注２５０ｍｇ</v>
      </c>
      <c r="D61" s="27">
        <f ca="1"/>
        <v>2</v>
      </c>
      <c r="E61" s="56">
        <f ca="1"/>
        <v>9</v>
      </c>
      <c r="F61" s="56" t="str">
        <f ca="1"/>
        <v/>
      </c>
      <c r="G61" s="56" t="str">
        <f ca="1"/>
        <v>５ｍＬＸ１０管</v>
      </c>
    </row>
    <row r="62" spans="2:7">
      <c r="B62" s="27">
        <f t="shared" si="0"/>
        <v>58</v>
      </c>
      <c r="C62" s="27" t="str">
        <f ca="1"/>
        <v>イバンドロン酸静注１ｍｇシリンジ「トーワ」</v>
      </c>
      <c r="D62" s="27">
        <f ca="1"/>
        <v>2</v>
      </c>
      <c r="E62" s="56">
        <f ca="1"/>
        <v>9</v>
      </c>
      <c r="F62" s="56" t="str">
        <f ca="1"/>
        <v/>
      </c>
      <c r="G62" s="56" t="str">
        <f ca="1"/>
        <v>10シリンジ</v>
      </c>
    </row>
    <row r="63" spans="2:7">
      <c r="B63" s="27">
        <f t="shared" si="0"/>
        <v>59</v>
      </c>
      <c r="C63" s="27" t="str">
        <f ca="1"/>
        <v>イバンドロン酸静注１ｍｇシリンジ「トーワ」</v>
      </c>
      <c r="D63" s="27">
        <f ca="1"/>
        <v>2</v>
      </c>
      <c r="E63" s="56">
        <f ca="1"/>
        <v>9</v>
      </c>
      <c r="F63" s="56" t="str">
        <f ca="1"/>
        <v/>
      </c>
      <c r="G63" s="56" t="str">
        <f ca="1"/>
        <v>1シリンジ</v>
      </c>
    </row>
    <row r="64" spans="2:7">
      <c r="B64" s="27">
        <f t="shared" si="0"/>
        <v>60</v>
      </c>
      <c r="C64" s="27" t="str">
        <f ca="1"/>
        <v>エビリファイ持続性水懸筋注用３００ｍｇ　シリンジ</v>
      </c>
      <c r="D64" s="27">
        <f ca="1"/>
        <v>2</v>
      </c>
      <c r="E64" s="56">
        <f ca="1"/>
        <v>9</v>
      </c>
      <c r="F64" s="56" t="str">
        <f ca="1"/>
        <v/>
      </c>
      <c r="G64" s="56" t="str">
        <f ca="1"/>
        <v>1キット</v>
      </c>
    </row>
    <row r="65" spans="2:7">
      <c r="B65" s="27">
        <f t="shared" si="0"/>
        <v>61</v>
      </c>
      <c r="C65" s="27" t="str">
        <f ca="1"/>
        <v>エビリファイ持続性水懸筋注用４００ｍｇ　シリンジ</v>
      </c>
      <c r="D65" s="27">
        <f ca="1"/>
        <v>2</v>
      </c>
      <c r="E65" s="56">
        <f ca="1"/>
        <v>9</v>
      </c>
      <c r="F65" s="56" t="str">
        <f ca="1"/>
        <v/>
      </c>
      <c r="G65" s="56" t="str">
        <f ca="1"/>
        <v>１キット</v>
      </c>
    </row>
    <row r="66" spans="2:7">
      <c r="B66" s="27">
        <f t="shared" si="0"/>
        <v>62</v>
      </c>
      <c r="C66" s="27" t="str">
        <f ca="1"/>
        <v>エホチール注１０ｍｇ</v>
      </c>
      <c r="D66" s="27">
        <f ca="1"/>
        <v>2</v>
      </c>
      <c r="E66" s="56">
        <f ca="1"/>
        <v>9</v>
      </c>
      <c r="F66" s="56" t="str">
        <f ca="1"/>
        <v/>
      </c>
      <c r="G66" s="56" t="str">
        <f ca="1"/>
        <v>1ｍｌｘ10A</v>
      </c>
    </row>
    <row r="67" spans="2:7">
      <c r="B67" s="27">
        <f t="shared" si="0"/>
        <v>63</v>
      </c>
      <c r="C67" s="27" t="str">
        <f ca="1"/>
        <v>キシロカイン注シリンジ０．５％　　</v>
      </c>
      <c r="D67" s="27">
        <f ca="1"/>
        <v>2</v>
      </c>
      <c r="E67" s="56">
        <f ca="1"/>
        <v>9</v>
      </c>
      <c r="F67" s="56" t="str">
        <f ca="1"/>
        <v/>
      </c>
      <c r="G67" s="56" t="str">
        <f ca="1"/>
        <v>10ｍｌｘ10</v>
      </c>
    </row>
    <row r="68" spans="2:7">
      <c r="B68" s="27">
        <f t="shared" si="0"/>
        <v>64</v>
      </c>
      <c r="C68" s="27" t="str">
        <f ca="1"/>
        <v>ジギラノゲン注０．４ｍｇ　０．０２％</v>
      </c>
      <c r="D68" s="27">
        <f ca="1"/>
        <v>2</v>
      </c>
      <c r="E68" s="56">
        <f ca="1"/>
        <v>9</v>
      </c>
      <c r="F68" s="56" t="str">
        <f ca="1"/>
        <v/>
      </c>
      <c r="G68" s="56" t="str">
        <f ca="1"/>
        <v>2ｍＬＸ10管</v>
      </c>
    </row>
    <row r="69" spans="2:7">
      <c r="B69" s="27">
        <f t="shared" si="0"/>
        <v>65</v>
      </c>
      <c r="C69" s="27" t="str">
        <f ca="1"/>
        <v>ゼプリオン水懸筋注１００ｍｇ　シリンジ</v>
      </c>
      <c r="D69" s="27">
        <f ca="1"/>
        <v>2</v>
      </c>
      <c r="E69" s="56">
        <f ca="1"/>
        <v>9</v>
      </c>
      <c r="F69" s="56" t="str">
        <f ca="1"/>
        <v/>
      </c>
      <c r="G69" s="56" t="str">
        <f ca="1"/>
        <v>1本</v>
      </c>
    </row>
    <row r="70" spans="2:7">
      <c r="B70" s="27">
        <f t="shared" si="0"/>
        <v>66</v>
      </c>
      <c r="C70" s="27" t="str">
        <f ca="1"/>
        <v>ゼプリオン水懸筋注１５０ｍｇ　シリンジ</v>
      </c>
      <c r="D70" s="27">
        <f ca="1"/>
        <v>2</v>
      </c>
      <c r="E70" s="56">
        <f ca="1"/>
        <v>9</v>
      </c>
      <c r="F70" s="56" t="str">
        <f ca="1"/>
        <v/>
      </c>
      <c r="G70" s="56" t="str">
        <f ca="1"/>
        <v>1本</v>
      </c>
    </row>
    <row r="71" spans="2:7">
      <c r="B71" s="27">
        <f t="shared" ref="B71:B134" si="1">B70+1</f>
        <v>67</v>
      </c>
      <c r="C71" s="27" t="str">
        <f ca="1"/>
        <v>ゼプリオン水懸筋注５０ｍｇシリンジ</v>
      </c>
      <c r="D71" s="27">
        <f ca="1"/>
        <v>2</v>
      </c>
      <c r="E71" s="56">
        <f ca="1"/>
        <v>9</v>
      </c>
      <c r="F71" s="56" t="str">
        <f ca="1"/>
        <v/>
      </c>
      <c r="G71" s="56" t="str">
        <f ca="1"/>
        <v>１シリンジ</v>
      </c>
    </row>
    <row r="72" spans="2:7">
      <c r="B72" s="27">
        <f t="shared" si="1"/>
        <v>68</v>
      </c>
      <c r="C72" s="27" t="str">
        <f ca="1"/>
        <v>ゼプリオン水懸筋注７５ｍｇシリンジ</v>
      </c>
      <c r="D72" s="27">
        <f ca="1"/>
        <v>2</v>
      </c>
      <c r="E72" s="56">
        <f ca="1"/>
        <v>9</v>
      </c>
      <c r="F72" s="56" t="str">
        <f ca="1"/>
        <v/>
      </c>
      <c r="G72" s="56" t="str">
        <f ca="1"/>
        <v>1ｼﾘﾝｼﾞ</v>
      </c>
    </row>
    <row r="73" spans="2:7">
      <c r="B73" s="27">
        <f t="shared" si="1"/>
        <v>69</v>
      </c>
      <c r="C73" s="27" t="str">
        <f ca="1"/>
        <v>セレネース注５ｍｇ</v>
      </c>
      <c r="D73" s="27">
        <f ca="1"/>
        <v>2</v>
      </c>
      <c r="E73" s="56">
        <f ca="1"/>
        <v>5</v>
      </c>
      <c r="F73" s="56" t="str">
        <f ca="1"/>
        <v/>
      </c>
      <c r="G73" s="56" t="str">
        <f ca="1"/>
        <v>１ｍＬＸ５０管</v>
      </c>
    </row>
    <row r="74" spans="2:7">
      <c r="B74" s="27">
        <f t="shared" si="1"/>
        <v>70</v>
      </c>
      <c r="C74" s="27" t="str">
        <f ca="1"/>
        <v>ドパミン塩酸塩点滴静注１００ｍｇ「ＮＰ」</v>
      </c>
      <c r="D74" s="27">
        <f ca="1"/>
        <v>2</v>
      </c>
      <c r="E74" s="56">
        <f ca="1"/>
        <v>9</v>
      </c>
      <c r="F74" s="56" t="str">
        <f ca="1"/>
        <v/>
      </c>
      <c r="G74" s="56" t="str">
        <f ca="1"/>
        <v>5ｍｌｘ10A</v>
      </c>
    </row>
    <row r="75" spans="2:7">
      <c r="B75" s="27">
        <f t="shared" si="1"/>
        <v>71</v>
      </c>
      <c r="C75" s="27" t="str">
        <f ca="1"/>
        <v>ノルアドリナリン注１ｍｇ</v>
      </c>
      <c r="D75" s="27">
        <f ca="1"/>
        <v>2</v>
      </c>
      <c r="E75" s="56">
        <f ca="1"/>
        <v>9</v>
      </c>
      <c r="F75" s="56" t="str">
        <f ca="1"/>
        <v/>
      </c>
      <c r="G75" s="56" t="str">
        <f ca="1"/>
        <v>１ｍＬＸ１０管</v>
      </c>
    </row>
    <row r="76" spans="2:7">
      <c r="B76" s="27">
        <f t="shared" si="1"/>
        <v>72</v>
      </c>
      <c r="C76" s="27" t="str">
        <f ca="1"/>
        <v>ハベカシン注射液７５ｍｇ</v>
      </c>
      <c r="D76" s="27">
        <f ca="1"/>
        <v>2</v>
      </c>
      <c r="E76" s="56">
        <f ca="1"/>
        <v>8</v>
      </c>
      <c r="F76" s="56" t="str">
        <f ca="1"/>
        <v/>
      </c>
      <c r="G76" s="56" t="str">
        <f ca="1"/>
        <v>1.5ｍｌｘ10A</v>
      </c>
    </row>
    <row r="77" spans="2:7">
      <c r="B77" s="27">
        <f t="shared" si="1"/>
        <v>73</v>
      </c>
      <c r="C77" s="27" t="str">
        <f ca="1"/>
        <v>ハロマンス注１００ｍｇ</v>
      </c>
      <c r="D77" s="27">
        <f ca="1"/>
        <v>2</v>
      </c>
      <c r="E77" s="56">
        <f ca="1"/>
        <v>9</v>
      </c>
      <c r="F77" s="56" t="str">
        <f ca="1"/>
        <v/>
      </c>
      <c r="G77" s="56" t="str">
        <f ca="1"/>
        <v>1ｍｌｘ10</v>
      </c>
    </row>
    <row r="78" spans="2:7">
      <c r="B78" s="27">
        <f t="shared" si="1"/>
        <v>74</v>
      </c>
      <c r="C78" s="27" t="str">
        <f ca="1"/>
        <v>ハロマンス注５０ｍｇ</v>
      </c>
      <c r="D78" s="27">
        <f ca="1"/>
        <v>2</v>
      </c>
      <c r="E78" s="56">
        <f ca="1"/>
        <v>9</v>
      </c>
      <c r="F78" s="56" t="str">
        <f ca="1"/>
        <v/>
      </c>
      <c r="G78" s="56" t="str">
        <f ca="1"/>
        <v>1ｍｌｘ10</v>
      </c>
    </row>
    <row r="79" spans="2:7">
      <c r="B79" s="27">
        <f t="shared" si="1"/>
        <v>75</v>
      </c>
      <c r="C79" s="27" t="str">
        <f ca="1"/>
        <v>ヒューマリンＲ注Ｕ１００単位／ｍｌ　１０ｍｌ</v>
      </c>
      <c r="D79" s="27">
        <f ca="1"/>
        <v>2</v>
      </c>
      <c r="E79" s="56">
        <f ca="1"/>
        <v>11</v>
      </c>
      <c r="F79" s="56" t="str">
        <f ca="1"/>
        <v/>
      </c>
      <c r="G79" s="56" t="str">
        <f ca="1"/>
        <v>10MLX1V</v>
      </c>
    </row>
    <row r="80" spans="2:7">
      <c r="B80" s="27">
        <f t="shared" si="1"/>
        <v>76</v>
      </c>
      <c r="C80" s="27" t="str">
        <f ca="1"/>
        <v>フェノバール注射液１００ｍｇ</v>
      </c>
      <c r="D80" s="27">
        <f ca="1"/>
        <v>2</v>
      </c>
      <c r="E80" s="56">
        <f ca="1"/>
        <v>9</v>
      </c>
      <c r="F80" s="56" t="str">
        <f ca="1"/>
        <v/>
      </c>
      <c r="G80" s="56" t="str">
        <f ca="1"/>
        <v>1ｍｌｘ10A</v>
      </c>
    </row>
    <row r="81" spans="2:7">
      <c r="B81" s="27">
        <f t="shared" si="1"/>
        <v>77</v>
      </c>
      <c r="C81" s="27" t="str">
        <f ca="1"/>
        <v>フルデカシン筋注２５ｍｇ</v>
      </c>
      <c r="D81" s="27">
        <f ca="1"/>
        <v>2</v>
      </c>
      <c r="E81" s="56">
        <f ca="1"/>
        <v>15</v>
      </c>
      <c r="F81" s="56" t="str">
        <f ca="1"/>
        <v/>
      </c>
      <c r="G81" s="56" t="str">
        <f ca="1"/>
        <v>１ｍＬＸ５瓶</v>
      </c>
    </row>
    <row r="82" spans="2:7">
      <c r="B82" s="27">
        <f t="shared" si="1"/>
        <v>78</v>
      </c>
      <c r="C82" s="27" t="str">
        <f ca="1"/>
        <v>ヘルベッサー注射用５０</v>
      </c>
      <c r="D82" s="27">
        <f ca="1"/>
        <v>2</v>
      </c>
      <c r="E82" s="56">
        <f ca="1"/>
        <v>9</v>
      </c>
      <c r="F82" s="56" t="str">
        <f ca="1"/>
        <v/>
      </c>
      <c r="G82" s="56" t="str">
        <f ca="1"/>
        <v>10瓶</v>
      </c>
    </row>
    <row r="83" spans="2:7">
      <c r="B83" s="27">
        <f t="shared" si="1"/>
        <v>79</v>
      </c>
      <c r="C83" s="27" t="str">
        <f ca="1"/>
        <v>ボスミン注１ｍｇ　０．１％</v>
      </c>
      <c r="D83" s="27">
        <f ca="1"/>
        <v>2</v>
      </c>
      <c r="E83" s="56">
        <f ca="1"/>
        <v>9</v>
      </c>
      <c r="F83" s="56" t="str">
        <f ca="1"/>
        <v/>
      </c>
      <c r="G83" s="56" t="str">
        <f ca="1"/>
        <v>１mlx10管</v>
      </c>
    </row>
    <row r="84" spans="2:7">
      <c r="B84" s="27">
        <f t="shared" si="1"/>
        <v>80</v>
      </c>
      <c r="C84" s="27" t="str">
        <f ca="1"/>
        <v>ラスビック点滴静注キット１５０ｍｇ</v>
      </c>
      <c r="D84" s="27">
        <f ca="1"/>
        <v>2</v>
      </c>
      <c r="E84" s="56">
        <f ca="1"/>
        <v>8</v>
      </c>
      <c r="F84" s="56" t="str">
        <f ca="1"/>
        <v/>
      </c>
      <c r="G84" s="56" t="str">
        <f ca="1"/>
        <v>１キット</v>
      </c>
    </row>
    <row r="85" spans="2:7">
      <c r="B85" s="27">
        <f t="shared" si="1"/>
        <v>81</v>
      </c>
      <c r="C85" s="27" t="str">
        <f ca="1"/>
        <v>リスパダールコンスタ筋注用２５ｍｇ</v>
      </c>
      <c r="D85" s="27">
        <f ca="1"/>
        <v>2</v>
      </c>
      <c r="E85" s="56">
        <f ca="1"/>
        <v>11</v>
      </c>
      <c r="F85" s="56" t="str">
        <f ca="1"/>
        <v/>
      </c>
      <c r="G85" s="56" t="str">
        <f ca="1"/>
        <v>１キット</v>
      </c>
    </row>
    <row r="86" spans="2:7">
      <c r="B86" s="27">
        <f t="shared" si="1"/>
        <v>82</v>
      </c>
      <c r="C86" s="27" t="str">
        <f ca="1"/>
        <v>リスパダールコンスタ筋注用５０ｍｇ</v>
      </c>
      <c r="D86" s="27">
        <f ca="1"/>
        <v>2</v>
      </c>
      <c r="E86" s="56">
        <f ca="1"/>
        <v>11</v>
      </c>
      <c r="F86" s="56" t="str">
        <f ca="1"/>
        <v/>
      </c>
      <c r="G86" s="56" t="str">
        <f ca="1"/>
        <v>1　キット</v>
      </c>
    </row>
    <row r="87" spans="2:7">
      <c r="B87" s="27">
        <f t="shared" si="1"/>
        <v>83</v>
      </c>
      <c r="C87" s="27" t="str">
        <f ca="1"/>
        <v>ワゴスチグミン注　０．５ｍｇ</v>
      </c>
      <c r="D87" s="27">
        <f ca="1"/>
        <v>2</v>
      </c>
      <c r="E87" s="56">
        <f ca="1"/>
        <v>15</v>
      </c>
      <c r="F87" s="56" t="str">
        <f ca="1"/>
        <v/>
      </c>
      <c r="G87" s="56" t="str">
        <f ca="1"/>
        <v>0.5ｍｇｘ10A</v>
      </c>
    </row>
    <row r="88" spans="2:7">
      <c r="B88" s="27">
        <f t="shared" si="1"/>
        <v>84</v>
      </c>
      <c r="C88" s="27" t="str">
        <f ca="1"/>
        <v>ワソラン静注５ｍｇ</v>
      </c>
      <c r="D88" s="27">
        <f ca="1"/>
        <v>2</v>
      </c>
      <c r="E88" s="56">
        <f ca="1"/>
        <v>9</v>
      </c>
      <c r="F88" s="56" t="str">
        <f ca="1"/>
        <v/>
      </c>
      <c r="G88" s="56" t="str">
        <f ca="1"/>
        <v>2ｍｌｘ10Ａ</v>
      </c>
    </row>
    <row r="89" spans="2:7">
      <c r="B89" s="27">
        <f t="shared" si="1"/>
        <v>85</v>
      </c>
      <c r="C89" s="27"/>
      <c r="D89" s="27"/>
      <c r="E89" s="56"/>
      <c r="F89" s="56"/>
      <c r="G89" s="56"/>
    </row>
    <row r="90" spans="2:7">
      <c r="B90" s="27">
        <f t="shared" si="1"/>
        <v>86</v>
      </c>
      <c r="C90" s="27"/>
      <c r="D90" s="27"/>
      <c r="E90" s="56"/>
      <c r="F90" s="56"/>
      <c r="G90" s="56"/>
    </row>
    <row r="91" spans="2:7">
      <c r="B91" s="27">
        <f t="shared" si="1"/>
        <v>87</v>
      </c>
      <c r="C91" s="27"/>
      <c r="D91" s="27"/>
      <c r="E91" s="56"/>
      <c r="F91" s="56"/>
      <c r="G91" s="56"/>
    </row>
    <row r="92" spans="2:7">
      <c r="B92" s="27">
        <f t="shared" si="1"/>
        <v>88</v>
      </c>
      <c r="C92" s="27"/>
      <c r="D92" s="27"/>
      <c r="E92" s="56"/>
      <c r="F92" s="56"/>
      <c r="G92" s="56"/>
    </row>
    <row r="93" spans="2:7">
      <c r="B93" s="27">
        <f t="shared" si="1"/>
        <v>89</v>
      </c>
      <c r="C93" s="27"/>
      <c r="D93" s="27"/>
      <c r="E93" s="56"/>
      <c r="F93" s="56"/>
      <c r="G93" s="56"/>
    </row>
    <row r="94" spans="2:7">
      <c r="B94" s="27">
        <f t="shared" si="1"/>
        <v>90</v>
      </c>
      <c r="C94" s="27"/>
      <c r="D94" s="27"/>
      <c r="E94" s="56"/>
      <c r="F94" s="56"/>
      <c r="G94" s="56"/>
    </row>
    <row r="95" spans="2:7">
      <c r="B95" s="27">
        <f t="shared" si="1"/>
        <v>91</v>
      </c>
      <c r="C95" s="27"/>
      <c r="D95" s="27"/>
      <c r="E95" s="56"/>
      <c r="F95" s="56"/>
      <c r="G95" s="56"/>
    </row>
    <row r="96" spans="2:7">
      <c r="B96" s="27">
        <f t="shared" si="1"/>
        <v>92</v>
      </c>
      <c r="C96" s="27"/>
      <c r="D96" s="27"/>
      <c r="E96" s="56"/>
      <c r="F96" s="56"/>
      <c r="G96" s="56"/>
    </row>
    <row r="97" spans="2:7">
      <c r="B97" s="27">
        <f t="shared" si="1"/>
        <v>93</v>
      </c>
      <c r="C97" s="27"/>
      <c r="D97" s="27"/>
      <c r="E97" s="56"/>
      <c r="F97" s="56"/>
      <c r="G97" s="56"/>
    </row>
    <row r="98" spans="2:7">
      <c r="B98" s="27">
        <f t="shared" si="1"/>
        <v>94</v>
      </c>
      <c r="C98" s="27"/>
      <c r="D98" s="27"/>
      <c r="E98" s="56"/>
      <c r="F98" s="56"/>
      <c r="G98" s="56"/>
    </row>
    <row r="99" spans="2:7">
      <c r="B99" s="27">
        <f t="shared" si="1"/>
        <v>95</v>
      </c>
      <c r="C99" s="27"/>
      <c r="D99" s="27"/>
      <c r="E99" s="56"/>
      <c r="F99" s="56"/>
      <c r="G99" s="56"/>
    </row>
    <row r="100" spans="2:7">
      <c r="B100" s="27">
        <f t="shared" si="1"/>
        <v>96</v>
      </c>
      <c r="C100" s="27"/>
      <c r="D100" s="27"/>
      <c r="E100" s="56"/>
      <c r="F100" s="56"/>
      <c r="G100" s="56"/>
    </row>
    <row r="101" spans="2:7">
      <c r="B101" s="27">
        <f t="shared" si="1"/>
        <v>97</v>
      </c>
      <c r="C101" s="27"/>
      <c r="D101" s="27"/>
      <c r="E101" s="56"/>
      <c r="F101" s="56"/>
      <c r="G101" s="56"/>
    </row>
    <row r="102" spans="2:7">
      <c r="B102" s="27">
        <f t="shared" si="1"/>
        <v>98</v>
      </c>
      <c r="C102" s="27"/>
      <c r="D102" s="27"/>
      <c r="E102" s="56"/>
      <c r="F102" s="56"/>
      <c r="G102" s="56"/>
    </row>
    <row r="103" spans="2:7">
      <c r="B103" s="27">
        <f t="shared" si="1"/>
        <v>99</v>
      </c>
      <c r="C103" s="27"/>
      <c r="D103" s="27"/>
      <c r="E103" s="56"/>
      <c r="F103" s="56"/>
      <c r="G103" s="56"/>
    </row>
    <row r="104" spans="2:7">
      <c r="B104" s="27">
        <f t="shared" si="1"/>
        <v>100</v>
      </c>
      <c r="C104" s="27"/>
      <c r="D104" s="27"/>
      <c r="E104" s="56"/>
      <c r="F104" s="56"/>
      <c r="G104" s="56"/>
    </row>
    <row r="105" spans="2:7">
      <c r="B105" s="27">
        <f t="shared" si="1"/>
        <v>101</v>
      </c>
      <c r="C105" s="27"/>
      <c r="D105" s="27"/>
      <c r="E105" s="56"/>
      <c r="F105" s="56"/>
      <c r="G105" s="56"/>
    </row>
    <row r="106" spans="2:7">
      <c r="B106" s="27">
        <f t="shared" si="1"/>
        <v>102</v>
      </c>
      <c r="C106" s="27"/>
      <c r="D106" s="27"/>
      <c r="E106" s="56"/>
      <c r="F106" s="56"/>
      <c r="G106" s="56"/>
    </row>
    <row r="107" spans="2:7">
      <c r="B107" s="27">
        <f t="shared" si="1"/>
        <v>103</v>
      </c>
      <c r="C107" s="27"/>
      <c r="D107" s="27"/>
      <c r="E107" s="56"/>
      <c r="F107" s="56"/>
      <c r="G107" s="56"/>
    </row>
    <row r="108" spans="2:7">
      <c r="B108" s="27">
        <f t="shared" si="1"/>
        <v>104</v>
      </c>
      <c r="C108" s="27"/>
      <c r="D108" s="27"/>
      <c r="E108" s="56"/>
      <c r="F108" s="56"/>
      <c r="G108" s="56"/>
    </row>
    <row r="109" spans="2:7">
      <c r="B109" s="27">
        <f t="shared" si="1"/>
        <v>105</v>
      </c>
      <c r="C109" s="27"/>
      <c r="D109" s="27"/>
      <c r="E109" s="56"/>
      <c r="F109" s="56"/>
      <c r="G109" s="56"/>
    </row>
    <row r="110" spans="2:7">
      <c r="B110" s="27">
        <f t="shared" si="1"/>
        <v>106</v>
      </c>
      <c r="C110" s="27"/>
      <c r="D110" s="27"/>
      <c r="E110" s="56"/>
      <c r="F110" s="56"/>
      <c r="G110" s="56"/>
    </row>
    <row r="111" spans="2:7">
      <c r="B111" s="27">
        <f t="shared" si="1"/>
        <v>107</v>
      </c>
      <c r="C111" s="27"/>
      <c r="D111" s="27"/>
      <c r="E111" s="56"/>
      <c r="F111" s="56"/>
      <c r="G111" s="56"/>
    </row>
    <row r="112" spans="2:7">
      <c r="B112" s="27">
        <f t="shared" si="1"/>
        <v>108</v>
      </c>
      <c r="C112" s="27"/>
      <c r="D112" s="27"/>
      <c r="E112" s="56"/>
      <c r="F112" s="56"/>
      <c r="G112" s="56"/>
    </row>
    <row r="113" spans="2:7">
      <c r="B113" s="27">
        <f t="shared" si="1"/>
        <v>109</v>
      </c>
      <c r="C113" s="27"/>
      <c r="D113" s="27"/>
      <c r="E113" s="56"/>
      <c r="F113" s="56"/>
      <c r="G113" s="56"/>
    </row>
    <row r="114" spans="2:7">
      <c r="B114" s="27">
        <f t="shared" si="1"/>
        <v>110</v>
      </c>
      <c r="C114" s="27"/>
      <c r="D114" s="27"/>
      <c r="E114" s="56"/>
      <c r="F114" s="56"/>
      <c r="G114" s="56"/>
    </row>
    <row r="115" spans="2:7">
      <c r="B115" s="27">
        <f t="shared" si="1"/>
        <v>111</v>
      </c>
      <c r="C115" s="27"/>
      <c r="D115" s="27"/>
      <c r="E115" s="56"/>
      <c r="F115" s="56"/>
      <c r="G115" s="56"/>
    </row>
    <row r="116" spans="2:7">
      <c r="B116" s="27">
        <f t="shared" si="1"/>
        <v>112</v>
      </c>
      <c r="C116" s="27"/>
      <c r="D116" s="27"/>
      <c r="E116" s="56"/>
      <c r="F116" s="56"/>
      <c r="G116" s="56"/>
    </row>
    <row r="117" spans="2:7">
      <c r="B117" s="27">
        <f t="shared" si="1"/>
        <v>113</v>
      </c>
      <c r="C117" s="27"/>
      <c r="D117" s="27"/>
      <c r="E117" s="56"/>
      <c r="F117" s="56"/>
      <c r="G117" s="56"/>
    </row>
    <row r="118" spans="2:7">
      <c r="B118" s="27">
        <f t="shared" si="1"/>
        <v>114</v>
      </c>
      <c r="C118" s="27"/>
      <c r="D118" s="27"/>
      <c r="E118" s="56"/>
      <c r="F118" s="56"/>
      <c r="G118" s="56"/>
    </row>
    <row r="119" spans="2:7">
      <c r="B119" s="27">
        <f t="shared" si="1"/>
        <v>115</v>
      </c>
      <c r="C119" s="27"/>
      <c r="D119" s="27"/>
      <c r="E119" s="56"/>
      <c r="F119" s="56"/>
      <c r="G119" s="56"/>
    </row>
    <row r="120" spans="2:7">
      <c r="B120" s="27">
        <f t="shared" si="1"/>
        <v>116</v>
      </c>
      <c r="C120" s="27"/>
      <c r="D120" s="27"/>
      <c r="E120" s="56"/>
      <c r="F120" s="56"/>
      <c r="G120" s="56"/>
    </row>
    <row r="121" spans="2:7">
      <c r="B121" s="27">
        <f t="shared" si="1"/>
        <v>117</v>
      </c>
      <c r="C121" s="27"/>
      <c r="D121" s="27"/>
      <c r="E121" s="56"/>
      <c r="F121" s="56"/>
      <c r="G121" s="56"/>
    </row>
    <row r="122" spans="2:7">
      <c r="B122" s="27">
        <f t="shared" si="1"/>
        <v>118</v>
      </c>
      <c r="C122" s="27"/>
      <c r="D122" s="27"/>
      <c r="E122" s="56"/>
      <c r="F122" s="56"/>
      <c r="G122" s="56"/>
    </row>
    <row r="123" spans="2:7">
      <c r="B123" s="27">
        <f t="shared" si="1"/>
        <v>119</v>
      </c>
      <c r="C123" s="27"/>
      <c r="D123" s="27"/>
      <c r="E123" s="56"/>
      <c r="F123" s="56"/>
      <c r="G123" s="56"/>
    </row>
    <row r="124" spans="2:7">
      <c r="B124" s="27">
        <f t="shared" si="1"/>
        <v>120</v>
      </c>
      <c r="C124" s="27"/>
      <c r="D124" s="27"/>
      <c r="E124" s="56"/>
      <c r="F124" s="56"/>
      <c r="G124" s="56"/>
    </row>
    <row r="125" spans="2:7">
      <c r="B125" s="27">
        <f t="shared" si="1"/>
        <v>121</v>
      </c>
      <c r="C125" s="27"/>
      <c r="D125" s="27"/>
      <c r="E125" s="56"/>
      <c r="F125" s="56"/>
      <c r="G125" s="56"/>
    </row>
    <row r="126" spans="2:7">
      <c r="B126" s="27">
        <f t="shared" si="1"/>
        <v>122</v>
      </c>
      <c r="C126" s="27"/>
      <c r="D126" s="27"/>
      <c r="E126" s="56"/>
      <c r="F126" s="56"/>
      <c r="G126" s="56"/>
    </row>
    <row r="127" spans="2:7">
      <c r="B127" s="27">
        <f t="shared" si="1"/>
        <v>123</v>
      </c>
      <c r="C127" s="27"/>
      <c r="D127" s="27"/>
      <c r="E127" s="56"/>
      <c r="F127" s="56"/>
      <c r="G127" s="56"/>
    </row>
    <row r="128" spans="2:7">
      <c r="B128" s="27">
        <f t="shared" si="1"/>
        <v>124</v>
      </c>
      <c r="C128" s="27"/>
      <c r="D128" s="27"/>
      <c r="E128" s="56"/>
      <c r="F128" s="56"/>
      <c r="G128" s="56"/>
    </row>
    <row r="129" spans="2:7">
      <c r="B129" s="27">
        <f t="shared" si="1"/>
        <v>125</v>
      </c>
      <c r="C129" s="27"/>
      <c r="D129" s="27"/>
      <c r="E129" s="56"/>
      <c r="F129" s="56"/>
      <c r="G129" s="56"/>
    </row>
    <row r="130" spans="2:7">
      <c r="B130" s="27">
        <f t="shared" si="1"/>
        <v>126</v>
      </c>
      <c r="C130" s="27"/>
      <c r="D130" s="27"/>
      <c r="E130" s="56"/>
      <c r="F130" s="56"/>
      <c r="G130" s="56"/>
    </row>
    <row r="131" spans="2:7">
      <c r="B131" s="27">
        <f t="shared" si="1"/>
        <v>127</v>
      </c>
      <c r="C131" s="27"/>
      <c r="D131" s="27"/>
      <c r="E131" s="56"/>
      <c r="F131" s="56"/>
      <c r="G131" s="56"/>
    </row>
    <row r="132" spans="2:7">
      <c r="B132" s="27">
        <f t="shared" si="1"/>
        <v>128</v>
      </c>
      <c r="C132" s="27"/>
      <c r="D132" s="27"/>
      <c r="E132" s="56"/>
      <c r="F132" s="56"/>
      <c r="G132" s="56"/>
    </row>
    <row r="133" spans="2:7">
      <c r="B133" s="27">
        <f t="shared" si="1"/>
        <v>129</v>
      </c>
      <c r="C133" s="27"/>
      <c r="D133" s="27"/>
      <c r="E133" s="56"/>
      <c r="F133" s="56"/>
      <c r="G133" s="56"/>
    </row>
    <row r="134" spans="2:7">
      <c r="B134" s="27">
        <f t="shared" si="1"/>
        <v>130</v>
      </c>
      <c r="C134" s="27"/>
      <c r="D134" s="27"/>
      <c r="E134" s="56"/>
      <c r="F134" s="56"/>
      <c r="G134" s="56"/>
    </row>
    <row r="135" spans="2:7">
      <c r="B135" s="27">
        <f t="shared" ref="B135:B198" si="2">B134+1</f>
        <v>131</v>
      </c>
      <c r="C135" s="27"/>
      <c r="D135" s="27"/>
      <c r="E135" s="56"/>
      <c r="F135" s="56"/>
      <c r="G135" s="56"/>
    </row>
    <row r="136" spans="2:7">
      <c r="B136" s="27">
        <f t="shared" si="2"/>
        <v>132</v>
      </c>
      <c r="C136" s="27"/>
      <c r="D136" s="27"/>
      <c r="E136" s="56"/>
      <c r="F136" s="56"/>
      <c r="G136" s="56"/>
    </row>
    <row r="137" spans="2:7">
      <c r="B137" s="27">
        <f t="shared" si="2"/>
        <v>133</v>
      </c>
      <c r="C137" s="27"/>
      <c r="D137" s="27"/>
      <c r="E137" s="56"/>
      <c r="F137" s="56"/>
      <c r="G137" s="56"/>
    </row>
    <row r="138" spans="2:7">
      <c r="B138" s="27">
        <f t="shared" si="2"/>
        <v>134</v>
      </c>
      <c r="C138" s="27"/>
      <c r="D138" s="27"/>
      <c r="E138" s="56"/>
      <c r="F138" s="56"/>
      <c r="G138" s="56"/>
    </row>
    <row r="139" spans="2:7">
      <c r="B139" s="27">
        <f t="shared" si="2"/>
        <v>135</v>
      </c>
      <c r="C139" s="27"/>
      <c r="D139" s="27"/>
      <c r="E139" s="56"/>
      <c r="F139" s="56"/>
      <c r="G139" s="56"/>
    </row>
    <row r="140" spans="2:7">
      <c r="B140" s="27">
        <f t="shared" si="2"/>
        <v>136</v>
      </c>
      <c r="C140" s="27"/>
      <c r="D140" s="27"/>
      <c r="E140" s="56"/>
      <c r="F140" s="56"/>
      <c r="G140" s="56"/>
    </row>
    <row r="141" spans="2:7">
      <c r="B141" s="27">
        <f t="shared" si="2"/>
        <v>137</v>
      </c>
      <c r="C141" s="27"/>
      <c r="D141" s="27"/>
      <c r="E141" s="56"/>
      <c r="F141" s="56"/>
      <c r="G141" s="56"/>
    </row>
    <row r="142" spans="2:7">
      <c r="B142" s="27">
        <f t="shared" si="2"/>
        <v>138</v>
      </c>
      <c r="C142" s="27"/>
      <c r="D142" s="27"/>
      <c r="E142" s="56"/>
      <c r="F142" s="56"/>
      <c r="G142" s="56"/>
    </row>
    <row r="143" spans="2:7">
      <c r="B143" s="27">
        <f t="shared" si="2"/>
        <v>139</v>
      </c>
      <c r="C143" s="27"/>
      <c r="D143" s="27"/>
      <c r="E143" s="56"/>
      <c r="F143" s="56"/>
      <c r="G143" s="56"/>
    </row>
    <row r="144" spans="2:7">
      <c r="B144" s="27">
        <f t="shared" si="2"/>
        <v>140</v>
      </c>
      <c r="C144" s="27"/>
      <c r="D144" s="27"/>
      <c r="E144" s="56"/>
      <c r="F144" s="56"/>
      <c r="G144" s="56"/>
    </row>
    <row r="145" spans="2:7">
      <c r="B145" s="27">
        <f t="shared" si="2"/>
        <v>141</v>
      </c>
      <c r="C145" s="27"/>
      <c r="D145" s="27"/>
      <c r="E145" s="56"/>
      <c r="F145" s="56"/>
      <c r="G145" s="56"/>
    </row>
    <row r="146" spans="2:7">
      <c r="B146" s="27">
        <f t="shared" si="2"/>
        <v>142</v>
      </c>
      <c r="C146" s="27"/>
      <c r="D146" s="27"/>
      <c r="E146" s="56"/>
      <c r="F146" s="56"/>
      <c r="G146" s="56"/>
    </row>
    <row r="147" spans="2:7">
      <c r="B147" s="27">
        <f t="shared" si="2"/>
        <v>143</v>
      </c>
      <c r="C147" s="27"/>
      <c r="D147" s="27"/>
      <c r="E147" s="56"/>
      <c r="F147" s="56"/>
      <c r="G147" s="56"/>
    </row>
    <row r="148" spans="2:7">
      <c r="B148" s="27">
        <f t="shared" si="2"/>
        <v>144</v>
      </c>
      <c r="C148" s="27"/>
      <c r="D148" s="27"/>
      <c r="E148" s="56"/>
      <c r="F148" s="56"/>
      <c r="G148" s="56"/>
    </row>
    <row r="149" spans="2:7">
      <c r="B149" s="27">
        <f t="shared" si="2"/>
        <v>145</v>
      </c>
      <c r="C149" s="27"/>
      <c r="D149" s="27"/>
      <c r="E149" s="56"/>
      <c r="F149" s="56"/>
      <c r="G149" s="56"/>
    </row>
    <row r="150" spans="2:7">
      <c r="B150" s="27">
        <f t="shared" si="2"/>
        <v>146</v>
      </c>
      <c r="C150" s="27"/>
      <c r="D150" s="27"/>
      <c r="E150" s="56"/>
      <c r="F150" s="56"/>
      <c r="G150" s="56"/>
    </row>
    <row r="151" spans="2:7">
      <c r="B151" s="27">
        <f t="shared" si="2"/>
        <v>147</v>
      </c>
      <c r="C151" s="27"/>
      <c r="D151" s="27"/>
      <c r="E151" s="56"/>
      <c r="F151" s="56"/>
      <c r="G151" s="56"/>
    </row>
    <row r="152" spans="2:7">
      <c r="B152" s="27">
        <f t="shared" si="2"/>
        <v>148</v>
      </c>
      <c r="C152" s="27"/>
      <c r="D152" s="27"/>
      <c r="E152" s="56"/>
      <c r="F152" s="56"/>
      <c r="G152" s="56"/>
    </row>
    <row r="153" spans="2:7">
      <c r="B153" s="27">
        <f t="shared" si="2"/>
        <v>149</v>
      </c>
      <c r="C153" s="27"/>
      <c r="D153" s="27"/>
      <c r="E153" s="56"/>
      <c r="F153" s="56"/>
      <c r="G153" s="56"/>
    </row>
    <row r="154" spans="2:7">
      <c r="B154" s="27">
        <f t="shared" si="2"/>
        <v>150</v>
      </c>
      <c r="C154" s="27"/>
      <c r="D154" s="27"/>
      <c r="E154" s="56"/>
      <c r="F154" s="56"/>
      <c r="G154" s="56"/>
    </row>
    <row r="155" spans="2:7">
      <c r="B155" s="27">
        <f t="shared" si="2"/>
        <v>151</v>
      </c>
      <c r="C155" s="27"/>
      <c r="D155" s="27"/>
      <c r="E155" s="56"/>
      <c r="F155" s="56"/>
      <c r="G155" s="56"/>
    </row>
    <row r="156" spans="2:7">
      <c r="B156" s="27">
        <f t="shared" si="2"/>
        <v>152</v>
      </c>
      <c r="C156" s="27"/>
      <c r="D156" s="27"/>
      <c r="E156" s="56"/>
      <c r="F156" s="56"/>
      <c r="G156" s="56"/>
    </row>
    <row r="157" spans="2:7">
      <c r="B157" s="27">
        <f t="shared" si="2"/>
        <v>153</v>
      </c>
      <c r="C157" s="27"/>
      <c r="D157" s="27"/>
      <c r="E157" s="56"/>
      <c r="F157" s="56"/>
      <c r="G157" s="56"/>
    </row>
    <row r="158" spans="2:7">
      <c r="B158" s="27">
        <f t="shared" si="2"/>
        <v>154</v>
      </c>
      <c r="C158" s="27"/>
      <c r="D158" s="27"/>
      <c r="E158" s="56"/>
      <c r="F158" s="56"/>
      <c r="G158" s="56"/>
    </row>
    <row r="159" spans="2:7">
      <c r="B159" s="27">
        <f t="shared" si="2"/>
        <v>155</v>
      </c>
      <c r="C159" s="27"/>
      <c r="D159" s="27"/>
      <c r="E159" s="56"/>
      <c r="F159" s="56"/>
      <c r="G159" s="56"/>
    </row>
    <row r="160" spans="2:7">
      <c r="B160" s="27">
        <f t="shared" si="2"/>
        <v>156</v>
      </c>
      <c r="C160" s="27"/>
      <c r="D160" s="27"/>
      <c r="E160" s="56"/>
      <c r="F160" s="56"/>
      <c r="G160" s="56"/>
    </row>
    <row r="161" spans="2:7">
      <c r="B161" s="27">
        <f t="shared" si="2"/>
        <v>157</v>
      </c>
      <c r="C161" s="27"/>
      <c r="D161" s="27"/>
      <c r="E161" s="56"/>
      <c r="F161" s="56"/>
      <c r="G161" s="56"/>
    </row>
    <row r="162" spans="2:7">
      <c r="B162" s="27">
        <f t="shared" si="2"/>
        <v>158</v>
      </c>
      <c r="C162" s="27"/>
      <c r="D162" s="27"/>
      <c r="E162" s="56"/>
      <c r="F162" s="56"/>
      <c r="G162" s="56"/>
    </row>
    <row r="163" spans="2:7">
      <c r="B163" s="27">
        <f t="shared" si="2"/>
        <v>159</v>
      </c>
      <c r="C163" s="27"/>
      <c r="D163" s="27"/>
      <c r="E163" s="56"/>
      <c r="F163" s="56"/>
      <c r="G163" s="56"/>
    </row>
    <row r="164" spans="2:7">
      <c r="B164" s="27">
        <f t="shared" si="2"/>
        <v>160</v>
      </c>
      <c r="C164" s="27"/>
      <c r="D164" s="27"/>
      <c r="E164" s="56"/>
      <c r="F164" s="56"/>
      <c r="G164" s="56"/>
    </row>
    <row r="165" spans="2:7">
      <c r="B165" s="27">
        <f t="shared" si="2"/>
        <v>161</v>
      </c>
      <c r="C165" s="27"/>
      <c r="D165" s="27"/>
      <c r="E165" s="56"/>
      <c r="F165" s="56"/>
      <c r="G165" s="56"/>
    </row>
    <row r="166" spans="2:7">
      <c r="B166" s="27">
        <f t="shared" si="2"/>
        <v>162</v>
      </c>
      <c r="C166" s="27"/>
      <c r="D166" s="27"/>
      <c r="E166" s="56"/>
      <c r="F166" s="56"/>
      <c r="G166" s="56"/>
    </row>
    <row r="167" spans="2:7">
      <c r="B167" s="27">
        <f t="shared" si="2"/>
        <v>163</v>
      </c>
      <c r="C167" s="27"/>
      <c r="D167" s="27"/>
      <c r="E167" s="56"/>
      <c r="F167" s="56"/>
      <c r="G167" s="56"/>
    </row>
    <row r="168" spans="2:7">
      <c r="B168" s="27">
        <f t="shared" si="2"/>
        <v>164</v>
      </c>
      <c r="C168" s="27"/>
      <c r="D168" s="27"/>
      <c r="E168" s="56"/>
      <c r="F168" s="56"/>
      <c r="G168" s="56"/>
    </row>
    <row r="169" spans="2:7">
      <c r="B169" s="27">
        <f t="shared" si="2"/>
        <v>165</v>
      </c>
      <c r="C169" s="27"/>
      <c r="D169" s="27"/>
      <c r="E169" s="56"/>
      <c r="F169" s="56"/>
      <c r="G169" s="56"/>
    </row>
    <row r="170" spans="2:7">
      <c r="B170" s="27">
        <f t="shared" si="2"/>
        <v>166</v>
      </c>
      <c r="C170" s="27"/>
      <c r="D170" s="27"/>
      <c r="E170" s="56"/>
      <c r="F170" s="56"/>
      <c r="G170" s="56"/>
    </row>
    <row r="171" spans="2:7">
      <c r="B171" s="27">
        <f t="shared" si="2"/>
        <v>167</v>
      </c>
      <c r="C171" s="27"/>
      <c r="D171" s="27"/>
      <c r="E171" s="56"/>
      <c r="F171" s="56"/>
      <c r="G171" s="56"/>
    </row>
    <row r="172" spans="2:7">
      <c r="B172" s="27">
        <f t="shared" si="2"/>
        <v>168</v>
      </c>
      <c r="C172" s="27"/>
      <c r="D172" s="27"/>
      <c r="E172" s="56"/>
      <c r="F172" s="56"/>
      <c r="G172" s="56"/>
    </row>
    <row r="173" spans="2:7">
      <c r="B173" s="27">
        <f t="shared" si="2"/>
        <v>169</v>
      </c>
      <c r="C173" s="27"/>
      <c r="D173" s="27"/>
      <c r="E173" s="56"/>
      <c r="F173" s="56"/>
      <c r="G173" s="56"/>
    </row>
    <row r="174" spans="2:7">
      <c r="B174" s="27">
        <f t="shared" si="2"/>
        <v>170</v>
      </c>
      <c r="C174" s="27"/>
      <c r="D174" s="27"/>
      <c r="E174" s="56"/>
      <c r="F174" s="56"/>
      <c r="G174" s="56"/>
    </row>
    <row r="175" spans="2:7">
      <c r="B175" s="27">
        <f t="shared" si="2"/>
        <v>171</v>
      </c>
      <c r="C175" s="27"/>
      <c r="D175" s="27"/>
      <c r="E175" s="56"/>
      <c r="F175" s="56"/>
      <c r="G175" s="56"/>
    </row>
    <row r="176" spans="2:7">
      <c r="B176" s="27">
        <f t="shared" si="2"/>
        <v>172</v>
      </c>
      <c r="C176" s="27"/>
      <c r="D176" s="27"/>
      <c r="E176" s="56"/>
      <c r="F176" s="56"/>
      <c r="G176" s="56"/>
    </row>
    <row r="177" spans="2:7">
      <c r="B177" s="27">
        <f t="shared" si="2"/>
        <v>173</v>
      </c>
      <c r="C177" s="27"/>
      <c r="D177" s="27"/>
      <c r="E177" s="56"/>
      <c r="F177" s="56"/>
      <c r="G177" s="56"/>
    </row>
    <row r="178" spans="2:7">
      <c r="B178" s="27">
        <f t="shared" si="2"/>
        <v>174</v>
      </c>
      <c r="C178" s="27"/>
      <c r="D178" s="27"/>
      <c r="E178" s="56"/>
      <c r="F178" s="56"/>
      <c r="G178" s="56"/>
    </row>
    <row r="179" spans="2:7">
      <c r="B179" s="27">
        <f t="shared" si="2"/>
        <v>175</v>
      </c>
      <c r="C179" s="27"/>
      <c r="D179" s="27"/>
      <c r="E179" s="56"/>
      <c r="F179" s="56"/>
      <c r="G179" s="56"/>
    </row>
    <row r="180" spans="2:7">
      <c r="B180" s="27">
        <f t="shared" si="2"/>
        <v>176</v>
      </c>
      <c r="C180" s="27"/>
      <c r="D180" s="27"/>
      <c r="E180" s="56"/>
      <c r="F180" s="56"/>
      <c r="G180" s="56"/>
    </row>
    <row r="181" spans="2:7">
      <c r="B181" s="27">
        <f t="shared" si="2"/>
        <v>177</v>
      </c>
      <c r="C181" s="27"/>
      <c r="D181" s="27"/>
      <c r="E181" s="56"/>
      <c r="F181" s="56"/>
      <c r="G181" s="56"/>
    </row>
    <row r="182" spans="2:7">
      <c r="B182" s="27">
        <f t="shared" si="2"/>
        <v>178</v>
      </c>
      <c r="C182" s="27"/>
      <c r="D182" s="27"/>
      <c r="E182" s="56"/>
      <c r="F182" s="56"/>
      <c r="G182" s="56"/>
    </row>
    <row r="183" spans="2:7">
      <c r="B183" s="27">
        <f t="shared" si="2"/>
        <v>179</v>
      </c>
      <c r="C183" s="27"/>
      <c r="D183" s="27"/>
      <c r="E183" s="56"/>
      <c r="F183" s="56"/>
      <c r="G183" s="56"/>
    </row>
    <row r="184" spans="2:7">
      <c r="B184" s="27">
        <f t="shared" si="2"/>
        <v>180</v>
      </c>
      <c r="C184" s="27"/>
      <c r="D184" s="27"/>
      <c r="E184" s="56"/>
      <c r="F184" s="56"/>
      <c r="G184" s="56"/>
    </row>
    <row r="185" spans="2:7">
      <c r="B185" s="27">
        <f t="shared" si="2"/>
        <v>181</v>
      </c>
      <c r="C185" s="27"/>
      <c r="D185" s="27"/>
      <c r="E185" s="56"/>
      <c r="F185" s="56"/>
      <c r="G185" s="56"/>
    </row>
    <row r="186" spans="2:7">
      <c r="B186" s="27">
        <f t="shared" si="2"/>
        <v>182</v>
      </c>
      <c r="C186" s="27"/>
      <c r="D186" s="27"/>
      <c r="E186" s="56"/>
      <c r="F186" s="56"/>
      <c r="G186" s="56"/>
    </row>
    <row r="187" spans="2:7">
      <c r="B187" s="27">
        <f t="shared" si="2"/>
        <v>183</v>
      </c>
      <c r="C187" s="27"/>
      <c r="D187" s="27"/>
      <c r="E187" s="56"/>
      <c r="F187" s="56"/>
      <c r="G187" s="56"/>
    </row>
    <row r="188" spans="2:7">
      <c r="B188" s="27">
        <f t="shared" si="2"/>
        <v>184</v>
      </c>
      <c r="C188" s="27"/>
      <c r="D188" s="27"/>
      <c r="E188" s="56"/>
      <c r="F188" s="56"/>
      <c r="G188" s="56"/>
    </row>
    <row r="189" spans="2:7">
      <c r="B189" s="27">
        <f t="shared" si="2"/>
        <v>185</v>
      </c>
      <c r="C189" s="27"/>
      <c r="D189" s="27"/>
      <c r="E189" s="56"/>
      <c r="F189" s="56"/>
      <c r="G189" s="56"/>
    </row>
    <row r="190" spans="2:7">
      <c r="B190" s="27">
        <f t="shared" si="2"/>
        <v>186</v>
      </c>
      <c r="C190" s="27"/>
      <c r="D190" s="27"/>
      <c r="E190" s="56"/>
      <c r="F190" s="56"/>
      <c r="G190" s="56"/>
    </row>
    <row r="191" spans="2:7">
      <c r="B191" s="27">
        <f t="shared" si="2"/>
        <v>187</v>
      </c>
      <c r="C191" s="27"/>
      <c r="D191" s="27"/>
      <c r="E191" s="56"/>
      <c r="F191" s="56"/>
      <c r="G191" s="56"/>
    </row>
    <row r="192" spans="2:7">
      <c r="B192" s="27">
        <f t="shared" si="2"/>
        <v>188</v>
      </c>
      <c r="C192" s="27"/>
      <c r="D192" s="27"/>
      <c r="E192" s="56"/>
      <c r="F192" s="56"/>
      <c r="G192" s="56"/>
    </row>
    <row r="193" spans="2:7">
      <c r="B193" s="27">
        <f t="shared" si="2"/>
        <v>189</v>
      </c>
      <c r="C193" s="27"/>
      <c r="D193" s="27"/>
      <c r="E193" s="56"/>
      <c r="F193" s="56"/>
      <c r="G193" s="56"/>
    </row>
    <row r="194" spans="2:7">
      <c r="B194" s="27">
        <f t="shared" si="2"/>
        <v>190</v>
      </c>
      <c r="C194" s="27"/>
      <c r="D194" s="27"/>
      <c r="E194" s="56"/>
      <c r="F194" s="56"/>
      <c r="G194" s="56"/>
    </row>
    <row r="195" spans="2:7">
      <c r="B195" s="27">
        <f t="shared" si="2"/>
        <v>191</v>
      </c>
      <c r="C195" s="27"/>
      <c r="D195" s="27"/>
      <c r="E195" s="56"/>
      <c r="F195" s="56"/>
      <c r="G195" s="56"/>
    </row>
    <row r="196" spans="2:7">
      <c r="B196" s="27">
        <f t="shared" si="2"/>
        <v>192</v>
      </c>
      <c r="C196" s="27"/>
      <c r="D196" s="27"/>
      <c r="E196" s="56"/>
      <c r="F196" s="56"/>
      <c r="G196" s="56"/>
    </row>
    <row r="197" spans="2:7">
      <c r="B197" s="27">
        <f t="shared" si="2"/>
        <v>193</v>
      </c>
      <c r="C197" s="27"/>
      <c r="D197" s="27"/>
      <c r="E197" s="56"/>
      <c r="F197" s="56"/>
      <c r="G197" s="56"/>
    </row>
    <row r="198" spans="2:7">
      <c r="B198" s="27">
        <f t="shared" si="2"/>
        <v>194</v>
      </c>
      <c r="C198" s="27"/>
      <c r="D198" s="27"/>
      <c r="E198" s="56"/>
      <c r="F198" s="56"/>
      <c r="G198" s="56"/>
    </row>
    <row r="199" spans="2:7">
      <c r="B199" s="27">
        <f t="shared" ref="B199:B262" si="3">B198+1</f>
        <v>195</v>
      </c>
      <c r="C199" s="27"/>
      <c r="D199" s="27"/>
      <c r="E199" s="56"/>
      <c r="F199" s="56"/>
      <c r="G199" s="56"/>
    </row>
    <row r="200" spans="2:7">
      <c r="B200" s="27">
        <f t="shared" si="3"/>
        <v>196</v>
      </c>
      <c r="C200" s="27"/>
      <c r="D200" s="27"/>
      <c r="E200" s="56"/>
      <c r="F200" s="56"/>
      <c r="G200" s="56"/>
    </row>
    <row r="201" spans="2:7">
      <c r="B201" s="27">
        <f t="shared" si="3"/>
        <v>197</v>
      </c>
      <c r="C201" s="27"/>
      <c r="D201" s="27"/>
      <c r="E201" s="56"/>
      <c r="F201" s="56"/>
      <c r="G201" s="56"/>
    </row>
    <row r="202" spans="2:7">
      <c r="B202" s="27">
        <f t="shared" si="3"/>
        <v>198</v>
      </c>
      <c r="C202" s="27"/>
      <c r="D202" s="27"/>
      <c r="E202" s="56"/>
      <c r="F202" s="56"/>
      <c r="G202" s="56"/>
    </row>
    <row r="203" spans="2:7">
      <c r="B203" s="27">
        <f t="shared" si="3"/>
        <v>199</v>
      </c>
      <c r="C203" s="27"/>
      <c r="D203" s="27"/>
      <c r="E203" s="56"/>
      <c r="F203" s="56"/>
      <c r="G203" s="56"/>
    </row>
    <row r="204" spans="2:7">
      <c r="B204" s="27">
        <f t="shared" si="3"/>
        <v>200</v>
      </c>
      <c r="C204" s="27"/>
      <c r="D204" s="27"/>
      <c r="E204" s="56"/>
      <c r="F204" s="56"/>
      <c r="G204" s="56"/>
    </row>
    <row r="205" spans="2:7">
      <c r="B205" s="27">
        <f t="shared" si="3"/>
        <v>201</v>
      </c>
      <c r="C205" s="27"/>
      <c r="D205" s="27"/>
      <c r="E205" s="56"/>
      <c r="F205" s="56"/>
      <c r="G205" s="56"/>
    </row>
    <row r="206" spans="2:7">
      <c r="B206" s="27">
        <f t="shared" si="3"/>
        <v>202</v>
      </c>
      <c r="C206" s="27"/>
      <c r="D206" s="27"/>
      <c r="E206" s="56"/>
      <c r="F206" s="56"/>
      <c r="G206" s="56"/>
    </row>
    <row r="207" spans="2:7">
      <c r="B207" s="27">
        <f t="shared" si="3"/>
        <v>203</v>
      </c>
      <c r="C207" s="27"/>
      <c r="D207" s="27"/>
      <c r="E207" s="56"/>
      <c r="F207" s="56"/>
      <c r="G207" s="56"/>
    </row>
    <row r="208" spans="2:7">
      <c r="B208" s="27">
        <f t="shared" si="3"/>
        <v>204</v>
      </c>
      <c r="C208" s="27"/>
      <c r="D208" s="27"/>
      <c r="E208" s="56"/>
      <c r="F208" s="56"/>
      <c r="G208" s="56"/>
    </row>
    <row r="209" spans="2:7">
      <c r="B209" s="27">
        <f t="shared" si="3"/>
        <v>205</v>
      </c>
      <c r="C209" s="27"/>
      <c r="D209" s="27"/>
      <c r="E209" s="56"/>
      <c r="F209" s="56"/>
      <c r="G209" s="56"/>
    </row>
    <row r="210" spans="2:7">
      <c r="B210" s="27">
        <f t="shared" si="3"/>
        <v>206</v>
      </c>
      <c r="C210" s="27"/>
      <c r="D210" s="27"/>
      <c r="E210" s="56"/>
      <c r="F210" s="56"/>
      <c r="G210" s="56"/>
    </row>
    <row r="211" spans="2:7">
      <c r="B211" s="27">
        <f t="shared" si="3"/>
        <v>207</v>
      </c>
      <c r="C211" s="27"/>
      <c r="D211" s="27"/>
      <c r="E211" s="56"/>
      <c r="F211" s="56"/>
      <c r="G211" s="56"/>
    </row>
    <row r="212" spans="2:7">
      <c r="B212" s="27">
        <f t="shared" si="3"/>
        <v>208</v>
      </c>
      <c r="C212" s="27"/>
      <c r="D212" s="27"/>
      <c r="E212" s="56"/>
      <c r="F212" s="56"/>
      <c r="G212" s="56"/>
    </row>
    <row r="213" spans="2:7">
      <c r="B213" s="27">
        <f t="shared" si="3"/>
        <v>209</v>
      </c>
      <c r="C213" s="27"/>
      <c r="D213" s="27"/>
      <c r="E213" s="56"/>
      <c r="F213" s="56"/>
      <c r="G213" s="56"/>
    </row>
    <row r="214" spans="2:7">
      <c r="B214" s="27">
        <f t="shared" si="3"/>
        <v>210</v>
      </c>
      <c r="C214" s="27"/>
      <c r="D214" s="27"/>
      <c r="E214" s="56"/>
      <c r="F214" s="56"/>
      <c r="G214" s="56"/>
    </row>
    <row r="215" spans="2:7">
      <c r="B215" s="27">
        <f t="shared" si="3"/>
        <v>211</v>
      </c>
      <c r="C215" s="27"/>
      <c r="D215" s="27"/>
      <c r="E215" s="56"/>
      <c r="F215" s="56"/>
      <c r="G215" s="56"/>
    </row>
    <row r="216" spans="2:7">
      <c r="B216" s="27">
        <f t="shared" si="3"/>
        <v>212</v>
      </c>
      <c r="C216" s="27"/>
      <c r="D216" s="27"/>
      <c r="E216" s="56"/>
      <c r="F216" s="56"/>
      <c r="G216" s="56"/>
    </row>
    <row r="217" spans="2:7">
      <c r="B217" s="27">
        <f t="shared" si="3"/>
        <v>213</v>
      </c>
      <c r="C217" s="27"/>
      <c r="D217" s="27"/>
      <c r="E217" s="56"/>
      <c r="F217" s="56"/>
      <c r="G217" s="56"/>
    </row>
    <row r="218" spans="2:7">
      <c r="B218" s="27">
        <f t="shared" si="3"/>
        <v>214</v>
      </c>
      <c r="C218" s="27"/>
      <c r="D218" s="27"/>
      <c r="E218" s="56"/>
      <c r="F218" s="56"/>
      <c r="G218" s="56"/>
    </row>
    <row r="219" spans="2:7">
      <c r="B219" s="27">
        <f t="shared" si="3"/>
        <v>215</v>
      </c>
      <c r="C219" s="27"/>
      <c r="D219" s="27"/>
      <c r="E219" s="56"/>
      <c r="F219" s="56"/>
      <c r="G219" s="56"/>
    </row>
    <row r="220" spans="2:7">
      <c r="B220" s="27">
        <f t="shared" si="3"/>
        <v>216</v>
      </c>
      <c r="C220" s="27"/>
      <c r="D220" s="27"/>
      <c r="E220" s="56"/>
      <c r="F220" s="56"/>
      <c r="G220" s="56"/>
    </row>
    <row r="221" spans="2:7">
      <c r="B221" s="27">
        <f t="shared" si="3"/>
        <v>217</v>
      </c>
      <c r="C221" s="27"/>
      <c r="D221" s="27"/>
      <c r="E221" s="56"/>
      <c r="F221" s="56"/>
      <c r="G221" s="56"/>
    </row>
    <row r="222" spans="2:7">
      <c r="B222" s="27">
        <f t="shared" si="3"/>
        <v>218</v>
      </c>
      <c r="C222" s="27"/>
      <c r="D222" s="27"/>
      <c r="E222" s="56"/>
      <c r="F222" s="56"/>
      <c r="G222" s="56"/>
    </row>
    <row r="223" spans="2:7">
      <c r="B223" s="27">
        <f t="shared" si="3"/>
        <v>219</v>
      </c>
      <c r="C223" s="27"/>
      <c r="D223" s="27"/>
      <c r="E223" s="56"/>
      <c r="F223" s="56"/>
      <c r="G223" s="56"/>
    </row>
    <row r="224" spans="2:7">
      <c r="B224" s="27">
        <f t="shared" si="3"/>
        <v>220</v>
      </c>
      <c r="C224" s="27"/>
      <c r="D224" s="27"/>
      <c r="E224" s="56"/>
      <c r="F224" s="56"/>
      <c r="G224" s="56"/>
    </row>
    <row r="225" spans="2:7">
      <c r="B225" s="27">
        <f t="shared" si="3"/>
        <v>221</v>
      </c>
      <c r="C225" s="27"/>
      <c r="D225" s="27"/>
      <c r="E225" s="56"/>
      <c r="F225" s="56"/>
      <c r="G225" s="56"/>
    </row>
    <row r="226" spans="2:7">
      <c r="B226" s="27">
        <f t="shared" si="3"/>
        <v>222</v>
      </c>
      <c r="C226" s="27"/>
      <c r="D226" s="27"/>
      <c r="E226" s="56"/>
      <c r="F226" s="56"/>
      <c r="G226" s="56"/>
    </row>
    <row r="227" spans="2:7">
      <c r="B227" s="27">
        <f t="shared" si="3"/>
        <v>223</v>
      </c>
      <c r="C227" s="27"/>
      <c r="D227" s="27"/>
      <c r="E227" s="56"/>
      <c r="F227" s="56"/>
      <c r="G227" s="56"/>
    </row>
    <row r="228" spans="2:7">
      <c r="B228" s="27">
        <f t="shared" si="3"/>
        <v>224</v>
      </c>
      <c r="C228" s="27"/>
      <c r="D228" s="27"/>
      <c r="E228" s="56"/>
      <c r="F228" s="56"/>
      <c r="G228" s="56"/>
    </row>
    <row r="229" spans="2:7">
      <c r="B229" s="27">
        <f t="shared" si="3"/>
        <v>225</v>
      </c>
      <c r="C229" s="27"/>
      <c r="D229" s="27"/>
      <c r="E229" s="56"/>
      <c r="F229" s="56"/>
      <c r="G229" s="56"/>
    </row>
    <row r="230" spans="2:7">
      <c r="B230" s="27">
        <f t="shared" si="3"/>
        <v>226</v>
      </c>
      <c r="C230" s="27"/>
      <c r="D230" s="27"/>
      <c r="E230" s="56"/>
      <c r="F230" s="56"/>
      <c r="G230" s="56"/>
    </row>
    <row r="231" spans="2:7">
      <c r="B231" s="27">
        <f t="shared" si="3"/>
        <v>227</v>
      </c>
      <c r="C231" s="27"/>
      <c r="D231" s="27"/>
      <c r="E231" s="56"/>
      <c r="F231" s="56"/>
      <c r="G231" s="56"/>
    </row>
    <row r="232" spans="2:7">
      <c r="B232" s="27">
        <f t="shared" si="3"/>
        <v>228</v>
      </c>
      <c r="C232" s="27"/>
      <c r="D232" s="27"/>
      <c r="E232" s="56"/>
      <c r="F232" s="56"/>
      <c r="G232" s="56"/>
    </row>
    <row r="233" spans="2:7">
      <c r="B233" s="27">
        <f t="shared" si="3"/>
        <v>229</v>
      </c>
      <c r="C233" s="27"/>
      <c r="D233" s="27"/>
      <c r="E233" s="56"/>
      <c r="F233" s="56"/>
      <c r="G233" s="56"/>
    </row>
    <row r="234" spans="2:7">
      <c r="B234" s="27">
        <f t="shared" si="3"/>
        <v>230</v>
      </c>
      <c r="C234" s="27"/>
      <c r="D234" s="27"/>
      <c r="E234" s="56"/>
      <c r="F234" s="56"/>
      <c r="G234" s="56"/>
    </row>
    <row r="235" spans="2:7">
      <c r="B235" s="27">
        <f t="shared" si="3"/>
        <v>231</v>
      </c>
      <c r="C235" s="27"/>
      <c r="D235" s="27"/>
      <c r="E235" s="56"/>
      <c r="F235" s="56"/>
      <c r="G235" s="56"/>
    </row>
    <row r="236" spans="2:7">
      <c r="B236" s="27">
        <f t="shared" si="3"/>
        <v>232</v>
      </c>
      <c r="C236" s="27"/>
      <c r="D236" s="27"/>
      <c r="E236" s="56"/>
      <c r="F236" s="56"/>
      <c r="G236" s="56"/>
    </row>
    <row r="237" spans="2:7">
      <c r="B237" s="27">
        <f t="shared" si="3"/>
        <v>233</v>
      </c>
      <c r="C237" s="27"/>
      <c r="D237" s="27"/>
      <c r="E237" s="56"/>
      <c r="F237" s="56"/>
      <c r="G237" s="56"/>
    </row>
    <row r="238" spans="2:7">
      <c r="B238" s="27">
        <f t="shared" si="3"/>
        <v>234</v>
      </c>
      <c r="C238" s="27"/>
      <c r="D238" s="27"/>
      <c r="E238" s="56"/>
      <c r="F238" s="56"/>
      <c r="G238" s="56"/>
    </row>
    <row r="239" spans="2:7">
      <c r="B239" s="27">
        <f t="shared" si="3"/>
        <v>235</v>
      </c>
      <c r="C239" s="27"/>
      <c r="D239" s="27"/>
      <c r="E239" s="56"/>
      <c r="F239" s="56"/>
      <c r="G239" s="56"/>
    </row>
    <row r="240" spans="2:7">
      <c r="B240" s="27">
        <f t="shared" si="3"/>
        <v>236</v>
      </c>
      <c r="C240" s="27"/>
      <c r="D240" s="27"/>
      <c r="E240" s="56"/>
      <c r="F240" s="56"/>
      <c r="G240" s="56"/>
    </row>
    <row r="241" spans="2:7">
      <c r="B241" s="27">
        <f t="shared" si="3"/>
        <v>237</v>
      </c>
      <c r="C241" s="27"/>
      <c r="D241" s="27"/>
      <c r="E241" s="56"/>
      <c r="F241" s="56"/>
      <c r="G241" s="56"/>
    </row>
    <row r="242" spans="2:7">
      <c r="B242" s="27">
        <f t="shared" si="3"/>
        <v>238</v>
      </c>
      <c r="C242" s="27"/>
      <c r="D242" s="27"/>
      <c r="E242" s="56"/>
      <c r="F242" s="56"/>
      <c r="G242" s="56"/>
    </row>
    <row r="243" spans="2:7">
      <c r="B243" s="27">
        <f t="shared" si="3"/>
        <v>239</v>
      </c>
      <c r="C243" s="27"/>
      <c r="D243" s="27"/>
      <c r="E243" s="56"/>
      <c r="F243" s="56"/>
      <c r="G243" s="56"/>
    </row>
    <row r="244" spans="2:7">
      <c r="B244" s="27">
        <f t="shared" si="3"/>
        <v>240</v>
      </c>
      <c r="C244" s="27"/>
      <c r="D244" s="27"/>
      <c r="E244" s="56"/>
      <c r="F244" s="56"/>
      <c r="G244" s="56"/>
    </row>
    <row r="245" spans="2:7">
      <c r="B245" s="27">
        <f t="shared" si="3"/>
        <v>241</v>
      </c>
      <c r="C245" s="27"/>
      <c r="D245" s="27"/>
      <c r="E245" s="56"/>
      <c r="F245" s="56"/>
      <c r="G245" s="56"/>
    </row>
    <row r="246" spans="2:7">
      <c r="B246" s="27">
        <f t="shared" si="3"/>
        <v>242</v>
      </c>
      <c r="C246" s="27"/>
      <c r="D246" s="27"/>
      <c r="E246" s="56"/>
      <c r="F246" s="56"/>
      <c r="G246" s="56"/>
    </row>
    <row r="247" spans="2:7">
      <c r="B247" s="27">
        <f t="shared" si="3"/>
        <v>243</v>
      </c>
      <c r="C247" s="27"/>
      <c r="D247" s="27"/>
      <c r="E247" s="56"/>
      <c r="F247" s="56"/>
      <c r="G247" s="56"/>
    </row>
    <row r="248" spans="2:7">
      <c r="B248" s="27">
        <f t="shared" si="3"/>
        <v>244</v>
      </c>
      <c r="C248" s="27"/>
      <c r="D248" s="27"/>
      <c r="E248" s="56"/>
      <c r="F248" s="56"/>
      <c r="G248" s="56"/>
    </row>
    <row r="249" spans="2:7">
      <c r="B249" s="27">
        <f t="shared" si="3"/>
        <v>245</v>
      </c>
      <c r="C249" s="27"/>
      <c r="D249" s="27"/>
      <c r="E249" s="56"/>
      <c r="F249" s="56"/>
      <c r="G249" s="56"/>
    </row>
    <row r="250" spans="2:7">
      <c r="B250" s="27">
        <f t="shared" si="3"/>
        <v>246</v>
      </c>
      <c r="C250" s="27"/>
      <c r="D250" s="27"/>
      <c r="E250" s="56"/>
      <c r="F250" s="56"/>
      <c r="G250" s="56"/>
    </row>
    <row r="251" spans="2:7">
      <c r="B251" s="27">
        <f t="shared" si="3"/>
        <v>247</v>
      </c>
      <c r="C251" s="27"/>
      <c r="D251" s="27"/>
      <c r="E251" s="56"/>
      <c r="F251" s="56"/>
      <c r="G251" s="56"/>
    </row>
    <row r="252" spans="2:7">
      <c r="B252" s="27">
        <f t="shared" si="3"/>
        <v>248</v>
      </c>
      <c r="C252" s="27"/>
      <c r="D252" s="27"/>
      <c r="E252" s="56"/>
      <c r="F252" s="56"/>
      <c r="G252" s="56"/>
    </row>
    <row r="253" spans="2:7">
      <c r="B253" s="27">
        <f t="shared" si="3"/>
        <v>249</v>
      </c>
      <c r="C253" s="27"/>
      <c r="D253" s="27"/>
      <c r="E253" s="56"/>
      <c r="F253" s="56"/>
      <c r="G253" s="56"/>
    </row>
    <row r="254" spans="2:7">
      <c r="B254" s="27">
        <f t="shared" si="3"/>
        <v>250</v>
      </c>
      <c r="C254" s="27"/>
      <c r="D254" s="27"/>
      <c r="E254" s="56"/>
      <c r="F254" s="56"/>
      <c r="G254" s="56"/>
    </row>
    <row r="255" spans="2:7">
      <c r="B255" s="27">
        <f t="shared" si="3"/>
        <v>251</v>
      </c>
      <c r="C255" s="27"/>
      <c r="D255" s="27"/>
      <c r="E255" s="56"/>
      <c r="F255" s="56"/>
      <c r="G255" s="56"/>
    </row>
    <row r="256" spans="2:7">
      <c r="B256" s="27">
        <f t="shared" si="3"/>
        <v>252</v>
      </c>
      <c r="C256" s="27"/>
      <c r="D256" s="27"/>
      <c r="E256" s="56"/>
      <c r="F256" s="56"/>
      <c r="G256" s="56"/>
    </row>
    <row r="257" spans="2:7">
      <c r="B257" s="27">
        <f t="shared" si="3"/>
        <v>253</v>
      </c>
      <c r="C257" s="27"/>
      <c r="D257" s="27"/>
      <c r="E257" s="56"/>
      <c r="F257" s="56"/>
      <c r="G257" s="56"/>
    </row>
    <row r="258" spans="2:7">
      <c r="B258" s="27">
        <f t="shared" si="3"/>
        <v>254</v>
      </c>
      <c r="C258" s="27"/>
      <c r="D258" s="27"/>
      <c r="E258" s="56"/>
      <c r="F258" s="56"/>
      <c r="G258" s="56"/>
    </row>
    <row r="259" spans="2:7">
      <c r="B259" s="27">
        <f t="shared" si="3"/>
        <v>255</v>
      </c>
      <c r="C259" s="27"/>
      <c r="D259" s="27"/>
      <c r="E259" s="56"/>
      <c r="F259" s="56"/>
      <c r="G259" s="56"/>
    </row>
    <row r="260" spans="2:7">
      <c r="B260" s="27">
        <f t="shared" si="3"/>
        <v>256</v>
      </c>
      <c r="C260" s="27"/>
      <c r="D260" s="27"/>
      <c r="E260" s="56"/>
      <c r="F260" s="56"/>
      <c r="G260" s="56"/>
    </row>
    <row r="261" spans="2:7">
      <c r="B261" s="27">
        <f t="shared" si="3"/>
        <v>257</v>
      </c>
      <c r="C261" s="27"/>
      <c r="D261" s="27"/>
      <c r="E261" s="56"/>
      <c r="F261" s="56"/>
      <c r="G261" s="56"/>
    </row>
    <row r="262" spans="2:7">
      <c r="B262" s="27">
        <f t="shared" si="3"/>
        <v>258</v>
      </c>
      <c r="C262" s="27"/>
      <c r="D262" s="27"/>
      <c r="E262" s="56"/>
      <c r="F262" s="56"/>
      <c r="G262" s="56"/>
    </row>
    <row r="263" spans="2:7">
      <c r="B263" s="27">
        <f t="shared" ref="B263:B304" si="4">B262+1</f>
        <v>259</v>
      </c>
      <c r="C263" s="27"/>
      <c r="D263" s="27"/>
      <c r="E263" s="56"/>
      <c r="F263" s="56"/>
      <c r="G263" s="56"/>
    </row>
    <row r="264" spans="2:7">
      <c r="B264" s="27">
        <f t="shared" si="4"/>
        <v>260</v>
      </c>
      <c r="C264" s="27"/>
      <c r="D264" s="27"/>
      <c r="E264" s="56"/>
      <c r="F264" s="56"/>
      <c r="G264" s="56"/>
    </row>
    <row r="265" spans="2:7">
      <c r="B265" s="27">
        <f t="shared" si="4"/>
        <v>261</v>
      </c>
      <c r="C265" s="27"/>
      <c r="D265" s="27"/>
      <c r="E265" s="56"/>
      <c r="F265" s="56"/>
      <c r="G265" s="56"/>
    </row>
    <row r="266" spans="2:7">
      <c r="B266" s="27">
        <f t="shared" si="4"/>
        <v>262</v>
      </c>
      <c r="C266" s="27"/>
      <c r="D266" s="27"/>
      <c r="E266" s="56"/>
      <c r="F266" s="56"/>
      <c r="G266" s="56"/>
    </row>
    <row r="267" spans="2:7">
      <c r="B267" s="27">
        <f t="shared" si="4"/>
        <v>263</v>
      </c>
      <c r="C267" s="27"/>
      <c r="D267" s="27"/>
      <c r="E267" s="56"/>
      <c r="F267" s="56"/>
      <c r="G267" s="56"/>
    </row>
    <row r="268" spans="2:7">
      <c r="B268" s="27">
        <f t="shared" si="4"/>
        <v>264</v>
      </c>
      <c r="C268" s="27"/>
      <c r="D268" s="27"/>
      <c r="E268" s="56"/>
      <c r="F268" s="56"/>
      <c r="G268" s="56"/>
    </row>
    <row r="269" spans="2:7">
      <c r="B269" s="27">
        <f t="shared" si="4"/>
        <v>265</v>
      </c>
      <c r="C269" s="27"/>
      <c r="D269" s="27"/>
      <c r="E269" s="56"/>
      <c r="F269" s="56"/>
      <c r="G269" s="56"/>
    </row>
    <row r="270" spans="2:7">
      <c r="B270" s="27">
        <f t="shared" si="4"/>
        <v>266</v>
      </c>
      <c r="C270" s="27"/>
      <c r="D270" s="27"/>
      <c r="E270" s="56"/>
      <c r="F270" s="56"/>
      <c r="G270" s="56"/>
    </row>
    <row r="271" spans="2:7">
      <c r="B271" s="27">
        <f t="shared" si="4"/>
        <v>267</v>
      </c>
      <c r="C271" s="27"/>
      <c r="D271" s="27"/>
      <c r="E271" s="56"/>
      <c r="F271" s="56"/>
      <c r="G271" s="56"/>
    </row>
    <row r="272" spans="2:7">
      <c r="B272" s="27">
        <f t="shared" si="4"/>
        <v>268</v>
      </c>
      <c r="C272" s="27"/>
      <c r="D272" s="27"/>
      <c r="E272" s="56"/>
      <c r="F272" s="56"/>
      <c r="G272" s="56"/>
    </row>
    <row r="273" spans="2:7">
      <c r="B273" s="27">
        <f t="shared" si="4"/>
        <v>269</v>
      </c>
      <c r="C273" s="27"/>
      <c r="D273" s="27"/>
      <c r="E273" s="56"/>
      <c r="F273" s="56"/>
      <c r="G273" s="56"/>
    </row>
    <row r="274" spans="2:7">
      <c r="B274" s="27">
        <f t="shared" si="4"/>
        <v>270</v>
      </c>
      <c r="C274" s="27"/>
      <c r="D274" s="27"/>
      <c r="E274" s="56"/>
      <c r="F274" s="56"/>
      <c r="G274" s="56"/>
    </row>
    <row r="275" spans="2:7">
      <c r="B275" s="27">
        <f t="shared" si="4"/>
        <v>271</v>
      </c>
      <c r="C275" s="27"/>
      <c r="D275" s="27"/>
      <c r="E275" s="56"/>
      <c r="F275" s="56"/>
      <c r="G275" s="56"/>
    </row>
    <row r="276" spans="2:7">
      <c r="B276" s="27">
        <f t="shared" si="4"/>
        <v>272</v>
      </c>
      <c r="C276" s="27"/>
      <c r="D276" s="27"/>
      <c r="E276" s="56"/>
      <c r="F276" s="56"/>
      <c r="G276" s="56"/>
    </row>
    <row r="277" spans="2:7">
      <c r="B277" s="27">
        <f t="shared" si="4"/>
        <v>273</v>
      </c>
      <c r="C277" s="27"/>
      <c r="D277" s="27"/>
      <c r="E277" s="56"/>
      <c r="F277" s="56"/>
      <c r="G277" s="56"/>
    </row>
    <row r="278" spans="2:7">
      <c r="B278" s="27">
        <f t="shared" si="4"/>
        <v>274</v>
      </c>
      <c r="C278" s="27"/>
      <c r="D278" s="27"/>
      <c r="E278" s="56"/>
      <c r="F278" s="56"/>
      <c r="G278" s="56"/>
    </row>
    <row r="279" spans="2:7">
      <c r="B279" s="27">
        <f t="shared" si="4"/>
        <v>275</v>
      </c>
      <c r="C279" s="27"/>
      <c r="D279" s="27"/>
      <c r="E279" s="56"/>
      <c r="F279" s="56"/>
      <c r="G279" s="56"/>
    </row>
    <row r="280" spans="2:7">
      <c r="B280" s="27">
        <f t="shared" si="4"/>
        <v>276</v>
      </c>
      <c r="C280" s="27"/>
      <c r="D280" s="27"/>
      <c r="E280" s="56"/>
      <c r="F280" s="56"/>
      <c r="G280" s="56"/>
    </row>
    <row r="281" spans="2:7">
      <c r="B281" s="27">
        <f t="shared" si="4"/>
        <v>277</v>
      </c>
      <c r="C281" s="27"/>
      <c r="D281" s="27"/>
      <c r="E281" s="56"/>
      <c r="F281" s="56"/>
      <c r="G281" s="56"/>
    </row>
    <row r="282" spans="2:7">
      <c r="B282" s="27">
        <f t="shared" si="4"/>
        <v>278</v>
      </c>
      <c r="C282" s="27"/>
      <c r="D282" s="27"/>
      <c r="E282" s="56"/>
      <c r="F282" s="56"/>
      <c r="G282" s="56"/>
    </row>
    <row r="283" spans="2:7">
      <c r="B283" s="27">
        <f t="shared" si="4"/>
        <v>279</v>
      </c>
      <c r="C283" s="27"/>
      <c r="D283" s="27"/>
      <c r="E283" s="56"/>
      <c r="F283" s="56"/>
      <c r="G283" s="56"/>
    </row>
    <row r="284" spans="2:7">
      <c r="B284" s="27">
        <f t="shared" si="4"/>
        <v>280</v>
      </c>
      <c r="C284" s="27"/>
      <c r="D284" s="27"/>
      <c r="E284" s="56"/>
      <c r="F284" s="56"/>
      <c r="G284" s="56"/>
    </row>
    <row r="285" spans="2:7">
      <c r="B285" s="27">
        <f t="shared" si="4"/>
        <v>281</v>
      </c>
      <c r="C285" s="27"/>
      <c r="D285" s="27"/>
      <c r="E285" s="56"/>
      <c r="F285" s="56"/>
      <c r="G285" s="56"/>
    </row>
    <row r="286" spans="2:7">
      <c r="B286" s="27">
        <f t="shared" si="4"/>
        <v>282</v>
      </c>
      <c r="C286" s="27"/>
      <c r="D286" s="27"/>
      <c r="E286" s="56"/>
      <c r="F286" s="56"/>
      <c r="G286" s="56"/>
    </row>
    <row r="287" spans="2:7">
      <c r="B287" s="27">
        <f t="shared" si="4"/>
        <v>283</v>
      </c>
      <c r="C287" s="27"/>
      <c r="D287" s="27"/>
      <c r="E287" s="56"/>
      <c r="F287" s="56"/>
      <c r="G287" s="56"/>
    </row>
    <row r="288" spans="2:7">
      <c r="B288" s="27">
        <f t="shared" si="4"/>
        <v>284</v>
      </c>
      <c r="C288" s="27"/>
      <c r="D288" s="27"/>
      <c r="E288" s="56"/>
      <c r="F288" s="56"/>
      <c r="G288" s="56"/>
    </row>
    <row r="289" spans="2:7">
      <c r="B289" s="27">
        <f t="shared" si="4"/>
        <v>285</v>
      </c>
      <c r="C289" s="27"/>
      <c r="D289" s="27"/>
      <c r="E289" s="56"/>
      <c r="F289" s="56"/>
      <c r="G289" s="56"/>
    </row>
    <row r="290" spans="2:7">
      <c r="B290" s="27">
        <f t="shared" si="4"/>
        <v>286</v>
      </c>
      <c r="C290" s="27"/>
      <c r="D290" s="27"/>
      <c r="E290" s="56"/>
      <c r="F290" s="56"/>
      <c r="G290" s="56"/>
    </row>
    <row r="291" spans="2:7">
      <c r="B291" s="27">
        <f t="shared" si="4"/>
        <v>287</v>
      </c>
      <c r="C291" s="27"/>
      <c r="D291" s="27"/>
      <c r="E291" s="56"/>
      <c r="F291" s="56"/>
      <c r="G291" s="56"/>
    </row>
    <row r="292" spans="2:7">
      <c r="B292" s="27">
        <f t="shared" si="4"/>
        <v>288</v>
      </c>
      <c r="C292" s="27"/>
      <c r="D292" s="27"/>
      <c r="E292" s="56"/>
      <c r="F292" s="56"/>
      <c r="G292" s="56"/>
    </row>
    <row r="293" spans="2:7">
      <c r="B293" s="27">
        <f t="shared" si="4"/>
        <v>289</v>
      </c>
      <c r="C293" s="27"/>
      <c r="D293" s="27"/>
      <c r="E293" s="56"/>
      <c r="F293" s="56"/>
      <c r="G293" s="56"/>
    </row>
    <row r="294" spans="2:7">
      <c r="B294" s="27">
        <f t="shared" si="4"/>
        <v>290</v>
      </c>
      <c r="C294" s="27"/>
      <c r="D294" s="27"/>
      <c r="E294" s="56"/>
      <c r="F294" s="56"/>
      <c r="G294" s="56"/>
    </row>
    <row r="295" spans="2:7">
      <c r="B295" s="27">
        <f t="shared" si="4"/>
        <v>291</v>
      </c>
      <c r="C295" s="27"/>
      <c r="D295" s="27"/>
      <c r="E295" s="56"/>
      <c r="F295" s="56"/>
      <c r="G295" s="56"/>
    </row>
    <row r="296" spans="2:7">
      <c r="B296" s="27">
        <f t="shared" si="4"/>
        <v>292</v>
      </c>
      <c r="C296" s="27"/>
      <c r="D296" s="27"/>
      <c r="E296" s="56"/>
      <c r="F296" s="56"/>
      <c r="G296" s="56"/>
    </row>
    <row r="297" spans="2:7">
      <c r="B297" s="27">
        <f t="shared" si="4"/>
        <v>293</v>
      </c>
      <c r="C297" s="27"/>
      <c r="D297" s="27"/>
      <c r="E297" s="56"/>
      <c r="F297" s="56"/>
      <c r="G297" s="56"/>
    </row>
    <row r="298" spans="2:7">
      <c r="B298" s="27">
        <f t="shared" si="4"/>
        <v>294</v>
      </c>
      <c r="C298" s="27"/>
      <c r="D298" s="27"/>
      <c r="E298" s="56"/>
      <c r="F298" s="56"/>
      <c r="G298" s="56"/>
    </row>
    <row r="299" spans="2:7">
      <c r="B299" s="27">
        <f t="shared" si="4"/>
        <v>295</v>
      </c>
      <c r="C299" s="27"/>
      <c r="D299" s="27"/>
      <c r="E299" s="56"/>
      <c r="F299" s="56"/>
      <c r="G299" s="56"/>
    </row>
    <row r="300" spans="2:7">
      <c r="B300" s="27">
        <f t="shared" si="4"/>
        <v>296</v>
      </c>
      <c r="C300" s="27"/>
      <c r="D300" s="27"/>
      <c r="E300" s="56"/>
      <c r="F300" s="56"/>
      <c r="G300" s="56"/>
    </row>
    <row r="301" spans="2:7">
      <c r="B301" s="27">
        <f t="shared" si="4"/>
        <v>297</v>
      </c>
      <c r="C301" s="27"/>
      <c r="D301" s="27"/>
      <c r="E301" s="56"/>
      <c r="F301" s="56"/>
      <c r="G301" s="56"/>
    </row>
    <row r="302" spans="2:7">
      <c r="B302" s="27">
        <f t="shared" si="4"/>
        <v>298</v>
      </c>
      <c r="C302" s="27"/>
      <c r="D302" s="27"/>
      <c r="E302" s="56"/>
      <c r="F302" s="56"/>
      <c r="G302" s="56"/>
    </row>
    <row r="303" spans="2:7">
      <c r="B303" s="27">
        <f t="shared" si="4"/>
        <v>299</v>
      </c>
      <c r="C303" s="27"/>
      <c r="D303" s="27"/>
      <c r="E303" s="56"/>
      <c r="F303" s="56"/>
      <c r="G303" s="56"/>
    </row>
    <row r="304" spans="2:7">
      <c r="B304" s="27">
        <f t="shared" si="4"/>
        <v>300</v>
      </c>
      <c r="C304" s="27"/>
      <c r="D304" s="27"/>
      <c r="E304" s="56"/>
      <c r="F304" s="56"/>
      <c r="G304" s="56"/>
    </row>
  </sheetData>
  <sheetProtection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FF"/>
  </sheetPr>
  <dimension ref="A1:U834"/>
  <sheetViews>
    <sheetView tabSelected="1" topLeftCell="L1" zoomScale="120" zoomScaleNormal="120" workbookViewId="0">
      <pane ySplit="1" topLeftCell="A2" activePane="bottomLeft" state="frozen"/>
      <selection pane="bottomLeft" activeCell="T1" sqref="T1"/>
    </sheetView>
  </sheetViews>
  <sheetFormatPr defaultColWidth="9" defaultRowHeight="13.2"/>
  <cols>
    <col min="1" max="1" width="27.21875" style="53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60"/>
    <col min="17" max="17" width="58" bestFit="1" customWidth="1"/>
    <col min="18" max="18" width="4.5546875" bestFit="1" customWidth="1"/>
    <col min="19" max="19" width="28.5546875" customWidth="1"/>
  </cols>
  <sheetData>
    <row r="1" spans="1:21" s="23" customFormat="1" ht="48">
      <c r="A1" s="18" t="s">
        <v>0</v>
      </c>
      <c r="B1" s="18" t="s">
        <v>1220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1221</v>
      </c>
      <c r="H1" s="20" t="s">
        <v>4</v>
      </c>
      <c r="I1" s="18" t="s">
        <v>5</v>
      </c>
      <c r="J1" s="21" t="s">
        <v>1222</v>
      </c>
      <c r="K1" s="20" t="s">
        <v>1223</v>
      </c>
      <c r="L1" s="18" t="s">
        <v>7</v>
      </c>
      <c r="M1" s="22" t="s">
        <v>1237</v>
      </c>
      <c r="N1" s="24" t="s">
        <v>4037</v>
      </c>
      <c r="O1" s="24" t="s">
        <v>4036</v>
      </c>
      <c r="P1" s="57" t="s">
        <v>4035</v>
      </c>
      <c r="Q1" s="25" t="s">
        <v>4038</v>
      </c>
      <c r="S1" s="23" t="s">
        <v>4039</v>
      </c>
      <c r="T1" s="23" t="s">
        <v>4060</v>
      </c>
      <c r="U1" s="23" t="s">
        <v>4076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IF(match_results_2!C2="完全一致","〇","×")</f>
        <v>×</v>
      </c>
      <c r="O2" t="str">
        <f>IF(match_results_2!C2="薬価一致候補","〇","×")</f>
        <v>〇</v>
      </c>
      <c r="P2" s="58">
        <f>IF(match_results_2!E2="","",match_results_2!E2)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>
        <f>統合マスタ!AA5</f>
        <v>0</v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IF(match_results_2!C3="完全一致","〇","×")</f>
        <v>×</v>
      </c>
      <c r="O3" t="str">
        <f>IF(match_results_2!C3="薬価一致候補","〇","×")</f>
        <v>〇</v>
      </c>
      <c r="P3" s="58">
        <f>IF(match_results_2!E3="","",match_results_2!E3)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>
        <f>統合マスタ!AA6</f>
        <v>0</v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IF(match_results_2!C4="完全一致","〇","×")</f>
        <v>×</v>
      </c>
      <c r="O4" t="str">
        <f>IF(match_results_2!C4="薬価一致候補","〇","×")</f>
        <v>〇</v>
      </c>
      <c r="P4" s="58">
        <f>IF(match_results_2!E4="","",match_results_2!E4)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>
        <f>統合マスタ!AA7</f>
        <v>0</v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IF(match_results_2!C5="完全一致","〇","×")</f>
        <v>×</v>
      </c>
      <c r="O5" t="str">
        <f>IF(match_results_2!C5="薬価一致候補","〇","×")</f>
        <v>〇</v>
      </c>
      <c r="P5" s="58">
        <f>IF(match_results_2!E5="","",match_results_2!E5)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>
        <f>統合マスタ!AA8</f>
        <v>0</v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IF(match_results_2!C6="完全一致","〇","×")</f>
        <v>×</v>
      </c>
      <c r="O6" t="str">
        <f>IF(match_results_2!C6="薬価一致候補","〇","×")</f>
        <v>〇</v>
      </c>
      <c r="P6" s="58">
        <f>IF(match_results_2!E6="","",match_results_2!E6)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>
        <f>統合マスタ!AA9</f>
        <v>0</v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IF(match_results_2!C7="完全一致","〇","×")</f>
        <v>×</v>
      </c>
      <c r="O7" t="str">
        <f>IF(match_results_2!C7="薬価一致候補","〇","×")</f>
        <v>〇</v>
      </c>
      <c r="P7" s="59">
        <v>299</v>
      </c>
      <c r="Q7" s="51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>
        <f>統合マスタ!AA10</f>
        <v>0</v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IF(match_results_2!C8="完全一致","〇","×")</f>
        <v>×</v>
      </c>
      <c r="O8" t="str">
        <f>IF(match_results_2!C8="薬価一致候補","〇","×")</f>
        <v>〇</v>
      </c>
      <c r="P8" s="58">
        <f>IF(match_results_2!E8="","",match_results_2!E8)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>
        <f>統合マスタ!AA11</f>
        <v>0</v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IF(match_results_2!C9="完全一致","〇","×")</f>
        <v>×</v>
      </c>
      <c r="O9" t="str">
        <f>IF(match_results_2!C9="薬価一致候補","〇","×")</f>
        <v>〇</v>
      </c>
      <c r="Q9" t="str">
        <f ca="1">OFFSET(マスタ非採用削除!$C$4,元データ!P9,0)</f>
        <v>名称</v>
      </c>
      <c r="R9">
        <f t="shared" si="4"/>
        <v>8</v>
      </c>
      <c r="S9" t="str">
        <f t="shared" si="3"/>
        <v>048　ﾂﾑﾗ　ｼﾞｭｳｾﾞﾝﾀｲﾎﾄｳ</v>
      </c>
      <c r="T9">
        <v>0</v>
      </c>
      <c r="U9">
        <f>統合マスタ!AA12</f>
        <v>0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IF(match_results_2!C10="完全一致","〇","×")</f>
        <v>×</v>
      </c>
      <c r="O10" t="str">
        <f>IF(match_results_2!C10="薬価一致候補","〇","×")</f>
        <v>〇</v>
      </c>
      <c r="P10" s="59">
        <v>302</v>
      </c>
      <c r="Q10" s="51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>
        <f>統合マスタ!AA13</f>
        <v>0</v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IF(match_results_2!C11="完全一致","〇","×")</f>
        <v>×</v>
      </c>
      <c r="O11" t="str">
        <f>IF(match_results_2!C11="薬価一致候補","〇","×")</f>
        <v>〇</v>
      </c>
      <c r="P11" s="58">
        <f>IF(match_results_2!E11="","",match_results_2!E11)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>
        <f>統合マスタ!AA14</f>
        <v>0</v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IF(match_results_2!C12="完全一致","〇","×")</f>
        <v>×</v>
      </c>
      <c r="O12" t="str">
        <f>IF(match_results_2!C12="薬価一致候補","〇","×")</f>
        <v>〇</v>
      </c>
      <c r="P12" s="59">
        <v>304</v>
      </c>
      <c r="Q12" s="51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>
        <f>統合マスタ!AA15</f>
        <v>0</v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IF(match_results_2!C13="完全一致","〇","×")</f>
        <v>×</v>
      </c>
      <c r="O13" t="str">
        <f>IF(match_results_2!C13="薬価一致候補","〇","×")</f>
        <v>〇</v>
      </c>
      <c r="P13" s="59">
        <v>305</v>
      </c>
      <c r="Q13" s="51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>
        <f>統合マスタ!AA16</f>
        <v>0</v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IF(match_results_2!C14="完全一致","〇","×")</f>
        <v>×</v>
      </c>
      <c r="O14" t="str">
        <f>IF(match_results_2!C14="薬価一致候補","〇","×")</f>
        <v>〇</v>
      </c>
      <c r="P14" s="58">
        <f>IF(match_results_2!E14="","",match_results_2!E14)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>
        <f>統合マスタ!AA17</f>
        <v>0</v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IF(match_results_2!C15="完全一致","〇","×")</f>
        <v>×</v>
      </c>
      <c r="O15" t="str">
        <f>IF(match_results_2!C15="薬価一致候補","〇","×")</f>
        <v>〇</v>
      </c>
      <c r="P15" s="58">
        <f>IF(match_results_2!E15="","",match_results_2!E15)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>
        <f>統合マスタ!AA18</f>
        <v>0</v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IF(match_results_2!C16="完全一致","〇","×")</f>
        <v>×</v>
      </c>
      <c r="O16" t="str">
        <f>IF(match_results_2!C16="薬価一致候補","〇","×")</f>
        <v>〇</v>
      </c>
      <c r="P16" s="58">
        <f>IF(match_results_2!E16="","",match_results_2!E16)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>
        <f>統合マスタ!AA19</f>
        <v>0</v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IF(match_results_2!C17="完全一致","〇","×")</f>
        <v>×</v>
      </c>
      <c r="O17" t="str">
        <f>IF(match_results_2!C17="薬価一致候補","〇","×")</f>
        <v>〇</v>
      </c>
      <c r="P17" s="59">
        <v>43</v>
      </c>
      <c r="Q17" s="51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>
        <f>統合マスタ!AA20</f>
        <v>0</v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IF(match_results_2!C18="完全一致","〇","×")</f>
        <v>×</v>
      </c>
      <c r="O18" t="str">
        <f>IF(match_results_2!C18="薬価一致候補","〇","×")</f>
        <v>〇</v>
      </c>
      <c r="P18" s="58">
        <f>IF(match_results_2!E18="","",match_results_2!E18)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>
        <f>統合マスタ!AA21</f>
        <v>0</v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IF(match_results_2!C19="完全一致","〇","×")</f>
        <v>×</v>
      </c>
      <c r="O19" t="str">
        <f>IF(match_results_2!C19="薬価一致候補","〇","×")</f>
        <v>〇</v>
      </c>
      <c r="P19" s="58">
        <f>IF(match_results_2!E19="","",match_results_2!E19)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>
        <f>統合マスタ!AA22</f>
        <v>0</v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IF(match_results_2!C20="完全一致","〇","×")</f>
        <v>×</v>
      </c>
      <c r="O20" t="str">
        <f>IF(match_results_2!C20="薬価一致候補","〇","×")</f>
        <v>〇</v>
      </c>
      <c r="P20" s="58">
        <f>IF(match_results_2!E20="","",match_results_2!E20)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>
        <f>統合マスタ!AA23</f>
        <v>0</v>
      </c>
    </row>
    <row r="21" spans="1:21">
      <c r="A21" s="52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IF(match_results_2!C21="完全一致","〇","×")</f>
        <v>×</v>
      </c>
      <c r="O21" t="str">
        <f>IF(match_results_2!C21="薬価一致候補","〇","×")</f>
        <v>×</v>
      </c>
      <c r="P21" s="67" t="s">
        <v>4076</v>
      </c>
      <c r="Q21" s="68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IF(match_results_2!C22="完全一致","〇","×")</f>
        <v>×</v>
      </c>
      <c r="O22" t="str">
        <f>IF(match_results_2!C22="薬価一致候補","〇","×")</f>
        <v>〇</v>
      </c>
      <c r="P22" s="58">
        <f>IF(match_results_2!E22="","",match_results_2!E22)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>
        <f>統合マスタ!AA25</f>
        <v>0</v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IF(match_results_2!C23="完全一致","〇","×")</f>
        <v>×</v>
      </c>
      <c r="O23" t="str">
        <f>IF(match_results_2!C23="薬価一致候補","〇","×")</f>
        <v>〇</v>
      </c>
      <c r="P23" s="58">
        <f>IF(match_results_2!E23="","",match_results_2!E23)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>
        <f>統合マスタ!AA26</f>
        <v>0</v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IF(match_results_2!C24="完全一致","〇","×")</f>
        <v>×</v>
      </c>
      <c r="O24" t="str">
        <f>IF(match_results_2!C24="薬価一致候補","〇","×")</f>
        <v>〇</v>
      </c>
      <c r="P24" s="58">
        <f>IF(match_results_2!E24="","",match_results_2!E24)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>
        <f>統合マスタ!AA27</f>
        <v>0</v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IF(match_results_2!C25="完全一致","〇","×")</f>
        <v>×</v>
      </c>
      <c r="O25" t="str">
        <f>IF(match_results_2!C25="薬価一致候補","〇","×")</f>
        <v>〇</v>
      </c>
      <c r="P25" s="59">
        <v>59</v>
      </c>
      <c r="Q25" s="51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>
        <f>統合マスタ!AA28</f>
        <v>0</v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IF(match_results_2!C26="完全一致","〇","×")</f>
        <v>〇</v>
      </c>
      <c r="O26" t="str">
        <f>IF(match_results_2!C26="薬価一致候補","〇","×")</f>
        <v>×</v>
      </c>
      <c r="P26" s="58">
        <f>IF(match_results_2!E26="","",match_results_2!E26)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>
        <f>統合マスタ!AA29</f>
        <v>0</v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IF(match_results_2!C27="完全一致","〇","×")</f>
        <v>×</v>
      </c>
      <c r="O27" t="str">
        <f>IF(match_results_2!C27="薬価一致候補","〇","×")</f>
        <v>〇</v>
      </c>
      <c r="P27" s="59">
        <v>581</v>
      </c>
      <c r="Q27" s="51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>
        <f>統合マスタ!AA30</f>
        <v>0</v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IF(match_results_2!C28="完全一致","〇","×")</f>
        <v>〇</v>
      </c>
      <c r="O28" t="str">
        <f>IF(match_results_2!C28="薬価一致候補","〇","×")</f>
        <v>×</v>
      </c>
      <c r="P28" s="58">
        <f>IF(match_results_2!E28="","",match_results_2!E28)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>
        <f>統合マスタ!AA31</f>
        <v>0</v>
      </c>
    </row>
    <row r="29" spans="1:21">
      <c r="A29" s="52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IF(match_results_2!C29="完全一致","〇","×")</f>
        <v>×</v>
      </c>
      <c r="O29" t="str">
        <f>IF(match_results_2!C29="薬価一致候補","〇","×")</f>
        <v>×</v>
      </c>
      <c r="P29" s="67" t="s">
        <v>4076</v>
      </c>
      <c r="Q29" s="68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</v>
      </c>
      <c r="U29" t="str">
        <f>統合マスタ!AA32</f>
        <v>非採用</v>
      </c>
    </row>
    <row r="30" spans="1:21" ht="24.6">
      <c r="A30" s="52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IF(match_results_2!C30="完全一致","〇","×")</f>
        <v>×</v>
      </c>
      <c r="O30" t="str">
        <f>IF(match_results_2!C30="薬価一致候補","〇","×")</f>
        <v>×</v>
      </c>
      <c r="P30" s="67" t="s">
        <v>4076</v>
      </c>
      <c r="Q30" s="68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</v>
      </c>
      <c r="U30" t="str">
        <f>統合マスタ!AA33</f>
        <v>非採用</v>
      </c>
    </row>
    <row r="31" spans="1:21">
      <c r="A31" s="52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IF(match_results_2!C31="完全一致","〇","×")</f>
        <v>×</v>
      </c>
      <c r="O31" t="str">
        <f>IF(match_results_2!C31="薬価一致候補","〇","×")</f>
        <v>×</v>
      </c>
      <c r="P31" s="67" t="s">
        <v>4076</v>
      </c>
      <c r="Q31" s="68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IF(match_results_2!C32="完全一致","〇","×")</f>
        <v>×</v>
      </c>
      <c r="O32" t="str">
        <f>IF(match_results_2!C32="薬価一致候補","〇","×")</f>
        <v>〇</v>
      </c>
      <c r="P32" s="58">
        <f>IF(match_results_2!E32="","",match_results_2!E32)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>
        <f>統合マスタ!AA35</f>
        <v>0</v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IF(match_results_2!C33="完全一致","〇","×")</f>
        <v>〇</v>
      </c>
      <c r="O33" t="str">
        <f>IF(match_results_2!C33="薬価一致候補","〇","×")</f>
        <v>×</v>
      </c>
      <c r="P33" s="58">
        <f>IF(match_results_2!E33="","",match_results_2!E33)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>
        <f>統合マスタ!AA36</f>
        <v>0</v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IF(match_results_2!C34="完全一致","〇","×")</f>
        <v>×</v>
      </c>
      <c r="O34" t="str">
        <f>IF(match_results_2!C34="薬価一致候補","〇","×")</f>
        <v>〇</v>
      </c>
      <c r="P34" s="58">
        <f>IF(match_results_2!E34="","",match_results_2!E34)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>
        <f>統合マスタ!AA37</f>
        <v>0</v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IF(match_results_2!C35="完全一致","〇","×")</f>
        <v>〇</v>
      </c>
      <c r="O35" t="str">
        <f>IF(match_results_2!C35="薬価一致候補","〇","×")</f>
        <v>×</v>
      </c>
      <c r="P35" s="58">
        <f>IF(match_results_2!E35="","",match_results_2!E35)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>
        <f>統合マスタ!AA38</f>
        <v>0</v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IF(match_results_2!C36="完全一致","〇","×")</f>
        <v>〇</v>
      </c>
      <c r="O36" t="str">
        <f>IF(match_results_2!C36="薬価一致候補","〇","×")</f>
        <v>×</v>
      </c>
      <c r="P36" s="58">
        <f>IF(match_results_2!E36="","",match_results_2!E36)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>
        <f>統合マスタ!AA39</f>
        <v>0</v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IF(match_results_2!C37="完全一致","〇","×")</f>
        <v>〇</v>
      </c>
      <c r="O37" t="str">
        <f>IF(match_results_2!C37="薬価一致候補","〇","×")</f>
        <v>×</v>
      </c>
      <c r="P37" s="58">
        <f>IF(match_results_2!E37="","",match_results_2!E37)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>
        <f>統合マスタ!AA40</f>
        <v>0</v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IF(match_results_2!C38="完全一致","〇","×")</f>
        <v>〇</v>
      </c>
      <c r="O38" t="str">
        <f>IF(match_results_2!C38="薬価一致候補","〇","×")</f>
        <v>×</v>
      </c>
      <c r="P38" s="58">
        <f>IF(match_results_2!E38="","",match_results_2!E38)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>
        <f>統合マスタ!AA41</f>
        <v>0</v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IF(match_results_2!C39="完全一致","〇","×")</f>
        <v>〇</v>
      </c>
      <c r="O39" t="str">
        <f>IF(match_results_2!C39="薬価一致候補","〇","×")</f>
        <v>×</v>
      </c>
      <c r="P39" s="58">
        <f>IF(match_results_2!E39="","",match_results_2!E39)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>
        <f>統合マスタ!AA42</f>
        <v>0</v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IF(match_results_2!C40="完全一致","〇","×")</f>
        <v>〇</v>
      </c>
      <c r="O40" t="str">
        <f>IF(match_results_2!C40="薬価一致候補","〇","×")</f>
        <v>×</v>
      </c>
      <c r="P40" s="58">
        <f>IF(match_results_2!E40="","",match_results_2!E40)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>
        <f>統合マスタ!AA43</f>
        <v>0</v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IF(match_results_2!C41="完全一致","〇","×")</f>
        <v>×</v>
      </c>
      <c r="O41" t="str">
        <f>IF(match_results_2!C41="薬価一致候補","〇","×")</f>
        <v>〇</v>
      </c>
      <c r="P41" s="58">
        <f>IF(match_results_2!E41="","",match_results_2!E41)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>
        <f>統合マスタ!AA44</f>
        <v>0</v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IF(match_results_2!C42="完全一致","〇","×")</f>
        <v>×</v>
      </c>
      <c r="O42" t="str">
        <f>IF(match_results_2!C42="薬価一致候補","〇","×")</f>
        <v>〇</v>
      </c>
      <c r="Q42" t="str">
        <f ca="1">OFFSET(マスタ非採用削除!$C$4,元データ!P42,0)</f>
        <v>名称</v>
      </c>
      <c r="R42">
        <f t="shared" si="4"/>
        <v>41</v>
      </c>
      <c r="S42" t="str">
        <f t="shared" si="3"/>
        <v>アスコルビン酸注射液500ｍｇ「トーワ」　　</v>
      </c>
      <c r="T42">
        <v>0</v>
      </c>
      <c r="U42">
        <f>統合マスタ!AA45</f>
        <v>0</v>
      </c>
    </row>
    <row r="43" spans="1:21">
      <c r="A43" s="52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IF(match_results_2!C43="完全一致","〇","×")</f>
        <v>×</v>
      </c>
      <c r="O43" t="str">
        <f>IF(match_results_2!C43="薬価一致候補","〇","×")</f>
        <v>×</v>
      </c>
      <c r="P43" s="67" t="s">
        <v>4076</v>
      </c>
      <c r="Q43" s="68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IF(match_results_2!C44="完全一致","〇","×")</f>
        <v>〇</v>
      </c>
      <c r="O44" t="str">
        <f>IF(match_results_2!C44="薬価一致候補","〇","×")</f>
        <v>×</v>
      </c>
      <c r="P44" s="58">
        <f>IF(match_results_2!E44="","",match_results_2!E44)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>
        <f>統合マスタ!AA47</f>
        <v>0</v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IF(match_results_2!C45="完全一致","〇","×")</f>
        <v>〇</v>
      </c>
      <c r="O45" t="str">
        <f>IF(match_results_2!C45="薬価一致候補","〇","×")</f>
        <v>×</v>
      </c>
      <c r="P45" s="58">
        <f>IF(match_results_2!E45="","",match_results_2!E45)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>
        <f>統合マスタ!AA48</f>
        <v>0</v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IF(match_results_2!C46="完全一致","〇","×")</f>
        <v>〇</v>
      </c>
      <c r="O46" t="str">
        <f>IF(match_results_2!C46="薬価一致候補","〇","×")</f>
        <v>×</v>
      </c>
      <c r="P46" s="58">
        <f>IF(match_results_2!E46="","",match_results_2!E46)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>
        <f>統合マスタ!AA49</f>
        <v>0</v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IF(match_results_2!C47="完全一致","〇","×")</f>
        <v>〇</v>
      </c>
      <c r="O47" t="str">
        <f>IF(match_results_2!C47="薬価一致候補","〇","×")</f>
        <v>×</v>
      </c>
      <c r="P47" s="58">
        <f>IF(match_results_2!E47="","",match_results_2!E47)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>
        <f>統合マスタ!AA50</f>
        <v>0</v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IF(match_results_2!C48="完全一致","〇","×")</f>
        <v>〇</v>
      </c>
      <c r="O48" t="str">
        <f>IF(match_results_2!C48="薬価一致候補","〇","×")</f>
        <v>×</v>
      </c>
      <c r="P48" s="58">
        <f>IF(match_results_2!E48="","",match_results_2!E48)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>
        <f>統合マスタ!AA51</f>
        <v>0</v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IF(match_results_2!C49="完全一致","〇","×")</f>
        <v>×</v>
      </c>
      <c r="O49" t="str">
        <f>IF(match_results_2!C49="薬価一致候補","〇","×")</f>
        <v>〇</v>
      </c>
      <c r="P49" s="58">
        <f>IF(match_results_2!E49="","",match_results_2!E49)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>
        <f>統合マスタ!AA52</f>
        <v>0</v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IF(match_results_2!C50="完全一致","〇","×")</f>
        <v>〇</v>
      </c>
      <c r="O50" t="str">
        <f>IF(match_results_2!C50="薬価一致候補","〇","×")</f>
        <v>×</v>
      </c>
      <c r="P50" s="58">
        <f>IF(match_results_2!E50="","",match_results_2!E50)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>
        <f>統合マスタ!AA53</f>
        <v>0</v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IF(match_results_2!C51="完全一致","〇","×")</f>
        <v>×</v>
      </c>
      <c r="O51" t="str">
        <f>IF(match_results_2!C51="薬価一致候補","〇","×")</f>
        <v>〇</v>
      </c>
      <c r="Q51" t="str">
        <f ca="1">OFFSET(マスタ非採用削除!$C$4,元データ!P51,0)</f>
        <v>名称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>
        <f>統合マスタ!AA54</f>
        <v>0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IF(match_results_2!C52="完全一致","〇","×")</f>
        <v>〇</v>
      </c>
      <c r="O52" t="str">
        <f>IF(match_results_2!C52="薬価一致候補","〇","×")</f>
        <v>×</v>
      </c>
      <c r="P52" s="58">
        <f>IF(match_results_2!E52="","",match_results_2!E52)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>
        <f>統合マスタ!AA55</f>
        <v>0</v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IF(match_results_2!C53="完全一致","〇","×")</f>
        <v>〇</v>
      </c>
      <c r="O53" t="str">
        <f>IF(match_results_2!C53="薬価一致候補","〇","×")</f>
        <v>×</v>
      </c>
      <c r="P53" s="58">
        <f>IF(match_results_2!E53="","",match_results_2!E53)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>
        <f>統合マスタ!AA56</f>
        <v>0</v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IF(match_results_2!C54="完全一致","〇","×")</f>
        <v>〇</v>
      </c>
      <c r="O54" t="str">
        <f>IF(match_results_2!C54="薬価一致候補","〇","×")</f>
        <v>×</v>
      </c>
      <c r="P54" s="58">
        <f>IF(match_results_2!E54="","",match_results_2!E54)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>
        <f>統合マスタ!AA57</f>
        <v>0</v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IF(match_results_2!C55="完全一致","〇","×")</f>
        <v>×</v>
      </c>
      <c r="O55" t="str">
        <f>IF(match_results_2!C55="薬価一致候補","〇","×")</f>
        <v>〇</v>
      </c>
      <c r="Q55" t="str">
        <f ca="1">OFFSET(マスタ非採用削除!$C$4,元データ!P55,0)</f>
        <v>名称</v>
      </c>
      <c r="R55">
        <f t="shared" si="4"/>
        <v>54</v>
      </c>
      <c r="S55" t="str">
        <f t="shared" si="3"/>
        <v>アゾセミド錠60ｍｇ「ＤＳＥＰ」</v>
      </c>
      <c r="T55">
        <v>0</v>
      </c>
      <c r="U55">
        <f>統合マスタ!AA58</f>
        <v>0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IF(match_results_2!C56="完全一致","〇","×")</f>
        <v>〇</v>
      </c>
      <c r="O56" t="str">
        <f>IF(match_results_2!C56="薬価一致候補","〇","×")</f>
        <v>×</v>
      </c>
      <c r="P56" s="58">
        <f>IF(match_results_2!E56="","",match_results_2!E56)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>
        <f>統合マスタ!AA59</f>
        <v>0</v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IF(match_results_2!C57="完全一致","〇","×")</f>
        <v>〇</v>
      </c>
      <c r="O57" t="str">
        <f>IF(match_results_2!C57="薬価一致候補","〇","×")</f>
        <v>×</v>
      </c>
      <c r="P57" s="58">
        <f>IF(match_results_2!E57="","",match_results_2!E57)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>
        <f>統合マスタ!AA60</f>
        <v>0</v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IF(match_results_2!C58="完全一致","〇","×")</f>
        <v>×</v>
      </c>
      <c r="O58" t="str">
        <f>IF(match_results_2!C58="薬価一致候補","〇","×")</f>
        <v>〇</v>
      </c>
      <c r="P58" s="58">
        <f>IF(match_results_2!E58="","",match_results_2!E58)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>
        <f>統合マスタ!AA61</f>
        <v>0</v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IF(match_results_2!C59="完全一致","〇","×")</f>
        <v>〇</v>
      </c>
      <c r="O59" t="str">
        <f>IF(match_results_2!C59="薬価一致候補","〇","×")</f>
        <v>×</v>
      </c>
      <c r="P59" s="58">
        <f>IF(match_results_2!E59="","",match_results_2!E59)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>
        <f>統合マスタ!AA62</f>
        <v>0</v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IF(match_results_2!C60="完全一致","〇","×")</f>
        <v>〇</v>
      </c>
      <c r="O60" t="str">
        <f>IF(match_results_2!C60="薬価一致候補","〇","×")</f>
        <v>×</v>
      </c>
      <c r="P60" s="58">
        <f>IF(match_results_2!E60="","",match_results_2!E60)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>
        <f>統合マスタ!AA63</f>
        <v>0</v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IF(match_results_2!C61="完全一致","〇","×")</f>
        <v>×</v>
      </c>
      <c r="O61" t="str">
        <f>IF(match_results_2!C61="薬価一致候補","〇","×")</f>
        <v>〇</v>
      </c>
      <c r="P61" s="58">
        <f>IF(match_results_2!E61="","",match_results_2!E61)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>
        <f>統合マスタ!AA64</f>
        <v>0</v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IF(match_results_2!C62="完全一致","〇","×")</f>
        <v>×</v>
      </c>
      <c r="O62" t="str">
        <f>IF(match_results_2!C62="薬価一致候補","〇","×")</f>
        <v>〇</v>
      </c>
      <c r="P62" s="58">
        <f>IF(match_results_2!E62="","",match_results_2!E62)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>
        <f>統合マスタ!AA65</f>
        <v>0</v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IF(match_results_2!C63="完全一致","〇","×")</f>
        <v>〇</v>
      </c>
      <c r="O63" t="str">
        <f>IF(match_results_2!C63="薬価一致候補","〇","×")</f>
        <v>×</v>
      </c>
      <c r="P63" s="58">
        <f>IF(match_results_2!E63="","",match_results_2!E63)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>
        <f>統合マスタ!AA66</f>
        <v>0</v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IF(match_results_2!C64="完全一致","〇","×")</f>
        <v>×</v>
      </c>
      <c r="O64" t="str">
        <f>IF(match_results_2!C64="薬価一致候補","〇","×")</f>
        <v>〇</v>
      </c>
      <c r="Q64" t="str">
        <f ca="1">OFFSET(マスタ非採用削除!$C$4,元データ!P64,0)</f>
        <v>名称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>
        <f>統合マスタ!AA67</f>
        <v>0</v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IF(match_results_2!C65="完全一致","〇","×")</f>
        <v>×</v>
      </c>
      <c r="O65" t="str">
        <f>IF(match_results_2!C65="薬価一致候補","〇","×")</f>
        <v>〇</v>
      </c>
      <c r="P65" s="58">
        <f>IF(match_results_2!E65="","",match_results_2!E65)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>
        <f>統合マスタ!AA68</f>
        <v>0</v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IF(match_results_2!C66="完全一致","〇","×")</f>
        <v>×</v>
      </c>
      <c r="O66" t="str">
        <f>IF(match_results_2!C66="薬価一致候補","〇","×")</f>
        <v>〇</v>
      </c>
      <c r="P66" s="58">
        <f>IF(match_results_2!E66="","",match_results_2!E66)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>
        <f>統合マスタ!AA69</f>
        <v>0</v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IF(match_results_2!C67="完全一致","〇","×")</f>
        <v>×</v>
      </c>
      <c r="O67" t="str">
        <f>IF(match_results_2!C67="薬価一致候補","〇","×")</f>
        <v>〇</v>
      </c>
      <c r="Q67" t="str">
        <f ca="1">OFFSET(マスタ非採用削除!$C$4,元データ!P67,0)</f>
        <v>名称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0</v>
      </c>
      <c r="U67">
        <f>統合マスタ!AA70</f>
        <v>0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IF(match_results_2!C68="完全一致","〇","×")</f>
        <v>〇</v>
      </c>
      <c r="O68" t="str">
        <f>IF(match_results_2!C68="薬価一致候補","〇","×")</f>
        <v>×</v>
      </c>
      <c r="P68" s="60">
        <f>IF(match_results_2!E68="","",match_results_2!E68)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>
        <f>統合マスタ!AA71</f>
        <v>0</v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IF(match_results_2!C69="完全一致","〇","×")</f>
        <v>〇</v>
      </c>
      <c r="O69" t="str">
        <f>IF(match_results_2!C69="薬価一致候補","〇","×")</f>
        <v>×</v>
      </c>
      <c r="P69" s="60">
        <f>IF(match_results_2!E69="","",match_results_2!E69)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>
        <f>統合マスタ!AA72</f>
        <v>0</v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IF(match_results_2!C70="完全一致","〇","×")</f>
        <v>〇</v>
      </c>
      <c r="O70" t="str">
        <f>IF(match_results_2!C70="薬価一致候補","〇","×")</f>
        <v>×</v>
      </c>
      <c r="P70" s="60">
        <f>IF(match_results_2!E70="","",match_results_2!E70)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>
        <f>統合マスタ!AA73</f>
        <v>0</v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IF(match_results_2!C71="完全一致","〇","×")</f>
        <v>〇</v>
      </c>
      <c r="O71" t="str">
        <f>IF(match_results_2!C71="薬価一致候補","〇","×")</f>
        <v>×</v>
      </c>
      <c r="P71" s="60">
        <f>IF(match_results_2!E71="","",match_results_2!E71)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>
        <f>統合マスタ!AA74</f>
        <v>0</v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IF(match_results_2!C72="完全一致","〇","×")</f>
        <v>×</v>
      </c>
      <c r="O72" t="str">
        <f>IF(match_results_2!C72="薬価一致候補","〇","×")</f>
        <v>〇</v>
      </c>
      <c r="Q72" t="str">
        <f ca="1">OFFSET(マスタ非採用削除!$C$4,元データ!P72,0)</f>
        <v>名称</v>
      </c>
      <c r="R72">
        <f t="shared" si="9"/>
        <v>71</v>
      </c>
      <c r="S72" t="str">
        <f t="shared" si="8"/>
        <v>アナフラニール錠１０ｍｇ</v>
      </c>
      <c r="T72">
        <v>0</v>
      </c>
      <c r="U72">
        <f>統合マスタ!AA75</f>
        <v>0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IF(match_results_2!C73="完全一致","〇","×")</f>
        <v>×</v>
      </c>
      <c r="O73" t="str">
        <f>IF(match_results_2!C73="薬価一致候補","〇","×")</f>
        <v>〇</v>
      </c>
      <c r="P73" s="59">
        <v>34</v>
      </c>
      <c r="Q73" s="51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>
        <f>統合マスタ!AA76</f>
        <v>0</v>
      </c>
    </row>
    <row r="74" spans="1:21">
      <c r="A74" s="52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IF(match_results_2!C74="完全一致","〇","×")</f>
        <v>×</v>
      </c>
      <c r="O74" t="str">
        <f>IF(match_results_2!C74="薬価一致候補","〇","×")</f>
        <v>×</v>
      </c>
      <c r="P74" s="67" t="s">
        <v>4076</v>
      </c>
      <c r="Q74" s="68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IF(match_results_2!C75="完全一致","〇","×")</f>
        <v>〇</v>
      </c>
      <c r="O75" t="str">
        <f>IF(match_results_2!C75="薬価一致候補","〇","×")</f>
        <v>×</v>
      </c>
      <c r="P75" s="60">
        <f>IF(match_results_2!E75="","",match_results_2!E75)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>
        <f>統合マスタ!AA78</f>
        <v>0</v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IF(match_results_2!C76="完全一致","〇","×")</f>
        <v>〇</v>
      </c>
      <c r="O76" t="str">
        <f>IF(match_results_2!C76="薬価一致候補","〇","×")</f>
        <v>×</v>
      </c>
      <c r="P76" s="60">
        <f>IF(match_results_2!E76="","",match_results_2!E76)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>
        <f>統合マスタ!AA79</f>
        <v>0</v>
      </c>
    </row>
    <row r="77" spans="1:21" ht="24.6">
      <c r="A77" s="52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IF(match_results_2!C77="完全一致","〇","×")</f>
        <v>×</v>
      </c>
      <c r="O77" t="str">
        <f>IF(match_results_2!C77="薬価一致候補","〇","×")</f>
        <v>×</v>
      </c>
      <c r="P77" s="59">
        <v>38</v>
      </c>
      <c r="Q77" s="51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>
        <f>統合マスタ!AA80</f>
        <v>0</v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IF(match_results_2!C78="完全一致","〇","×")</f>
        <v>×</v>
      </c>
      <c r="O78" t="str">
        <f>IF(match_results_2!C78="薬価一致候補","〇","×")</f>
        <v>〇</v>
      </c>
      <c r="P78" s="58">
        <f>IF(match_results_2!E78="","",match_results_2!E78)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>
        <f>統合マスタ!AA81</f>
        <v>0</v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IF(match_results_2!C79="完全一致","〇","×")</f>
        <v>〇</v>
      </c>
      <c r="O79" t="str">
        <f>IF(match_results_2!C79="薬価一致候補","〇","×")</f>
        <v>×</v>
      </c>
      <c r="P79" s="60">
        <f>IF(match_results_2!E79="","",match_results_2!E79)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>
        <f>統合マスタ!AA82</f>
        <v>0</v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IF(match_results_2!C80="完全一致","〇","×")</f>
        <v>〇</v>
      </c>
      <c r="O80" t="str">
        <f>IF(match_results_2!C80="薬価一致候補","〇","×")</f>
        <v>×</v>
      </c>
      <c r="P80" s="60">
        <f>IF(match_results_2!E80="","",match_results_2!E80)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>
        <f>統合マスタ!AA83</f>
        <v>0</v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IF(match_results_2!C81="完全一致","〇","×")</f>
        <v>〇</v>
      </c>
      <c r="O81" t="str">
        <f>IF(match_results_2!C81="薬価一致候補","〇","×")</f>
        <v>×</v>
      </c>
      <c r="P81" s="60">
        <f>IF(match_results_2!E81="","",match_results_2!E81)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>
        <f>統合マスタ!AA84</f>
        <v>0</v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IF(match_results_2!C82="完全一致","〇","×")</f>
        <v>〇</v>
      </c>
      <c r="O82" t="str">
        <f>IF(match_results_2!C82="薬価一致候補","〇","×")</f>
        <v>×</v>
      </c>
      <c r="P82" s="60">
        <f>IF(match_results_2!E82="","",match_results_2!E82)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>
        <f>統合マスタ!AA85</f>
        <v>0</v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IF(match_results_2!C83="完全一致","〇","×")</f>
        <v>〇</v>
      </c>
      <c r="O83" t="str">
        <f>IF(match_results_2!C83="薬価一致候補","〇","×")</f>
        <v>×</v>
      </c>
      <c r="P83" s="60">
        <f>IF(match_results_2!E83="","",match_results_2!E83)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>
        <f>統合マスタ!AA86</f>
        <v>0</v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IF(match_results_2!C84="完全一致","〇","×")</f>
        <v>〇</v>
      </c>
      <c r="O84" t="str">
        <f>IF(match_results_2!C84="薬価一致候補","〇","×")</f>
        <v>×</v>
      </c>
      <c r="P84" s="60">
        <f>IF(match_results_2!E84="","",match_results_2!E84)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>
        <f>統合マスタ!AA87</f>
        <v>0</v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IF(match_results_2!C85="完全一致","〇","×")</f>
        <v>〇</v>
      </c>
      <c r="O85" t="str">
        <f>IF(match_results_2!C85="薬価一致候補","〇","×")</f>
        <v>×</v>
      </c>
      <c r="P85" s="60">
        <f>IF(match_results_2!E85="","",match_results_2!E85)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>
        <f>統合マスタ!AA88</f>
        <v>0</v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IF(match_results_2!C86="完全一致","〇","×")</f>
        <v>〇</v>
      </c>
      <c r="O86" t="str">
        <f>IF(match_results_2!C86="薬価一致候補","〇","×")</f>
        <v>×</v>
      </c>
      <c r="P86" s="60">
        <f>IF(match_results_2!E86="","",match_results_2!E86)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>
        <f>統合マスタ!AA89</f>
        <v>0</v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IF(match_results_2!C87="完全一致","〇","×")</f>
        <v>〇</v>
      </c>
      <c r="O87" t="str">
        <f>IF(match_results_2!C87="薬価一致候補","〇","×")</f>
        <v>×</v>
      </c>
      <c r="P87" s="60">
        <f>IF(match_results_2!E87="","",match_results_2!E87)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>
        <f>統合マスタ!AA90</f>
        <v>0</v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IF(match_results_2!C88="完全一致","〇","×")</f>
        <v>〇</v>
      </c>
      <c r="O88" t="str">
        <f>IF(match_results_2!C88="薬価一致候補","〇","×")</f>
        <v>×</v>
      </c>
      <c r="P88" s="60">
        <f>IF(match_results_2!E88="","",match_results_2!E88)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>
        <f>統合マスタ!AA91</f>
        <v>0</v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IF(match_results_2!C89="完全一致","〇","×")</f>
        <v>〇</v>
      </c>
      <c r="O89" t="str">
        <f>IF(match_results_2!C89="薬価一致候補","〇","×")</f>
        <v>×</v>
      </c>
      <c r="P89" s="60">
        <f>IF(match_results_2!E89="","",match_results_2!E89)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>
        <f>統合マスタ!AA92</f>
        <v>0</v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IF(match_results_2!C90="完全一致","〇","×")</f>
        <v>〇</v>
      </c>
      <c r="O90" t="str">
        <f>IF(match_results_2!C90="薬価一致候補","〇","×")</f>
        <v>×</v>
      </c>
      <c r="P90" s="60">
        <f>IF(match_results_2!E90="","",match_results_2!E90)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>
        <f>統合マスタ!AA93</f>
        <v>0</v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IF(match_results_2!C91="完全一致","〇","×")</f>
        <v>〇</v>
      </c>
      <c r="O91" t="str">
        <f>IF(match_results_2!C91="薬価一致候補","〇","×")</f>
        <v>×</v>
      </c>
      <c r="P91" s="60">
        <f>IF(match_results_2!E91="","",match_results_2!E91)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>
        <f>統合マスタ!AA94</f>
        <v>0</v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IF(match_results_2!C92="完全一致","〇","×")</f>
        <v>〇</v>
      </c>
      <c r="O92" t="str">
        <f>IF(match_results_2!C92="薬価一致候補","〇","×")</f>
        <v>×</v>
      </c>
      <c r="P92" s="60">
        <f>IF(match_results_2!E92="","",match_results_2!E92)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>
        <f>統合マスタ!AA95</f>
        <v>0</v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IF(match_results_2!C93="完全一致","〇","×")</f>
        <v>×</v>
      </c>
      <c r="O93" t="str">
        <f>IF(match_results_2!C93="薬価一致候補","〇","×")</f>
        <v>〇</v>
      </c>
      <c r="P93" s="58">
        <f>IF(match_results_2!E93="","",match_results_2!E93)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>
        <f>統合マスタ!AA96</f>
        <v>0</v>
      </c>
    </row>
    <row r="94" spans="1:21">
      <c r="A94" s="52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IF(match_results_2!C94="完全一致","〇","×")</f>
        <v>×</v>
      </c>
      <c r="O94" t="str">
        <f>IF(match_results_2!C94="薬価一致候補","〇","×")</f>
        <v>×</v>
      </c>
      <c r="P94" s="67" t="s">
        <v>4076</v>
      </c>
      <c r="Q94" s="68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</v>
      </c>
      <c r="U94" t="str">
        <f>統合マスタ!AA97</f>
        <v>非採用</v>
      </c>
    </row>
    <row r="95" spans="1:21" ht="24.6">
      <c r="A95" s="52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IF(match_results_2!C95="完全一致","〇","×")</f>
        <v>×</v>
      </c>
      <c r="O95" t="str">
        <f>IF(match_results_2!C95="薬価一致候補","〇","×")</f>
        <v>×</v>
      </c>
      <c r="P95" s="67" t="s">
        <v>4076</v>
      </c>
      <c r="Q95" s="68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IF(match_results_2!C96="完全一致","〇","×")</f>
        <v>〇</v>
      </c>
      <c r="O96" t="str">
        <f>IF(match_results_2!C96="薬価一致候補","〇","×")</f>
        <v>×</v>
      </c>
      <c r="P96" s="60">
        <f>IF(match_results_2!E96="","",match_results_2!E96)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>
        <f>統合マスタ!AA99</f>
        <v>0</v>
      </c>
    </row>
    <row r="97" spans="1:21">
      <c r="A97" s="52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IF(match_results_2!C97="完全一致","〇","×")</f>
        <v>×</v>
      </c>
      <c r="O97" t="str">
        <f>IF(match_results_2!C97="薬価一致候補","〇","×")</f>
        <v>×</v>
      </c>
      <c r="P97" s="60" t="str">
        <f>IF(match_results_2!E97="","",match_results_2!E97)</f>
        <v/>
      </c>
      <c r="Q97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>
        <f>統合マスタ!AA100</f>
        <v>0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IF(match_results_2!C98="完全一致","〇","×")</f>
        <v>〇</v>
      </c>
      <c r="O98" t="str">
        <f>IF(match_results_2!C98="薬価一致候補","〇","×")</f>
        <v>×</v>
      </c>
      <c r="P98" s="60">
        <f>IF(match_results_2!E98="","",match_results_2!E98)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>
        <f>統合マスタ!AA101</f>
        <v>0</v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IF(match_results_2!C99="完全一致","〇","×")</f>
        <v>〇</v>
      </c>
      <c r="O99" t="str">
        <f>IF(match_results_2!C99="薬価一致候補","〇","×")</f>
        <v>×</v>
      </c>
      <c r="P99" s="60">
        <f>IF(match_results_2!E99="","",match_results_2!E99)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>
        <f>統合マスタ!AA102</f>
        <v>0</v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IF(match_results_2!C100="完全一致","〇","×")</f>
        <v>〇</v>
      </c>
      <c r="O100" t="str">
        <f>IF(match_results_2!C100="薬価一致候補","〇","×")</f>
        <v>×</v>
      </c>
      <c r="P100" s="60">
        <f>IF(match_results_2!E100="","",match_results_2!E100)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>
        <f>統合マスタ!AA103</f>
        <v>0</v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IF(match_results_2!C101="完全一致","〇","×")</f>
        <v>×</v>
      </c>
      <c r="O101" t="str">
        <f>IF(match_results_2!C101="薬価一致候補","〇","×")</f>
        <v>〇</v>
      </c>
      <c r="Q101" t="str">
        <f ca="1">OFFSET(マスタ非採用削除!$C$4,元データ!P101,0)</f>
        <v>名称</v>
      </c>
      <c r="R101">
        <f t="shared" si="9"/>
        <v>100</v>
      </c>
      <c r="S101" t="str">
        <f t="shared" si="8"/>
        <v>アンテベート軟膏0.05％</v>
      </c>
      <c r="T101">
        <v>0</v>
      </c>
      <c r="U101">
        <f>統合マスタ!AA104</f>
        <v>0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IF(match_results_2!C102="完全一致","〇","×")</f>
        <v>×</v>
      </c>
      <c r="O102" t="str">
        <f>IF(match_results_2!C102="薬価一致候補","〇","×")</f>
        <v>〇</v>
      </c>
      <c r="P102" s="58">
        <f>IF(match_results_2!E102="","",match_results_2!E102)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>
        <f>統合マスタ!AA105</f>
        <v>0</v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IF(match_results_2!C103="完全一致","〇","×")</f>
        <v>×</v>
      </c>
      <c r="O103" t="str">
        <f>IF(match_results_2!C103="薬価一致候補","〇","×")</f>
        <v>〇</v>
      </c>
      <c r="Q103" t="str">
        <f ca="1">OFFSET(マスタ非採用削除!$C$4,元データ!P103,0)</f>
        <v>名称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>
        <f>統合マスタ!AA106</f>
        <v>0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IF(match_results_2!C104="完全一致","〇","×")</f>
        <v>×</v>
      </c>
      <c r="O104" t="str">
        <f>IF(match_results_2!C104="薬価一致候補","〇","×")</f>
        <v>〇</v>
      </c>
      <c r="P104" s="59">
        <v>57</v>
      </c>
      <c r="Q104" s="51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>
        <f>統合マスタ!AA107</f>
        <v>0</v>
      </c>
    </row>
    <row r="105" spans="1:21">
      <c r="A105" s="52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IF(match_results_2!C105="完全一致","〇","×")</f>
        <v>×</v>
      </c>
      <c r="O105" t="str">
        <f>IF(match_results_2!C105="薬価一致候補","〇","×")</f>
        <v>×</v>
      </c>
      <c r="P105" s="67" t="s">
        <v>4076</v>
      </c>
      <c r="Q105" s="68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IF(match_results_2!C106="完全一致","〇","×")</f>
        <v>〇</v>
      </c>
      <c r="O106" t="str">
        <f>IF(match_results_2!C106="薬価一致候補","〇","×")</f>
        <v>×</v>
      </c>
      <c r="P106" s="60">
        <f>IF(match_results_2!E106="","",match_results_2!E106)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>
        <f>統合マスタ!AA109</f>
        <v>0</v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IF(match_results_2!C107="完全一致","〇","×")</f>
        <v>〇</v>
      </c>
      <c r="O107" t="str">
        <f>IF(match_results_2!C107="薬価一致候補","〇","×")</f>
        <v>×</v>
      </c>
      <c r="P107" s="60">
        <f>IF(match_results_2!E107="","",match_results_2!E107)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>
        <f>統合マスタ!AA110</f>
        <v>0</v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IF(match_results_2!C108="完全一致","〇","×")</f>
        <v>〇</v>
      </c>
      <c r="O108" t="str">
        <f>IF(match_results_2!C108="薬価一致候補","〇","×")</f>
        <v>×</v>
      </c>
      <c r="P108" s="60">
        <f>IF(match_results_2!E108="","",match_results_2!E108)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>
        <f>統合マスタ!AA111</f>
        <v>0</v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IF(match_results_2!C109="完全一致","〇","×")</f>
        <v>〇</v>
      </c>
      <c r="O109" t="str">
        <f>IF(match_results_2!C109="薬価一致候補","〇","×")</f>
        <v>×</v>
      </c>
      <c r="P109" s="60">
        <f>IF(match_results_2!E109="","",match_results_2!E109)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>
        <f>統合マスタ!AA112</f>
        <v>0</v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IF(match_results_2!C110="完全一致","〇","×")</f>
        <v>〇</v>
      </c>
      <c r="O110" t="str">
        <f>IF(match_results_2!C110="薬価一致候補","〇","×")</f>
        <v>×</v>
      </c>
      <c r="P110" s="60">
        <f>IF(match_results_2!E110="","",match_results_2!E110)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>
        <f>統合マスタ!AA113</f>
        <v>0</v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IF(match_results_2!C111="完全一致","〇","×")</f>
        <v>〇</v>
      </c>
      <c r="O111" t="str">
        <f>IF(match_results_2!C111="薬価一致候補","〇","×")</f>
        <v>×</v>
      </c>
      <c r="P111" s="60">
        <f>IF(match_results_2!E111="","",match_results_2!E111)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>
        <f>統合マスタ!AA114</f>
        <v>0</v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IF(match_results_2!C112="完全一致","〇","×")</f>
        <v>〇</v>
      </c>
      <c r="O112" t="str">
        <f>IF(match_results_2!C112="薬価一致候補","〇","×")</f>
        <v>×</v>
      </c>
      <c r="P112" s="60">
        <f>IF(match_results_2!E112="","",match_results_2!E112)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>
        <f>統合マスタ!AA115</f>
        <v>0</v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IF(match_results_2!C113="完全一致","〇","×")</f>
        <v>〇</v>
      </c>
      <c r="O113" t="str">
        <f>IF(match_results_2!C113="薬価一致候補","〇","×")</f>
        <v>×</v>
      </c>
      <c r="P113" s="60">
        <f>IF(match_results_2!E113="","",match_results_2!E113)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>
        <f>統合マスタ!AA116</f>
        <v>0</v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IF(match_results_2!C114="完全一致","〇","×")</f>
        <v>〇</v>
      </c>
      <c r="O114" t="str">
        <f>IF(match_results_2!C114="薬価一致候補","〇","×")</f>
        <v>×</v>
      </c>
      <c r="P114" s="60">
        <f>IF(match_results_2!E114="","",match_results_2!E114)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>
        <f>統合マスタ!AA117</f>
        <v>0</v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IF(match_results_2!C115="完全一致","〇","×")</f>
        <v>〇</v>
      </c>
      <c r="O115" t="str">
        <f>IF(match_results_2!C115="薬価一致候補","〇","×")</f>
        <v>×</v>
      </c>
      <c r="P115" s="60">
        <f>IF(match_results_2!E115="","",match_results_2!E115)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>
        <f>統合マスタ!AA118</f>
        <v>0</v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IF(match_results_2!C116="完全一致","〇","×")</f>
        <v>〇</v>
      </c>
      <c r="O116" t="str">
        <f>IF(match_results_2!C116="薬価一致候補","〇","×")</f>
        <v>×</v>
      </c>
      <c r="P116" s="60">
        <f>IF(match_results_2!E116="","",match_results_2!E116)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>
        <f>統合マスタ!AA119</f>
        <v>0</v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IF(match_results_2!C117="完全一致","〇","×")</f>
        <v>×</v>
      </c>
      <c r="O117" t="str">
        <f>IF(match_results_2!C117="薬価一致候補","〇","×")</f>
        <v>〇</v>
      </c>
      <c r="P117" s="59">
        <v>70</v>
      </c>
      <c r="Q117" s="51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>
        <f>統合マスタ!AA120</f>
        <v>0</v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IF(match_results_2!C118="完全一致","〇","×")</f>
        <v>×</v>
      </c>
      <c r="O118" t="str">
        <f>IF(match_results_2!C118="薬価一致候補","〇","×")</f>
        <v>〇</v>
      </c>
      <c r="P118" s="59">
        <v>68</v>
      </c>
      <c r="Q118" s="51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>
        <f>統合マスタ!AA121</f>
        <v>0</v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IF(match_results_2!C119="完全一致","〇","×")</f>
        <v>〇</v>
      </c>
      <c r="O119" t="str">
        <f>IF(match_results_2!C119="薬価一致候補","〇","×")</f>
        <v>×</v>
      </c>
      <c r="P119" s="60">
        <f>IF(match_results_2!E119="","",match_results_2!E119)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>
        <f>統合マスタ!AA122</f>
        <v>0</v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IF(match_results_2!C120="完全一致","〇","×")</f>
        <v>×</v>
      </c>
      <c r="O120" t="str">
        <f>IF(match_results_2!C120="薬価一致候補","〇","×")</f>
        <v>〇</v>
      </c>
      <c r="P120" s="58">
        <f>IF(match_results_2!E120="","",match_results_2!E120)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>
        <f>統合マスタ!AA123</f>
        <v>0</v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IF(match_results_2!C121="完全一致","〇","×")</f>
        <v>×</v>
      </c>
      <c r="O121" t="str">
        <f>IF(match_results_2!C121="薬価一致候補","〇","×")</f>
        <v>〇</v>
      </c>
      <c r="Q121" t="str">
        <f ca="1">OFFSET(マスタ非採用削除!$C$4,元データ!P121,0)</f>
        <v>名称</v>
      </c>
      <c r="R121">
        <f t="shared" si="9"/>
        <v>120</v>
      </c>
      <c r="S121" t="str">
        <f t="shared" si="8"/>
        <v>ウインタミン細粒10％　採用中止</v>
      </c>
      <c r="T121">
        <v>0</v>
      </c>
      <c r="U121">
        <f>統合マスタ!AA124</f>
        <v>0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IF(match_results_2!C122="完全一致","〇","×")</f>
        <v>〇</v>
      </c>
      <c r="O122" t="str">
        <f>IF(match_results_2!C122="薬価一致候補","〇","×")</f>
        <v>×</v>
      </c>
      <c r="P122" s="60">
        <f>IF(match_results_2!E122="","",match_results_2!E122)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>
        <f>統合マスタ!AA125</f>
        <v>0</v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IF(match_results_2!C123="完全一致","〇","×")</f>
        <v>〇</v>
      </c>
      <c r="O123" t="str">
        <f>IF(match_results_2!C123="薬価一致候補","〇","×")</f>
        <v>×</v>
      </c>
      <c r="P123" s="60">
        <f>IF(match_results_2!E123="","",match_results_2!E123)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>
        <f>統合マスタ!AA126</f>
        <v>0</v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IF(match_results_2!C124="完全一致","〇","×")</f>
        <v>〇</v>
      </c>
      <c r="O124" t="str">
        <f>IF(match_results_2!C124="薬価一致候補","〇","×")</f>
        <v>×</v>
      </c>
      <c r="P124" s="60">
        <f>IF(match_results_2!E124="","",match_results_2!E124)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>
        <f>統合マスタ!AA127</f>
        <v>0</v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IF(match_results_2!C125="完全一致","〇","×")</f>
        <v>〇</v>
      </c>
      <c r="O125" t="str">
        <f>IF(match_results_2!C125="薬価一致候補","〇","×")</f>
        <v>×</v>
      </c>
      <c r="P125" s="60">
        <f>IF(match_results_2!E125="","",match_results_2!E125)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>
        <f>統合マスタ!AA128</f>
        <v>0</v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IF(match_results_2!C126="完全一致","〇","×")</f>
        <v>〇</v>
      </c>
      <c r="O126" t="str">
        <f>IF(match_results_2!C126="薬価一致候補","〇","×")</f>
        <v>×</v>
      </c>
      <c r="P126" s="60">
        <f>IF(match_results_2!E126="","",match_results_2!E126)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>
        <f>統合マスタ!AA129</f>
        <v>0</v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IF(match_results_2!C127="完全一致","〇","×")</f>
        <v>〇</v>
      </c>
      <c r="O127" t="str">
        <f>IF(match_results_2!C127="薬価一致候補","〇","×")</f>
        <v>×</v>
      </c>
      <c r="P127" s="60">
        <f>IF(match_results_2!E127="","",match_results_2!E127)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>
        <f>統合マスタ!AA130</f>
        <v>0</v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IF(match_results_2!C128="完全一致","〇","×")</f>
        <v>〇</v>
      </c>
      <c r="O128" t="str">
        <f>IF(match_results_2!C128="薬価一致候補","〇","×")</f>
        <v>×</v>
      </c>
      <c r="P128" s="60">
        <f>IF(match_results_2!E128="","",match_results_2!E128)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>
        <f>統合マスタ!AA131</f>
        <v>0</v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IF(match_results_2!C129="完全一致","〇","×")</f>
        <v>〇</v>
      </c>
      <c r="O129" t="str">
        <f>IF(match_results_2!C129="薬価一致候補","〇","×")</f>
        <v>×</v>
      </c>
      <c r="P129" s="60">
        <f>IF(match_results_2!E129="","",match_results_2!E129)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>
        <f>統合マスタ!AA132</f>
        <v>0</v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IF(match_results_2!C130="完全一致","〇","×")</f>
        <v>〇</v>
      </c>
      <c r="O130" t="str">
        <f>IF(match_results_2!C130="薬価一致候補","〇","×")</f>
        <v>×</v>
      </c>
      <c r="P130" s="60">
        <f>IF(match_results_2!E130="","",match_results_2!E130)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>
        <f>統合マスタ!AA133</f>
        <v>0</v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IF(match_results_2!C131="完全一致","〇","×")</f>
        <v>〇</v>
      </c>
      <c r="O131" t="str">
        <f>IF(match_results_2!C131="薬価一致候補","〇","×")</f>
        <v>×</v>
      </c>
      <c r="P131" s="60">
        <f>IF(match_results_2!E131="","",match_results_2!E131)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>
        <f>統合マスタ!AA134</f>
        <v>0</v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IF(match_results_2!C132="完全一致","〇","×")</f>
        <v>〇</v>
      </c>
      <c r="O132" t="str">
        <f>IF(match_results_2!C132="薬価一致候補","〇","×")</f>
        <v>×</v>
      </c>
      <c r="P132" s="60">
        <f>IF(match_results_2!E132="","",match_results_2!E132)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>
        <f>統合マスタ!AA135</f>
        <v>0</v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IF(match_results_2!C133="完全一致","〇","×")</f>
        <v>〇</v>
      </c>
      <c r="O133" t="str">
        <f>IF(match_results_2!C133="薬価一致候補","〇","×")</f>
        <v>×</v>
      </c>
      <c r="P133" s="60">
        <f>IF(match_results_2!E133="","",match_results_2!E133)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>
        <f>統合マスタ!AA136</f>
        <v>0</v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IF(match_results_2!C134="完全一致","〇","×")</f>
        <v>〇</v>
      </c>
      <c r="O134" t="str">
        <f>IF(match_results_2!C134="薬価一致候補","〇","×")</f>
        <v>×</v>
      </c>
      <c r="P134" s="60">
        <f>IF(match_results_2!E134="","",match_results_2!E134)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>
        <f>統合マスタ!AA137</f>
        <v>0</v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IF(match_results_2!C135="完全一致","〇","×")</f>
        <v>×</v>
      </c>
      <c r="O135" t="str">
        <f>IF(match_results_2!C135="薬価一致候補","〇","×")</f>
        <v>〇</v>
      </c>
      <c r="P135" s="59">
        <v>81</v>
      </c>
      <c r="Q135" s="51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>
        <f>統合マスタ!AA138</f>
        <v>0</v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IF(match_results_2!C136="完全一致","〇","×")</f>
        <v>〇</v>
      </c>
      <c r="O136" t="str">
        <f>IF(match_results_2!C136="薬価一致候補","〇","×")</f>
        <v>×</v>
      </c>
      <c r="P136" s="60">
        <f>IF(match_results_2!E136="","",match_results_2!E136)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>
        <f>統合マスタ!AA139</f>
        <v>0</v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IF(match_results_2!C137="完全一致","〇","×")</f>
        <v>〇</v>
      </c>
      <c r="O137" t="str">
        <f>IF(match_results_2!C137="薬価一致候補","〇","×")</f>
        <v>×</v>
      </c>
      <c r="P137" s="60">
        <f>IF(match_results_2!E137="","",match_results_2!E137)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>
        <f>統合マスタ!AA140</f>
        <v>0</v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IF(match_results_2!C138="完全一致","〇","×")</f>
        <v>〇</v>
      </c>
      <c r="O138" t="str">
        <f>IF(match_results_2!C138="薬価一致候補","〇","×")</f>
        <v>×</v>
      </c>
      <c r="P138" s="60">
        <f>IF(match_results_2!E138="","",match_results_2!E138)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>
        <f>統合マスタ!AA141</f>
        <v>0</v>
      </c>
    </row>
    <row r="139" spans="1:21">
      <c r="A139" s="52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IF(match_results_2!C139="完全一致","〇","×")</f>
        <v>×</v>
      </c>
      <c r="O139" t="str">
        <f>IF(match_results_2!C139="薬価一致候補","〇","×")</f>
        <v>×</v>
      </c>
      <c r="P139" s="60" t="str">
        <f>IF(match_results_2!E139="","",match_results_2!E139)</f>
        <v/>
      </c>
      <c r="Q139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>
        <f>統合マスタ!AA142</f>
        <v>0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IF(match_results_2!C140="完全一致","〇","×")</f>
        <v>×</v>
      </c>
      <c r="O140" t="str">
        <f>IF(match_results_2!C140="薬価一致候補","〇","×")</f>
        <v>〇</v>
      </c>
      <c r="P140" s="58">
        <f>IF(match_results_2!E140="","",match_results_2!E140)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>
        <f>統合マスタ!AA143</f>
        <v>0</v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IF(match_results_2!C141="完全一致","〇","×")</f>
        <v>×</v>
      </c>
      <c r="O141" t="str">
        <f>IF(match_results_2!C141="薬価一致候補","〇","×")</f>
        <v>〇</v>
      </c>
      <c r="P141" s="58">
        <f>IF(match_results_2!E141="","",match_results_2!E141)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>
        <f>統合マスタ!AA144</f>
        <v>0</v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IF(match_results_2!C142="完全一致","〇","×")</f>
        <v>×</v>
      </c>
      <c r="O142" t="str">
        <f>IF(match_results_2!C142="薬価一致候補","〇","×")</f>
        <v>〇</v>
      </c>
      <c r="P142" s="58">
        <f>IF(match_results_2!E142="","",match_results_2!E142)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>
        <f>統合マスタ!AA145</f>
        <v>0</v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IF(match_results_2!C143="完全一致","〇","×")</f>
        <v>×</v>
      </c>
      <c r="O143" t="str">
        <f>IF(match_results_2!C143="薬価一致候補","〇","×")</f>
        <v>〇</v>
      </c>
      <c r="P143" s="58">
        <f>IF(match_results_2!E143="","",match_results_2!E143)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>
        <f>統合マスタ!AA146</f>
        <v>0</v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IF(match_results_2!C144="完全一致","〇","×")</f>
        <v>〇</v>
      </c>
      <c r="O144" t="str">
        <f>IF(match_results_2!C144="薬価一致候補","〇","×")</f>
        <v>×</v>
      </c>
      <c r="P144" s="60">
        <f>IF(match_results_2!E144="","",match_results_2!E144)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>
        <f>統合マスタ!AA147</f>
        <v>0</v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IF(match_results_2!C145="完全一致","〇","×")</f>
        <v>×</v>
      </c>
      <c r="O145" t="str">
        <f>IF(match_results_2!C145="薬価一致候補","〇","×")</f>
        <v>〇</v>
      </c>
      <c r="P145" s="58">
        <f>IF(match_results_2!E145="","",match_results_2!E145)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>
        <f>統合マスタ!AA148</f>
        <v>0</v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IF(match_results_2!C146="完全一致","〇","×")</f>
        <v>×</v>
      </c>
      <c r="O146" t="str">
        <f>IF(match_results_2!C146="薬価一致候補","〇","×")</f>
        <v>〇</v>
      </c>
      <c r="P146" s="58">
        <f>IF(match_results_2!E146="","",match_results_2!E146)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>
        <f>統合マスタ!AA149</f>
        <v>0</v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IF(match_results_2!C147="完全一致","〇","×")</f>
        <v>×</v>
      </c>
      <c r="O147" t="str">
        <f>IF(match_results_2!C147="薬価一致候補","〇","×")</f>
        <v>〇</v>
      </c>
      <c r="P147" s="58">
        <f>IF(match_results_2!E147="","",match_results_2!E147)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>
        <f>統合マスタ!AA150</f>
        <v>0</v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IF(match_results_2!C148="完全一致","〇","×")</f>
        <v>〇</v>
      </c>
      <c r="O148" t="str">
        <f>IF(match_results_2!C148="薬価一致候補","〇","×")</f>
        <v>×</v>
      </c>
      <c r="P148" s="60">
        <f>IF(match_results_2!E148="","",match_results_2!E148)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>
        <f>統合マスタ!AA151</f>
        <v>0</v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IF(match_results_2!C149="完全一致","〇","×")</f>
        <v>〇</v>
      </c>
      <c r="O149" t="str">
        <f>IF(match_results_2!C149="薬価一致候補","〇","×")</f>
        <v>×</v>
      </c>
      <c r="P149" s="60">
        <f>IF(match_results_2!E149="","",match_results_2!E149)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>
        <f>統合マスタ!AA152</f>
        <v>0</v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IF(match_results_2!C150="完全一致","〇","×")</f>
        <v>〇</v>
      </c>
      <c r="O150" t="str">
        <f>IF(match_results_2!C150="薬価一致候補","〇","×")</f>
        <v>×</v>
      </c>
      <c r="P150" s="60">
        <f>IF(match_results_2!E150="","",match_results_2!E150)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>
        <f>統合マスタ!AA153</f>
        <v>0</v>
      </c>
    </row>
    <row r="151" spans="1:21" ht="24.6">
      <c r="A151" s="52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IF(match_results_2!C151="完全一致","〇","×")</f>
        <v>×</v>
      </c>
      <c r="O151" t="str">
        <f>IF(match_results_2!C151="薬価一致候補","〇","×")</f>
        <v>×</v>
      </c>
      <c r="P151" s="67" t="s">
        <v>4076</v>
      </c>
      <c r="Q151" s="68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IF(match_results_2!C152="完全一致","〇","×")</f>
        <v>〇</v>
      </c>
      <c r="O152" t="str">
        <f>IF(match_results_2!C152="薬価一致候補","〇","×")</f>
        <v>×</v>
      </c>
      <c r="P152" s="60">
        <f>IF(match_results_2!E152="","",match_results_2!E152)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>
        <f>統合マスタ!AA155</f>
        <v>0</v>
      </c>
    </row>
    <row r="153" spans="1:21">
      <c r="A153" s="52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IF(match_results_2!C153="完全一致","〇","×")</f>
        <v>×</v>
      </c>
      <c r="O153" t="str">
        <f>IF(match_results_2!C153="薬価一致候補","〇","×")</f>
        <v>×</v>
      </c>
      <c r="P153" s="59">
        <v>100</v>
      </c>
      <c r="Q153" s="51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>
        <f>統合マスタ!AA156</f>
        <v>0</v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IF(match_results_2!C154="完全一致","〇","×")</f>
        <v>×</v>
      </c>
      <c r="O154" t="str">
        <f>IF(match_results_2!C154="薬価一致候補","〇","×")</f>
        <v>〇</v>
      </c>
      <c r="P154" s="58">
        <f>IF(match_results_2!E154="","",match_results_2!E154)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>
        <f>統合マスタ!AA157</f>
        <v>0</v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IF(match_results_2!C155="完全一致","〇","×")</f>
        <v>×</v>
      </c>
      <c r="O155" t="str">
        <f>IF(match_results_2!C155="薬価一致候補","〇","×")</f>
        <v>〇</v>
      </c>
      <c r="P155" s="58">
        <f>IF(match_results_2!E155="","",match_results_2!E155)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>
        <f>統合マスタ!AA158</f>
        <v>0</v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IF(match_results_2!C156="完全一致","〇","×")</f>
        <v>〇</v>
      </c>
      <c r="O156" t="str">
        <f>IF(match_results_2!C156="薬価一致候補","〇","×")</f>
        <v>×</v>
      </c>
      <c r="P156" s="60">
        <f>IF(match_results_2!E156="","",match_results_2!E156)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>
        <f>統合マスタ!AA159</f>
        <v>0</v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IF(match_results_2!C157="完全一致","〇","×")</f>
        <v>〇</v>
      </c>
      <c r="O157" t="str">
        <f>IF(match_results_2!C157="薬価一致候補","〇","×")</f>
        <v>×</v>
      </c>
      <c r="P157" s="60">
        <f>IF(match_results_2!E157="","",match_results_2!E157)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>
        <f>統合マスタ!AA160</f>
        <v>0</v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IF(match_results_2!C158="完全一致","〇","×")</f>
        <v>〇</v>
      </c>
      <c r="O158" t="str">
        <f>IF(match_results_2!C158="薬価一致候補","〇","×")</f>
        <v>×</v>
      </c>
      <c r="P158" s="60">
        <f>IF(match_results_2!E158="","",match_results_2!E158)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>
        <f>統合マスタ!AA161</f>
        <v>0</v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IF(match_results_2!C159="完全一致","〇","×")</f>
        <v>〇</v>
      </c>
      <c r="O159" t="str">
        <f>IF(match_results_2!C159="薬価一致候補","〇","×")</f>
        <v>×</v>
      </c>
      <c r="P159" s="60">
        <f>IF(match_results_2!E159="","",match_results_2!E159)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>
        <f>統合マスタ!AA162</f>
        <v>0</v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IF(match_results_2!C160="完全一致","〇","×")</f>
        <v>〇</v>
      </c>
      <c r="O160" t="str">
        <f>IF(match_results_2!C160="薬価一致候補","〇","×")</f>
        <v>×</v>
      </c>
      <c r="P160" s="60">
        <f>IF(match_results_2!E160="","",match_results_2!E160)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>
        <f>統合マスタ!AA163</f>
        <v>0</v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IF(match_results_2!C161="完全一致","〇","×")</f>
        <v>〇</v>
      </c>
      <c r="O161" t="str">
        <f>IF(match_results_2!C161="薬価一致候補","〇","×")</f>
        <v>×</v>
      </c>
      <c r="P161" s="60">
        <f>IF(match_results_2!E161="","",match_results_2!E161)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>
        <f>統合マスタ!AA164</f>
        <v>0</v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IF(match_results_2!C162="完全一致","〇","×")</f>
        <v>〇</v>
      </c>
      <c r="O162" t="str">
        <f>IF(match_results_2!C162="薬価一致候補","〇","×")</f>
        <v>×</v>
      </c>
      <c r="P162" s="60">
        <f>IF(match_results_2!E162="","",match_results_2!E162)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>
        <f>統合マスタ!AA165</f>
        <v>0</v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IF(match_results_2!C163="完全一致","〇","×")</f>
        <v>×</v>
      </c>
      <c r="O163" t="str">
        <f>IF(match_results_2!C163="薬価一致候補","〇","×")</f>
        <v>〇</v>
      </c>
      <c r="P163" s="58">
        <f>IF(match_results_2!E163="","",match_results_2!E163)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>
        <f>統合マスタ!AA166</f>
        <v>0</v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IF(match_results_2!C164="完全一致","〇","×")</f>
        <v>×</v>
      </c>
      <c r="O164" t="str">
        <f>IF(match_results_2!C164="薬価一致候補","〇","×")</f>
        <v>〇</v>
      </c>
      <c r="P164" s="58">
        <f>IF(match_results_2!E164="","",match_results_2!E164)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>
        <f>統合マスタ!AA167</f>
        <v>0</v>
      </c>
    </row>
    <row r="165" spans="1:21">
      <c r="A165" s="52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IF(match_results_2!C165="完全一致","〇","×")</f>
        <v>×</v>
      </c>
      <c r="O165" t="str">
        <f>IF(match_results_2!C165="薬価一致候補","〇","×")</f>
        <v>×</v>
      </c>
      <c r="P165" s="60" t="str">
        <f>IF(match_results_2!E165="","",match_results_2!E165)</f>
        <v/>
      </c>
      <c r="Q165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>
        <f>統合マスタ!AA168</f>
        <v>0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IF(match_results_2!C166="完全一致","〇","×")</f>
        <v>〇</v>
      </c>
      <c r="O166" t="str">
        <f>IF(match_results_2!C166="薬価一致候補","〇","×")</f>
        <v>×</v>
      </c>
      <c r="P166" s="60">
        <f>IF(match_results_2!E166="","",match_results_2!E166)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>
        <f>統合マスタ!AA169</f>
        <v>0</v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IF(match_results_2!C167="完全一致","〇","×")</f>
        <v>〇</v>
      </c>
      <c r="O167" t="str">
        <f>IF(match_results_2!C167="薬価一致候補","〇","×")</f>
        <v>×</v>
      </c>
      <c r="P167" s="60">
        <f>IF(match_results_2!E167="","",match_results_2!E167)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>
        <f>統合マスタ!AA170</f>
        <v>0</v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IF(match_results_2!C168="完全一致","〇","×")</f>
        <v>〇</v>
      </c>
      <c r="O168" t="str">
        <f>IF(match_results_2!C168="薬価一致候補","〇","×")</f>
        <v>×</v>
      </c>
      <c r="P168" s="60">
        <f>IF(match_results_2!E168="","",match_results_2!E168)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>
        <f>統合マスタ!AA171</f>
        <v>0</v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IF(match_results_2!C169="完全一致","〇","×")</f>
        <v>〇</v>
      </c>
      <c r="O169" t="str">
        <f>IF(match_results_2!C169="薬価一致候補","〇","×")</f>
        <v>×</v>
      </c>
      <c r="P169" s="60">
        <f>IF(match_results_2!E169="","",match_results_2!E169)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>
        <f>統合マスタ!AA172</f>
        <v>0</v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IF(match_results_2!C170="完全一致","〇","×")</f>
        <v>〇</v>
      </c>
      <c r="O170" t="str">
        <f>IF(match_results_2!C170="薬価一致候補","〇","×")</f>
        <v>×</v>
      </c>
      <c r="P170" s="60">
        <f>IF(match_results_2!E170="","",match_results_2!E170)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>
        <f>統合マスタ!AA173</f>
        <v>0</v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IF(match_results_2!C171="完全一致","〇","×")</f>
        <v>〇</v>
      </c>
      <c r="O171" t="str">
        <f>IF(match_results_2!C171="薬価一致候補","〇","×")</f>
        <v>×</v>
      </c>
      <c r="P171" s="60">
        <f>IF(match_results_2!E171="","",match_results_2!E171)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>
        <f>統合マスタ!AA174</f>
        <v>0</v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IF(match_results_2!C172="完全一致","〇","×")</f>
        <v>〇</v>
      </c>
      <c r="O172" t="str">
        <f>IF(match_results_2!C172="薬価一致候補","〇","×")</f>
        <v>×</v>
      </c>
      <c r="P172" s="60">
        <f>IF(match_results_2!E172="","",match_results_2!E172)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>
        <f>統合マスタ!AA175</f>
        <v>0</v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IF(match_results_2!C173="完全一致","〇","×")</f>
        <v>×</v>
      </c>
      <c r="O173" t="str">
        <f>IF(match_results_2!C173="薬価一致候補","〇","×")</f>
        <v>〇</v>
      </c>
      <c r="P173" s="58">
        <f>IF(match_results_2!E173="","",match_results_2!E173)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>
        <f>統合マスタ!AA176</f>
        <v>0</v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IF(match_results_2!C174="完全一致","〇","×")</f>
        <v>〇</v>
      </c>
      <c r="O174" t="str">
        <f>IF(match_results_2!C174="薬価一致候補","〇","×")</f>
        <v>×</v>
      </c>
      <c r="P174" s="60">
        <f>IF(match_results_2!E174="","",match_results_2!E174)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>
        <f>統合マスタ!AA177</f>
        <v>0</v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IF(match_results_2!C175="完全一致","〇","×")</f>
        <v>〇</v>
      </c>
      <c r="O175" t="str">
        <f>IF(match_results_2!C175="薬価一致候補","〇","×")</f>
        <v>×</v>
      </c>
      <c r="P175" s="60">
        <f>IF(match_results_2!E175="","",match_results_2!E175)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>
        <f>統合マスタ!AA178</f>
        <v>0</v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IF(match_results_2!C176="完全一致","〇","×")</f>
        <v>〇</v>
      </c>
      <c r="O176" t="str">
        <f>IF(match_results_2!C176="薬価一致候補","〇","×")</f>
        <v>×</v>
      </c>
      <c r="P176" s="60">
        <f>IF(match_results_2!E176="","",match_results_2!E176)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>
        <f>統合マスタ!AA179</f>
        <v>0</v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IF(match_results_2!C177="完全一致","〇","×")</f>
        <v>〇</v>
      </c>
      <c r="O177" t="str">
        <f>IF(match_results_2!C177="薬価一致候補","〇","×")</f>
        <v>×</v>
      </c>
      <c r="P177" s="60">
        <f>IF(match_results_2!E177="","",match_results_2!E177)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>
        <f>統合マスタ!AA180</f>
        <v>0</v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IF(match_results_2!C178="完全一致","〇","×")</f>
        <v>〇</v>
      </c>
      <c r="O178" t="str">
        <f>IF(match_results_2!C178="薬価一致候補","〇","×")</f>
        <v>×</v>
      </c>
      <c r="P178" s="60">
        <f>IF(match_results_2!E178="","",match_results_2!E178)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>
        <f>統合マスタ!AA181</f>
        <v>0</v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IF(match_results_2!C179="完全一致","〇","×")</f>
        <v>〇</v>
      </c>
      <c r="O179" t="str">
        <f>IF(match_results_2!C179="薬価一致候補","〇","×")</f>
        <v>×</v>
      </c>
      <c r="P179" s="60">
        <f>IF(match_results_2!E179="","",match_results_2!E179)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>
        <f>統合マスタ!AA182</f>
        <v>0</v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IF(match_results_2!C180="完全一致","〇","×")</f>
        <v>〇</v>
      </c>
      <c r="O180" t="str">
        <f>IF(match_results_2!C180="薬価一致候補","〇","×")</f>
        <v>×</v>
      </c>
      <c r="P180" s="60">
        <f>IF(match_results_2!E180="","",match_results_2!E180)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>
        <f>統合マスタ!AA183</f>
        <v>0</v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IF(match_results_2!C181="完全一致","〇","×")</f>
        <v>〇</v>
      </c>
      <c r="O181" t="str">
        <f>IF(match_results_2!C181="薬価一致候補","〇","×")</f>
        <v>×</v>
      </c>
      <c r="P181" s="60">
        <f>IF(match_results_2!E181="","",match_results_2!E181)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>
        <f>統合マスタ!AA184</f>
        <v>0</v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IF(match_results_2!C182="完全一致","〇","×")</f>
        <v>×</v>
      </c>
      <c r="O182" t="str">
        <f>IF(match_results_2!C182="薬価一致候補","〇","×")</f>
        <v>〇</v>
      </c>
      <c r="P182" s="58">
        <f>IF(match_results_2!E182="","",match_results_2!E182)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>
        <f>統合マスタ!AA185</f>
        <v>0</v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IF(match_results_2!C183="完全一致","〇","×")</f>
        <v>×</v>
      </c>
      <c r="O183" t="str">
        <f>IF(match_results_2!C183="薬価一致候補","〇","×")</f>
        <v>〇</v>
      </c>
      <c r="Q183" t="str">
        <f ca="1">OFFSET(マスタ非採用削除!$C$4,元データ!P183,0)</f>
        <v>名称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>
        <f>統合マスタ!AA186</f>
        <v>0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IF(match_results_2!C184="完全一致","〇","×")</f>
        <v>×</v>
      </c>
      <c r="O184" t="str">
        <f>IF(match_results_2!C184="薬価一致候補","〇","×")</f>
        <v>〇</v>
      </c>
      <c r="P184" s="58">
        <f>IF(match_results_2!E184="","",match_results_2!E184)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>
        <f>統合マスタ!AA187</f>
        <v>0</v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IF(match_results_2!C185="完全一致","〇","×")</f>
        <v>〇</v>
      </c>
      <c r="O185" t="str">
        <f>IF(match_results_2!C185="薬価一致候補","〇","×")</f>
        <v>×</v>
      </c>
      <c r="P185" s="60">
        <f>IF(match_results_2!E185="","",match_results_2!E185)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>
        <f>統合マスタ!AA188</f>
        <v>0</v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IF(match_results_2!C186="完全一致","〇","×")</f>
        <v>〇</v>
      </c>
      <c r="O186" t="str">
        <f>IF(match_results_2!C186="薬価一致候補","〇","×")</f>
        <v>×</v>
      </c>
      <c r="P186" s="60">
        <f>IF(match_results_2!E186="","",match_results_2!E186)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>
        <f>統合マスタ!AA189</f>
        <v>0</v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IF(match_results_2!C187="完全一致","〇","×")</f>
        <v>〇</v>
      </c>
      <c r="O187" t="str">
        <f>IF(match_results_2!C187="薬価一致候補","〇","×")</f>
        <v>×</v>
      </c>
      <c r="P187" s="60">
        <f>IF(match_results_2!E187="","",match_results_2!E187)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>
        <f>統合マスタ!AA190</f>
        <v>0</v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IF(match_results_2!C188="完全一致","〇","×")</f>
        <v>×</v>
      </c>
      <c r="O188" t="str">
        <f>IF(match_results_2!C188="薬価一致候補","〇","×")</f>
        <v>〇</v>
      </c>
      <c r="Q188" t="str">
        <f ca="1">OFFSET(マスタ非採用削除!$C$4,元データ!P188,0)</f>
        <v>名称</v>
      </c>
      <c r="R188">
        <f t="shared" si="14"/>
        <v>187</v>
      </c>
      <c r="S188" t="str">
        <f t="shared" si="13"/>
        <v>クービビック錠50ｍｇ</v>
      </c>
      <c r="T188">
        <v>0</v>
      </c>
      <c r="U188">
        <f>統合マスタ!AA191</f>
        <v>0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IF(match_results_2!C189="完全一致","〇","×")</f>
        <v>〇</v>
      </c>
      <c r="O189" t="str">
        <f>IF(match_results_2!C189="薬価一致候補","〇","×")</f>
        <v>×</v>
      </c>
      <c r="P189" s="60">
        <f>IF(match_results_2!E189="","",match_results_2!E189)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>
        <f>統合マスタ!AA192</f>
        <v>0</v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IF(match_results_2!C190="完全一致","〇","×")</f>
        <v>〇</v>
      </c>
      <c r="O190" t="str">
        <f>IF(match_results_2!C190="薬価一致候補","〇","×")</f>
        <v>×</v>
      </c>
      <c r="P190" s="60">
        <f>IF(match_results_2!E190="","",match_results_2!E190)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>
        <f>統合マスタ!AA193</f>
        <v>0</v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IF(match_results_2!C191="完全一致","〇","×")</f>
        <v>〇</v>
      </c>
      <c r="O191" t="str">
        <f>IF(match_results_2!C191="薬価一致候補","〇","×")</f>
        <v>×</v>
      </c>
      <c r="P191" s="60">
        <f>IF(match_results_2!E191="","",match_results_2!E191)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>
        <f>統合マスタ!AA194</f>
        <v>0</v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IF(match_results_2!C192="完全一致","〇","×")</f>
        <v>〇</v>
      </c>
      <c r="O192" t="str">
        <f>IF(match_results_2!C192="薬価一致候補","〇","×")</f>
        <v>×</v>
      </c>
      <c r="P192" s="60">
        <f>IF(match_results_2!E192="","",match_results_2!E192)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>
        <f>統合マスタ!AA195</f>
        <v>0</v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IF(match_results_2!C193="完全一致","〇","×")</f>
        <v>〇</v>
      </c>
      <c r="O193" t="str">
        <f>IF(match_results_2!C193="薬価一致候補","〇","×")</f>
        <v>×</v>
      </c>
      <c r="P193" s="60">
        <f>IF(match_results_2!E193="","",match_results_2!E193)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>
        <f>統合マスタ!AA196</f>
        <v>0</v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IF(match_results_2!C194="完全一致","〇","×")</f>
        <v>〇</v>
      </c>
      <c r="O194" t="str">
        <f>IF(match_results_2!C194="薬価一致候補","〇","×")</f>
        <v>×</v>
      </c>
      <c r="P194" s="60">
        <f>IF(match_results_2!E194="","",match_results_2!E194)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>
        <f>統合マスタ!AA197</f>
        <v>0</v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IF(match_results_2!C195="完全一致","〇","×")</f>
        <v>〇</v>
      </c>
      <c r="O195" t="str">
        <f>IF(match_results_2!C195="薬価一致候補","〇","×")</f>
        <v>×</v>
      </c>
      <c r="P195" s="60">
        <f>IF(match_results_2!E195="","",match_results_2!E195)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>
        <f>統合マスタ!AA198</f>
        <v>0</v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IF(match_results_2!C196="完全一致","〇","×")</f>
        <v>〇</v>
      </c>
      <c r="O196" t="str">
        <f>IF(match_results_2!C196="薬価一致候補","〇","×")</f>
        <v>×</v>
      </c>
      <c r="P196" s="60">
        <f>IF(match_results_2!E196="","",match_results_2!E196)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>
        <f>統合マスタ!AA199</f>
        <v>0</v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IF(match_results_2!C197="完全一致","〇","×")</f>
        <v>〇</v>
      </c>
      <c r="O197" t="str">
        <f>IF(match_results_2!C197="薬価一致候補","〇","×")</f>
        <v>×</v>
      </c>
      <c r="P197" s="60">
        <f>IF(match_results_2!E197="","",match_results_2!E197)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>
        <f>統合マスタ!AA200</f>
        <v>0</v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IF(match_results_2!C198="完全一致","〇","×")</f>
        <v>〇</v>
      </c>
      <c r="O198" t="str">
        <f>IF(match_results_2!C198="薬価一致候補","〇","×")</f>
        <v>×</v>
      </c>
      <c r="P198" s="60">
        <f>IF(match_results_2!E198="","",match_results_2!E198)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>
        <f>統合マスタ!AA201</f>
        <v>0</v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IF(match_results_2!C199="完全一致","〇","×")</f>
        <v>〇</v>
      </c>
      <c r="O199" t="str">
        <f>IF(match_results_2!C199="薬価一致候補","〇","×")</f>
        <v>×</v>
      </c>
      <c r="P199" s="60">
        <f>IF(match_results_2!E199="","",match_results_2!E199)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>
        <f>統合マスタ!AA202</f>
        <v>0</v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IF(match_results_2!C200="完全一致","〇","×")</f>
        <v>〇</v>
      </c>
      <c r="O200" t="str">
        <f>IF(match_results_2!C200="薬価一致候補","〇","×")</f>
        <v>×</v>
      </c>
      <c r="P200" s="60">
        <f>IF(match_results_2!E200="","",match_results_2!E200)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>
        <f>統合マスタ!AA203</f>
        <v>0</v>
      </c>
    </row>
    <row r="201" spans="1:21">
      <c r="A201" s="52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IF(match_results_2!C201="完全一致","〇","×")</f>
        <v>×</v>
      </c>
      <c r="O201" t="str">
        <f>IF(match_results_2!C201="薬価一致候補","〇","×")</f>
        <v>×</v>
      </c>
      <c r="P201" s="67" t="s">
        <v>4076</v>
      </c>
      <c r="Q201" s="68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IF(match_results_2!C202="完全一致","〇","×")</f>
        <v>〇</v>
      </c>
      <c r="O202" t="str">
        <f>IF(match_results_2!C202="薬価一致候補","〇","×")</f>
        <v>×</v>
      </c>
      <c r="P202" s="60">
        <f>IF(match_results_2!E202="","",match_results_2!E202)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>
        <f>統合マスタ!AA205</f>
        <v>0</v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IF(match_results_2!C203="完全一致","〇","×")</f>
        <v>〇</v>
      </c>
      <c r="O203" t="str">
        <f>IF(match_results_2!C203="薬価一致候補","〇","×")</f>
        <v>×</v>
      </c>
      <c r="P203" s="60">
        <f>IF(match_results_2!E203="","",match_results_2!E203)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>
        <f>統合マスタ!AA206</f>
        <v>0</v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IF(match_results_2!C204="完全一致","〇","×")</f>
        <v>〇</v>
      </c>
      <c r="O204" t="str">
        <f>IF(match_results_2!C204="薬価一致候補","〇","×")</f>
        <v>×</v>
      </c>
      <c r="P204" s="60">
        <f>IF(match_results_2!E204="","",match_results_2!E204)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>
        <f>統合マスタ!AA207</f>
        <v>0</v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IF(match_results_2!C205="完全一致","〇","×")</f>
        <v>〇</v>
      </c>
      <c r="O205" t="str">
        <f>IF(match_results_2!C205="薬価一致候補","〇","×")</f>
        <v>×</v>
      </c>
      <c r="P205" s="60">
        <f>IF(match_results_2!E205="","",match_results_2!E205)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>
        <f>統合マスタ!AA208</f>
        <v>0</v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IF(match_results_2!C206="完全一致","〇","×")</f>
        <v>〇</v>
      </c>
      <c r="O206" t="str">
        <f>IF(match_results_2!C206="薬価一致候補","〇","×")</f>
        <v>×</v>
      </c>
      <c r="P206" s="60">
        <f>IF(match_results_2!E206="","",match_results_2!E206)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>
        <f>統合マスタ!AA209</f>
        <v>0</v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IF(match_results_2!C207="完全一致","〇","×")</f>
        <v>〇</v>
      </c>
      <c r="O207" t="str">
        <f>IF(match_results_2!C207="薬価一致候補","〇","×")</f>
        <v>×</v>
      </c>
      <c r="P207" s="60">
        <f>IF(match_results_2!E207="","",match_results_2!E207)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>
        <f>統合マスタ!AA210</f>
        <v>0</v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IF(match_results_2!C208="完全一致","〇","×")</f>
        <v>〇</v>
      </c>
      <c r="O208" t="str">
        <f>IF(match_results_2!C208="薬価一致候補","〇","×")</f>
        <v>×</v>
      </c>
      <c r="P208" s="60">
        <f>IF(match_results_2!E208="","",match_results_2!E208)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>
        <f>統合マスタ!AA211</f>
        <v>0</v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IF(match_results_2!C209="完全一致","〇","×")</f>
        <v>×</v>
      </c>
      <c r="O209" t="str">
        <f>IF(match_results_2!C209="薬価一致候補","〇","×")</f>
        <v>〇</v>
      </c>
      <c r="P209" s="58">
        <f>IF(match_results_2!E209="","",match_results_2!E209)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>
        <f>統合マスタ!AA212</f>
        <v>0</v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IF(match_results_2!C210="完全一致","〇","×")</f>
        <v>〇</v>
      </c>
      <c r="O210" t="str">
        <f>IF(match_results_2!C210="薬価一致候補","〇","×")</f>
        <v>×</v>
      </c>
      <c r="P210" s="60">
        <f>IF(match_results_2!E210="","",match_results_2!E210)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>
        <f>統合マスタ!AA213</f>
        <v>0</v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IF(match_results_2!C211="完全一致","〇","×")</f>
        <v>〇</v>
      </c>
      <c r="O211" t="str">
        <f>IF(match_results_2!C211="薬価一致候補","〇","×")</f>
        <v>×</v>
      </c>
      <c r="P211" s="60">
        <f>IF(match_results_2!E211="","",match_results_2!E211)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>
        <f>統合マスタ!AA214</f>
        <v>0</v>
      </c>
    </row>
    <row r="212" spans="1:21">
      <c r="A212" s="52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IF(match_results_2!C212="完全一致","〇","×")</f>
        <v>×</v>
      </c>
      <c r="O212" t="str">
        <f>IF(match_results_2!C212="薬価一致候補","〇","×")</f>
        <v>×</v>
      </c>
      <c r="P212" s="67" t="s">
        <v>4076</v>
      </c>
      <c r="Q212" s="68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IF(match_results_2!C213="完全一致","〇","×")</f>
        <v>〇</v>
      </c>
      <c r="O213" t="str">
        <f>IF(match_results_2!C213="薬価一致候補","〇","×")</f>
        <v>×</v>
      </c>
      <c r="P213" s="60">
        <f>IF(match_results_2!E213="","",match_results_2!E213)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>
        <f>統合マスタ!AA216</f>
        <v>0</v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IF(match_results_2!C214="完全一致","〇","×")</f>
        <v>〇</v>
      </c>
      <c r="O214" t="str">
        <f>IF(match_results_2!C214="薬価一致候補","〇","×")</f>
        <v>×</v>
      </c>
      <c r="P214" s="60">
        <f>IF(match_results_2!E214="","",match_results_2!E214)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>
        <f>統合マスタ!AA217</f>
        <v>0</v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IF(match_results_2!C215="完全一致","〇","×")</f>
        <v>〇</v>
      </c>
      <c r="O215" t="str">
        <f>IF(match_results_2!C215="薬価一致候補","〇","×")</f>
        <v>×</v>
      </c>
      <c r="P215" s="60">
        <f>IF(match_results_2!E215="","",match_results_2!E215)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>
        <f>統合マスタ!AA218</f>
        <v>0</v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IF(match_results_2!C216="完全一致","〇","×")</f>
        <v>〇</v>
      </c>
      <c r="O216" t="str">
        <f>IF(match_results_2!C216="薬価一致候補","〇","×")</f>
        <v>×</v>
      </c>
      <c r="P216" s="60">
        <f>IF(match_results_2!E216="","",match_results_2!E216)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>
        <f>統合マスタ!AA219</f>
        <v>0</v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IF(match_results_2!C217="完全一致","〇","×")</f>
        <v>〇</v>
      </c>
      <c r="O217" t="str">
        <f>IF(match_results_2!C217="薬価一致候補","〇","×")</f>
        <v>×</v>
      </c>
      <c r="P217" s="60">
        <f>IF(match_results_2!E217="","",match_results_2!E217)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>
        <f>統合マスタ!AA220</f>
        <v>0</v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IF(match_results_2!C218="完全一致","〇","×")</f>
        <v>〇</v>
      </c>
      <c r="O218" t="str">
        <f>IF(match_results_2!C218="薬価一致候補","〇","×")</f>
        <v>×</v>
      </c>
      <c r="P218" s="60">
        <f>IF(match_results_2!E218="","",match_results_2!E218)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>
        <f>統合マスタ!AA221</f>
        <v>0</v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IF(match_results_2!C219="完全一致","〇","×")</f>
        <v>〇</v>
      </c>
      <c r="O219" t="str">
        <f>IF(match_results_2!C219="薬価一致候補","〇","×")</f>
        <v>×</v>
      </c>
      <c r="P219" s="60">
        <f>IF(match_results_2!E219="","",match_results_2!E219)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>
        <f>統合マスタ!AA222</f>
        <v>0</v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IF(match_results_2!C220="完全一致","〇","×")</f>
        <v>×</v>
      </c>
      <c r="O220" t="str">
        <f>IF(match_results_2!C220="薬価一致候補","〇","×")</f>
        <v>〇</v>
      </c>
      <c r="P220" s="58">
        <f>IF(match_results_2!E220="","",match_results_2!E220)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>
        <f>統合マスタ!AA223</f>
        <v>0</v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IF(match_results_2!C221="完全一致","〇","×")</f>
        <v>×</v>
      </c>
      <c r="O221" t="str">
        <f>IF(match_results_2!C221="薬価一致候補","〇","×")</f>
        <v>〇</v>
      </c>
      <c r="P221" s="58">
        <f>IF(match_results_2!E221="","",match_results_2!E221)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>
        <f>統合マスタ!AA224</f>
        <v>0</v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IF(match_results_2!C222="完全一致","〇","×")</f>
        <v>〇</v>
      </c>
      <c r="O222" t="str">
        <f>IF(match_results_2!C222="薬価一致候補","〇","×")</f>
        <v>×</v>
      </c>
      <c r="P222" s="60">
        <f>IF(match_results_2!E222="","",match_results_2!E222)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>
        <f>統合マスタ!AA225</f>
        <v>0</v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IF(match_results_2!C223="完全一致","〇","×")</f>
        <v>×</v>
      </c>
      <c r="O223" t="str">
        <f>IF(match_results_2!C223="薬価一致候補","〇","×")</f>
        <v>〇</v>
      </c>
      <c r="P223" s="58">
        <f>IF(match_results_2!E223="","",match_results_2!E223)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>
        <f>統合マスタ!AA226</f>
        <v>0</v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IF(match_results_2!C224="完全一致","〇","×")</f>
        <v>〇</v>
      </c>
      <c r="O224" t="str">
        <f>IF(match_results_2!C224="薬価一致候補","〇","×")</f>
        <v>×</v>
      </c>
      <c r="P224" s="60">
        <f>IF(match_results_2!E224="","",match_results_2!E224)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>
        <f>統合マスタ!AA227</f>
        <v>0</v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IF(match_results_2!C225="完全一致","〇","×")</f>
        <v>×</v>
      </c>
      <c r="O225" t="str">
        <f>IF(match_results_2!C225="薬価一致候補","〇","×")</f>
        <v>〇</v>
      </c>
      <c r="P225" s="58">
        <f>IF(match_results_2!E225="","",match_results_2!E225)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>
        <f>統合マスタ!AA228</f>
        <v>0</v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IF(match_results_2!C226="完全一致","〇","×")</f>
        <v>〇</v>
      </c>
      <c r="O226" t="str">
        <f>IF(match_results_2!C226="薬価一致候補","〇","×")</f>
        <v>×</v>
      </c>
      <c r="P226" s="60">
        <f>IF(match_results_2!E226="","",match_results_2!E226)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>
        <f>統合マスタ!AA229</f>
        <v>0</v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IF(match_results_2!C227="完全一致","〇","×")</f>
        <v>×</v>
      </c>
      <c r="O227" t="str">
        <f>IF(match_results_2!C227="薬価一致候補","〇","×")</f>
        <v>〇</v>
      </c>
      <c r="Q227" t="str">
        <f ca="1">OFFSET(マスタ非採用削除!$C$4,元データ!P227,0)</f>
        <v>名称</v>
      </c>
      <c r="R227">
        <f t="shared" si="19"/>
        <v>226</v>
      </c>
      <c r="S227" t="str">
        <f t="shared" si="18"/>
        <v>ケフレックスカプセル250ｍｇ</v>
      </c>
      <c r="T227">
        <v>0</v>
      </c>
      <c r="U227">
        <f>統合マスタ!AA230</f>
        <v>0</v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IF(match_results_2!C228="完全一致","〇","×")</f>
        <v>〇</v>
      </c>
      <c r="O228" t="str">
        <f>IF(match_results_2!C228="薬価一致候補","〇","×")</f>
        <v>×</v>
      </c>
      <c r="P228" s="60">
        <f>IF(match_results_2!E228="","",match_results_2!E228)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>
        <f>統合マスタ!AA231</f>
        <v>0</v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IF(match_results_2!C229="完全一致","〇","×")</f>
        <v>〇</v>
      </c>
      <c r="O229" t="str">
        <f>IF(match_results_2!C229="薬価一致候補","〇","×")</f>
        <v>×</v>
      </c>
      <c r="P229" s="60">
        <f>IF(match_results_2!E229="","",match_results_2!E229)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>
        <f>統合マスタ!AA232</f>
        <v>0</v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IF(match_results_2!C230="完全一致","〇","×")</f>
        <v>×</v>
      </c>
      <c r="O230" t="str">
        <f>IF(match_results_2!C230="薬価一致候補","〇","×")</f>
        <v>〇</v>
      </c>
      <c r="Q230" t="str">
        <f ca="1">OFFSET(マスタ非採用削除!$C$4,元データ!P230,0)</f>
        <v>名称</v>
      </c>
      <c r="R230">
        <f t="shared" si="19"/>
        <v>229</v>
      </c>
      <c r="S230" t="str">
        <f t="shared" si="18"/>
        <v>コートリル錠10ｍｇ</v>
      </c>
      <c r="T230">
        <v>0</v>
      </c>
      <c r="U230">
        <f>統合マスタ!AA233</f>
        <v>0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IF(match_results_2!C231="完全一致","〇","×")</f>
        <v>〇</v>
      </c>
      <c r="O231" t="str">
        <f>IF(match_results_2!C231="薬価一致候補","〇","×")</f>
        <v>×</v>
      </c>
      <c r="P231" s="60">
        <f>IF(match_results_2!E231="","",match_results_2!E231)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>
        <f>統合マスタ!AA234</f>
        <v>0</v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IF(match_results_2!C232="完全一致","〇","×")</f>
        <v>〇</v>
      </c>
      <c r="O232" t="str">
        <f>IF(match_results_2!C232="薬価一致候補","〇","×")</f>
        <v>×</v>
      </c>
      <c r="P232" s="60">
        <f>IF(match_results_2!E232="","",match_results_2!E232)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>
        <f>統合マスタ!AA235</f>
        <v>0</v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IF(match_results_2!C233="完全一致","〇","×")</f>
        <v>×</v>
      </c>
      <c r="O233" t="str">
        <f>IF(match_results_2!C233="薬価一致候補","〇","×")</f>
        <v>〇</v>
      </c>
      <c r="Q233" t="str">
        <f ca="1">OFFSET(マスタ非採用削除!$C$4,元データ!P233,0)</f>
        <v>名称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>
        <f>統合マスタ!AA236</f>
        <v>0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IF(match_results_2!C234="完全一致","〇","×")</f>
        <v>×</v>
      </c>
      <c r="O234" t="str">
        <f>IF(match_results_2!C234="薬価一致候補","〇","×")</f>
        <v>〇</v>
      </c>
      <c r="Q234" t="str">
        <f ca="1">OFFSET(マスタ非採用削除!$C$4,元データ!P234,0)</f>
        <v>名称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>
        <f>統合マスタ!AA237</f>
        <v>0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IF(match_results_2!C235="完全一致","〇","×")</f>
        <v>〇</v>
      </c>
      <c r="O235" t="str">
        <f>IF(match_results_2!C235="薬価一致候補","〇","×")</f>
        <v>×</v>
      </c>
      <c r="P235" s="60">
        <f>IF(match_results_2!E235="","",match_results_2!E235)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>
        <f>統合マスタ!AA238</f>
        <v>0</v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IF(match_results_2!C236="完全一致","〇","×")</f>
        <v>〇</v>
      </c>
      <c r="O236" t="str">
        <f>IF(match_results_2!C236="薬価一致候補","〇","×")</f>
        <v>×</v>
      </c>
      <c r="P236" s="60">
        <f>IF(match_results_2!E236="","",match_results_2!E236)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>
        <f>統合マスタ!AA239</f>
        <v>0</v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IF(match_results_2!C237="完全一致","〇","×")</f>
        <v>〇</v>
      </c>
      <c r="O237" t="str">
        <f>IF(match_results_2!C237="薬価一致候補","〇","×")</f>
        <v>×</v>
      </c>
      <c r="P237" s="60">
        <f>IF(match_results_2!E237="","",match_results_2!E237)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>
        <f>統合マスタ!AA240</f>
        <v>0</v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IF(match_results_2!C238="完全一致","〇","×")</f>
        <v>〇</v>
      </c>
      <c r="O238" t="str">
        <f>IF(match_results_2!C238="薬価一致候補","〇","×")</f>
        <v>×</v>
      </c>
      <c r="P238" s="60">
        <f>IF(match_results_2!E238="","",match_results_2!E238)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>
        <f>統合マスタ!AA241</f>
        <v>0</v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IF(match_results_2!C239="完全一致","〇","×")</f>
        <v>〇</v>
      </c>
      <c r="O239" t="str">
        <f>IF(match_results_2!C239="薬価一致候補","〇","×")</f>
        <v>×</v>
      </c>
      <c r="P239" s="60">
        <f>IF(match_results_2!E239="","",match_results_2!E239)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>
        <f>統合マスタ!AA242</f>
        <v>0</v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IF(match_results_2!C240="完全一致","〇","×")</f>
        <v>〇</v>
      </c>
      <c r="O240" t="str">
        <f>IF(match_results_2!C240="薬価一致候補","〇","×")</f>
        <v>×</v>
      </c>
      <c r="P240" s="60">
        <f>IF(match_results_2!E240="","",match_results_2!E240)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>
        <f>統合マスタ!AA243</f>
        <v>0</v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IF(match_results_2!C241="完全一致","〇","×")</f>
        <v>〇</v>
      </c>
      <c r="O241" t="str">
        <f>IF(match_results_2!C241="薬価一致候補","〇","×")</f>
        <v>×</v>
      </c>
      <c r="P241" s="60">
        <f>IF(match_results_2!E241="","",match_results_2!E241)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>
        <f>統合マスタ!AA244</f>
        <v>0</v>
      </c>
    </row>
    <row r="242" spans="1:21">
      <c r="A242" s="52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IF(match_results_2!C242="完全一致","〇","×")</f>
        <v>×</v>
      </c>
      <c r="O242" t="str">
        <f>IF(match_results_2!C242="薬価一致候補","〇","×")</f>
        <v>×</v>
      </c>
      <c r="P242" s="67" t="s">
        <v>4076</v>
      </c>
      <c r="Q242" s="68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IF(match_results_2!C243="完全一致","〇","×")</f>
        <v>〇</v>
      </c>
      <c r="O243" t="str">
        <f>IF(match_results_2!C243="薬価一致候補","〇","×")</f>
        <v>×</v>
      </c>
      <c r="P243" s="60">
        <f>IF(match_results_2!E243="","",match_results_2!E243)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>
        <f>統合マスタ!AA246</f>
        <v>0</v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IF(match_results_2!C244="完全一致","〇","×")</f>
        <v>〇</v>
      </c>
      <c r="O244" t="str">
        <f>IF(match_results_2!C244="薬価一致候補","〇","×")</f>
        <v>×</v>
      </c>
      <c r="P244" s="60">
        <f>IF(match_results_2!E244="","",match_results_2!E244)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>
        <f>統合マスタ!AA247</f>
        <v>0</v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IF(match_results_2!C245="完全一致","〇","×")</f>
        <v>〇</v>
      </c>
      <c r="O245" t="str">
        <f>IF(match_results_2!C245="薬価一致候補","〇","×")</f>
        <v>×</v>
      </c>
      <c r="P245" s="60">
        <f>IF(match_results_2!E245="","",match_results_2!E245)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>
        <f>統合マスタ!AA248</f>
        <v>0</v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IF(match_results_2!C246="完全一致","〇","×")</f>
        <v>〇</v>
      </c>
      <c r="O246" t="str">
        <f>IF(match_results_2!C246="薬価一致候補","〇","×")</f>
        <v>×</v>
      </c>
      <c r="P246" s="60">
        <f>IF(match_results_2!E246="","",match_results_2!E246)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>
        <f>統合マスタ!AA249</f>
        <v>0</v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IF(match_results_2!C247="完全一致","〇","×")</f>
        <v>〇</v>
      </c>
      <c r="O247" t="str">
        <f>IF(match_results_2!C247="薬価一致候補","〇","×")</f>
        <v>×</v>
      </c>
      <c r="P247" s="60">
        <f>IF(match_results_2!E247="","",match_results_2!E247)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>
        <f>統合マスタ!AA250</f>
        <v>0</v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IF(match_results_2!C248="完全一致","〇","×")</f>
        <v>〇</v>
      </c>
      <c r="O248" t="str">
        <f>IF(match_results_2!C248="薬価一致候補","〇","×")</f>
        <v>×</v>
      </c>
      <c r="P248" s="60">
        <f>IF(match_results_2!E248="","",match_results_2!E248)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>
        <f>統合マスタ!AA251</f>
        <v>0</v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IF(match_results_2!C249="完全一致","〇","×")</f>
        <v>〇</v>
      </c>
      <c r="O249" t="str">
        <f>IF(match_results_2!C249="薬価一致候補","〇","×")</f>
        <v>×</v>
      </c>
      <c r="P249" s="60">
        <f>IF(match_results_2!E249="","",match_results_2!E249)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>
        <f>統合マスタ!AA252</f>
        <v>0</v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IF(match_results_2!C250="完全一致","〇","×")</f>
        <v>〇</v>
      </c>
      <c r="O250" t="str">
        <f>IF(match_results_2!C250="薬価一致候補","〇","×")</f>
        <v>×</v>
      </c>
      <c r="P250" s="60">
        <f>IF(match_results_2!E250="","",match_results_2!E250)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>
        <f>統合マスタ!AA253</f>
        <v>0</v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IF(match_results_2!C251="完全一致","〇","×")</f>
        <v>×</v>
      </c>
      <c r="O251" t="str">
        <f>IF(match_results_2!C251="薬価一致候補","〇","×")</f>
        <v>〇</v>
      </c>
      <c r="P251" s="58">
        <f>IF(match_results_2!E251="","",match_results_2!E251)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>
        <f>統合マスタ!AA254</f>
        <v>0</v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IF(match_results_2!C252="完全一致","〇","×")</f>
        <v>×</v>
      </c>
      <c r="O252" t="str">
        <f>IF(match_results_2!C252="薬価一致候補","〇","×")</f>
        <v>〇</v>
      </c>
      <c r="P252" s="58">
        <f>IF(match_results_2!E252="","",match_results_2!E252)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>
        <f>統合マスタ!AA255</f>
        <v>0</v>
      </c>
    </row>
    <row r="253" spans="1:21">
      <c r="A253" s="52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IF(match_results_2!C253="完全一致","〇","×")</f>
        <v>×</v>
      </c>
      <c r="O253" t="str">
        <f>IF(match_results_2!C253="薬価一致候補","〇","×")</f>
        <v>×</v>
      </c>
      <c r="P253" s="60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>
        <f>統合マスタ!AA256</f>
        <v>0</v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IF(match_results_2!C254="完全一致","〇","×")</f>
        <v>〇</v>
      </c>
      <c r="O254" t="str">
        <f>IF(match_results_2!C254="薬価一致候補","〇","×")</f>
        <v>×</v>
      </c>
      <c r="P254" s="60">
        <f>IF(match_results_2!E254="","",match_results_2!E254)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>
        <f>統合マスタ!AA257</f>
        <v>0</v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IF(match_results_2!C255="完全一致","〇","×")</f>
        <v>〇</v>
      </c>
      <c r="O255" t="str">
        <f>IF(match_results_2!C255="薬価一致候補","〇","×")</f>
        <v>×</v>
      </c>
      <c r="P255" s="60">
        <f>IF(match_results_2!E255="","",match_results_2!E255)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>
        <f>統合マスタ!AA258</f>
        <v>0</v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IF(match_results_2!C256="完全一致","〇","×")</f>
        <v>〇</v>
      </c>
      <c r="O256" t="str">
        <f>IF(match_results_2!C256="薬価一致候補","〇","×")</f>
        <v>×</v>
      </c>
      <c r="P256" s="60">
        <f>IF(match_results_2!E256="","",match_results_2!E256)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>
        <f>統合マスタ!AA259</f>
        <v>0</v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IF(match_results_2!C257="完全一致","〇","×")</f>
        <v>〇</v>
      </c>
      <c r="O257" t="str">
        <f>IF(match_results_2!C257="薬価一致候補","〇","×")</f>
        <v>×</v>
      </c>
      <c r="P257" s="60">
        <f>IF(match_results_2!E257="","",match_results_2!E257)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>
        <f>統合マスタ!AA260</f>
        <v>0</v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IF(match_results_2!C258="完全一致","〇","×")</f>
        <v>〇</v>
      </c>
      <c r="O258" t="str">
        <f>IF(match_results_2!C258="薬価一致候補","〇","×")</f>
        <v>×</v>
      </c>
      <c r="P258" s="60">
        <f>IF(match_results_2!E258="","",match_results_2!E258)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>
        <f>統合マスタ!AA261</f>
        <v>0</v>
      </c>
    </row>
    <row r="259" spans="1:21">
      <c r="A259" s="52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IF(match_results_2!C259="完全一致","〇","×")</f>
        <v>×</v>
      </c>
      <c r="O259" t="str">
        <f>IF(match_results_2!C259="薬価一致候補","〇","×")</f>
        <v>×</v>
      </c>
      <c r="P259" s="67" t="s">
        <v>4076</v>
      </c>
      <c r="Q259" s="68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IF(match_results_2!C260="完全一致","〇","×")</f>
        <v>〇</v>
      </c>
      <c r="O260" t="str">
        <f>IF(match_results_2!C260="薬価一致候補","〇","×")</f>
        <v>×</v>
      </c>
      <c r="P260" s="60">
        <f>IF(match_results_2!E260="","",match_results_2!E260)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>
        <f>統合マスタ!AA263</f>
        <v>0</v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IF(match_results_2!C261="完全一致","〇","×")</f>
        <v>×</v>
      </c>
      <c r="O261" t="str">
        <f>IF(match_results_2!C261="薬価一致候補","〇","×")</f>
        <v>〇</v>
      </c>
      <c r="P261" s="58">
        <f>IF(match_results_2!E261="","",match_results_2!E261)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>
        <f>統合マスタ!AA264</f>
        <v>0</v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IF(match_results_2!C262="完全一致","〇","×")</f>
        <v>×</v>
      </c>
      <c r="O262" t="str">
        <f>IF(match_results_2!C262="薬価一致候補","〇","×")</f>
        <v>〇</v>
      </c>
      <c r="P262" s="58">
        <f>IF(match_results_2!E262="","",match_results_2!E262)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>
        <f>統合マスタ!AA265</f>
        <v>0</v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IF(match_results_2!C263="完全一致","〇","×")</f>
        <v>×</v>
      </c>
      <c r="O263" t="str">
        <f>IF(match_results_2!C263="薬価一致候補","〇","×")</f>
        <v>〇</v>
      </c>
      <c r="P263" s="58">
        <f>IF(match_results_2!E263="","",match_results_2!E263)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>
        <f>統合マスタ!AA266</f>
        <v>0</v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IF(match_results_2!C264="完全一致","〇","×")</f>
        <v>〇</v>
      </c>
      <c r="O264" t="str">
        <f>IF(match_results_2!C264="薬価一致候補","〇","×")</f>
        <v>×</v>
      </c>
      <c r="P264" s="60">
        <f>IF(match_results_2!E264="","",match_results_2!E264)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>
        <f>統合マスタ!AA267</f>
        <v>0</v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IF(match_results_2!C265="完全一致","〇","×")</f>
        <v>〇</v>
      </c>
      <c r="O265" t="str">
        <f>IF(match_results_2!C265="薬価一致候補","〇","×")</f>
        <v>×</v>
      </c>
      <c r="P265" s="60">
        <f>IF(match_results_2!E265="","",match_results_2!E265)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>
        <f>統合マスタ!AA268</f>
        <v>0</v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IF(match_results_2!C266="完全一致","〇","×")</f>
        <v>〇</v>
      </c>
      <c r="O266" t="str">
        <f>IF(match_results_2!C266="薬価一致候補","〇","×")</f>
        <v>×</v>
      </c>
      <c r="P266" s="60">
        <f>IF(match_results_2!E266="","",match_results_2!E266)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>
        <f>統合マスタ!AA269</f>
        <v>0</v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IF(match_results_2!C267="完全一致","〇","×")</f>
        <v>〇</v>
      </c>
      <c r="O267" t="str">
        <f>IF(match_results_2!C267="薬価一致候補","〇","×")</f>
        <v>×</v>
      </c>
      <c r="P267" s="60">
        <f>IF(match_results_2!E267="","",match_results_2!E267)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>
        <f>統合マスタ!AA270</f>
        <v>0</v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IF(match_results_2!C268="完全一致","〇","×")</f>
        <v>×</v>
      </c>
      <c r="O268" t="str">
        <f>IF(match_results_2!C268="薬価一致候補","〇","×")</f>
        <v>〇</v>
      </c>
      <c r="P268" s="58">
        <f>IF(match_results_2!E268="","",match_results_2!E268)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>
        <f>統合マスタ!AA271</f>
        <v>0</v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IF(match_results_2!C269="完全一致","〇","×")</f>
        <v>〇</v>
      </c>
      <c r="O269" t="str">
        <f>IF(match_results_2!C269="薬価一致候補","〇","×")</f>
        <v>×</v>
      </c>
      <c r="P269" s="60">
        <f>IF(match_results_2!E269="","",match_results_2!E269)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>
        <f>統合マスタ!AA272</f>
        <v>0</v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IF(match_results_2!C270="完全一致","〇","×")</f>
        <v>〇</v>
      </c>
      <c r="O270" t="str">
        <f>IF(match_results_2!C270="薬価一致候補","〇","×")</f>
        <v>×</v>
      </c>
      <c r="P270" s="60">
        <f>IF(match_results_2!E270="","",match_results_2!E270)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>
        <f>統合マスタ!AA273</f>
        <v>0</v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IF(match_results_2!C271="完全一致","〇","×")</f>
        <v>〇</v>
      </c>
      <c r="O271" t="str">
        <f>IF(match_results_2!C271="薬価一致候補","〇","×")</f>
        <v>×</v>
      </c>
      <c r="P271" s="60">
        <f>IF(match_results_2!E271="","",match_results_2!E271)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>
        <f>統合マスタ!AA274</f>
        <v>0</v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IF(match_results_2!C272="完全一致","〇","×")</f>
        <v>〇</v>
      </c>
      <c r="O272" t="str">
        <f>IF(match_results_2!C272="薬価一致候補","〇","×")</f>
        <v>×</v>
      </c>
      <c r="P272" s="60">
        <f>IF(match_results_2!E272="","",match_results_2!E272)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>
        <f>統合マスタ!AA275</f>
        <v>0</v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IF(match_results_2!C273="完全一致","〇","×")</f>
        <v>〇</v>
      </c>
      <c r="O273" t="str">
        <f>IF(match_results_2!C273="薬価一致候補","〇","×")</f>
        <v>×</v>
      </c>
      <c r="P273" s="60">
        <f>IF(match_results_2!E273="","",match_results_2!E273)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>
        <f>統合マスタ!AA276</f>
        <v>0</v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IF(match_results_2!C274="完全一致","〇","×")</f>
        <v>×</v>
      </c>
      <c r="O274" t="str">
        <f>IF(match_results_2!C274="薬価一致候補","〇","×")</f>
        <v>〇</v>
      </c>
      <c r="P274" s="58">
        <f>IF(match_results_2!E274="","",match_results_2!E274)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>
        <f>統合マスタ!AA277</f>
        <v>0</v>
      </c>
    </row>
    <row r="275" spans="1:21" ht="24.6">
      <c r="A275" s="52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IF(match_results_2!C275="完全一致","〇","×")</f>
        <v>×</v>
      </c>
      <c r="O275" t="str">
        <f>IF(match_results_2!C275="薬価一致候補","〇","×")</f>
        <v>×</v>
      </c>
      <c r="P275" s="67" t="s">
        <v>4076</v>
      </c>
      <c r="Q275" s="68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IF(match_results_2!C276="完全一致","〇","×")</f>
        <v>〇</v>
      </c>
      <c r="O276" t="str">
        <f>IF(match_results_2!C276="薬価一致候補","〇","×")</f>
        <v>×</v>
      </c>
      <c r="P276" s="60">
        <f>IF(match_results_2!E276="","",match_results_2!E276)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>
        <f>統合マスタ!AA279</f>
        <v>0</v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IF(match_results_2!C277="完全一致","〇","×")</f>
        <v>×</v>
      </c>
      <c r="O277" t="str">
        <f>IF(match_results_2!C277="薬価一致候補","〇","×")</f>
        <v>〇</v>
      </c>
      <c r="P277" s="59">
        <v>215</v>
      </c>
      <c r="Q277" s="51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>
        <f>統合マスタ!AA280</f>
        <v>0</v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IF(match_results_2!C278="完全一致","〇","×")</f>
        <v>〇</v>
      </c>
      <c r="O278" t="str">
        <f>IF(match_results_2!C278="薬価一致候補","〇","×")</f>
        <v>×</v>
      </c>
      <c r="P278" s="60">
        <f>IF(match_results_2!E278="","",match_results_2!E278)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>
        <f>統合マスタ!AA281</f>
        <v>0</v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IF(match_results_2!C279="完全一致","〇","×")</f>
        <v>〇</v>
      </c>
      <c r="O279" t="str">
        <f>IF(match_results_2!C279="薬価一致候補","〇","×")</f>
        <v>×</v>
      </c>
      <c r="P279" s="60">
        <f>IF(match_results_2!E279="","",match_results_2!E279)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>
        <f>統合マスタ!AA282</f>
        <v>0</v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IF(match_results_2!C280="完全一致","〇","×")</f>
        <v>〇</v>
      </c>
      <c r="O280" t="str">
        <f>IF(match_results_2!C280="薬価一致候補","〇","×")</f>
        <v>×</v>
      </c>
      <c r="P280" s="60">
        <f>IF(match_results_2!E280="","",match_results_2!E280)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>
        <f>統合マスタ!AA283</f>
        <v>0</v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IF(match_results_2!C281="完全一致","〇","×")</f>
        <v>〇</v>
      </c>
      <c r="O281" t="str">
        <f>IF(match_results_2!C281="薬価一致候補","〇","×")</f>
        <v>×</v>
      </c>
      <c r="P281" s="60">
        <f>IF(match_results_2!E281="","",match_results_2!E281)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>
        <f>統合マスタ!AA284</f>
        <v>0</v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IF(match_results_2!C282="完全一致","〇","×")</f>
        <v>〇</v>
      </c>
      <c r="O282" t="str">
        <f>IF(match_results_2!C282="薬価一致候補","〇","×")</f>
        <v>×</v>
      </c>
      <c r="P282" s="60">
        <f>IF(match_results_2!E282="","",match_results_2!E282)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>
        <f>統合マスタ!AA285</f>
        <v>0</v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IF(match_results_2!C283="完全一致","〇","×")</f>
        <v>×</v>
      </c>
      <c r="O283" t="str">
        <f>IF(match_results_2!C283="薬価一致候補","〇","×")</f>
        <v>〇</v>
      </c>
      <c r="Q283" t="str">
        <f ca="1">OFFSET(マスタ非採用削除!$C$4,元データ!P283,0)</f>
        <v>名称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>
        <f>統合マスタ!AA286</f>
        <v>0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IF(match_results_2!C284="完全一致","〇","×")</f>
        <v>×</v>
      </c>
      <c r="O284" t="str">
        <f>IF(match_results_2!C284="薬価一致候補","〇","×")</f>
        <v>〇</v>
      </c>
      <c r="Q284" t="str">
        <f ca="1">OFFSET(マスタ非採用削除!$C$4,元データ!P284,0)</f>
        <v>名称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>
        <f>統合マスタ!AA287</f>
        <v>0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IF(match_results_2!C285="完全一致","〇","×")</f>
        <v>×</v>
      </c>
      <c r="O285" t="str">
        <f>IF(match_results_2!C285="薬価一致候補","〇","×")</f>
        <v>〇</v>
      </c>
      <c r="P285" s="58">
        <f>IF(match_results_2!E285="","",match_results_2!E285)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>
        <f>統合マスタ!AA288</f>
        <v>0</v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IF(match_results_2!C286="完全一致","〇","×")</f>
        <v>×</v>
      </c>
      <c r="O286" t="str">
        <f>IF(match_results_2!C286="薬価一致候補","〇","×")</f>
        <v>〇</v>
      </c>
      <c r="P286" s="58">
        <f>IF(match_results_2!E286="","",match_results_2!E286)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>
        <f>統合マスタ!AA289</f>
        <v>0</v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IF(match_results_2!C287="完全一致","〇","×")</f>
        <v>〇</v>
      </c>
      <c r="O287" t="str">
        <f>IF(match_results_2!C287="薬価一致候補","〇","×")</f>
        <v>×</v>
      </c>
      <c r="P287" s="60">
        <f>IF(match_results_2!E287="","",match_results_2!E287)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>
        <f>統合マスタ!AA290</f>
        <v>0</v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IF(match_results_2!C288="完全一致","〇","×")</f>
        <v>〇</v>
      </c>
      <c r="O288" t="str">
        <f>IF(match_results_2!C288="薬価一致候補","〇","×")</f>
        <v>×</v>
      </c>
      <c r="P288" s="60">
        <f>IF(match_results_2!E288="","",match_results_2!E288)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>
        <f>統合マスタ!AA291</f>
        <v>0</v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IF(match_results_2!C289="完全一致","〇","×")</f>
        <v>〇</v>
      </c>
      <c r="O289" t="str">
        <f>IF(match_results_2!C289="薬価一致候補","〇","×")</f>
        <v>×</v>
      </c>
      <c r="P289" s="60">
        <f>IF(match_results_2!E289="","",match_results_2!E289)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>
        <f>統合マスタ!AA292</f>
        <v>0</v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IF(match_results_2!C290="完全一致","〇","×")</f>
        <v>〇</v>
      </c>
      <c r="O290" t="str">
        <f>IF(match_results_2!C290="薬価一致候補","〇","×")</f>
        <v>×</v>
      </c>
      <c r="P290" s="60">
        <f>IF(match_results_2!E290="","",match_results_2!E290)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>
        <f>統合マスタ!AA293</f>
        <v>0</v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IF(match_results_2!C291="完全一致","〇","×")</f>
        <v>〇</v>
      </c>
      <c r="O291" t="str">
        <f>IF(match_results_2!C291="薬価一致候補","〇","×")</f>
        <v>×</v>
      </c>
      <c r="P291" s="60">
        <f>IF(match_results_2!E291="","",match_results_2!E291)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>
        <f>統合マスタ!AA294</f>
        <v>0</v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IF(match_results_2!C292="完全一致","〇","×")</f>
        <v>〇</v>
      </c>
      <c r="O292" t="str">
        <f>IF(match_results_2!C292="薬価一致候補","〇","×")</f>
        <v>×</v>
      </c>
      <c r="P292" s="60">
        <f>IF(match_results_2!E292="","",match_results_2!E292)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>
        <f>統合マスタ!AA295</f>
        <v>0</v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IF(match_results_2!C293="完全一致","〇","×")</f>
        <v>×</v>
      </c>
      <c r="O293" t="str">
        <f>IF(match_results_2!C293="薬価一致候補","〇","×")</f>
        <v>〇</v>
      </c>
      <c r="P293" s="58">
        <f>IF(match_results_2!E293="","",match_results_2!E293)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>
        <f>統合マスタ!AA296</f>
        <v>0</v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IF(match_results_2!C294="完全一致","〇","×")</f>
        <v>×</v>
      </c>
      <c r="O294" t="str">
        <f>IF(match_results_2!C294="薬価一致候補","〇","×")</f>
        <v>〇</v>
      </c>
      <c r="P294" s="58">
        <f>IF(match_results_2!E294="","",match_results_2!E294)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>
        <f>統合マスタ!AA297</f>
        <v>0</v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IF(match_results_2!C295="完全一致","〇","×")</f>
        <v>×</v>
      </c>
      <c r="O295" t="str">
        <f>IF(match_results_2!C295="薬価一致候補","〇","×")</f>
        <v>〇</v>
      </c>
      <c r="P295" s="58">
        <f>IF(match_results_2!E295="","",match_results_2!E295)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>
        <f>統合マスタ!AA298</f>
        <v>0</v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IF(match_results_2!C296="完全一致","〇","×")</f>
        <v>〇</v>
      </c>
      <c r="O296" t="str">
        <f>IF(match_results_2!C296="薬価一致候補","〇","×")</f>
        <v>×</v>
      </c>
      <c r="P296" s="60">
        <f>IF(match_results_2!E296="","",match_results_2!E296)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>
        <f>統合マスタ!AA299</f>
        <v>0</v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IF(match_results_2!C297="完全一致","〇","×")</f>
        <v>〇</v>
      </c>
      <c r="O297" t="str">
        <f>IF(match_results_2!C297="薬価一致候補","〇","×")</f>
        <v>×</v>
      </c>
      <c r="P297" s="60">
        <f>IF(match_results_2!E297="","",match_results_2!E297)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>
        <f>統合マスタ!AA300</f>
        <v>0</v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IF(match_results_2!C298="完全一致","〇","×")</f>
        <v>〇</v>
      </c>
      <c r="O298" t="str">
        <f>IF(match_results_2!C298="薬価一致候補","〇","×")</f>
        <v>×</v>
      </c>
      <c r="P298" s="60">
        <f>IF(match_results_2!E298="","",match_results_2!E298)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>
        <f>統合マスタ!AA301</f>
        <v>0</v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IF(match_results_2!C299="完全一致","〇","×")</f>
        <v>〇</v>
      </c>
      <c r="O299" t="str">
        <f>IF(match_results_2!C299="薬価一致候補","〇","×")</f>
        <v>×</v>
      </c>
      <c r="P299" s="60">
        <f>IF(match_results_2!E299="","",match_results_2!E299)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>
        <f>統合マスタ!AA302</f>
        <v>0</v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IF(match_results_2!C300="完全一致","〇","×")</f>
        <v>〇</v>
      </c>
      <c r="O300" t="str">
        <f>IF(match_results_2!C300="薬価一致候補","〇","×")</f>
        <v>×</v>
      </c>
      <c r="P300" s="60">
        <f>IF(match_results_2!E300="","",match_results_2!E300)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>
        <f>統合マスタ!AA303</f>
        <v>0</v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IF(match_results_2!C301="完全一致","〇","×")</f>
        <v>〇</v>
      </c>
      <c r="O301" t="str">
        <f>IF(match_results_2!C301="薬価一致候補","〇","×")</f>
        <v>×</v>
      </c>
      <c r="P301" s="60">
        <f>IF(match_results_2!E301="","",match_results_2!E301)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>
        <f>統合マスタ!AA304</f>
        <v>0</v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IF(match_results_2!C302="完全一致","〇","×")</f>
        <v>〇</v>
      </c>
      <c r="O302" t="str">
        <f>IF(match_results_2!C302="薬価一致候補","〇","×")</f>
        <v>×</v>
      </c>
      <c r="P302" s="60">
        <f>IF(match_results_2!E302="","",match_results_2!E302)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>
        <f>統合マスタ!AA305</f>
        <v>0</v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IF(match_results_2!C303="完全一致","〇","×")</f>
        <v>〇</v>
      </c>
      <c r="O303" t="str">
        <f>IF(match_results_2!C303="薬価一致候補","〇","×")</f>
        <v>×</v>
      </c>
      <c r="P303" s="60">
        <f>IF(match_results_2!E303="","",match_results_2!E303)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>
        <f>統合マスタ!AA306</f>
        <v>0</v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IF(match_results_2!C304="完全一致","〇","×")</f>
        <v>〇</v>
      </c>
      <c r="O304" t="str">
        <f>IF(match_results_2!C304="薬価一致候補","〇","×")</f>
        <v>×</v>
      </c>
      <c r="P304" s="60">
        <f>IF(match_results_2!E304="","",match_results_2!E304)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>
        <f>統合マスタ!AA307</f>
        <v>0</v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IF(match_results_2!C305="完全一致","〇","×")</f>
        <v>〇</v>
      </c>
      <c r="O305" t="str">
        <f>IF(match_results_2!C305="薬価一致候補","〇","×")</f>
        <v>×</v>
      </c>
      <c r="P305" s="60">
        <f>IF(match_results_2!E305="","",match_results_2!E305)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>
        <f>統合マスタ!AA308</f>
        <v>0</v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IF(match_results_2!C306="完全一致","〇","×")</f>
        <v>〇</v>
      </c>
      <c r="O306" t="str">
        <f>IF(match_results_2!C306="薬価一致候補","〇","×")</f>
        <v>×</v>
      </c>
      <c r="P306" s="60">
        <f>IF(match_results_2!E306="","",match_results_2!E306)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>
        <f>統合マスタ!AA309</f>
        <v>0</v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IF(match_results_2!C307="完全一致","〇","×")</f>
        <v>〇</v>
      </c>
      <c r="O307" t="str">
        <f>IF(match_results_2!C307="薬価一致候補","〇","×")</f>
        <v>×</v>
      </c>
      <c r="P307" s="60">
        <f>IF(match_results_2!E307="","",match_results_2!E307)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>
        <f>統合マスタ!AA310</f>
        <v>0</v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IF(match_results_2!C308="完全一致","〇","×")</f>
        <v>〇</v>
      </c>
      <c r="O308" t="str">
        <f>IF(match_results_2!C308="薬価一致候補","〇","×")</f>
        <v>×</v>
      </c>
      <c r="P308" s="60">
        <f>IF(match_results_2!E308="","",match_results_2!E308)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>
        <f>統合マスタ!AA311</f>
        <v>0</v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IF(match_results_2!C309="完全一致","〇","×")</f>
        <v>×</v>
      </c>
      <c r="O309" t="str">
        <f>IF(match_results_2!C309="薬価一致候補","〇","×")</f>
        <v>〇</v>
      </c>
      <c r="P309" s="59">
        <v>246</v>
      </c>
      <c r="Q309" s="51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>
        <f>統合マスタ!AA312</f>
        <v>0</v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IF(match_results_2!C310="完全一致","〇","×")</f>
        <v>〇</v>
      </c>
      <c r="O310" t="str">
        <f>IF(match_results_2!C310="薬価一致候補","〇","×")</f>
        <v>×</v>
      </c>
      <c r="P310" s="60">
        <f>IF(match_results_2!E310="","",match_results_2!E310)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>
        <f>統合マスタ!AA313</f>
        <v>0</v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IF(match_results_2!C311="完全一致","〇","×")</f>
        <v>〇</v>
      </c>
      <c r="O311" t="str">
        <f>IF(match_results_2!C311="薬価一致候補","〇","×")</f>
        <v>×</v>
      </c>
      <c r="P311" s="60">
        <f>IF(match_results_2!E311="","",match_results_2!E311)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>
        <f>統合マスタ!AA314</f>
        <v>0</v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IF(match_results_2!C312="完全一致","〇","×")</f>
        <v>〇</v>
      </c>
      <c r="O312" t="str">
        <f>IF(match_results_2!C312="薬価一致候補","〇","×")</f>
        <v>×</v>
      </c>
      <c r="P312" s="60">
        <f>IF(match_results_2!E312="","",match_results_2!E312)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>
        <f>統合マスタ!AA315</f>
        <v>0</v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IF(match_results_2!C313="完全一致","〇","×")</f>
        <v>×</v>
      </c>
      <c r="O313" t="str">
        <f>IF(match_results_2!C313="薬価一致候補","〇","×")</f>
        <v>〇</v>
      </c>
      <c r="P313" s="59">
        <v>249</v>
      </c>
      <c r="Q313" s="51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>
        <f>統合マスタ!AA316</f>
        <v>0</v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IF(match_results_2!C314="完全一致","〇","×")</f>
        <v>〇</v>
      </c>
      <c r="O314" t="str">
        <f>IF(match_results_2!C314="薬価一致候補","〇","×")</f>
        <v>×</v>
      </c>
      <c r="P314" s="60">
        <f>IF(match_results_2!E314="","",match_results_2!E314)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>
        <f>統合マスタ!AA317</f>
        <v>0</v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IF(match_results_2!C315="完全一致","〇","×")</f>
        <v>〇</v>
      </c>
      <c r="O315" t="str">
        <f>IF(match_results_2!C315="薬価一致候補","〇","×")</f>
        <v>×</v>
      </c>
      <c r="P315" s="60">
        <f>IF(match_results_2!E315="","",match_results_2!E315)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>
        <f>統合マスタ!AA318</f>
        <v>0</v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IF(match_results_2!C316="完全一致","〇","×")</f>
        <v>〇</v>
      </c>
      <c r="O316" t="str">
        <f>IF(match_results_2!C316="薬価一致候補","〇","×")</f>
        <v>×</v>
      </c>
      <c r="P316" s="60">
        <f>IF(match_results_2!E316="","",match_results_2!E316)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>
        <f>統合マスタ!AA319</f>
        <v>0</v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IF(match_results_2!C317="完全一致","〇","×")</f>
        <v>〇</v>
      </c>
      <c r="O317" t="str">
        <f>IF(match_results_2!C317="薬価一致候補","〇","×")</f>
        <v>×</v>
      </c>
      <c r="P317" s="60">
        <f>IF(match_results_2!E317="","",match_results_2!E317)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>
        <f>統合マスタ!AA320</f>
        <v>0</v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IF(match_results_2!C318="完全一致","〇","×")</f>
        <v>〇</v>
      </c>
      <c r="O318" t="str">
        <f>IF(match_results_2!C318="薬価一致候補","〇","×")</f>
        <v>×</v>
      </c>
      <c r="P318" s="60">
        <f>IF(match_results_2!E318="","",match_results_2!E318)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>
        <f>統合マスタ!AA321</f>
        <v>0</v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IF(match_results_2!C319="完全一致","〇","×")</f>
        <v>〇</v>
      </c>
      <c r="O319" t="str">
        <f>IF(match_results_2!C319="薬価一致候補","〇","×")</f>
        <v>×</v>
      </c>
      <c r="P319" s="60">
        <f>IF(match_results_2!E319="","",match_results_2!E319)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>
        <f>統合マスタ!AA322</f>
        <v>0</v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IF(match_results_2!C320="完全一致","〇","×")</f>
        <v>〇</v>
      </c>
      <c r="O320" t="str">
        <f>IF(match_results_2!C320="薬価一致候補","〇","×")</f>
        <v>×</v>
      </c>
      <c r="P320" s="60">
        <f>IF(match_results_2!E320="","",match_results_2!E320)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>
        <f>統合マスタ!AA323</f>
        <v>0</v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IF(match_results_2!C321="完全一致","〇","×")</f>
        <v>〇</v>
      </c>
      <c r="O321" t="str">
        <f>IF(match_results_2!C321="薬価一致候補","〇","×")</f>
        <v>×</v>
      </c>
      <c r="P321" s="60">
        <f>IF(match_results_2!E321="","",match_results_2!E321)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>
        <f>統合マスタ!AA324</f>
        <v>0</v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IF(match_results_2!C322="完全一致","〇","×")</f>
        <v>〇</v>
      </c>
      <c r="O322" t="str">
        <f>IF(match_results_2!C322="薬価一致候補","〇","×")</f>
        <v>×</v>
      </c>
      <c r="P322" s="60">
        <f>IF(match_results_2!E322="","",match_results_2!E322)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>
        <f>統合マスタ!AA325</f>
        <v>0</v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IF(match_results_2!C323="完全一致","〇","×")</f>
        <v>〇</v>
      </c>
      <c r="O323" t="str">
        <f>IF(match_results_2!C323="薬価一致候補","〇","×")</f>
        <v>×</v>
      </c>
      <c r="P323" s="60">
        <f>IF(match_results_2!E323="","",match_results_2!E323)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>
        <f>統合マスタ!AA326</f>
        <v>0</v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IF(match_results_2!C324="完全一致","〇","×")</f>
        <v>×</v>
      </c>
      <c r="O324" t="str">
        <f>IF(match_results_2!C324="薬価一致候補","〇","×")</f>
        <v>〇</v>
      </c>
      <c r="P324" s="58">
        <f>IF(match_results_2!E324="","",match_results_2!E324)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>
        <f>統合マスタ!AA327</f>
        <v>0</v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IF(match_results_2!C325="完全一致","〇","×")</f>
        <v>×</v>
      </c>
      <c r="O325" t="str">
        <f>IF(match_results_2!C325="薬価一致候補","〇","×")</f>
        <v>〇</v>
      </c>
      <c r="P325" s="58">
        <f>IF(match_results_2!E325="","",match_results_2!E325)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>
        <f>統合マスタ!AA328</f>
        <v>0</v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IF(match_results_2!C326="完全一致","〇","×")</f>
        <v>〇</v>
      </c>
      <c r="O326" t="str">
        <f>IF(match_results_2!C326="薬価一致候補","〇","×")</f>
        <v>×</v>
      </c>
      <c r="P326" s="60">
        <f>IF(match_results_2!E326="","",match_results_2!E326)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>
        <f>統合マスタ!AA329</f>
        <v>0</v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IF(match_results_2!C327="完全一致","〇","×")</f>
        <v>〇</v>
      </c>
      <c r="O327" t="str">
        <f>IF(match_results_2!C327="薬価一致候補","〇","×")</f>
        <v>×</v>
      </c>
      <c r="P327" s="60">
        <f>IF(match_results_2!E327="","",match_results_2!E327)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>
        <f>統合マスタ!AA330</f>
        <v>0</v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IF(match_results_2!C328="完全一致","〇","×")</f>
        <v>〇</v>
      </c>
      <c r="O328" t="str">
        <f>IF(match_results_2!C328="薬価一致候補","〇","×")</f>
        <v>×</v>
      </c>
      <c r="P328" s="60">
        <f>IF(match_results_2!E328="","",match_results_2!E328)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>
        <f>統合マスタ!AA331</f>
        <v>0</v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IF(match_results_2!C329="完全一致","〇","×")</f>
        <v>〇</v>
      </c>
      <c r="O329" t="str">
        <f>IF(match_results_2!C329="薬価一致候補","〇","×")</f>
        <v>×</v>
      </c>
      <c r="P329" s="60">
        <f>IF(match_results_2!E329="","",match_results_2!E329)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>
        <f>統合マスタ!AA332</f>
        <v>0</v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IF(match_results_2!C330="完全一致","〇","×")</f>
        <v>〇</v>
      </c>
      <c r="O330" t="str">
        <f>IF(match_results_2!C330="薬価一致候補","〇","×")</f>
        <v>×</v>
      </c>
      <c r="P330" s="60">
        <f>IF(match_results_2!E330="","",match_results_2!E330)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>
        <f>統合マスタ!AA333</f>
        <v>0</v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IF(match_results_2!C331="完全一致","〇","×")</f>
        <v>〇</v>
      </c>
      <c r="O331" t="str">
        <f>IF(match_results_2!C331="薬価一致候補","〇","×")</f>
        <v>×</v>
      </c>
      <c r="P331" s="60">
        <f>IF(match_results_2!E331="","",match_results_2!E331)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>
        <f>統合マスタ!AA334</f>
        <v>0</v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IF(match_results_2!C332="完全一致","〇","×")</f>
        <v>〇</v>
      </c>
      <c r="O332" t="str">
        <f>IF(match_results_2!C332="薬価一致候補","〇","×")</f>
        <v>×</v>
      </c>
      <c r="P332" s="60">
        <f>IF(match_results_2!E332="","",match_results_2!E332)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>
        <f>統合マスタ!AA335</f>
        <v>0</v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IF(match_results_2!C333="完全一致","〇","×")</f>
        <v>〇</v>
      </c>
      <c r="O333" t="str">
        <f>IF(match_results_2!C333="薬価一致候補","〇","×")</f>
        <v>×</v>
      </c>
      <c r="P333" s="60">
        <f>IF(match_results_2!E333="","",match_results_2!E333)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>
        <f>統合マスタ!AA336</f>
        <v>0</v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IF(match_results_2!C334="完全一致","〇","×")</f>
        <v>〇</v>
      </c>
      <c r="O334" t="str">
        <f>IF(match_results_2!C334="薬価一致候補","〇","×")</f>
        <v>×</v>
      </c>
      <c r="P334" s="60">
        <f>IF(match_results_2!E334="","",match_results_2!E334)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>
        <f>統合マスタ!AA337</f>
        <v>0</v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IF(match_results_2!C335="完全一致","〇","×")</f>
        <v>〇</v>
      </c>
      <c r="O335" t="str">
        <f>IF(match_results_2!C335="薬価一致候補","〇","×")</f>
        <v>×</v>
      </c>
      <c r="P335" s="60">
        <f>IF(match_results_2!E335="","",match_results_2!E335)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>
        <f>統合マスタ!AA338</f>
        <v>0</v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IF(match_results_2!C336="完全一致","〇","×")</f>
        <v>〇</v>
      </c>
      <c r="O336" t="str">
        <f>IF(match_results_2!C336="薬価一致候補","〇","×")</f>
        <v>×</v>
      </c>
      <c r="P336" s="60">
        <f>IF(match_results_2!E336="","",match_results_2!E336)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>
        <f>統合マスタ!AA339</f>
        <v>0</v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IF(match_results_2!C337="完全一致","〇","×")</f>
        <v>〇</v>
      </c>
      <c r="O337" t="str">
        <f>IF(match_results_2!C337="薬価一致候補","〇","×")</f>
        <v>×</v>
      </c>
      <c r="P337" s="60">
        <f>IF(match_results_2!E337="","",match_results_2!E337)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>
        <f>統合マスタ!AA340</f>
        <v>0</v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IF(match_results_2!C338="完全一致","〇","×")</f>
        <v>〇</v>
      </c>
      <c r="O338" t="str">
        <f>IF(match_results_2!C338="薬価一致候補","〇","×")</f>
        <v>×</v>
      </c>
      <c r="P338" s="60">
        <f>IF(match_results_2!E338="","",match_results_2!E338)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>
        <f>統合マスタ!AA341</f>
        <v>0</v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IF(match_results_2!C339="完全一致","〇","×")</f>
        <v>〇</v>
      </c>
      <c r="O339" t="str">
        <f>IF(match_results_2!C339="薬価一致候補","〇","×")</f>
        <v>×</v>
      </c>
      <c r="P339" s="60">
        <f>IF(match_results_2!E339="","",match_results_2!E339)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>
        <f>統合マスタ!AA342</f>
        <v>0</v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IF(match_results_2!C340="完全一致","〇","×")</f>
        <v>〇</v>
      </c>
      <c r="O340" t="str">
        <f>IF(match_results_2!C340="薬価一致候補","〇","×")</f>
        <v>×</v>
      </c>
      <c r="P340" s="60">
        <f>IF(match_results_2!E340="","",match_results_2!E340)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>
        <f>統合マスタ!AA343</f>
        <v>0</v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IF(match_results_2!C341="完全一致","〇","×")</f>
        <v>〇</v>
      </c>
      <c r="O341" t="str">
        <f>IF(match_results_2!C341="薬価一致候補","〇","×")</f>
        <v>×</v>
      </c>
      <c r="P341" s="60">
        <f>IF(match_results_2!E341="","",match_results_2!E341)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>
        <f>統合マスタ!AA344</f>
        <v>0</v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IF(match_results_2!C342="完全一致","〇","×")</f>
        <v>×</v>
      </c>
      <c r="O342" t="str">
        <f>IF(match_results_2!C342="薬価一致候補","〇","×")</f>
        <v>〇</v>
      </c>
      <c r="P342" s="58">
        <f>IF(match_results_2!E342="","",match_results_2!E342)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>
        <f>統合マスタ!AA345</f>
        <v>0</v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IF(match_results_2!C343="完全一致","〇","×")</f>
        <v>×</v>
      </c>
      <c r="O343" t="str">
        <f>IF(match_results_2!C343="薬価一致候補","〇","×")</f>
        <v>〇</v>
      </c>
      <c r="P343" s="58">
        <f>IF(match_results_2!E343="","",match_results_2!E343)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>
        <f>統合マスタ!AA346</f>
        <v>0</v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IF(match_results_2!C344="完全一致","〇","×")</f>
        <v>×</v>
      </c>
      <c r="O344" t="str">
        <f>IF(match_results_2!C344="薬価一致候補","〇","×")</f>
        <v>〇</v>
      </c>
      <c r="P344" s="58">
        <f>IF(match_results_2!E344="","",match_results_2!E344)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>
        <f>統合マスタ!AA347</f>
        <v>0</v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IF(match_results_2!C345="完全一致","〇","×")</f>
        <v>×</v>
      </c>
      <c r="O345" t="str">
        <f>IF(match_results_2!C345="薬価一致候補","〇","×")</f>
        <v>〇</v>
      </c>
      <c r="P345" s="59">
        <v>281</v>
      </c>
      <c r="Q345" s="51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>
        <f>統合マスタ!AA348</f>
        <v>0</v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IF(match_results_2!C346="完全一致","〇","×")</f>
        <v>×</v>
      </c>
      <c r="O346" t="str">
        <f>IF(match_results_2!C346="薬価一致候補","〇","×")</f>
        <v>〇</v>
      </c>
      <c r="P346" s="58">
        <f>IF(match_results_2!E346="","",match_results_2!E346)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>
        <f>統合マスタ!AA349</f>
        <v>0</v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IF(match_results_2!C347="完全一致","〇","×")</f>
        <v>×</v>
      </c>
      <c r="O347" t="str">
        <f>IF(match_results_2!C347="薬価一致候補","〇","×")</f>
        <v>〇</v>
      </c>
      <c r="P347" s="59">
        <v>283</v>
      </c>
      <c r="Q347" s="51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>
        <f>統合マスタ!AA350</f>
        <v>0</v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IF(match_results_2!C348="完全一致","〇","×")</f>
        <v>〇</v>
      </c>
      <c r="O348" t="str">
        <f>IF(match_results_2!C348="薬価一致候補","〇","×")</f>
        <v>×</v>
      </c>
      <c r="P348" s="60">
        <f>IF(match_results_2!E348="","",match_results_2!E348)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>
        <f>統合マスタ!AA351</f>
        <v>0</v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IF(match_results_2!C349="完全一致","〇","×")</f>
        <v>〇</v>
      </c>
      <c r="O349" t="str">
        <f>IF(match_results_2!C349="薬価一致候補","〇","×")</f>
        <v>×</v>
      </c>
      <c r="P349" s="60">
        <f>IF(match_results_2!E349="","",match_results_2!E349)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>
        <f>統合マスタ!AA352</f>
        <v>0</v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IF(match_results_2!C350="完全一致","〇","×")</f>
        <v>×</v>
      </c>
      <c r="O350" t="str">
        <f>IF(match_results_2!C350="薬価一致候補","〇","×")</f>
        <v>〇</v>
      </c>
      <c r="P350" s="59">
        <v>286</v>
      </c>
      <c r="Q350" s="51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>
        <f>統合マスタ!AA353</f>
        <v>0</v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IF(match_results_2!C351="完全一致","〇","×")</f>
        <v>×</v>
      </c>
      <c r="O351" t="str">
        <f>IF(match_results_2!C351="薬価一致候補","〇","×")</f>
        <v>〇</v>
      </c>
      <c r="P351" s="59">
        <v>286</v>
      </c>
      <c r="Q351" s="51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>
        <f>統合マスタ!AA354</f>
        <v>0</v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IF(match_results_2!C352="完全一致","〇","×")</f>
        <v>〇</v>
      </c>
      <c r="O352" t="str">
        <f>IF(match_results_2!C352="薬価一致候補","〇","×")</f>
        <v>×</v>
      </c>
      <c r="P352" s="60">
        <f>IF(match_results_2!E352="","",match_results_2!E352)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>
        <f>統合マスタ!AA355</f>
        <v>0</v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IF(match_results_2!C353="完全一致","〇","×")</f>
        <v>〇</v>
      </c>
      <c r="O353" t="str">
        <f>IF(match_results_2!C353="薬価一致候補","〇","×")</f>
        <v>×</v>
      </c>
      <c r="P353" s="60">
        <f>IF(match_results_2!E353="","",match_results_2!E353)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>
        <f>統合マスタ!AA356</f>
        <v>0</v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IF(match_results_2!C354="完全一致","〇","×")</f>
        <v>〇</v>
      </c>
      <c r="O354" t="str">
        <f>IF(match_results_2!C354="薬価一致候補","〇","×")</f>
        <v>×</v>
      </c>
      <c r="P354" s="60">
        <f>IF(match_results_2!E354="","",match_results_2!E354)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>
        <f>統合マスタ!AA357</f>
        <v>0</v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IF(match_results_2!C355="完全一致","〇","×")</f>
        <v>〇</v>
      </c>
      <c r="O355" t="str">
        <f>IF(match_results_2!C355="薬価一致候補","〇","×")</f>
        <v>×</v>
      </c>
      <c r="P355" s="60">
        <f>IF(match_results_2!E355="","",match_results_2!E355)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>
        <f>統合マスタ!AA358</f>
        <v>0</v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IF(match_results_2!C356="完全一致","〇","×")</f>
        <v>〇</v>
      </c>
      <c r="O356" t="str">
        <f>IF(match_results_2!C356="薬価一致候補","〇","×")</f>
        <v>×</v>
      </c>
      <c r="P356" s="60">
        <f>IF(match_results_2!E356="","",match_results_2!E356)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>
        <f>統合マスタ!AA359</f>
        <v>0</v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IF(match_results_2!C357="完全一致","〇","×")</f>
        <v>〇</v>
      </c>
      <c r="O357" t="str">
        <f>IF(match_results_2!C357="薬価一致候補","〇","×")</f>
        <v>×</v>
      </c>
      <c r="P357" s="60">
        <f>IF(match_results_2!E357="","",match_results_2!E357)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>
        <f>統合マスタ!AA360</f>
        <v>0</v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IF(match_results_2!C358="完全一致","〇","×")</f>
        <v>〇</v>
      </c>
      <c r="O358" t="str">
        <f>IF(match_results_2!C358="薬価一致候補","〇","×")</f>
        <v>×</v>
      </c>
      <c r="P358" s="60">
        <f>IF(match_results_2!E358="","",match_results_2!E358)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>
        <f>統合マスタ!AA361</f>
        <v>0</v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IF(match_results_2!C359="完全一致","〇","×")</f>
        <v>〇</v>
      </c>
      <c r="O359" t="str">
        <f>IF(match_results_2!C359="薬価一致候補","〇","×")</f>
        <v>×</v>
      </c>
      <c r="P359" s="60">
        <f>IF(match_results_2!E359="","",match_results_2!E359)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>
        <f>統合マスタ!AA362</f>
        <v>0</v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IF(match_results_2!C360="完全一致","〇","×")</f>
        <v>〇</v>
      </c>
      <c r="O360" t="str">
        <f>IF(match_results_2!C360="薬価一致候補","〇","×")</f>
        <v>×</v>
      </c>
      <c r="P360" s="60">
        <f>IF(match_results_2!E360="","",match_results_2!E360)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>
        <f>統合マスタ!AA363</f>
        <v>0</v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IF(match_results_2!C361="完全一致","〇","×")</f>
        <v>〇</v>
      </c>
      <c r="O361" t="str">
        <f>IF(match_results_2!C361="薬価一致候補","〇","×")</f>
        <v>×</v>
      </c>
      <c r="P361" s="60">
        <f>IF(match_results_2!E361="","",match_results_2!E361)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>
        <f>統合マスタ!AA364</f>
        <v>0</v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IF(match_results_2!C362="完全一致","〇","×")</f>
        <v>〇</v>
      </c>
      <c r="O362" t="str">
        <f>IF(match_results_2!C362="薬価一致候補","〇","×")</f>
        <v>×</v>
      </c>
      <c r="P362" s="60">
        <f>IF(match_results_2!E362="","",match_results_2!E362)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>
        <f>統合マスタ!AA365</f>
        <v>0</v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IF(match_results_2!C363="完全一致","〇","×")</f>
        <v>×</v>
      </c>
      <c r="O363" t="str">
        <f>IF(match_results_2!C363="薬価一致候補","〇","×")</f>
        <v>〇</v>
      </c>
      <c r="Q363" t="str">
        <f ca="1">OFFSET(マスタ非採用削除!$C$4,元データ!P363,0)</f>
        <v>名称</v>
      </c>
      <c r="R363">
        <f t="shared" si="29"/>
        <v>362</v>
      </c>
      <c r="S363" t="str">
        <f t="shared" si="28"/>
        <v>デカドロン錠0.5ｍｇ</v>
      </c>
      <c r="T363">
        <v>0</v>
      </c>
      <c r="U363">
        <f>統合マスタ!AA366</f>
        <v>0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IF(match_results_2!C364="完全一致","〇","×")</f>
        <v>〇</v>
      </c>
      <c r="O364" t="str">
        <f>IF(match_results_2!C364="薬価一致候補","〇","×")</f>
        <v>×</v>
      </c>
      <c r="P364" s="60">
        <f>IF(match_results_2!E364="","",match_results_2!E364)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>
        <f>統合マスタ!AA367</f>
        <v>0</v>
      </c>
    </row>
    <row r="365" spans="1:21">
      <c r="A365" s="52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IF(match_results_2!C365="完全一致","〇","×")</f>
        <v>×</v>
      </c>
      <c r="O365" t="str">
        <f>IF(match_results_2!C365="薬価一致候補","〇","×")</f>
        <v>×</v>
      </c>
      <c r="P365" s="60" t="str">
        <f>IF(match_results_2!E365="","",match_results_2!E365)</f>
        <v/>
      </c>
      <c r="Q365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>
        <f>統合マスタ!AA368</f>
        <v>0</v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IF(match_results_2!C366="完全一致","〇","×")</f>
        <v>〇</v>
      </c>
      <c r="O366" t="str">
        <f>IF(match_results_2!C366="薬価一致候補","〇","×")</f>
        <v>×</v>
      </c>
      <c r="P366" s="60">
        <f>IF(match_results_2!E366="","",match_results_2!E366)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>
        <f>統合マスタ!AA369</f>
        <v>0</v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IF(match_results_2!C367="完全一致","〇","×")</f>
        <v>〇</v>
      </c>
      <c r="O367" t="str">
        <f>IF(match_results_2!C367="薬価一致候補","〇","×")</f>
        <v>×</v>
      </c>
      <c r="P367" s="60">
        <f>IF(match_results_2!E367="","",match_results_2!E367)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>
        <f>統合マスタ!AA370</f>
        <v>0</v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IF(match_results_2!C368="完全一致","〇","×")</f>
        <v>×</v>
      </c>
      <c r="O368" t="str">
        <f>IF(match_results_2!C368="薬価一致候補","〇","×")</f>
        <v>〇</v>
      </c>
      <c r="P368" s="58">
        <f>IF(match_results_2!E368="","",match_results_2!E368)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>
        <f>統合マスタ!AA371</f>
        <v>0</v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IF(match_results_2!C369="完全一致","〇","×")</f>
        <v>〇</v>
      </c>
      <c r="O369" t="str">
        <f>IF(match_results_2!C369="薬価一致候補","〇","×")</f>
        <v>×</v>
      </c>
      <c r="P369" s="60">
        <f>IF(match_results_2!E369="","",match_results_2!E369)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>
        <f>統合マスタ!AA372</f>
        <v>0</v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IF(match_results_2!C370="完全一致","〇","×")</f>
        <v>〇</v>
      </c>
      <c r="O370" t="str">
        <f>IF(match_results_2!C370="薬価一致候補","〇","×")</f>
        <v>×</v>
      </c>
      <c r="P370" s="60">
        <f>IF(match_results_2!E370="","",match_results_2!E370)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>
        <f>統合マスタ!AA373</f>
        <v>0</v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IF(match_results_2!C371="完全一致","〇","×")</f>
        <v>×</v>
      </c>
      <c r="O371" t="str">
        <f>IF(match_results_2!C371="薬価一致候補","〇","×")</f>
        <v>〇</v>
      </c>
      <c r="Q371" t="str">
        <f ca="1">OFFSET(マスタ非採用削除!$C$4,元データ!P371,0)</f>
        <v>名称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>
        <f>統合マスタ!AA374</f>
        <v>0</v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IF(match_results_2!C372="完全一致","〇","×")</f>
        <v>〇</v>
      </c>
      <c r="O372" t="str">
        <f>IF(match_results_2!C372="薬価一致候補","〇","×")</f>
        <v>×</v>
      </c>
      <c r="P372" s="60">
        <f>IF(match_results_2!E372="","",match_results_2!E372)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>
        <f>統合マスタ!AA375</f>
        <v>0</v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IF(match_results_2!C373="完全一致","〇","×")</f>
        <v>〇</v>
      </c>
      <c r="O373" t="str">
        <f>IF(match_results_2!C373="薬価一致候補","〇","×")</f>
        <v>×</v>
      </c>
      <c r="P373" s="60">
        <f>IF(match_results_2!E373="","",match_results_2!E373)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>
        <f>統合マスタ!AA376</f>
        <v>0</v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IF(match_results_2!C374="完全一致","〇","×")</f>
        <v>〇</v>
      </c>
      <c r="O374" t="str">
        <f>IF(match_results_2!C374="薬価一致候補","〇","×")</f>
        <v>×</v>
      </c>
      <c r="P374" s="60">
        <f>IF(match_results_2!E374="","",match_results_2!E374)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>
        <f>統合マスタ!AA377</f>
        <v>0</v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IF(match_results_2!C375="完全一致","〇","×")</f>
        <v>〇</v>
      </c>
      <c r="O375" t="str">
        <f>IF(match_results_2!C375="薬価一致候補","〇","×")</f>
        <v>×</v>
      </c>
      <c r="P375" s="60">
        <f>IF(match_results_2!E375="","",match_results_2!E375)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>
        <f>統合マスタ!AA378</f>
        <v>0</v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IF(match_results_2!C376="完全一致","〇","×")</f>
        <v>〇</v>
      </c>
      <c r="O376" t="str">
        <f>IF(match_results_2!C376="薬価一致候補","〇","×")</f>
        <v>×</v>
      </c>
      <c r="P376" s="60">
        <f>IF(match_results_2!E376="","",match_results_2!E376)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>
        <f>統合マスタ!AA379</f>
        <v>0</v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IF(match_results_2!C377="完全一致","〇","×")</f>
        <v>〇</v>
      </c>
      <c r="O377" t="str">
        <f>IF(match_results_2!C377="薬価一致候補","〇","×")</f>
        <v>×</v>
      </c>
      <c r="P377" s="60">
        <f>IF(match_results_2!E377="","",match_results_2!E377)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>
        <f>統合マスタ!AA380</f>
        <v>0</v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IF(match_results_2!C378="完全一致","〇","×")</f>
        <v>〇</v>
      </c>
      <c r="O378" t="str">
        <f>IF(match_results_2!C378="薬価一致候補","〇","×")</f>
        <v>×</v>
      </c>
      <c r="P378" s="60">
        <f>IF(match_results_2!E378="","",match_results_2!E378)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>
        <f>統合マスタ!AA381</f>
        <v>0</v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IF(match_results_2!C379="完全一致","〇","×")</f>
        <v>〇</v>
      </c>
      <c r="O379" t="str">
        <f>IF(match_results_2!C379="薬価一致候補","〇","×")</f>
        <v>×</v>
      </c>
      <c r="P379" s="60">
        <f>IF(match_results_2!E379="","",match_results_2!E379)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>
        <f>統合マスタ!AA382</f>
        <v>0</v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IF(match_results_2!C380="完全一致","〇","×")</f>
        <v>〇</v>
      </c>
      <c r="O380" t="str">
        <f>IF(match_results_2!C380="薬価一致候補","〇","×")</f>
        <v>×</v>
      </c>
      <c r="P380" s="60">
        <f>IF(match_results_2!E380="","",match_results_2!E380)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>
        <f>統合マスタ!AA383</f>
        <v>0</v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IF(match_results_2!C381="完全一致","〇","×")</f>
        <v>〇</v>
      </c>
      <c r="O381" t="str">
        <f>IF(match_results_2!C381="薬価一致候補","〇","×")</f>
        <v>×</v>
      </c>
      <c r="P381" s="60">
        <f>IF(match_results_2!E381="","",match_results_2!E381)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>
        <f>統合マスタ!AA384</f>
        <v>0</v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IF(match_results_2!C382="完全一致","〇","×")</f>
        <v>×</v>
      </c>
      <c r="O382" t="str">
        <f>IF(match_results_2!C382="薬価一致候補","〇","×")</f>
        <v>〇</v>
      </c>
      <c r="P382" s="58">
        <f>IF(match_results_2!E382="","",match_results_2!E382)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>
        <f>統合マスタ!AA385</f>
        <v>0</v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IF(match_results_2!C383="完全一致","〇","×")</f>
        <v>×</v>
      </c>
      <c r="O383" t="str">
        <f>IF(match_results_2!C383="薬価一致候補","〇","×")</f>
        <v>〇</v>
      </c>
      <c r="P383" s="58">
        <f>IF(match_results_2!E383="","",match_results_2!E383)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>
        <f>統合マスタ!AA386</f>
        <v>0</v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IF(match_results_2!C384="完全一致","〇","×")</f>
        <v>〇</v>
      </c>
      <c r="O384" t="str">
        <f>IF(match_results_2!C384="薬価一致候補","〇","×")</f>
        <v>×</v>
      </c>
      <c r="P384" s="60">
        <f>IF(match_results_2!E384="","",match_results_2!E384)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>
        <f>統合マスタ!AA387</f>
        <v>0</v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IF(match_results_2!C385="完全一致","〇","×")</f>
        <v>〇</v>
      </c>
      <c r="O385" t="str">
        <f>IF(match_results_2!C385="薬価一致候補","〇","×")</f>
        <v>×</v>
      </c>
      <c r="P385" s="60">
        <f>IF(match_results_2!E385="","",match_results_2!E385)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>
        <f>統合マスタ!AA388</f>
        <v>0</v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IF(match_results_2!C386="完全一致","〇","×")</f>
        <v>〇</v>
      </c>
      <c r="O386" t="str">
        <f>IF(match_results_2!C386="薬価一致候補","〇","×")</f>
        <v>×</v>
      </c>
      <c r="P386" s="60">
        <f>IF(match_results_2!E386="","",match_results_2!E386)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>
        <f>統合マスタ!AA389</f>
        <v>0</v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IF(match_results_2!C387="完全一致","〇","×")</f>
        <v>〇</v>
      </c>
      <c r="O387" t="str">
        <f>IF(match_results_2!C387="薬価一致候補","〇","×")</f>
        <v>×</v>
      </c>
      <c r="P387" s="60">
        <f>IF(match_results_2!E387="","",match_results_2!E387)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>
        <f>統合マスタ!AA390</f>
        <v>0</v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IF(match_results_2!C388="完全一致","〇","×")</f>
        <v>〇</v>
      </c>
      <c r="O388" t="str">
        <f>IF(match_results_2!C388="薬価一致候補","〇","×")</f>
        <v>×</v>
      </c>
      <c r="P388" s="60">
        <f>IF(match_results_2!E388="","",match_results_2!E388)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>
        <f>統合マスタ!AA391</f>
        <v>0</v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IF(match_results_2!C389="完全一致","〇","×")</f>
        <v>×</v>
      </c>
      <c r="O389" t="str">
        <f>IF(match_results_2!C389="薬価一致候補","〇","×")</f>
        <v>〇</v>
      </c>
      <c r="Q389" t="str">
        <f ca="1">OFFSET(マスタ非採用削除!$C$4,元データ!P389,0)</f>
        <v>名称</v>
      </c>
      <c r="R389">
        <f t="shared" si="34"/>
        <v>388</v>
      </c>
      <c r="S389" t="str">
        <f t="shared" si="33"/>
        <v>デルモベート軟膏0.05%</v>
      </c>
      <c r="T389">
        <v>0</v>
      </c>
      <c r="U389">
        <f>統合マスタ!AA392</f>
        <v>0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IF(match_results_2!C390="完全一致","〇","×")</f>
        <v>〇</v>
      </c>
      <c r="O390" t="str">
        <f>IF(match_results_2!C390="薬価一致候補","〇","×")</f>
        <v>×</v>
      </c>
      <c r="P390" s="60">
        <f>IF(match_results_2!E390="","",match_results_2!E390)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>
        <f>統合マスタ!AA393</f>
        <v>0</v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IF(match_results_2!C391="完全一致","〇","×")</f>
        <v>〇</v>
      </c>
      <c r="O391" t="str">
        <f>IF(match_results_2!C391="薬価一致候補","〇","×")</f>
        <v>×</v>
      </c>
      <c r="P391" s="60">
        <f>IF(match_results_2!E391="","",match_results_2!E391)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>
        <f>統合マスタ!AA394</f>
        <v>0</v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IF(match_results_2!C392="完全一致","〇","×")</f>
        <v>〇</v>
      </c>
      <c r="O392" t="str">
        <f>IF(match_results_2!C392="薬価一致候補","〇","×")</f>
        <v>×</v>
      </c>
      <c r="P392" s="60">
        <f>IF(match_results_2!E392="","",match_results_2!E392)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>
        <f>統合マスタ!AA395</f>
        <v>0</v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IF(match_results_2!C393="完全一致","〇","×")</f>
        <v>〇</v>
      </c>
      <c r="O393" t="str">
        <f>IF(match_results_2!C393="薬価一致候補","〇","×")</f>
        <v>×</v>
      </c>
      <c r="P393" s="60">
        <f>IF(match_results_2!E393="","",match_results_2!E393)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>
        <f>統合マスタ!AA396</f>
        <v>0</v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IF(match_results_2!C394="完全一致","〇","×")</f>
        <v>〇</v>
      </c>
      <c r="O394" t="str">
        <f>IF(match_results_2!C394="薬価一致候補","〇","×")</f>
        <v>×</v>
      </c>
      <c r="P394" s="60">
        <f>IF(match_results_2!E394="","",match_results_2!E394)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>
        <f>統合マスタ!AA397</f>
        <v>0</v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IF(match_results_2!C395="完全一致","〇","×")</f>
        <v>〇</v>
      </c>
      <c r="O395" t="str">
        <f>IF(match_results_2!C395="薬価一致候補","〇","×")</f>
        <v>×</v>
      </c>
      <c r="P395" s="60">
        <f>IF(match_results_2!E395="","",match_results_2!E395)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>
        <f>統合マスタ!AA398</f>
        <v>0</v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IF(match_results_2!C396="完全一致","〇","×")</f>
        <v>〇</v>
      </c>
      <c r="O396" t="str">
        <f>IF(match_results_2!C396="薬価一致候補","〇","×")</f>
        <v>×</v>
      </c>
      <c r="P396" s="60">
        <f>IF(match_results_2!E396="","",match_results_2!E396)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>
        <f>統合マスタ!AA399</f>
        <v>0</v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IF(match_results_2!C397="完全一致","〇","×")</f>
        <v>〇</v>
      </c>
      <c r="O397" t="str">
        <f>IF(match_results_2!C397="薬価一致候補","〇","×")</f>
        <v>×</v>
      </c>
      <c r="P397" s="60">
        <f>IF(match_results_2!E397="","",match_results_2!E397)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>
        <f>統合マスタ!AA400</f>
        <v>0</v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IF(match_results_2!C398="完全一致","〇","×")</f>
        <v>〇</v>
      </c>
      <c r="O398" t="str">
        <f>IF(match_results_2!C398="薬価一致候補","〇","×")</f>
        <v>×</v>
      </c>
      <c r="P398" s="60">
        <f>IF(match_results_2!E398="","",match_results_2!E398)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>
        <f>統合マスタ!AA401</f>
        <v>0</v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IF(match_results_2!C399="完全一致","〇","×")</f>
        <v>〇</v>
      </c>
      <c r="O399" t="str">
        <f>IF(match_results_2!C399="薬価一致候補","〇","×")</f>
        <v>×</v>
      </c>
      <c r="P399" s="60">
        <f>IF(match_results_2!E399="","",match_results_2!E399)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>
        <f>統合マスタ!AA402</f>
        <v>0</v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IF(match_results_2!C400="完全一致","〇","×")</f>
        <v>〇</v>
      </c>
      <c r="O400" t="str">
        <f>IF(match_results_2!C400="薬価一致候補","〇","×")</f>
        <v>×</v>
      </c>
      <c r="P400" s="60">
        <f>IF(match_results_2!E400="","",match_results_2!E400)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>
        <f>統合マスタ!AA403</f>
        <v>0</v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IF(match_results_2!C401="完全一致","〇","×")</f>
        <v>〇</v>
      </c>
      <c r="O401" t="str">
        <f>IF(match_results_2!C401="薬価一致候補","〇","×")</f>
        <v>×</v>
      </c>
      <c r="P401" s="60">
        <f>IF(match_results_2!E401="","",match_results_2!E401)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>
        <f>統合マスタ!AA404</f>
        <v>0</v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IF(match_results_2!C402="完全一致","〇","×")</f>
        <v>〇</v>
      </c>
      <c r="O402" t="str">
        <f>IF(match_results_2!C402="薬価一致候補","〇","×")</f>
        <v>×</v>
      </c>
      <c r="P402" s="60">
        <f>IF(match_results_2!E402="","",match_results_2!E402)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>
        <f>統合マスタ!AA405</f>
        <v>0</v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IF(match_results_2!C403="完全一致","〇","×")</f>
        <v>〇</v>
      </c>
      <c r="O403" t="str">
        <f>IF(match_results_2!C403="薬価一致候補","〇","×")</f>
        <v>×</v>
      </c>
      <c r="P403" s="60">
        <f>IF(match_results_2!E403="","",match_results_2!E403)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>
        <f>統合マスタ!AA406</f>
        <v>0</v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IF(match_results_2!C404="完全一致","〇","×")</f>
        <v>〇</v>
      </c>
      <c r="O404" t="str">
        <f>IF(match_results_2!C404="薬価一致候補","〇","×")</f>
        <v>×</v>
      </c>
      <c r="P404" s="60">
        <f>IF(match_results_2!E404="","",match_results_2!E404)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>
        <f>統合マスタ!AA407</f>
        <v>0</v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IF(match_results_2!C405="完全一致","〇","×")</f>
        <v>〇</v>
      </c>
      <c r="O405" t="str">
        <f>IF(match_results_2!C405="薬価一致候補","〇","×")</f>
        <v>×</v>
      </c>
      <c r="P405" s="60">
        <f>IF(match_results_2!E405="","",match_results_2!E405)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>
        <f>統合マスタ!AA408</f>
        <v>0</v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IF(match_results_2!C406="完全一致","〇","×")</f>
        <v>〇</v>
      </c>
      <c r="O406" t="str">
        <f>IF(match_results_2!C406="薬価一致候補","〇","×")</f>
        <v>×</v>
      </c>
      <c r="P406" s="60">
        <f>IF(match_results_2!E406="","",match_results_2!E406)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>
        <f>統合マスタ!AA409</f>
        <v>0</v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IF(match_results_2!C407="完全一致","〇","×")</f>
        <v>〇</v>
      </c>
      <c r="O407" t="str">
        <f>IF(match_results_2!C407="薬価一致候補","〇","×")</f>
        <v>×</v>
      </c>
      <c r="P407" s="60">
        <f>IF(match_results_2!E407="","",match_results_2!E407)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>
        <f>統合マスタ!AA410</f>
        <v>0</v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IF(match_results_2!C408="完全一致","〇","×")</f>
        <v>×</v>
      </c>
      <c r="O408" t="str">
        <f>IF(match_results_2!C408="薬価一致候補","〇","×")</f>
        <v>〇</v>
      </c>
      <c r="P408" s="59">
        <v>349</v>
      </c>
      <c r="Q408" s="51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>
        <f>統合マスタ!AA411</f>
        <v>0</v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IF(match_results_2!C409="完全一致","〇","×")</f>
        <v>×</v>
      </c>
      <c r="O409" t="str">
        <f>IF(match_results_2!C409="薬価一致候補","〇","×")</f>
        <v>〇</v>
      </c>
      <c r="P409" s="59">
        <v>350</v>
      </c>
      <c r="Q409" s="51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>
        <f>統合マスタ!AA412</f>
        <v>0</v>
      </c>
    </row>
    <row r="410" spans="1:21">
      <c r="A410" s="6" t="s">
        <v>1233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IF(match_results_2!C410="完全一致","〇","×")</f>
        <v>×</v>
      </c>
      <c r="O410" t="str">
        <f>IF(match_results_2!C410="薬価一致候補","〇","×")</f>
        <v>〇</v>
      </c>
      <c r="Q410" t="str">
        <f ca="1">OFFSET(マスタ非採用削除!$C$4,元データ!P410,0)</f>
        <v>名称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>
        <f>統合マスタ!AA413</f>
        <v>0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IF(match_results_2!C411="完全一致","〇","×")</f>
        <v>×</v>
      </c>
      <c r="O411" t="str">
        <f>IF(match_results_2!C411="薬価一致候補","〇","×")</f>
        <v>〇</v>
      </c>
      <c r="Q411" t="str">
        <f ca="1">OFFSET(マスタ非採用削除!$C$4,元データ!P411,0)</f>
        <v>名称</v>
      </c>
      <c r="R411">
        <f t="shared" si="34"/>
        <v>410</v>
      </c>
      <c r="S411" t="str">
        <f t="shared" si="33"/>
        <v>トリアゾラム錠0.25ｍｇ「CH」　　　採用中止</v>
      </c>
      <c r="T411">
        <v>0</v>
      </c>
      <c r="U411">
        <f>統合マスタ!AA414</f>
        <v>0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IF(match_results_2!C412="完全一致","〇","×")</f>
        <v>×</v>
      </c>
      <c r="O412" t="str">
        <f>IF(match_results_2!C412="薬価一致候補","〇","×")</f>
        <v>〇</v>
      </c>
      <c r="P412" s="59">
        <v>351</v>
      </c>
      <c r="Q412" s="51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>
        <f>統合マスタ!AA415</f>
        <v>0</v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IF(match_results_2!C413="完全一致","〇","×")</f>
        <v>〇</v>
      </c>
      <c r="O413" t="str">
        <f>IF(match_results_2!C413="薬価一致候補","〇","×")</f>
        <v>×</v>
      </c>
      <c r="P413" s="60">
        <f>IF(match_results_2!E413="","",match_results_2!E413)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>
        <f>統合マスタ!AA416</f>
        <v>0</v>
      </c>
    </row>
    <row r="414" spans="1:21">
      <c r="A414" s="6" t="s">
        <v>1232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IF(match_results_2!C414="完全一致","〇","×")</f>
        <v>×</v>
      </c>
      <c r="O414" t="str">
        <f>IF(match_results_2!C414="薬価一致候補","〇","×")</f>
        <v>〇</v>
      </c>
      <c r="P414" s="58">
        <f>IF(match_results_2!E414="","",match_results_2!E414)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>
        <f>統合マスタ!AA417</f>
        <v>0</v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IF(match_results_2!C415="完全一致","〇","×")</f>
        <v>×</v>
      </c>
      <c r="O415" t="str">
        <f>IF(match_results_2!C415="薬価一致候補","〇","×")</f>
        <v>〇</v>
      </c>
      <c r="P415" s="58">
        <f>IF(match_results_2!E415="","",match_results_2!E415)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>
        <f>統合マスタ!AA418</f>
        <v>0</v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IF(match_results_2!C416="完全一致","〇","×")</f>
        <v>×</v>
      </c>
      <c r="O416" t="str">
        <f>IF(match_results_2!C416="薬価一致候補","〇","×")</f>
        <v>〇</v>
      </c>
      <c r="P416" s="58">
        <f>IF(match_results_2!E416="","",match_results_2!E416)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>
        <f>統合マスタ!AA419</f>
        <v>0</v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IF(match_results_2!C417="完全一致","〇","×")</f>
        <v>〇</v>
      </c>
      <c r="O417" t="str">
        <f>IF(match_results_2!C417="薬価一致候補","〇","×")</f>
        <v>×</v>
      </c>
      <c r="P417" s="60">
        <f>IF(match_results_2!E417="","",match_results_2!E417)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>
        <f>統合マスタ!AA420</f>
        <v>0</v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IF(match_results_2!C418="完全一致","〇","×")</f>
        <v>〇</v>
      </c>
      <c r="O418" t="str">
        <f>IF(match_results_2!C418="薬価一致候補","〇","×")</f>
        <v>×</v>
      </c>
      <c r="P418" s="60">
        <f>IF(match_results_2!E418="","",match_results_2!E418)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>
        <f>統合マスタ!AA421</f>
        <v>0</v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IF(match_results_2!C419="完全一致","〇","×")</f>
        <v>〇</v>
      </c>
      <c r="O419" t="str">
        <f>IF(match_results_2!C419="薬価一致候補","〇","×")</f>
        <v>×</v>
      </c>
      <c r="P419" s="60">
        <f>IF(match_results_2!E419="","",match_results_2!E419)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>
        <f>統合マスタ!AA422</f>
        <v>0</v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IF(match_results_2!C420="完全一致","〇","×")</f>
        <v>〇</v>
      </c>
      <c r="O420" t="str">
        <f>IF(match_results_2!C420="薬価一致候補","〇","×")</f>
        <v>×</v>
      </c>
      <c r="P420" s="60">
        <f>IF(match_results_2!E420="","",match_results_2!E420)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>
        <f>統合マスタ!AA423</f>
        <v>0</v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IF(match_results_2!C421="完全一致","〇","×")</f>
        <v>〇</v>
      </c>
      <c r="O421" t="str">
        <f>IF(match_results_2!C421="薬価一致候補","〇","×")</f>
        <v>×</v>
      </c>
      <c r="P421" s="60">
        <f>IF(match_results_2!E421="","",match_results_2!E421)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>
        <f>統合マスタ!AA424</f>
        <v>0</v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IF(match_results_2!C422="完全一致","〇","×")</f>
        <v>×</v>
      </c>
      <c r="O422" t="str">
        <f>IF(match_results_2!C422="薬価一致候補","〇","×")</f>
        <v>〇</v>
      </c>
      <c r="P422" s="58">
        <f>IF(match_results_2!E422="","",match_results_2!E422)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>
        <f>統合マスタ!AA425</f>
        <v>0</v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IF(match_results_2!C423="完全一致","〇","×")</f>
        <v>×</v>
      </c>
      <c r="O423" t="str">
        <f>IF(match_results_2!C423="薬価一致候補","〇","×")</f>
        <v>〇</v>
      </c>
      <c r="P423" s="58">
        <f>IF(match_results_2!E423="","",match_results_2!E423)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>
        <f>統合マスタ!AA426</f>
        <v>0</v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IF(match_results_2!C424="完全一致","〇","×")</f>
        <v>×</v>
      </c>
      <c r="O424" t="str">
        <f>IF(match_results_2!C424="薬価一致候補","〇","×")</f>
        <v>〇</v>
      </c>
      <c r="P424" s="59">
        <v>363</v>
      </c>
      <c r="Q424" s="51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>
        <f>統合マスタ!AA427</f>
        <v>0</v>
      </c>
    </row>
    <row r="425" spans="1:21" ht="24.6">
      <c r="A425" s="52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IF(match_results_2!C425="完全一致","〇","×")</f>
        <v>×</v>
      </c>
      <c r="O425" t="str">
        <f>IF(match_results_2!C425="薬価一致候補","〇","×")</f>
        <v>×</v>
      </c>
      <c r="P425" s="67" t="s">
        <v>4076</v>
      </c>
      <c r="Q425" s="68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IF(match_results_2!C426="完全一致","〇","×")</f>
        <v>〇</v>
      </c>
      <c r="O426" t="str">
        <f>IF(match_results_2!C426="薬価一致候補","〇","×")</f>
        <v>×</v>
      </c>
      <c r="P426" s="60">
        <f>IF(match_results_2!E426="","",match_results_2!E426)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>
        <f>統合マスタ!AA429</f>
        <v>0</v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IF(match_results_2!C427="完全一致","〇","×")</f>
        <v>〇</v>
      </c>
      <c r="O427" t="str">
        <f>IF(match_results_2!C427="薬価一致候補","〇","×")</f>
        <v>×</v>
      </c>
      <c r="P427" s="60">
        <f>IF(match_results_2!E427="","",match_results_2!E427)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>
        <f>統合マスタ!AA430</f>
        <v>0</v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IF(match_results_2!C428="完全一致","〇","×")</f>
        <v>〇</v>
      </c>
      <c r="O428" t="str">
        <f>IF(match_results_2!C428="薬価一致候補","〇","×")</f>
        <v>×</v>
      </c>
      <c r="P428" s="60">
        <f>IF(match_results_2!E428="","",match_results_2!E428)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>
        <f>統合マスタ!AA431</f>
        <v>0</v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IF(match_results_2!C429="完全一致","〇","×")</f>
        <v>×</v>
      </c>
      <c r="O429" t="str">
        <f>IF(match_results_2!C429="薬価一致候補","〇","×")</f>
        <v>〇</v>
      </c>
      <c r="P429" s="59">
        <v>370</v>
      </c>
      <c r="Q429" s="51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>
        <f>統合マスタ!AA432</f>
        <v>0</v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IF(match_results_2!C430="完全一致","〇","×")</f>
        <v>〇</v>
      </c>
      <c r="O430" t="str">
        <f>IF(match_results_2!C430="薬価一致候補","〇","×")</f>
        <v>×</v>
      </c>
      <c r="P430" s="60">
        <f>IF(match_results_2!E430="","",match_results_2!E430)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>
        <f>統合マスタ!AA433</f>
        <v>0</v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IF(match_results_2!C431="完全一致","〇","×")</f>
        <v>×</v>
      </c>
      <c r="O431" t="str">
        <f>IF(match_results_2!C431="薬価一致候補","〇","×")</f>
        <v>〇</v>
      </c>
      <c r="P431" s="58">
        <f>IF(match_results_2!E431="","",match_results_2!E431)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>
        <f>統合マスタ!AA434</f>
        <v>0</v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IF(match_results_2!C432="完全一致","〇","×")</f>
        <v>〇</v>
      </c>
      <c r="O432" t="str">
        <f>IF(match_results_2!C432="薬価一致候補","〇","×")</f>
        <v>×</v>
      </c>
      <c r="P432" s="60">
        <f>IF(match_results_2!E432="","",match_results_2!E432)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>
        <f>統合マスタ!AA435</f>
        <v>0</v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IF(match_results_2!C433="完全一致","〇","×")</f>
        <v>〇</v>
      </c>
      <c r="O433" t="str">
        <f>IF(match_results_2!C433="薬価一致候補","〇","×")</f>
        <v>×</v>
      </c>
      <c r="P433" s="60">
        <f>IF(match_results_2!E433="","",match_results_2!E433)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>
        <f>統合マスタ!AA436</f>
        <v>0</v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IF(match_results_2!C434="完全一致","〇","×")</f>
        <v>〇</v>
      </c>
      <c r="O434" t="str">
        <f>IF(match_results_2!C434="薬価一致候補","〇","×")</f>
        <v>×</v>
      </c>
      <c r="P434" s="60">
        <f>IF(match_results_2!E434="","",match_results_2!E434)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>
        <f>統合マスタ!AA437</f>
        <v>0</v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IF(match_results_2!C435="完全一致","〇","×")</f>
        <v>〇</v>
      </c>
      <c r="O435" t="str">
        <f>IF(match_results_2!C435="薬価一致候補","〇","×")</f>
        <v>×</v>
      </c>
      <c r="P435" s="60">
        <f>IF(match_results_2!E435="","",match_results_2!E435)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>
        <f>統合マスタ!AA438</f>
        <v>0</v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IF(match_results_2!C436="完全一致","〇","×")</f>
        <v>×</v>
      </c>
      <c r="O436" t="str">
        <f>IF(match_results_2!C436="薬価一致候補","〇","×")</f>
        <v>〇</v>
      </c>
      <c r="P436" s="58">
        <f>IF(match_results_2!E436="","",match_results_2!E436)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>
        <f>統合マスタ!AA439</f>
        <v>0</v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IF(match_results_2!C437="完全一致","〇","×")</f>
        <v>〇</v>
      </c>
      <c r="O437" t="str">
        <f>IF(match_results_2!C437="薬価一致候補","〇","×")</f>
        <v>×</v>
      </c>
      <c r="P437" s="60">
        <f>IF(match_results_2!E437="","",match_results_2!E437)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>
        <f>統合マスタ!AA440</f>
        <v>0</v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IF(match_results_2!C438="完全一致","〇","×")</f>
        <v>〇</v>
      </c>
      <c r="O438" t="str">
        <f>IF(match_results_2!C438="薬価一致候補","〇","×")</f>
        <v>×</v>
      </c>
      <c r="P438" s="60">
        <f>IF(match_results_2!E438="","",match_results_2!E438)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>
        <f>統合マスタ!AA441</f>
        <v>0</v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IF(match_results_2!C439="完全一致","〇","×")</f>
        <v>×</v>
      </c>
      <c r="O439" t="str">
        <f>IF(match_results_2!C439="薬価一致候補","〇","×")</f>
        <v>〇</v>
      </c>
      <c r="Q439" t="str">
        <f ca="1">OFFSET(マスタ非採用削除!$C$4,元データ!P439,0)</f>
        <v>名称</v>
      </c>
      <c r="R439">
        <f t="shared" si="34"/>
        <v>438</v>
      </c>
      <c r="S439" t="str">
        <f t="shared" si="33"/>
        <v>ニルバジピン錠２ｍｇ「サワイ」</v>
      </c>
      <c r="T439">
        <v>0</v>
      </c>
      <c r="U439">
        <f>統合マスタ!AA442</f>
        <v>0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IF(match_results_2!C440="完全一致","〇","×")</f>
        <v>〇</v>
      </c>
      <c r="O440" t="str">
        <f>IF(match_results_2!C440="薬価一致候補","〇","×")</f>
        <v>×</v>
      </c>
      <c r="P440" s="60">
        <f>IF(match_results_2!E440="","",match_results_2!E440)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>
        <f>統合マスタ!AA443</f>
        <v>0</v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IF(match_results_2!C441="完全一致","〇","×")</f>
        <v>×</v>
      </c>
      <c r="O441" t="str">
        <f>IF(match_results_2!C441="薬価一致候補","〇","×")</f>
        <v>〇</v>
      </c>
      <c r="P441" s="58">
        <f>IF(match_results_2!E441="","",match_results_2!E441)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>
        <f>統合マスタ!AA444</f>
        <v>0</v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IF(match_results_2!C442="完全一致","〇","×")</f>
        <v>〇</v>
      </c>
      <c r="O442" t="str">
        <f>IF(match_results_2!C442="薬価一致候補","〇","×")</f>
        <v>×</v>
      </c>
      <c r="P442" s="60">
        <f>IF(match_results_2!E442="","",match_results_2!E442)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>
        <f>統合マスタ!AA445</f>
        <v>0</v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IF(match_results_2!C443="完全一致","〇","×")</f>
        <v>×</v>
      </c>
      <c r="O443" t="str">
        <f>IF(match_results_2!C443="薬価一致候補","〇","×")</f>
        <v>〇</v>
      </c>
      <c r="P443" s="59">
        <v>386</v>
      </c>
      <c r="Q443" s="51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>
        <f>統合マスタ!AA446</f>
        <v>0</v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IF(match_results_2!C444="完全一致","〇","×")</f>
        <v>〇</v>
      </c>
      <c r="O444" t="str">
        <f>IF(match_results_2!C444="薬価一致候補","〇","×")</f>
        <v>×</v>
      </c>
      <c r="P444" s="60">
        <f>IF(match_results_2!E444="","",match_results_2!E444)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>
        <f>統合マスタ!AA447</f>
        <v>0</v>
      </c>
    </row>
    <row r="445" spans="1:21">
      <c r="A445" s="52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IF(match_results_2!C445="完全一致","〇","×")</f>
        <v>×</v>
      </c>
      <c r="O445" t="str">
        <f>IF(match_results_2!C445="薬価一致候補","〇","×")</f>
        <v>×</v>
      </c>
      <c r="P445" s="59">
        <v>387</v>
      </c>
      <c r="Q445" s="51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>
        <f>統合マスタ!AA448</f>
        <v>0</v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IF(match_results_2!C446="完全一致","〇","×")</f>
        <v>〇</v>
      </c>
      <c r="O446" t="str">
        <f>IF(match_results_2!C446="薬価一致候補","〇","×")</f>
        <v>×</v>
      </c>
      <c r="P446" s="60">
        <f>IF(match_results_2!E446="","",match_results_2!E446)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>
        <f>統合マスタ!AA449</f>
        <v>0</v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IF(match_results_2!C447="完全一致","〇","×")</f>
        <v>〇</v>
      </c>
      <c r="O447" t="str">
        <f>IF(match_results_2!C447="薬価一致候補","〇","×")</f>
        <v>×</v>
      </c>
      <c r="P447" s="60">
        <f>IF(match_results_2!E447="","",match_results_2!E447)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>
        <f>統合マスタ!AA450</f>
        <v>0</v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IF(match_results_2!C448="完全一致","〇","×")</f>
        <v>〇</v>
      </c>
      <c r="O448" t="str">
        <f>IF(match_results_2!C448="薬価一致候補","〇","×")</f>
        <v>×</v>
      </c>
      <c r="P448" s="60">
        <f>IF(match_results_2!E448="","",match_results_2!E448)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>
        <f>統合マスタ!AA451</f>
        <v>0</v>
      </c>
    </row>
    <row r="449" spans="1:21">
      <c r="A449" s="52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IF(match_results_2!C449="完全一致","〇","×")</f>
        <v>×</v>
      </c>
      <c r="O449" t="str">
        <f>IF(match_results_2!C449="薬価一致候補","〇","×")</f>
        <v>×</v>
      </c>
      <c r="P449" s="67" t="s">
        <v>4076</v>
      </c>
      <c r="Q449" s="68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IF(match_results_2!C450="完全一致","〇","×")</f>
        <v>〇</v>
      </c>
      <c r="O450" t="str">
        <f>IF(match_results_2!C450="薬価一致候補","〇","×")</f>
        <v>×</v>
      </c>
      <c r="P450" s="60">
        <f>IF(match_results_2!E450="","",match_results_2!E450)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>
        <f>統合マスタ!AA453</f>
        <v>0</v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IF(match_results_2!C451="完全一致","〇","×")</f>
        <v>×</v>
      </c>
      <c r="O451" t="str">
        <f>IF(match_results_2!C451="薬価一致候補","〇","×")</f>
        <v>〇</v>
      </c>
      <c r="P451" s="59">
        <v>391</v>
      </c>
      <c r="Q451" s="51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>
        <f>統合マスタ!AA454</f>
        <v>0</v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IF(match_results_2!C452="完全一致","〇","×")</f>
        <v>〇</v>
      </c>
      <c r="O452" t="str">
        <f>IF(match_results_2!C452="薬価一致候補","〇","×")</f>
        <v>×</v>
      </c>
      <c r="P452" s="60">
        <f>IF(match_results_2!E452="","",match_results_2!E452)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>
        <f>統合マスタ!AA455</f>
        <v>0</v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IF(match_results_2!C453="完全一致","〇","×")</f>
        <v>〇</v>
      </c>
      <c r="O453" t="str">
        <f>IF(match_results_2!C453="薬価一致候補","〇","×")</f>
        <v>×</v>
      </c>
      <c r="P453" s="60">
        <f>IF(match_results_2!E453="","",match_results_2!E453)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>
        <f>統合マスタ!AA456</f>
        <v>0</v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IF(match_results_2!C454="完全一致","〇","×")</f>
        <v>〇</v>
      </c>
      <c r="O454" t="str">
        <f>IF(match_results_2!C454="薬価一致候補","〇","×")</f>
        <v>×</v>
      </c>
      <c r="P454" s="60">
        <f>IF(match_results_2!E454="","",match_results_2!E454)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>
        <f>統合マスタ!AA457</f>
        <v>0</v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IF(match_results_2!C455="完全一致","〇","×")</f>
        <v>〇</v>
      </c>
      <c r="O455" t="str">
        <f>IF(match_results_2!C455="薬価一致候補","〇","×")</f>
        <v>×</v>
      </c>
      <c r="P455" s="60">
        <f>IF(match_results_2!E455="","",match_results_2!E455)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>
        <f>統合マスタ!AA458</f>
        <v>0</v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IF(match_results_2!C456="完全一致","〇","×")</f>
        <v>〇</v>
      </c>
      <c r="O456" t="str">
        <f>IF(match_results_2!C456="薬価一致候補","〇","×")</f>
        <v>×</v>
      </c>
      <c r="P456" s="60">
        <f>IF(match_results_2!E456="","",match_results_2!E456)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>
        <f>統合マスタ!AA459</f>
        <v>0</v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IF(match_results_2!C457="完全一致","〇","×")</f>
        <v>×</v>
      </c>
      <c r="O457" t="str">
        <f>IF(match_results_2!C457="薬価一致候補","〇","×")</f>
        <v>〇</v>
      </c>
      <c r="P457" s="58">
        <f>IF(match_results_2!E457="","",match_results_2!E457)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>
        <f>統合マスタ!AA460</f>
        <v>0</v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IF(match_results_2!C458="完全一致","〇","×")</f>
        <v>〇</v>
      </c>
      <c r="O458" t="str">
        <f>IF(match_results_2!C458="薬価一致候補","〇","×")</f>
        <v>×</v>
      </c>
      <c r="P458" s="60">
        <f>IF(match_results_2!E458="","",match_results_2!E458)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>
        <f>統合マスタ!AA461</f>
        <v>0</v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IF(match_results_2!C459="完全一致","〇","×")</f>
        <v>〇</v>
      </c>
      <c r="O459" t="str">
        <f>IF(match_results_2!C459="薬価一致候補","〇","×")</f>
        <v>×</v>
      </c>
      <c r="P459" s="60">
        <f>IF(match_results_2!E459="","",match_results_2!E459)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>
        <f>統合マスタ!AA462</f>
        <v>0</v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IF(match_results_2!C460="完全一致","〇","×")</f>
        <v>×</v>
      </c>
      <c r="O460" t="str">
        <f>IF(match_results_2!C460="薬価一致候補","〇","×")</f>
        <v>〇</v>
      </c>
      <c r="P460" s="58">
        <f>IF(match_results_2!E460="","",match_results_2!E460)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>
        <f>統合マスタ!AA463</f>
        <v>0</v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IF(match_results_2!C461="完全一致","〇","×")</f>
        <v>〇</v>
      </c>
      <c r="O461" t="str">
        <f>IF(match_results_2!C461="薬価一致候補","〇","×")</f>
        <v>×</v>
      </c>
      <c r="P461" s="60">
        <f>IF(match_results_2!E461="","",match_results_2!E461)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>
        <f>統合マスタ!AA464</f>
        <v>0</v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IF(match_results_2!C462="完全一致","〇","×")</f>
        <v>〇</v>
      </c>
      <c r="O462" t="str">
        <f>IF(match_results_2!C462="薬価一致候補","〇","×")</f>
        <v>×</v>
      </c>
      <c r="P462" s="60">
        <f>IF(match_results_2!E462="","",match_results_2!E462)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>
        <f>統合マスタ!AA465</f>
        <v>0</v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IF(match_results_2!C463="完全一致","〇","×")</f>
        <v>〇</v>
      </c>
      <c r="O463" t="str">
        <f>IF(match_results_2!C463="薬価一致候補","〇","×")</f>
        <v>×</v>
      </c>
      <c r="P463" s="60">
        <f>IF(match_results_2!E463="","",match_results_2!E463)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>
        <f>統合マスタ!AA466</f>
        <v>0</v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IF(match_results_2!C464="完全一致","〇","×")</f>
        <v>〇</v>
      </c>
      <c r="O464" t="str">
        <f>IF(match_results_2!C464="薬価一致候補","〇","×")</f>
        <v>×</v>
      </c>
      <c r="P464" s="60">
        <f>IF(match_results_2!E464="","",match_results_2!E464)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>
        <f>統合マスタ!AA467</f>
        <v>0</v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IF(match_results_2!C465="完全一致","〇","×")</f>
        <v>〇</v>
      </c>
      <c r="O465" t="str">
        <f>IF(match_results_2!C465="薬価一致候補","〇","×")</f>
        <v>×</v>
      </c>
      <c r="P465" s="60">
        <f>IF(match_results_2!E465="","",match_results_2!E465)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>
        <f>統合マスタ!AA468</f>
        <v>0</v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IF(match_results_2!C466="完全一致","〇","×")</f>
        <v>×</v>
      </c>
      <c r="O466" t="str">
        <f>IF(match_results_2!C466="薬価一致候補","〇","×")</f>
        <v>〇</v>
      </c>
      <c r="P466" s="59">
        <v>410</v>
      </c>
      <c r="Q466" s="51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>
        <f>統合マスタ!AA469</f>
        <v>0</v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IF(match_results_2!C467="完全一致","〇","×")</f>
        <v>×</v>
      </c>
      <c r="O467" t="str">
        <f>IF(match_results_2!C467="薬価一致候補","〇","×")</f>
        <v>〇</v>
      </c>
      <c r="P467" s="58">
        <f>IF(match_results_2!E467="","",match_results_2!E467)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>
        <f>統合マスタ!AA470</f>
        <v>0</v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IF(match_results_2!C468="完全一致","〇","×")</f>
        <v>×</v>
      </c>
      <c r="O468" t="str">
        <f>IF(match_results_2!C468="薬価一致候補","〇","×")</f>
        <v>〇</v>
      </c>
      <c r="P468" s="59">
        <v>408</v>
      </c>
      <c r="Q468" s="51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>
        <f>統合マスタ!AA471</f>
        <v>0</v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IF(match_results_2!C469="完全一致","〇","×")</f>
        <v>〇</v>
      </c>
      <c r="O469" t="str">
        <f>IF(match_results_2!C469="薬価一致候補","〇","×")</f>
        <v>×</v>
      </c>
      <c r="P469" s="60">
        <f>IF(match_results_2!E469="","",match_results_2!E469)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>
        <f>統合マスタ!AA472</f>
        <v>0</v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IF(match_results_2!C470="完全一致","〇","×")</f>
        <v>〇</v>
      </c>
      <c r="O470" t="str">
        <f>IF(match_results_2!C470="薬価一致候補","〇","×")</f>
        <v>×</v>
      </c>
      <c r="P470" s="60">
        <f>IF(match_results_2!E470="","",match_results_2!E470)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>
        <f>統合マスタ!AA473</f>
        <v>0</v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IF(match_results_2!C471="完全一致","〇","×")</f>
        <v>〇</v>
      </c>
      <c r="O471" t="str">
        <f>IF(match_results_2!C471="薬価一致候補","〇","×")</f>
        <v>×</v>
      </c>
      <c r="P471" s="60">
        <f>IF(match_results_2!E471="","",match_results_2!E471)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>
        <f>統合マスタ!AA474</f>
        <v>0</v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IF(match_results_2!C472="完全一致","〇","×")</f>
        <v>〇</v>
      </c>
      <c r="O472" t="str">
        <f>IF(match_results_2!C472="薬価一致候補","〇","×")</f>
        <v>×</v>
      </c>
      <c r="P472" s="60">
        <f>IF(match_results_2!E472="","",match_results_2!E472)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>
        <f>統合マスタ!AA475</f>
        <v>0</v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IF(match_results_2!C473="完全一致","〇","×")</f>
        <v>〇</v>
      </c>
      <c r="O473" t="str">
        <f>IF(match_results_2!C473="薬価一致候補","〇","×")</f>
        <v>×</v>
      </c>
      <c r="P473" s="60">
        <f>IF(match_results_2!E473="","",match_results_2!E473)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>
        <f>統合マスタ!AA476</f>
        <v>0</v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IF(match_results_2!C474="完全一致","〇","×")</f>
        <v>〇</v>
      </c>
      <c r="O474" t="str">
        <f>IF(match_results_2!C474="薬価一致候補","〇","×")</f>
        <v>×</v>
      </c>
      <c r="P474" s="60">
        <f>IF(match_results_2!E474="","",match_results_2!E474)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>
        <f>統合マスタ!AA477</f>
        <v>0</v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IF(match_results_2!C475="完全一致","〇","×")</f>
        <v>×</v>
      </c>
      <c r="O475" t="str">
        <f>IF(match_results_2!C475="薬価一致候補","〇","×")</f>
        <v>〇</v>
      </c>
      <c r="P475" s="59">
        <v>416</v>
      </c>
      <c r="Q475" s="51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>
        <f>統合マスタ!AA478</f>
        <v>0</v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IF(match_results_2!C476="完全一致","〇","×")</f>
        <v>〇</v>
      </c>
      <c r="O476" t="str">
        <f>IF(match_results_2!C476="薬価一致候補","〇","×")</f>
        <v>×</v>
      </c>
      <c r="P476" s="60">
        <f>IF(match_results_2!E476="","",match_results_2!E476)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>
        <f>統合マスタ!AA479</f>
        <v>0</v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IF(match_results_2!C477="完全一致","〇","×")</f>
        <v>〇</v>
      </c>
      <c r="O477" t="str">
        <f>IF(match_results_2!C477="薬価一致候補","〇","×")</f>
        <v>×</v>
      </c>
      <c r="P477" s="60">
        <f>IF(match_results_2!E477="","",match_results_2!E477)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>
        <f>統合マスタ!AA480</f>
        <v>0</v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IF(match_results_2!C478="完全一致","〇","×")</f>
        <v>〇</v>
      </c>
      <c r="O478" t="str">
        <f>IF(match_results_2!C478="薬価一致候補","〇","×")</f>
        <v>×</v>
      </c>
      <c r="P478" s="60">
        <f>IF(match_results_2!E478="","",match_results_2!E478)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>
        <f>統合マスタ!AA481</f>
        <v>0</v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IF(match_results_2!C479="完全一致","〇","×")</f>
        <v>〇</v>
      </c>
      <c r="O479" t="str">
        <f>IF(match_results_2!C479="薬価一致候補","〇","×")</f>
        <v>×</v>
      </c>
      <c r="P479" s="60">
        <f>IF(match_results_2!E479="","",match_results_2!E479)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>
        <f>統合マスタ!AA482</f>
        <v>0</v>
      </c>
    </row>
    <row r="480" spans="1:21" ht="24.6">
      <c r="A480" s="52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IF(match_results_2!C480="完全一致","〇","×")</f>
        <v>×</v>
      </c>
      <c r="O480" t="str">
        <f>IF(match_results_2!C480="薬価一致候補","〇","×")</f>
        <v>×</v>
      </c>
      <c r="P480" s="59">
        <v>417</v>
      </c>
      <c r="Q480" s="51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>
        <f>統合マスタ!AA483</f>
        <v>0</v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IF(match_results_2!C481="完全一致","〇","×")</f>
        <v>〇</v>
      </c>
      <c r="O481" t="str">
        <f>IF(match_results_2!C481="薬価一致候補","〇","×")</f>
        <v>×</v>
      </c>
      <c r="P481" s="60">
        <f>IF(match_results_2!E481="","",match_results_2!E481)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>
        <f>統合マスタ!AA484</f>
        <v>0</v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IF(match_results_2!C482="完全一致","〇","×")</f>
        <v>×</v>
      </c>
      <c r="O482" t="str">
        <f>IF(match_results_2!C482="薬価一致候補","〇","×")</f>
        <v>〇</v>
      </c>
      <c r="Q482" t="str">
        <f ca="1">OFFSET(マスタ非採用削除!$C$4,元データ!P482,0)</f>
        <v>名称</v>
      </c>
      <c r="R482">
        <f t="shared" si="39"/>
        <v>481</v>
      </c>
      <c r="S482" t="str">
        <f t="shared" si="38"/>
        <v>ピオグリダゾンOD錠15ｍｇ「ﾄｰﾜ」</v>
      </c>
      <c r="T482">
        <v>0</v>
      </c>
      <c r="U482">
        <f>統合マスタ!AA485</f>
        <v>0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IF(match_results_2!C483="完全一致","〇","×")</f>
        <v>〇</v>
      </c>
      <c r="O483" t="str">
        <f>IF(match_results_2!C483="薬価一致候補","〇","×")</f>
        <v>×</v>
      </c>
      <c r="P483" s="60">
        <f>IF(match_results_2!E483="","",match_results_2!E483)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>
        <f>統合マスタ!AA486</f>
        <v>0</v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IF(match_results_2!C484="完全一致","〇","×")</f>
        <v>〇</v>
      </c>
      <c r="O484" t="str">
        <f>IF(match_results_2!C484="薬価一致候補","〇","×")</f>
        <v>×</v>
      </c>
      <c r="P484" s="60">
        <f>IF(match_results_2!E484="","",match_results_2!E484)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>
        <f>統合マスタ!AA487</f>
        <v>0</v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IF(match_results_2!C485="完全一致","〇","×")</f>
        <v>〇</v>
      </c>
      <c r="O485" t="str">
        <f>IF(match_results_2!C485="薬価一致候補","〇","×")</f>
        <v>×</v>
      </c>
      <c r="P485" s="60">
        <f>IF(match_results_2!E485="","",match_results_2!E485)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>
        <f>統合マスタ!AA488</f>
        <v>0</v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IF(match_results_2!C486="完全一致","〇","×")</f>
        <v>〇</v>
      </c>
      <c r="O486" t="str">
        <f>IF(match_results_2!C486="薬価一致候補","〇","×")</f>
        <v>×</v>
      </c>
      <c r="P486" s="60">
        <f>IF(match_results_2!E486="","",match_results_2!E486)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>
        <f>統合マスタ!AA489</f>
        <v>0</v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IF(match_results_2!C487="完全一致","〇","×")</f>
        <v>〇</v>
      </c>
      <c r="O487" t="str">
        <f>IF(match_results_2!C487="薬価一致候補","〇","×")</f>
        <v>×</v>
      </c>
      <c r="P487" s="60">
        <f>IF(match_results_2!E487="","",match_results_2!E487)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>
        <f>統合マスタ!AA490</f>
        <v>0</v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IF(match_results_2!C488="完全一致","〇","×")</f>
        <v>〇</v>
      </c>
      <c r="O488" t="str">
        <f>IF(match_results_2!C488="薬価一致候補","〇","×")</f>
        <v>×</v>
      </c>
      <c r="P488" s="60">
        <f>IF(match_results_2!E488="","",match_results_2!E488)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>
        <f>統合マスタ!AA491</f>
        <v>0</v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IF(match_results_2!C489="完全一致","〇","×")</f>
        <v>〇</v>
      </c>
      <c r="O489" t="str">
        <f>IF(match_results_2!C489="薬価一致候補","〇","×")</f>
        <v>×</v>
      </c>
      <c r="P489" s="60">
        <f>IF(match_results_2!E489="","",match_results_2!E489)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>
        <f>統合マスタ!AA492</f>
        <v>0</v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IF(match_results_2!C490="完全一致","〇","×")</f>
        <v>〇</v>
      </c>
      <c r="O490" t="str">
        <f>IF(match_results_2!C490="薬価一致候補","〇","×")</f>
        <v>×</v>
      </c>
      <c r="P490" s="60">
        <f>IF(match_results_2!E490="","",match_results_2!E490)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>
        <f>統合マスタ!AA493</f>
        <v>0</v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IF(match_results_2!C491="完全一致","〇","×")</f>
        <v>〇</v>
      </c>
      <c r="O491" t="str">
        <f>IF(match_results_2!C491="薬価一致候補","〇","×")</f>
        <v>×</v>
      </c>
      <c r="P491" s="60">
        <f>IF(match_results_2!E491="","",match_results_2!E491)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>
        <f>統合マスタ!AA494</f>
        <v>0</v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IF(match_results_2!C492="完全一致","〇","×")</f>
        <v>〇</v>
      </c>
      <c r="O492" t="str">
        <f>IF(match_results_2!C492="薬価一致候補","〇","×")</f>
        <v>×</v>
      </c>
      <c r="P492" s="60">
        <f>IF(match_results_2!E492="","",match_results_2!E492)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>
        <f>統合マスタ!AA495</f>
        <v>0</v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IF(match_results_2!C493="完全一致","〇","×")</f>
        <v>〇</v>
      </c>
      <c r="O493" t="str">
        <f>IF(match_results_2!C493="薬価一致候補","〇","×")</f>
        <v>×</v>
      </c>
      <c r="P493" s="60">
        <f>IF(match_results_2!E493="","",match_results_2!E493)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>
        <f>統合マスタ!AA496</f>
        <v>0</v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IF(match_results_2!C494="完全一致","〇","×")</f>
        <v>〇</v>
      </c>
      <c r="O494" t="str">
        <f>IF(match_results_2!C494="薬価一致候補","〇","×")</f>
        <v>×</v>
      </c>
      <c r="P494" s="60">
        <f>IF(match_results_2!E494="","",match_results_2!E494)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>
        <f>統合マスタ!AA497</f>
        <v>0</v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IF(match_results_2!C495="完全一致","〇","×")</f>
        <v>〇</v>
      </c>
      <c r="O495" t="str">
        <f>IF(match_results_2!C495="薬価一致候補","〇","×")</f>
        <v>×</v>
      </c>
      <c r="P495" s="60">
        <f>IF(match_results_2!E495="","",match_results_2!E495)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>
        <f>統合マスタ!AA498</f>
        <v>0</v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IF(match_results_2!C496="完全一致","〇","×")</f>
        <v>〇</v>
      </c>
      <c r="O496" t="str">
        <f>IF(match_results_2!C496="薬価一致候補","〇","×")</f>
        <v>×</v>
      </c>
      <c r="P496" s="60">
        <f>IF(match_results_2!E496="","",match_results_2!E496)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>
        <f>統合マスタ!AA499</f>
        <v>0</v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IF(match_results_2!C497="完全一致","〇","×")</f>
        <v>〇</v>
      </c>
      <c r="O497" t="str">
        <f>IF(match_results_2!C497="薬価一致候補","〇","×")</f>
        <v>×</v>
      </c>
      <c r="P497" s="60">
        <f>IF(match_results_2!E497="","",match_results_2!E497)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>
        <f>統合マスタ!AA500</f>
        <v>0</v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IF(match_results_2!C498="完全一致","〇","×")</f>
        <v>〇</v>
      </c>
      <c r="O498" t="str">
        <f>IF(match_results_2!C498="薬価一致候補","〇","×")</f>
        <v>×</v>
      </c>
      <c r="P498" s="60">
        <f>IF(match_results_2!E498="","",match_results_2!E498)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>
        <f>統合マスタ!AA501</f>
        <v>0</v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IF(match_results_2!C499="完全一致","〇","×")</f>
        <v>〇</v>
      </c>
      <c r="O499" t="str">
        <f>IF(match_results_2!C499="薬価一致候補","〇","×")</f>
        <v>×</v>
      </c>
      <c r="P499" s="60">
        <f>IF(match_results_2!E499="","",match_results_2!E499)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>
        <f>統合マスタ!AA502</f>
        <v>0</v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IF(match_results_2!C500="完全一致","〇","×")</f>
        <v>〇</v>
      </c>
      <c r="O500" t="str">
        <f>IF(match_results_2!C500="薬価一致候補","〇","×")</f>
        <v>×</v>
      </c>
      <c r="P500" s="60">
        <f>IF(match_results_2!E500="","",match_results_2!E500)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>
        <f>統合マスタ!AA503</f>
        <v>0</v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IF(match_results_2!C501="完全一致","〇","×")</f>
        <v>〇</v>
      </c>
      <c r="O501" t="str">
        <f>IF(match_results_2!C501="薬価一致候補","〇","×")</f>
        <v>×</v>
      </c>
      <c r="P501" s="60">
        <f>IF(match_results_2!E501="","",match_results_2!E501)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>
        <f>統合マスタ!AA504</f>
        <v>0</v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IF(match_results_2!C502="完全一致","〇","×")</f>
        <v>〇</v>
      </c>
      <c r="O502" t="str">
        <f>IF(match_results_2!C502="薬価一致候補","〇","×")</f>
        <v>×</v>
      </c>
      <c r="P502" s="60">
        <f>IF(match_results_2!E502="","",match_results_2!E502)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>
        <f>統合マスタ!AA505</f>
        <v>0</v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IF(match_results_2!C503="完全一致","〇","×")</f>
        <v>〇</v>
      </c>
      <c r="O503" t="str">
        <f>IF(match_results_2!C503="薬価一致候補","〇","×")</f>
        <v>×</v>
      </c>
      <c r="P503" s="60">
        <f>IF(match_results_2!E503="","",match_results_2!E503)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>
        <f>統合マスタ!AA506</f>
        <v>0</v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IF(match_results_2!C504="完全一致","〇","×")</f>
        <v>×</v>
      </c>
      <c r="O504" t="str">
        <f>IF(match_results_2!C504="薬価一致候補","〇","×")</f>
        <v>〇</v>
      </c>
      <c r="Q504" t="str">
        <f ca="1">OFFSET(マスタ非採用削除!$C$4,元データ!P504,0)</f>
        <v>名称</v>
      </c>
      <c r="R504">
        <f t="shared" si="39"/>
        <v>503</v>
      </c>
      <c r="S504" t="str">
        <f t="shared" si="38"/>
        <v>ヒベルナ注25ｍｇ</v>
      </c>
      <c r="T504">
        <v>0</v>
      </c>
      <c r="U504">
        <f>統合マスタ!AA507</f>
        <v>0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IF(match_results_2!C505="完全一致","〇","×")</f>
        <v>〇</v>
      </c>
      <c r="O505" t="str">
        <f>IF(match_results_2!C505="薬価一致候補","〇","×")</f>
        <v>×</v>
      </c>
      <c r="P505" s="60">
        <f>IF(match_results_2!E505="","",match_results_2!E505)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>
        <f>統合マスタ!AA508</f>
        <v>0</v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IF(match_results_2!C506="完全一致","〇","×")</f>
        <v>〇</v>
      </c>
      <c r="O506" t="str">
        <f>IF(match_results_2!C506="薬価一致候補","〇","×")</f>
        <v>×</v>
      </c>
      <c r="P506" s="60">
        <f>IF(match_results_2!E506="","",match_results_2!E506)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>
        <f>統合マスタ!AA509</f>
        <v>0</v>
      </c>
    </row>
    <row r="507" spans="1:21">
      <c r="A507" s="52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IF(match_results_2!C507="完全一致","〇","×")</f>
        <v>×</v>
      </c>
      <c r="O507" t="str">
        <f>IF(match_results_2!C507="薬価一致候補","〇","×")</f>
        <v>×</v>
      </c>
      <c r="P507" s="67" t="s">
        <v>4076</v>
      </c>
      <c r="Q507" s="68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</v>
      </c>
      <c r="U507" t="str">
        <f>統合マスタ!AA510</f>
        <v>非採用</v>
      </c>
    </row>
    <row r="508" spans="1:21">
      <c r="A508" s="52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IF(match_results_2!C508="完全一致","〇","×")</f>
        <v>×</v>
      </c>
      <c r="O508" t="str">
        <f>IF(match_results_2!C508="薬価一致候補","〇","×")</f>
        <v>×</v>
      </c>
      <c r="P508" s="67" t="s">
        <v>4076</v>
      </c>
      <c r="Q508" s="68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IF(match_results_2!C509="完全一致","〇","×")</f>
        <v>〇</v>
      </c>
      <c r="O509" t="str">
        <f>IF(match_results_2!C509="薬価一致候補","〇","×")</f>
        <v>×</v>
      </c>
      <c r="P509" s="60">
        <f>IF(match_results_2!E509="","",match_results_2!E509)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>
        <f>統合マスタ!AA512</f>
        <v>0</v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IF(match_results_2!C510="完全一致","〇","×")</f>
        <v>〇</v>
      </c>
      <c r="O510" t="str">
        <f>IF(match_results_2!C510="薬価一致候補","〇","×")</f>
        <v>×</v>
      </c>
      <c r="P510" s="60">
        <f>IF(match_results_2!E510="","",match_results_2!E510)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>
        <f>統合マスタ!AA513</f>
        <v>0</v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IF(match_results_2!C511="完全一致","〇","×")</f>
        <v>×</v>
      </c>
      <c r="O511" t="str">
        <f>IF(match_results_2!C511="薬価一致候補","〇","×")</f>
        <v>〇</v>
      </c>
      <c r="P511" s="58">
        <f>IF(match_results_2!E511="","",match_results_2!E511)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>
        <f>統合マスタ!AA514</f>
        <v>0</v>
      </c>
    </row>
    <row r="512" spans="1:21" ht="24.6">
      <c r="A512" s="52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IF(match_results_2!C512="完全一致","〇","×")</f>
        <v>×</v>
      </c>
      <c r="O512" t="str">
        <f>IF(match_results_2!C512="薬価一致候補","〇","×")</f>
        <v>×</v>
      </c>
      <c r="P512" s="67" t="s">
        <v>4076</v>
      </c>
      <c r="Q512" s="68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IF(match_results_2!C513="完全一致","〇","×")</f>
        <v>×</v>
      </c>
      <c r="O513" t="str">
        <f>IF(match_results_2!C513="薬価一致候補","〇","×")</f>
        <v>〇</v>
      </c>
      <c r="P513" s="58">
        <f>IF(match_results_2!E513="","",match_results_2!E513)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>
        <f>統合マスタ!AA516</f>
        <v>0</v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IF(match_results_2!C514="完全一致","〇","×")</f>
        <v>×</v>
      </c>
      <c r="O514" t="str">
        <f>IF(match_results_2!C514="薬価一致候補","〇","×")</f>
        <v>〇</v>
      </c>
      <c r="Q514" t="str">
        <f ca="1">OFFSET(マスタ非採用削除!$C$4,元データ!P514,0)</f>
        <v>名称</v>
      </c>
      <c r="R514">
        <f t="shared" si="39"/>
        <v>513</v>
      </c>
      <c r="S514" t="str">
        <f t="shared" si="38"/>
        <v>ピューラックス6％</v>
      </c>
      <c r="T514">
        <v>0</v>
      </c>
      <c r="U514">
        <f>統合マスタ!AA517</f>
        <v>0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IF(match_results_2!C515="完全一致","〇","×")</f>
        <v>〇</v>
      </c>
      <c r="O515" t="str">
        <f>IF(match_results_2!C515="薬価一致候補","〇","×")</f>
        <v>×</v>
      </c>
      <c r="P515" s="60">
        <f>IF(match_results_2!E515="","",match_results_2!E515)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>
        <f>統合マスタ!AA518</f>
        <v>0</v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IF(match_results_2!C516="完全一致","〇","×")</f>
        <v>〇</v>
      </c>
      <c r="O516" t="str">
        <f>IF(match_results_2!C516="薬価一致候補","〇","×")</f>
        <v>×</v>
      </c>
      <c r="P516" s="60">
        <f>IF(match_results_2!E516="","",match_results_2!E516)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>
        <f>統合マスタ!AA519</f>
        <v>0</v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IF(match_results_2!C517="完全一致","〇","×")</f>
        <v>×</v>
      </c>
      <c r="O517" t="str">
        <f>IF(match_results_2!C517="薬価一致候補","〇","×")</f>
        <v>〇</v>
      </c>
      <c r="P517" s="59">
        <v>441</v>
      </c>
      <c r="Q517" s="51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>
        <f>統合マスタ!AA520</f>
        <v>0</v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IF(match_results_2!C518="完全一致","〇","×")</f>
        <v>〇</v>
      </c>
      <c r="O518" t="str">
        <f>IF(match_results_2!C518="薬価一致候補","〇","×")</f>
        <v>×</v>
      </c>
      <c r="P518" s="60">
        <f>IF(match_results_2!E518="","",match_results_2!E518)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>
        <f>統合マスタ!AA521</f>
        <v>0</v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IF(match_results_2!C519="完全一致","〇","×")</f>
        <v>〇</v>
      </c>
      <c r="O519" t="str">
        <f>IF(match_results_2!C519="薬価一致候補","〇","×")</f>
        <v>×</v>
      </c>
      <c r="P519" s="60">
        <f>IF(match_results_2!E519="","",match_results_2!E519)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>
        <f>統合マスタ!AA522</f>
        <v>0</v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IF(match_results_2!C520="完全一致","〇","×")</f>
        <v>〇</v>
      </c>
      <c r="O520" t="str">
        <f>IF(match_results_2!C520="薬価一致候補","〇","×")</f>
        <v>×</v>
      </c>
      <c r="P520" s="60">
        <f>IF(match_results_2!E520="","",match_results_2!E520)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>
        <f>統合マスタ!AA523</f>
        <v>0</v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IF(match_results_2!C521="完全一致","〇","×")</f>
        <v>〇</v>
      </c>
      <c r="O521" t="str">
        <f>IF(match_results_2!C521="薬価一致候補","〇","×")</f>
        <v>×</v>
      </c>
      <c r="P521" s="60">
        <f>IF(match_results_2!E521="","",match_results_2!E521)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>
        <f>統合マスタ!AA524</f>
        <v>0</v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IF(match_results_2!C522="完全一致","〇","×")</f>
        <v>〇</v>
      </c>
      <c r="O522" t="str">
        <f>IF(match_results_2!C522="薬価一致候補","〇","×")</f>
        <v>×</v>
      </c>
      <c r="P522" s="60">
        <f>IF(match_results_2!E522="","",match_results_2!E522)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>
        <f>統合マスタ!AA525</f>
        <v>0</v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IF(match_results_2!C523="完全一致","〇","×")</f>
        <v>〇</v>
      </c>
      <c r="O523" t="str">
        <f>IF(match_results_2!C523="薬価一致候補","〇","×")</f>
        <v>×</v>
      </c>
      <c r="P523" s="60">
        <f>IF(match_results_2!E523="","",match_results_2!E523)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>
        <f>統合マスタ!AA526</f>
        <v>0</v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IF(match_results_2!C524="完全一致","〇","×")</f>
        <v>〇</v>
      </c>
      <c r="O524" t="str">
        <f>IF(match_results_2!C524="薬価一致候補","〇","×")</f>
        <v>×</v>
      </c>
      <c r="P524" s="60">
        <f>IF(match_results_2!E524="","",match_results_2!E524)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>
        <f>統合マスタ!AA527</f>
        <v>0</v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IF(match_results_2!C525="完全一致","〇","×")</f>
        <v>〇</v>
      </c>
      <c r="O525" t="str">
        <f>IF(match_results_2!C525="薬価一致候補","〇","×")</f>
        <v>×</v>
      </c>
      <c r="P525" s="60">
        <f>IF(match_results_2!E525="","",match_results_2!E525)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>
        <f>統合マスタ!AA528</f>
        <v>0</v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IF(match_results_2!C526="完全一致","〇","×")</f>
        <v>〇</v>
      </c>
      <c r="O526" t="str">
        <f>IF(match_results_2!C526="薬価一致候補","〇","×")</f>
        <v>×</v>
      </c>
      <c r="P526" s="60">
        <f>IF(match_results_2!E526="","",match_results_2!E526)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>
        <f>統合マスタ!AA529</f>
        <v>0</v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IF(match_results_2!C527="完全一致","〇","×")</f>
        <v>〇</v>
      </c>
      <c r="O527" t="str">
        <f>IF(match_results_2!C527="薬価一致候補","〇","×")</f>
        <v>×</v>
      </c>
      <c r="P527" s="60">
        <f>IF(match_results_2!E527="","",match_results_2!E527)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>
        <f>統合マスタ!AA530</f>
        <v>0</v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IF(match_results_2!C528="完全一致","〇","×")</f>
        <v>〇</v>
      </c>
      <c r="O528" t="str">
        <f>IF(match_results_2!C528="薬価一致候補","〇","×")</f>
        <v>×</v>
      </c>
      <c r="P528" s="60">
        <f>IF(match_results_2!E528="","",match_results_2!E528)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>
        <f>統合マスタ!AA531</f>
        <v>0</v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IF(match_results_2!C529="完全一致","〇","×")</f>
        <v>〇</v>
      </c>
      <c r="O529" t="str">
        <f>IF(match_results_2!C529="薬価一致候補","〇","×")</f>
        <v>×</v>
      </c>
      <c r="P529" s="60">
        <f>IF(match_results_2!E529="","",match_results_2!E529)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>
        <f>統合マスタ!AA532</f>
        <v>0</v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IF(match_results_2!C530="完全一致","〇","×")</f>
        <v>〇</v>
      </c>
      <c r="O530" t="str">
        <f>IF(match_results_2!C530="薬価一致候補","〇","×")</f>
        <v>×</v>
      </c>
      <c r="P530" s="60">
        <f>IF(match_results_2!E530="","",match_results_2!E530)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>
        <f>統合マスタ!AA533</f>
        <v>0</v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IF(match_results_2!C531="完全一致","〇","×")</f>
        <v>〇</v>
      </c>
      <c r="O531" t="str">
        <f>IF(match_results_2!C531="薬価一致候補","〇","×")</f>
        <v>×</v>
      </c>
      <c r="P531" s="60">
        <f>IF(match_results_2!E531="","",match_results_2!E531)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>
        <f>統合マスタ!AA534</f>
        <v>0</v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IF(match_results_2!C532="完全一致","〇","×")</f>
        <v>〇</v>
      </c>
      <c r="O532" t="str">
        <f>IF(match_results_2!C532="薬価一致候補","〇","×")</f>
        <v>×</v>
      </c>
      <c r="P532" s="60">
        <f>IF(match_results_2!E532="","",match_results_2!E532)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>
        <f>統合マスタ!AA535</f>
        <v>0</v>
      </c>
    </row>
    <row r="533" spans="1:21">
      <c r="A533" s="6" t="s">
        <v>862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IF(match_results_2!C533="完全一致","〇","×")</f>
        <v>×</v>
      </c>
      <c r="O533" t="str">
        <f>IF(match_results_2!C533="薬価一致候補","〇","×")</f>
        <v>〇</v>
      </c>
      <c r="Q533" t="str">
        <f ca="1">OFFSET(マスタ非採用削除!$C$4,元データ!P533,0)</f>
        <v>名称</v>
      </c>
      <c r="R533">
        <f t="shared" si="44"/>
        <v>532</v>
      </c>
      <c r="S533" t="str">
        <f t="shared" si="43"/>
        <v>フェノバルビタール散10％
「ホエイ」</v>
      </c>
      <c r="T533">
        <v>0</v>
      </c>
      <c r="U533">
        <f>統合マスタ!AA536</f>
        <v>0</v>
      </c>
    </row>
    <row r="534" spans="1:21">
      <c r="A534" s="6" t="s">
        <v>863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IF(match_results_2!C534="完全一致","〇","×")</f>
        <v>×</v>
      </c>
      <c r="O534" t="str">
        <f>IF(match_results_2!C534="薬価一致候補","〇","×")</f>
        <v>〇</v>
      </c>
      <c r="P534" s="59">
        <v>456</v>
      </c>
      <c r="Q534" s="51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>
        <f>統合マスタ!AA537</f>
        <v>0</v>
      </c>
    </row>
    <row r="535" spans="1:21">
      <c r="A535" s="6" t="s">
        <v>864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IF(match_results_2!C535="完全一致","〇","×")</f>
        <v>〇</v>
      </c>
      <c r="O535" t="str">
        <f>IF(match_results_2!C535="薬価一致候補","〇","×")</f>
        <v>×</v>
      </c>
      <c r="P535" s="60">
        <f>IF(match_results_2!E535="","",match_results_2!E535)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>
        <f>統合マスタ!AA538</f>
        <v>0</v>
      </c>
    </row>
    <row r="536" spans="1:21">
      <c r="A536" s="6" t="s">
        <v>865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IF(match_results_2!C536="完全一致","〇","×")</f>
        <v>〇</v>
      </c>
      <c r="O536" t="str">
        <f>IF(match_results_2!C536="薬価一致候補","〇","×")</f>
        <v>×</v>
      </c>
      <c r="P536" s="60">
        <f>IF(match_results_2!E536="","",match_results_2!E536)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>
        <f>統合マスタ!AA539</f>
        <v>0</v>
      </c>
    </row>
    <row r="537" spans="1:21">
      <c r="A537" s="6" t="s">
        <v>865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IF(match_results_2!C537="完全一致","〇","×")</f>
        <v>〇</v>
      </c>
      <c r="O537" t="str">
        <f>IF(match_results_2!C537="薬価一致候補","〇","×")</f>
        <v>×</v>
      </c>
      <c r="P537" s="60">
        <f>IF(match_results_2!E537="","",match_results_2!E537)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>
        <f>統合マスタ!AA540</f>
        <v>0</v>
      </c>
    </row>
    <row r="538" spans="1:21">
      <c r="A538" s="6" t="s">
        <v>866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IF(match_results_2!C538="完全一致","〇","×")</f>
        <v>×</v>
      </c>
      <c r="O538" t="str">
        <f>IF(match_results_2!C538="薬価一致候補","〇","×")</f>
        <v>〇</v>
      </c>
      <c r="Q538" t="str">
        <f ca="1">OFFSET(マスタ非採用削除!$C$4,元データ!P538,0)</f>
        <v>名称</v>
      </c>
      <c r="R538">
        <f t="shared" si="44"/>
        <v>537</v>
      </c>
      <c r="S538" t="str">
        <f t="shared" si="43"/>
        <v>フェロミア顆粒８．３％　</v>
      </c>
      <c r="T538">
        <v>0</v>
      </c>
      <c r="U538">
        <f>統合マスタ!AA541</f>
        <v>0</v>
      </c>
    </row>
    <row r="539" spans="1:21">
      <c r="A539" s="6" t="s">
        <v>867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IF(match_results_2!C539="完全一致","〇","×")</f>
        <v>〇</v>
      </c>
      <c r="O539" t="str">
        <f>IF(match_results_2!C539="薬価一致候補","〇","×")</f>
        <v>×</v>
      </c>
      <c r="P539" s="60">
        <f>IF(match_results_2!E539="","",match_results_2!E539)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>
        <f>統合マスタ!AA542</f>
        <v>0</v>
      </c>
    </row>
    <row r="540" spans="1:21">
      <c r="A540" s="6" t="s">
        <v>868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IF(match_results_2!C540="完全一致","〇","×")</f>
        <v>×</v>
      </c>
      <c r="O540" t="str">
        <f>IF(match_results_2!C540="薬価一致候補","〇","×")</f>
        <v>〇</v>
      </c>
      <c r="Q540" t="str">
        <f ca="1">OFFSET(マスタ非採用削除!$C$4,元データ!P540,0)</f>
        <v>名称</v>
      </c>
      <c r="R540">
        <f t="shared" si="44"/>
        <v>539</v>
      </c>
      <c r="S540" t="str">
        <f t="shared" si="43"/>
        <v>フォリアミン錠５ｍｇ</v>
      </c>
      <c r="T540">
        <v>0</v>
      </c>
      <c r="U540">
        <f>統合マスタ!AA543</f>
        <v>0</v>
      </c>
    </row>
    <row r="541" spans="1:21">
      <c r="A541" s="6" t="s">
        <v>869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1224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IF(match_results_2!C541="完全一致","〇","×")</f>
        <v>×</v>
      </c>
      <c r="O541" t="str">
        <f>IF(match_results_2!C541="薬価一致候補","〇","×")</f>
        <v>〇</v>
      </c>
      <c r="Q541" t="str">
        <f ca="1">OFFSET(マスタ非採用削除!$C$4,元データ!P541,0)</f>
        <v>名称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>
        <f>統合マスタ!AA544</f>
        <v>0</v>
      </c>
    </row>
    <row r="542" spans="1:21">
      <c r="A542" s="6" t="s">
        <v>870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871</v>
      </c>
      <c r="M542" s="15">
        <f t="shared" si="42"/>
        <v>0.71999999999999975</v>
      </c>
      <c r="N542" t="str">
        <f>IF(match_results_2!C542="完全一致","〇","×")</f>
        <v>×</v>
      </c>
      <c r="O542" t="str">
        <f>IF(match_results_2!C542="薬価一致候補","〇","×")</f>
        <v>〇</v>
      </c>
      <c r="Q542" t="str">
        <f ca="1">OFFSET(マスタ非採用削除!$C$4,元データ!P542,0)</f>
        <v>名称</v>
      </c>
      <c r="R542">
        <f t="shared" si="44"/>
        <v>541</v>
      </c>
      <c r="S542" t="str">
        <f t="shared" si="43"/>
        <v>ブドウ糖</v>
      </c>
      <c r="T542">
        <v>0</v>
      </c>
      <c r="U542">
        <f>統合マスタ!AA545</f>
        <v>0</v>
      </c>
    </row>
    <row r="543" spans="1:21">
      <c r="A543" s="6" t="s">
        <v>872</v>
      </c>
      <c r="B543" s="6" t="s">
        <v>9</v>
      </c>
      <c r="C543" s="7" t="s">
        <v>10</v>
      </c>
      <c r="D543" s="6" t="s">
        <v>873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874</v>
      </c>
      <c r="J543" s="10">
        <v>890</v>
      </c>
      <c r="K543" s="11">
        <f t="shared" si="41"/>
        <v>89</v>
      </c>
      <c r="L543" s="7" t="s">
        <v>871</v>
      </c>
      <c r="M543" s="15">
        <f t="shared" si="42"/>
        <v>11</v>
      </c>
      <c r="N543" t="str">
        <f>IF(match_results_2!C543="完全一致","〇","×")</f>
        <v>×</v>
      </c>
      <c r="O543" t="str">
        <f>IF(match_results_2!C543="薬価一致候補","〇","×")</f>
        <v>〇</v>
      </c>
      <c r="Q543" t="str">
        <f ca="1">OFFSET(マスタ非採用削除!$C$4,元データ!P543,0)</f>
        <v>名称</v>
      </c>
      <c r="R543">
        <f t="shared" si="44"/>
        <v>542</v>
      </c>
      <c r="S543" t="str">
        <f t="shared" si="43"/>
        <v>ブドウ糖注20％ＰＬ「フソー」　　</v>
      </c>
      <c r="T543">
        <v>0</v>
      </c>
      <c r="U543">
        <f>統合マスタ!AA546</f>
        <v>0</v>
      </c>
    </row>
    <row r="544" spans="1:21">
      <c r="A544" s="6" t="s">
        <v>875</v>
      </c>
      <c r="B544" s="6" t="s">
        <v>9</v>
      </c>
      <c r="C544" s="7" t="s">
        <v>10</v>
      </c>
      <c r="D544" s="6" t="s">
        <v>876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871</v>
      </c>
      <c r="M544" s="15">
        <f t="shared" si="42"/>
        <v>16.5</v>
      </c>
      <c r="N544" t="str">
        <f>IF(match_results_2!C544="完全一致","〇","×")</f>
        <v>×</v>
      </c>
      <c r="O544" t="str">
        <f>IF(match_results_2!C544="薬価一致候補","〇","×")</f>
        <v>〇</v>
      </c>
      <c r="P544" s="58">
        <f>IF(match_results_2!E544="","",match_results_2!E544)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>
        <f>統合マスタ!AA547</f>
        <v>0</v>
      </c>
    </row>
    <row r="545" spans="1:21">
      <c r="A545" s="6" t="s">
        <v>877</v>
      </c>
      <c r="B545" s="6" t="s">
        <v>9</v>
      </c>
      <c r="C545" s="7" t="s">
        <v>10</v>
      </c>
      <c r="D545" s="6" t="s">
        <v>878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874</v>
      </c>
      <c r="J545" s="10">
        <v>890</v>
      </c>
      <c r="K545" s="11">
        <f t="shared" si="41"/>
        <v>89</v>
      </c>
      <c r="L545" s="7" t="s">
        <v>871</v>
      </c>
      <c r="M545" s="15">
        <f t="shared" si="42"/>
        <v>11</v>
      </c>
      <c r="N545" t="str">
        <f>IF(match_results_2!C545="完全一致","〇","×")</f>
        <v>×</v>
      </c>
      <c r="O545" t="str">
        <f>IF(match_results_2!C545="薬価一致候補","〇","×")</f>
        <v>〇</v>
      </c>
      <c r="Q545" t="str">
        <f ca="1">OFFSET(マスタ非採用削除!$C$4,元データ!P545,0)</f>
        <v>名称</v>
      </c>
      <c r="R545">
        <f t="shared" si="44"/>
        <v>544</v>
      </c>
      <c r="S545" t="str">
        <f t="shared" si="43"/>
        <v>ブドウ糖注５％ＰＬ「フソー」20ｍｌ</v>
      </c>
      <c r="T545">
        <v>0</v>
      </c>
      <c r="U545">
        <f>統合マスタ!AA548</f>
        <v>0</v>
      </c>
    </row>
    <row r="546" spans="1:21">
      <c r="A546" s="6" t="s">
        <v>879</v>
      </c>
      <c r="B546" s="6" t="s">
        <v>90</v>
      </c>
      <c r="C546" s="7" t="s">
        <v>39</v>
      </c>
      <c r="D546" s="6" t="s">
        <v>880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881</v>
      </c>
      <c r="M546" s="15">
        <f t="shared" si="42"/>
        <v>3.9899999999999949</v>
      </c>
      <c r="N546" t="str">
        <f>IF(match_results_2!C546="完全一致","〇","×")</f>
        <v>〇</v>
      </c>
      <c r="O546" t="str">
        <f>IF(match_results_2!C546="薬価一致候補","〇","×")</f>
        <v>×</v>
      </c>
      <c r="P546" s="60">
        <f>IF(match_results_2!E546="","",match_results_2!E546)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>
        <f>統合マスタ!AA549</f>
        <v>0</v>
      </c>
    </row>
    <row r="547" spans="1:21">
      <c r="A547" s="6" t="s">
        <v>882</v>
      </c>
      <c r="B547" s="6" t="s">
        <v>71</v>
      </c>
      <c r="C547" s="7" t="s">
        <v>39</v>
      </c>
      <c r="D547" s="6" t="s">
        <v>113</v>
      </c>
      <c r="E547" s="6" t="s">
        <v>883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IF(match_results_2!C547="完全一致","〇","×")</f>
        <v>〇</v>
      </c>
      <c r="O547" t="str">
        <f>IF(match_results_2!C547="薬価一致候補","〇","×")</f>
        <v>×</v>
      </c>
      <c r="P547" s="60">
        <f>IF(match_results_2!E547="","",match_results_2!E547)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>
        <f>統合マスタ!AA550</f>
        <v>0</v>
      </c>
    </row>
    <row r="548" spans="1:21">
      <c r="A548" s="6" t="s">
        <v>884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IF(match_results_2!C548="完全一致","〇","×")</f>
        <v>〇</v>
      </c>
      <c r="O548" t="str">
        <f>IF(match_results_2!C548="薬価一致候補","〇","×")</f>
        <v>×</v>
      </c>
      <c r="P548" s="60">
        <f>IF(match_results_2!E548="","",match_results_2!E548)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>
        <f>統合マスタ!AA551</f>
        <v>0</v>
      </c>
    </row>
    <row r="549" spans="1:21">
      <c r="A549" s="6" t="s">
        <v>884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IF(match_results_2!C549="完全一致","〇","×")</f>
        <v>〇</v>
      </c>
      <c r="O549" t="str">
        <f>IF(match_results_2!C549="薬価一致候補","〇","×")</f>
        <v>×</v>
      </c>
      <c r="P549" s="60">
        <f>IF(match_results_2!E549="","",match_results_2!E549)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>
        <f>統合マスタ!AA552</f>
        <v>0</v>
      </c>
    </row>
    <row r="550" spans="1:21">
      <c r="A550" s="6" t="s">
        <v>885</v>
      </c>
      <c r="B550" s="6" t="s">
        <v>9</v>
      </c>
      <c r="C550" s="7" t="s">
        <v>10</v>
      </c>
      <c r="D550" s="6" t="s">
        <v>886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IF(match_results_2!C550="完全一致","〇","×")</f>
        <v>×</v>
      </c>
      <c r="O550" t="str">
        <f>IF(match_results_2!C550="薬価一致候補","〇","×")</f>
        <v>〇</v>
      </c>
      <c r="P550" s="58">
        <f>IF(match_results_2!E550="","",match_results_2!E550)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>
        <f>統合マスタ!AA553</f>
        <v>0</v>
      </c>
    </row>
    <row r="551" spans="1:21">
      <c r="A551" s="6" t="s">
        <v>887</v>
      </c>
      <c r="B551" s="6" t="s">
        <v>44</v>
      </c>
      <c r="C551" s="7" t="s">
        <v>10</v>
      </c>
      <c r="D551" s="6" t="s">
        <v>888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IF(match_results_2!C551="完全一致","〇","×")</f>
        <v>〇</v>
      </c>
      <c r="O551" t="str">
        <f>IF(match_results_2!C551="薬価一致候補","〇","×")</f>
        <v>×</v>
      </c>
      <c r="P551" s="60">
        <f>IF(match_results_2!E551="","",match_results_2!E551)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>
        <f>統合マスタ!AA554</f>
        <v>0</v>
      </c>
    </row>
    <row r="552" spans="1:21">
      <c r="A552" s="6" t="s">
        <v>889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IF(match_results_2!C552="完全一致","〇","×")</f>
        <v>〇</v>
      </c>
      <c r="O552" t="str">
        <f>IF(match_results_2!C552="薬価一致候補","〇","×")</f>
        <v>×</v>
      </c>
      <c r="P552" s="60">
        <f>IF(match_results_2!E552="","",match_results_2!E552)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>
        <f>統合マスタ!AA555</f>
        <v>0</v>
      </c>
    </row>
    <row r="553" spans="1:21">
      <c r="A553" s="6" t="s">
        <v>890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IF(match_results_2!C553="完全一致","〇","×")</f>
        <v>〇</v>
      </c>
      <c r="O553" t="str">
        <f>IF(match_results_2!C553="薬価一致候補","〇","×")</f>
        <v>×</v>
      </c>
      <c r="P553" s="60">
        <f>IF(match_results_2!E553="","",match_results_2!E553)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>
        <f>統合マスタ!AA556</f>
        <v>0</v>
      </c>
    </row>
    <row r="554" spans="1:21">
      <c r="A554" s="6" t="s">
        <v>891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IF(match_results_2!C554="完全一致","〇","×")</f>
        <v>×</v>
      </c>
      <c r="O554" t="str">
        <f>IF(match_results_2!C554="薬価一致候補","〇","×")</f>
        <v>〇</v>
      </c>
      <c r="P554" s="59">
        <v>477</v>
      </c>
      <c r="Q554" s="51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>
        <f>統合マスタ!AA557</f>
        <v>0</v>
      </c>
    </row>
    <row r="555" spans="1:21">
      <c r="A555" s="6" t="s">
        <v>892</v>
      </c>
      <c r="B555" s="6" t="s">
        <v>10</v>
      </c>
      <c r="C555" s="7" t="s">
        <v>10</v>
      </c>
      <c r="D555" s="6" t="s">
        <v>893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IF(match_results_2!C555="完全一致","〇","×")</f>
        <v>〇</v>
      </c>
      <c r="O555" t="str">
        <f>IF(match_results_2!C555="薬価一致候補","〇","×")</f>
        <v>×</v>
      </c>
      <c r="P555" s="60">
        <f>IF(match_results_2!E555="","",match_results_2!E555)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>
        <f>統合マスタ!AA558</f>
        <v>0</v>
      </c>
    </row>
    <row r="556" spans="1:21">
      <c r="A556" s="6" t="s">
        <v>894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IF(match_results_2!C556="完全一致","〇","×")</f>
        <v>〇</v>
      </c>
      <c r="O556" t="str">
        <f>IF(match_results_2!C556="薬価一致候補","〇","×")</f>
        <v>×</v>
      </c>
      <c r="P556" s="60">
        <f>IF(match_results_2!E556="","",match_results_2!E556)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>
        <f>統合マスタ!AA559</f>
        <v>0</v>
      </c>
    </row>
    <row r="557" spans="1:21">
      <c r="A557" s="6" t="s">
        <v>894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IF(match_results_2!C557="完全一致","〇","×")</f>
        <v>〇</v>
      </c>
      <c r="O557" t="str">
        <f>IF(match_results_2!C557="薬価一致候補","〇","×")</f>
        <v>×</v>
      </c>
      <c r="P557" s="60">
        <f>IF(match_results_2!E557="","",match_results_2!E557)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>
        <f>統合マスタ!AA560</f>
        <v>0</v>
      </c>
    </row>
    <row r="558" spans="1:21">
      <c r="A558" s="6" t="s">
        <v>895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IF(match_results_2!C558="完全一致","〇","×")</f>
        <v>〇</v>
      </c>
      <c r="O558" t="str">
        <f>IF(match_results_2!C558="薬価一致候補","〇","×")</f>
        <v>×</v>
      </c>
      <c r="P558" s="60">
        <f>IF(match_results_2!E558="","",match_results_2!E558)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>
        <f>統合マスタ!AA561</f>
        <v>0</v>
      </c>
    </row>
    <row r="559" spans="1:21">
      <c r="A559" s="6" t="s">
        <v>895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IF(match_results_2!C559="完全一致","〇","×")</f>
        <v>〇</v>
      </c>
      <c r="O559" t="str">
        <f>IF(match_results_2!C559="薬価一致候補","〇","×")</f>
        <v>×</v>
      </c>
      <c r="P559" s="60">
        <f>IF(match_results_2!E559="","",match_results_2!E559)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>
        <f>統合マスタ!AA562</f>
        <v>0</v>
      </c>
    </row>
    <row r="560" spans="1:21">
      <c r="A560" s="6" t="s">
        <v>896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IF(match_results_2!C560="完全一致","〇","×")</f>
        <v>〇</v>
      </c>
      <c r="O560" t="str">
        <f>IF(match_results_2!C560="薬価一致候補","〇","×")</f>
        <v>×</v>
      </c>
      <c r="P560" s="60">
        <f>IF(match_results_2!E560="","",match_results_2!E560)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>
        <f>統合マスタ!AA563</f>
        <v>0</v>
      </c>
    </row>
    <row r="561" spans="1:21">
      <c r="A561" s="6" t="s">
        <v>897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IF(match_results_2!C561="完全一致","〇","×")</f>
        <v>〇</v>
      </c>
      <c r="O561" t="str">
        <f>IF(match_results_2!C561="薬価一致候補","〇","×")</f>
        <v>×</v>
      </c>
      <c r="P561" s="60">
        <f>IF(match_results_2!E561="","",match_results_2!E561)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>
        <f>統合マスタ!AA564</f>
        <v>0</v>
      </c>
    </row>
    <row r="562" spans="1:21">
      <c r="A562" s="6" t="s">
        <v>898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IF(match_results_2!C562="完全一致","〇","×")</f>
        <v>〇</v>
      </c>
      <c r="O562" t="str">
        <f>IF(match_results_2!C562="薬価一致候補","〇","×")</f>
        <v>×</v>
      </c>
      <c r="P562" s="60">
        <f>IF(match_results_2!E562="","",match_results_2!E562)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>
        <f>統合マスタ!AA565</f>
        <v>0</v>
      </c>
    </row>
    <row r="563" spans="1:21">
      <c r="A563" s="6" t="s">
        <v>899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IF(match_results_2!C563="完全一致","〇","×")</f>
        <v>×</v>
      </c>
      <c r="O563" t="str">
        <f>IF(match_results_2!C563="薬価一致候補","〇","×")</f>
        <v>〇</v>
      </c>
      <c r="P563" s="59">
        <v>485</v>
      </c>
      <c r="Q563" s="51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>
        <f>統合マスタ!AA566</f>
        <v>0</v>
      </c>
    </row>
    <row r="564" spans="1:21">
      <c r="A564" s="6" t="s">
        <v>900</v>
      </c>
      <c r="B564" s="6" t="s">
        <v>44</v>
      </c>
      <c r="C564" s="7" t="s">
        <v>10</v>
      </c>
      <c r="D564" s="6" t="s">
        <v>901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IF(match_results_2!C564="完全一致","〇","×")</f>
        <v>〇</v>
      </c>
      <c r="O564" t="str">
        <f>IF(match_results_2!C564="薬価一致候補","〇","×")</f>
        <v>×</v>
      </c>
      <c r="P564" s="60">
        <f>IF(match_results_2!E564="","",match_results_2!E564)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>
        <f>統合マスタ!AA567</f>
        <v>0</v>
      </c>
    </row>
    <row r="565" spans="1:21">
      <c r="A565" s="6" t="s">
        <v>902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IF(match_results_2!C565="完全一致","〇","×")</f>
        <v>〇</v>
      </c>
      <c r="O565" t="str">
        <f>IF(match_results_2!C565="薬価一致候補","〇","×")</f>
        <v>×</v>
      </c>
      <c r="P565" s="60">
        <f>IF(match_results_2!E565="","",match_results_2!E565)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>
        <f>統合マスタ!AA568</f>
        <v>0</v>
      </c>
    </row>
    <row r="566" spans="1:21">
      <c r="A566" s="6" t="s">
        <v>903</v>
      </c>
      <c r="B566" s="6" t="s">
        <v>9</v>
      </c>
      <c r="C566" s="7" t="s">
        <v>67</v>
      </c>
      <c r="D566" s="6" t="s">
        <v>904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IF(match_results_2!C566="完全一致","〇","×")</f>
        <v>〇</v>
      </c>
      <c r="O566" t="str">
        <f>IF(match_results_2!C566="薬価一致候補","〇","×")</f>
        <v>×</v>
      </c>
      <c r="P566" s="60">
        <f>IF(match_results_2!E566="","",match_results_2!E566)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>
        <f>統合マスタ!AA569</f>
        <v>0</v>
      </c>
    </row>
    <row r="567" spans="1:21">
      <c r="A567" s="6" t="s">
        <v>905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IF(match_results_2!C567="完全一致","〇","×")</f>
        <v>×</v>
      </c>
      <c r="O567" t="str">
        <f>IF(match_results_2!C567="薬価一致候補","〇","×")</f>
        <v>〇</v>
      </c>
      <c r="Q567" t="str">
        <f ca="1">OFFSET(マスタ非採用削除!$C$4,元データ!P567,0)</f>
        <v>名称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>
        <f>統合マスタ!AA570</f>
        <v>0</v>
      </c>
    </row>
    <row r="568" spans="1:21">
      <c r="A568" s="6" t="s">
        <v>906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IF(match_results_2!C568="完全一致","〇","×")</f>
        <v>〇</v>
      </c>
      <c r="O568" t="str">
        <f>IF(match_results_2!C568="薬価一致候補","〇","×")</f>
        <v>×</v>
      </c>
      <c r="P568" s="60">
        <f>IF(match_results_2!E568="","",match_results_2!E568)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>
        <f>統合マスタ!AA571</f>
        <v>0</v>
      </c>
    </row>
    <row r="569" spans="1:21">
      <c r="A569" s="6" t="s">
        <v>907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IF(match_results_2!C569="完全一致","〇","×")</f>
        <v>〇</v>
      </c>
      <c r="O569" t="str">
        <f>IF(match_results_2!C569="薬価一致候補","〇","×")</f>
        <v>×</v>
      </c>
      <c r="P569" s="60">
        <f>IF(match_results_2!E569="","",match_results_2!E569)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>
        <f>統合マスタ!AA572</f>
        <v>0</v>
      </c>
    </row>
    <row r="570" spans="1:21">
      <c r="A570" s="6" t="s">
        <v>907</v>
      </c>
      <c r="B570" s="6" t="s">
        <v>90</v>
      </c>
      <c r="C570" s="7" t="s">
        <v>67</v>
      </c>
      <c r="D570" s="6" t="s">
        <v>174</v>
      </c>
      <c r="E570" s="6" t="s">
        <v>908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IF(match_results_2!C570="完全一致","〇","×")</f>
        <v>〇</v>
      </c>
      <c r="O570" t="str">
        <f>IF(match_results_2!C570="薬価一致候補","〇","×")</f>
        <v>×</v>
      </c>
      <c r="P570" s="60">
        <f>IF(match_results_2!E570="","",match_results_2!E570)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>
        <f>統合マスタ!AA573</f>
        <v>0</v>
      </c>
    </row>
    <row r="571" spans="1:21">
      <c r="A571" s="6" t="s">
        <v>909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IF(match_results_2!C571="完全一致","〇","×")</f>
        <v>〇</v>
      </c>
      <c r="O571" t="str">
        <f>IF(match_results_2!C571="薬価一致候補","〇","×")</f>
        <v>×</v>
      </c>
      <c r="P571" s="60">
        <f>IF(match_results_2!E571="","",match_results_2!E571)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>
        <f>統合マスタ!AA574</f>
        <v>0</v>
      </c>
    </row>
    <row r="572" spans="1:21">
      <c r="A572" s="6" t="s">
        <v>910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IF(match_results_2!C572="完全一致","〇","×")</f>
        <v>〇</v>
      </c>
      <c r="O572" t="str">
        <f>IF(match_results_2!C572="薬価一致候補","〇","×")</f>
        <v>×</v>
      </c>
      <c r="P572" s="60">
        <f>IF(match_results_2!E572="","",match_results_2!E572)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>
        <f>統合マスタ!AA575</f>
        <v>0</v>
      </c>
    </row>
    <row r="573" spans="1:21">
      <c r="A573" s="6" t="s">
        <v>911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IF(match_results_2!C573="完全一致","〇","×")</f>
        <v>〇</v>
      </c>
      <c r="O573" t="str">
        <f>IF(match_results_2!C573="薬価一致候補","〇","×")</f>
        <v>×</v>
      </c>
      <c r="P573" s="60">
        <f>IF(match_results_2!E573="","",match_results_2!E573)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>
        <f>統合マスタ!AA576</f>
        <v>0</v>
      </c>
    </row>
    <row r="574" spans="1:21">
      <c r="A574" s="6" t="s">
        <v>912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IF(match_results_2!C574="完全一致","〇","×")</f>
        <v>〇</v>
      </c>
      <c r="O574" t="str">
        <f>IF(match_results_2!C574="薬価一致候補","〇","×")</f>
        <v>×</v>
      </c>
      <c r="P574" s="60">
        <f>IF(match_results_2!E574="","",match_results_2!E574)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>
        <f>統合マスタ!AA577</f>
        <v>0</v>
      </c>
    </row>
    <row r="575" spans="1:21">
      <c r="A575" s="6" t="s">
        <v>912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IF(match_results_2!C575="完全一致","〇","×")</f>
        <v>〇</v>
      </c>
      <c r="O575" t="str">
        <f>IF(match_results_2!C575="薬価一致候補","〇","×")</f>
        <v>×</v>
      </c>
      <c r="P575" s="60">
        <f>IF(match_results_2!E575="","",match_results_2!E575)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>
        <f>統合マスタ!AA578</f>
        <v>0</v>
      </c>
    </row>
    <row r="576" spans="1:21">
      <c r="A576" s="6" t="s">
        <v>913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IF(match_results_2!C576="完全一致","〇","×")</f>
        <v>〇</v>
      </c>
      <c r="O576" t="str">
        <f>IF(match_results_2!C576="薬価一致候補","〇","×")</f>
        <v>×</v>
      </c>
      <c r="P576" s="60">
        <f>IF(match_results_2!E576="","",match_results_2!E576)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>
        <f>統合マスタ!AA579</f>
        <v>0</v>
      </c>
    </row>
    <row r="577" spans="1:21">
      <c r="A577" s="6" t="s">
        <v>913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IF(match_results_2!C577="完全一致","〇","×")</f>
        <v>〇</v>
      </c>
      <c r="O577" t="str">
        <f>IF(match_results_2!C577="薬価一致候補","〇","×")</f>
        <v>×</v>
      </c>
      <c r="P577" s="60">
        <f>IF(match_results_2!E577="","",match_results_2!E577)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>
        <f>統合マスタ!AA580</f>
        <v>0</v>
      </c>
    </row>
    <row r="578" spans="1:21">
      <c r="A578" s="6" t="s">
        <v>914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IF(match_results_2!C578="完全一致","〇","×")</f>
        <v>×</v>
      </c>
      <c r="O578" t="str">
        <f>IF(match_results_2!C578="薬価一致候補","〇","×")</f>
        <v>〇</v>
      </c>
      <c r="P578" s="58">
        <f>IF(match_results_2!E578="","",match_results_2!E578)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>
        <f>統合マスタ!AA581</f>
        <v>0</v>
      </c>
    </row>
    <row r="579" spans="1:21">
      <c r="A579" s="6" t="s">
        <v>914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IF(match_results_2!C579="完全一致","〇","×")</f>
        <v>×</v>
      </c>
      <c r="O579" t="str">
        <f>IF(match_results_2!C579="薬価一致候補","〇","×")</f>
        <v>〇</v>
      </c>
      <c r="P579" s="58">
        <f>IF(match_results_2!E579="","",match_results_2!E579)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>
        <f>統合マスタ!AA582</f>
        <v>0</v>
      </c>
    </row>
    <row r="580" spans="1:21">
      <c r="A580" s="6" t="s">
        <v>915</v>
      </c>
      <c r="B580" s="6" t="s">
        <v>44</v>
      </c>
      <c r="C580" s="7" t="s">
        <v>39</v>
      </c>
      <c r="D580" s="6" t="s">
        <v>590</v>
      </c>
      <c r="E580" s="6" t="s">
        <v>916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IF(match_results_2!C580="完全一致","〇","×")</f>
        <v>〇</v>
      </c>
      <c r="O580" t="str">
        <f>IF(match_results_2!C580="薬価一致候補","〇","×")</f>
        <v>×</v>
      </c>
      <c r="P580" s="60">
        <f>IF(match_results_2!E580="","",match_results_2!E580)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>
        <f>統合マスタ!AA583</f>
        <v>0</v>
      </c>
    </row>
    <row r="581" spans="1:21">
      <c r="A581" s="6" t="s">
        <v>917</v>
      </c>
      <c r="B581" s="6" t="s">
        <v>9</v>
      </c>
      <c r="C581" s="7" t="s">
        <v>10</v>
      </c>
      <c r="D581" s="6" t="s">
        <v>918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IF(match_results_2!C581="完全一致","〇","×")</f>
        <v>×</v>
      </c>
      <c r="O581" t="str">
        <f>IF(match_results_2!C581="薬価一致候補","〇","×")</f>
        <v>〇</v>
      </c>
      <c r="P581" s="58">
        <f>IF(match_results_2!E581="","",match_results_2!E581)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>
        <f>統合マスタ!AA584</f>
        <v>0</v>
      </c>
    </row>
    <row r="582" spans="1:21">
      <c r="A582" s="6" t="s">
        <v>1236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IF(match_results_2!C582="完全一致","〇","×")</f>
        <v>〇</v>
      </c>
      <c r="O582" t="str">
        <f>IF(match_results_2!C582="薬価一致候補","〇","×")</f>
        <v>×</v>
      </c>
      <c r="P582" s="60">
        <f>IF(match_results_2!E582="","",match_results_2!E582)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>
        <f>統合マスタ!AA585</f>
        <v>0</v>
      </c>
    </row>
    <row r="583" spans="1:21">
      <c r="A583" s="6" t="s">
        <v>919</v>
      </c>
      <c r="B583" s="6" t="s">
        <v>9</v>
      </c>
      <c r="C583" s="7" t="s">
        <v>10</v>
      </c>
      <c r="D583" s="6" t="s">
        <v>920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IF(match_results_2!C583="完全一致","〇","×")</f>
        <v>〇</v>
      </c>
      <c r="O583" t="str">
        <f>IF(match_results_2!C583="薬価一致候補","〇","×")</f>
        <v>×</v>
      </c>
      <c r="P583" s="60">
        <f>IF(match_results_2!E583="","",match_results_2!E583)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>
        <f>統合マスタ!AA586</f>
        <v>0</v>
      </c>
    </row>
    <row r="584" spans="1:21">
      <c r="A584" s="6" t="s">
        <v>921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IF(match_results_2!C584="完全一致","〇","×")</f>
        <v>〇</v>
      </c>
      <c r="O584" t="str">
        <f>IF(match_results_2!C584="薬価一致候補","〇","×")</f>
        <v>×</v>
      </c>
      <c r="P584" s="60">
        <f>IF(match_results_2!E584="","",match_results_2!E584)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>
        <f>統合マスタ!AA587</f>
        <v>0</v>
      </c>
    </row>
    <row r="585" spans="1:21">
      <c r="A585" s="6" t="s">
        <v>922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IF(match_results_2!C585="完全一致","〇","×")</f>
        <v>×</v>
      </c>
      <c r="O585" t="str">
        <f>IF(match_results_2!C585="薬価一致候補","〇","×")</f>
        <v>〇</v>
      </c>
      <c r="P585" s="58">
        <f>IF(match_results_2!E585="","",match_results_2!E585)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>
        <f>統合マスタ!AA588</f>
        <v>0</v>
      </c>
    </row>
    <row r="586" spans="1:21">
      <c r="A586" s="6" t="s">
        <v>923</v>
      </c>
      <c r="B586" s="6" t="s">
        <v>90</v>
      </c>
      <c r="C586" s="7" t="s">
        <v>10</v>
      </c>
      <c r="D586" s="6" t="s">
        <v>924</v>
      </c>
      <c r="E586" s="6" t="s">
        <v>925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IF(match_results_2!C586="完全一致","〇","×")</f>
        <v>〇</v>
      </c>
      <c r="O586" t="str">
        <f>IF(match_results_2!C586="薬価一致候補","〇","×")</f>
        <v>×</v>
      </c>
      <c r="P586" s="60">
        <f>IF(match_results_2!E586="","",match_results_2!E586)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>
        <f>統合マスタ!AA589</f>
        <v>0</v>
      </c>
    </row>
    <row r="587" spans="1:21">
      <c r="A587" s="6" t="s">
        <v>926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IF(match_results_2!C587="完全一致","〇","×")</f>
        <v>〇</v>
      </c>
      <c r="O587" t="str">
        <f>IF(match_results_2!C587="薬価一致候補","〇","×")</f>
        <v>×</v>
      </c>
      <c r="P587" s="60">
        <f>IF(match_results_2!E587="","",match_results_2!E587)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>
        <f>統合マスタ!AA590</f>
        <v>0</v>
      </c>
    </row>
    <row r="588" spans="1:21">
      <c r="A588" s="6" t="s">
        <v>927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IF(match_results_2!C588="完全一致","〇","×")</f>
        <v>×</v>
      </c>
      <c r="O588" t="str">
        <f>IF(match_results_2!C588="薬価一致候補","〇","×")</f>
        <v>〇</v>
      </c>
      <c r="P588" s="59">
        <v>508</v>
      </c>
      <c r="Q588" s="51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>
        <f>統合マスタ!AA591</f>
        <v>0</v>
      </c>
    </row>
    <row r="589" spans="1:21">
      <c r="A589" s="6" t="s">
        <v>928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IF(match_results_2!C589="完全一致","〇","×")</f>
        <v>〇</v>
      </c>
      <c r="O589" t="str">
        <f>IF(match_results_2!C589="薬価一致候補","〇","×")</f>
        <v>×</v>
      </c>
      <c r="P589" s="60">
        <f>IF(match_results_2!E589="","",match_results_2!E589)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>
        <f>統合マスタ!AA592</f>
        <v>0</v>
      </c>
    </row>
    <row r="590" spans="1:21">
      <c r="A590" s="52" t="s">
        <v>929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IF(match_results_2!C590="完全一致","〇","×")</f>
        <v>×</v>
      </c>
      <c r="O590" t="str">
        <f>IF(match_results_2!C590="薬価一致候補","〇","×")</f>
        <v>×</v>
      </c>
      <c r="P590" s="67" t="s">
        <v>4076</v>
      </c>
      <c r="Q590" s="68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</v>
      </c>
      <c r="U590" t="str">
        <f>統合マスタ!AA593</f>
        <v>非採用</v>
      </c>
    </row>
    <row r="591" spans="1:21">
      <c r="A591" s="6" t="s">
        <v>930</v>
      </c>
      <c r="B591" s="6" t="s">
        <v>9</v>
      </c>
      <c r="C591" s="7" t="s">
        <v>10</v>
      </c>
      <c r="D591" s="6" t="s">
        <v>931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IF(match_results_2!C591="完全一致","〇","×")</f>
        <v>×</v>
      </c>
      <c r="O591" t="str">
        <f>IF(match_results_2!C591="薬価一致候補","〇","×")</f>
        <v>〇</v>
      </c>
      <c r="P591" s="58">
        <f>IF(match_results_2!E591="","",match_results_2!E591)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>
        <f>統合マスタ!AA594</f>
        <v>0</v>
      </c>
    </row>
    <row r="592" spans="1:21">
      <c r="A592" s="6" t="s">
        <v>932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IF(match_results_2!C592="完全一致","〇","×")</f>
        <v>×</v>
      </c>
      <c r="O592" t="str">
        <f>IF(match_results_2!C592="薬価一致候補","〇","×")</f>
        <v>〇</v>
      </c>
      <c r="P592" s="58">
        <f>IF(match_results_2!E592="","",match_results_2!E592)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>
        <f>統合マスタ!AA595</f>
        <v>0</v>
      </c>
    </row>
    <row r="593" spans="1:21">
      <c r="A593" s="6" t="s">
        <v>933</v>
      </c>
      <c r="B593" s="6" t="s">
        <v>10</v>
      </c>
      <c r="C593" s="7" t="s">
        <v>10</v>
      </c>
      <c r="D593" s="6" t="s">
        <v>934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IF(match_results_2!C593="完全一致","〇","×")</f>
        <v>×</v>
      </c>
      <c r="O593" t="str">
        <f>IF(match_results_2!C593="薬価一致候補","〇","×")</f>
        <v>〇</v>
      </c>
      <c r="P593" s="58">
        <f>IF(match_results_2!E593="","",match_results_2!E593)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>
        <f>統合マスタ!AA596</f>
        <v>0</v>
      </c>
    </row>
    <row r="594" spans="1:21">
      <c r="A594" s="6" t="s">
        <v>935</v>
      </c>
      <c r="B594" s="6" t="s">
        <v>44</v>
      </c>
      <c r="C594" s="7" t="s">
        <v>10</v>
      </c>
      <c r="D594" s="6" t="s">
        <v>936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IF(match_results_2!C594="完全一致","〇","×")</f>
        <v>〇</v>
      </c>
      <c r="O594" t="str">
        <f>IF(match_results_2!C594="薬価一致候補","〇","×")</f>
        <v>×</v>
      </c>
      <c r="P594" s="60">
        <f>IF(match_results_2!E594="","",match_results_2!E594)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>
        <f>統合マスタ!AA597</f>
        <v>0</v>
      </c>
    </row>
    <row r="595" spans="1:21">
      <c r="A595" s="6" t="s">
        <v>937</v>
      </c>
      <c r="B595" s="6" t="s">
        <v>44</v>
      </c>
      <c r="C595" s="7" t="s">
        <v>10</v>
      </c>
      <c r="D595" s="6" t="s">
        <v>936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IF(match_results_2!C595="完全一致","〇","×")</f>
        <v>×</v>
      </c>
      <c r="O595" t="str">
        <f>IF(match_results_2!C595="薬価一致候補","〇","×")</f>
        <v>〇</v>
      </c>
      <c r="P595" s="58">
        <f>IF(match_results_2!E595="","",match_results_2!E595)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>
        <f>統合マスタ!AA598</f>
        <v>0</v>
      </c>
    </row>
    <row r="596" spans="1:21">
      <c r="A596" s="6" t="s">
        <v>938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IF(match_results_2!C596="完全一致","〇","×")</f>
        <v>×</v>
      </c>
      <c r="O596" t="str">
        <f>IF(match_results_2!C596="薬価一致候補","〇","×")</f>
        <v>〇</v>
      </c>
      <c r="P596" s="58">
        <f>IF(match_results_2!E596="","",match_results_2!E596)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>
        <f>統合マスタ!AA599</f>
        <v>0</v>
      </c>
    </row>
    <row r="597" spans="1:21">
      <c r="A597" s="6" t="s">
        <v>939</v>
      </c>
      <c r="B597" s="6" t="s">
        <v>10</v>
      </c>
      <c r="C597" s="7" t="s">
        <v>10</v>
      </c>
      <c r="D597" s="6" t="s">
        <v>940</v>
      </c>
      <c r="E597" s="6" t="s">
        <v>941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IF(match_results_2!C597="完全一致","〇","×")</f>
        <v>〇</v>
      </c>
      <c r="O597" t="str">
        <f>IF(match_results_2!C597="薬価一致候補","〇","×")</f>
        <v>×</v>
      </c>
      <c r="P597" s="60">
        <f>IF(match_results_2!E597="","",match_results_2!E597)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>
        <f>統合マスタ!AA600</f>
        <v>0</v>
      </c>
    </row>
    <row r="598" spans="1:21">
      <c r="A598" s="6" t="s">
        <v>942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IF(match_results_2!C598="完全一致","〇","×")</f>
        <v>〇</v>
      </c>
      <c r="O598" t="str">
        <f>IF(match_results_2!C598="薬価一致候補","〇","×")</f>
        <v>×</v>
      </c>
      <c r="P598" s="60">
        <f>IF(match_results_2!E598="","",match_results_2!E598)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>
        <f>統合マスタ!AA601</f>
        <v>0</v>
      </c>
    </row>
    <row r="599" spans="1:21">
      <c r="A599" s="6" t="s">
        <v>943</v>
      </c>
      <c r="B599" s="6" t="s">
        <v>90</v>
      </c>
      <c r="C599" s="7" t="s">
        <v>10</v>
      </c>
      <c r="D599" s="6" t="s">
        <v>145</v>
      </c>
      <c r="E599" s="6" t="s">
        <v>944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IF(match_results_2!C599="完全一致","〇","×")</f>
        <v>〇</v>
      </c>
      <c r="O599" t="str">
        <f>IF(match_results_2!C599="薬価一致候補","〇","×")</f>
        <v>×</v>
      </c>
      <c r="P599" s="60">
        <f>IF(match_results_2!E599="","",match_results_2!E599)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>
        <f>統合マスタ!AA602</f>
        <v>0</v>
      </c>
    </row>
    <row r="600" spans="1:21">
      <c r="A600" s="6" t="s">
        <v>945</v>
      </c>
      <c r="B600" s="6" t="s">
        <v>44</v>
      </c>
      <c r="C600" s="7" t="s">
        <v>10</v>
      </c>
      <c r="D600" s="6" t="s">
        <v>946</v>
      </c>
      <c r="E600" s="6" t="s">
        <v>947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948</v>
      </c>
      <c r="M600" s="15">
        <f t="shared" si="47"/>
        <v>2.3285714285714292</v>
      </c>
      <c r="N600" t="str">
        <f>IF(match_results_2!C600="完全一致","〇","×")</f>
        <v>〇</v>
      </c>
      <c r="O600" t="str">
        <f>IF(match_results_2!C600="薬価一致候補","〇","×")</f>
        <v>×</v>
      </c>
      <c r="P600" s="60">
        <f>IF(match_results_2!E600="","",match_results_2!E600)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>
        <f>統合マスタ!AA603</f>
        <v>0</v>
      </c>
    </row>
    <row r="601" spans="1:21">
      <c r="A601" s="6" t="s">
        <v>949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IF(match_results_2!C601="完全一致","〇","×")</f>
        <v>〇</v>
      </c>
      <c r="O601" t="str">
        <f>IF(match_results_2!C601="薬価一致候補","〇","×")</f>
        <v>×</v>
      </c>
      <c r="P601" s="60">
        <f>IF(match_results_2!E601="","",match_results_2!E601)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>
        <f>統合マスタ!AA604</f>
        <v>0</v>
      </c>
    </row>
    <row r="602" spans="1:21">
      <c r="A602" s="6" t="s">
        <v>950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IF(match_results_2!C602="完全一致","〇","×")</f>
        <v>〇</v>
      </c>
      <c r="O602" t="str">
        <f>IF(match_results_2!C602="薬価一致候補","〇","×")</f>
        <v>×</v>
      </c>
      <c r="P602" s="60">
        <f>IF(match_results_2!E602="","",match_results_2!E602)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>
        <f>統合マスタ!AA605</f>
        <v>0</v>
      </c>
    </row>
    <row r="603" spans="1:21">
      <c r="A603" s="6" t="s">
        <v>951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IF(match_results_2!C603="完全一致","〇","×")</f>
        <v>×</v>
      </c>
      <c r="O603" t="str">
        <f>IF(match_results_2!C603="薬価一致候補","〇","×")</f>
        <v>〇</v>
      </c>
      <c r="P603" s="59">
        <v>523</v>
      </c>
      <c r="Q603" s="51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>
        <f>統合マスタ!AA606</f>
        <v>0</v>
      </c>
    </row>
    <row r="604" spans="1:21">
      <c r="A604" s="6" t="s">
        <v>952</v>
      </c>
      <c r="B604" s="6" t="s">
        <v>44</v>
      </c>
      <c r="C604" s="7" t="s">
        <v>10</v>
      </c>
      <c r="D604" s="6" t="s">
        <v>545</v>
      </c>
      <c r="E604" s="6" t="s">
        <v>908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IF(match_results_2!C604="完全一致","〇","×")</f>
        <v>〇</v>
      </c>
      <c r="O604" t="str">
        <f>IF(match_results_2!C604="薬価一致候補","〇","×")</f>
        <v>×</v>
      </c>
      <c r="P604" s="60">
        <f>IF(match_results_2!E604="","",match_results_2!E604)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>
        <f>統合マスタ!AA607</f>
        <v>0</v>
      </c>
    </row>
    <row r="605" spans="1:21">
      <c r="A605" s="6" t="s">
        <v>953</v>
      </c>
      <c r="B605" s="6" t="s">
        <v>44</v>
      </c>
      <c r="C605" s="7" t="s">
        <v>14</v>
      </c>
      <c r="D605" s="6" t="s">
        <v>954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IF(match_results_2!C605="完全一致","〇","×")</f>
        <v>〇</v>
      </c>
      <c r="O605" t="str">
        <f>IF(match_results_2!C605="薬価一致候補","〇","×")</f>
        <v>×</v>
      </c>
      <c r="P605" s="60">
        <f>IF(match_results_2!E605="","",match_results_2!E605)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>
        <f>統合マスタ!AA608</f>
        <v>0</v>
      </c>
    </row>
    <row r="606" spans="1:21">
      <c r="A606" s="6" t="s">
        <v>955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IF(match_results_2!C606="完全一致","〇","×")</f>
        <v>〇</v>
      </c>
      <c r="O606" t="str">
        <f>IF(match_results_2!C606="薬価一致候補","〇","×")</f>
        <v>×</v>
      </c>
      <c r="P606" s="60">
        <f>IF(match_results_2!E606="","",match_results_2!E606)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>
        <f>統合マスタ!AA609</f>
        <v>0</v>
      </c>
    </row>
    <row r="607" spans="1:21">
      <c r="A607" s="6" t="s">
        <v>955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IF(match_results_2!C607="完全一致","〇","×")</f>
        <v>〇</v>
      </c>
      <c r="O607" t="str">
        <f>IF(match_results_2!C607="薬価一致候補","〇","×")</f>
        <v>×</v>
      </c>
      <c r="P607" s="60">
        <f>IF(match_results_2!E607="","",match_results_2!E607)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>
        <f>統合マスタ!AA610</f>
        <v>0</v>
      </c>
    </row>
    <row r="608" spans="1:21">
      <c r="A608" s="6" t="s">
        <v>956</v>
      </c>
      <c r="B608" s="6" t="s">
        <v>9</v>
      </c>
      <c r="C608" s="7" t="s">
        <v>14</v>
      </c>
      <c r="D608" s="6" t="s">
        <v>957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IF(match_results_2!C608="完全一致","〇","×")</f>
        <v>×</v>
      </c>
      <c r="O608" t="str">
        <f>IF(match_results_2!C608="薬価一致候補","〇","×")</f>
        <v>〇</v>
      </c>
      <c r="P608" s="58">
        <f>IF(match_results_2!E608="","",match_results_2!E608)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>
        <f>統合マスタ!AA611</f>
        <v>0</v>
      </c>
    </row>
    <row r="609" spans="1:21">
      <c r="A609" s="6" t="s">
        <v>958</v>
      </c>
      <c r="B609" s="6" t="s">
        <v>44</v>
      </c>
      <c r="C609" s="7" t="s">
        <v>10</v>
      </c>
      <c r="D609" s="6" t="s">
        <v>959</v>
      </c>
      <c r="E609" s="6" t="s">
        <v>960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IF(match_results_2!C609="完全一致","〇","×")</f>
        <v>×</v>
      </c>
      <c r="O609" t="str">
        <f>IF(match_results_2!C609="薬価一致候補","〇","×")</f>
        <v>〇</v>
      </c>
      <c r="P609" s="58">
        <f>IF(match_results_2!E609="","",match_results_2!E609)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>
        <f>統合マスタ!AA612</f>
        <v>0</v>
      </c>
    </row>
    <row r="610" spans="1:21">
      <c r="A610" s="6" t="s">
        <v>961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IF(match_results_2!C610="完全一致","〇","×")</f>
        <v>〇</v>
      </c>
      <c r="O610" t="str">
        <f>IF(match_results_2!C610="薬価一致候補","〇","×")</f>
        <v>×</v>
      </c>
      <c r="P610" s="60">
        <f>IF(match_results_2!E610="","",match_results_2!E610)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>
        <f>統合マスタ!AA613</f>
        <v>0</v>
      </c>
    </row>
    <row r="611" spans="1:21">
      <c r="A611" s="6" t="s">
        <v>962</v>
      </c>
      <c r="B611" s="6" t="s">
        <v>10</v>
      </c>
      <c r="C611" s="7" t="s">
        <v>39</v>
      </c>
      <c r="D611" s="6" t="s">
        <v>69</v>
      </c>
      <c r="E611" s="6" t="s">
        <v>963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IF(match_results_2!C611="完全一致","〇","×")</f>
        <v>×</v>
      </c>
      <c r="O611" t="str">
        <f>IF(match_results_2!C611="薬価一致候補","〇","×")</f>
        <v>〇</v>
      </c>
      <c r="P611" s="59">
        <v>540</v>
      </c>
      <c r="Q611" s="51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>
        <f>統合マスタ!AA614</f>
        <v>0</v>
      </c>
    </row>
    <row r="612" spans="1:21">
      <c r="A612" s="6" t="s">
        <v>964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IF(match_results_2!C612="完全一致","〇","×")</f>
        <v>×</v>
      </c>
      <c r="O612" t="str">
        <f>IF(match_results_2!C612="薬価一致候補","〇","×")</f>
        <v>〇</v>
      </c>
      <c r="P612" s="59">
        <v>530</v>
      </c>
      <c r="Q612" s="51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>
        <f>統合マスタ!AA615</f>
        <v>0</v>
      </c>
    </row>
    <row r="613" spans="1:21">
      <c r="A613" s="6" t="s">
        <v>965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IF(match_results_2!C613="完全一致","〇","×")</f>
        <v>×</v>
      </c>
      <c r="O613" t="str">
        <f>IF(match_results_2!C613="薬価一致候補","〇","×")</f>
        <v>〇</v>
      </c>
      <c r="P613" s="59">
        <v>530</v>
      </c>
      <c r="Q613" s="51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>
        <f>統合マスタ!AA616</f>
        <v>0</v>
      </c>
    </row>
    <row r="614" spans="1:21">
      <c r="A614" s="6" t="s">
        <v>966</v>
      </c>
      <c r="B614" s="6" t="s">
        <v>10</v>
      </c>
      <c r="C614" s="7" t="s">
        <v>10</v>
      </c>
      <c r="D614" s="6" t="s">
        <v>967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IF(match_results_2!C614="完全一致","〇","×")</f>
        <v>〇</v>
      </c>
      <c r="O614" t="str">
        <f>IF(match_results_2!C614="薬価一致候補","〇","×")</f>
        <v>×</v>
      </c>
      <c r="P614" s="60">
        <f>IF(match_results_2!E614="","",match_results_2!E614)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>
        <f>統合マスタ!AA617</f>
        <v>0</v>
      </c>
    </row>
    <row r="615" spans="1:21">
      <c r="A615" s="6" t="s">
        <v>968</v>
      </c>
      <c r="B615" s="6" t="s">
        <v>90</v>
      </c>
      <c r="C615" s="7" t="s">
        <v>10</v>
      </c>
      <c r="D615" s="6" t="s">
        <v>969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IF(match_results_2!C615="完全一致","〇","×")</f>
        <v>×</v>
      </c>
      <c r="O615" t="str">
        <f>IF(match_results_2!C615="薬価一致候補","〇","×")</f>
        <v>〇</v>
      </c>
      <c r="P615" s="58">
        <f>IF(match_results_2!E615="","",match_results_2!E615)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>
        <f>統合マスタ!AA618</f>
        <v>0</v>
      </c>
    </row>
    <row r="616" spans="1:21">
      <c r="A616" s="6" t="s">
        <v>970</v>
      </c>
      <c r="B616" s="6" t="s">
        <v>10</v>
      </c>
      <c r="C616" s="7" t="s">
        <v>14</v>
      </c>
      <c r="D616" s="6" t="s">
        <v>971</v>
      </c>
      <c r="E616" s="6" t="s">
        <v>916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IF(match_results_2!C616="完全一致","〇","×")</f>
        <v>〇</v>
      </c>
      <c r="O616" t="str">
        <f>IF(match_results_2!C616="薬価一致候補","〇","×")</f>
        <v>×</v>
      </c>
      <c r="P616" s="60">
        <f>IF(match_results_2!E616="","",match_results_2!E616)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>
        <f>統合マスタ!AA619</f>
        <v>0</v>
      </c>
    </row>
    <row r="617" spans="1:21">
      <c r="A617" s="6" t="s">
        <v>972</v>
      </c>
      <c r="B617" s="6" t="s">
        <v>90</v>
      </c>
      <c r="C617" s="7" t="s">
        <v>10</v>
      </c>
      <c r="D617" s="6" t="s">
        <v>973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IF(match_results_2!C617="完全一致","〇","×")</f>
        <v>×</v>
      </c>
      <c r="O617" t="str">
        <f>IF(match_results_2!C617="薬価一致候補","〇","×")</f>
        <v>〇</v>
      </c>
      <c r="P617" s="58">
        <f>IF(match_results_2!E617="","",match_results_2!E617)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>
        <f>統合マスタ!AA620</f>
        <v>0</v>
      </c>
    </row>
    <row r="618" spans="1:21">
      <c r="A618" s="6" t="s">
        <v>974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IF(match_results_2!C618="完全一致","〇","×")</f>
        <v>×</v>
      </c>
      <c r="O618" t="str">
        <f>IF(match_results_2!C618="薬価一致候補","〇","×")</f>
        <v>〇</v>
      </c>
      <c r="P618" s="58">
        <f>IF(match_results_2!E618="","",match_results_2!E618)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>
        <f>統合マスタ!AA621</f>
        <v>0</v>
      </c>
    </row>
    <row r="619" spans="1:21">
      <c r="A619" s="6" t="s">
        <v>1226</v>
      </c>
      <c r="B619" s="6" t="s">
        <v>90</v>
      </c>
      <c r="C619" s="7" t="s">
        <v>10</v>
      </c>
      <c r="D619" s="6" t="s">
        <v>975</v>
      </c>
      <c r="E619" s="6" t="s">
        <v>976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977</v>
      </c>
      <c r="M619" s="15">
        <f t="shared" si="47"/>
        <v>0.37800000000000011</v>
      </c>
      <c r="N619" t="str">
        <f>IF(match_results_2!C619="完全一致","〇","×")</f>
        <v>×</v>
      </c>
      <c r="O619" t="str">
        <f>IF(match_results_2!C619="薬価一致候補","〇","×")</f>
        <v>〇</v>
      </c>
      <c r="P619" s="58">
        <f>IF(match_results_2!E619="","",match_results_2!E619)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>
        <f>統合マスタ!AA622</f>
        <v>0</v>
      </c>
    </row>
    <row r="620" spans="1:21">
      <c r="A620" s="6" t="s">
        <v>978</v>
      </c>
      <c r="B620" s="6" t="s">
        <v>10</v>
      </c>
      <c r="C620" s="7" t="s">
        <v>10</v>
      </c>
      <c r="D620" s="6" t="s">
        <v>979</v>
      </c>
      <c r="E620" s="6" t="s">
        <v>976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IF(match_results_2!C620="完全一致","〇","×")</f>
        <v>×</v>
      </c>
      <c r="O620" t="str">
        <f>IF(match_results_2!C620="薬価一致候補","〇","×")</f>
        <v>〇</v>
      </c>
      <c r="P620" s="61"/>
      <c r="Q620" s="62" t="str">
        <f ca="1">OFFSET(マスタ非採用削除!$C$4,元データ!P620,0)</f>
        <v>名称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>
        <f>統合マスタ!AA623</f>
        <v>0</v>
      </c>
    </row>
    <row r="621" spans="1:21">
      <c r="A621" s="6" t="s">
        <v>980</v>
      </c>
      <c r="B621" s="6" t="s">
        <v>10</v>
      </c>
      <c r="C621" s="7" t="s">
        <v>10</v>
      </c>
      <c r="D621" s="6" t="s">
        <v>981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IF(match_results_2!C621="完全一致","〇","×")</f>
        <v>〇</v>
      </c>
      <c r="O621" t="str">
        <f>IF(match_results_2!C621="薬価一致候補","〇","×")</f>
        <v>×</v>
      </c>
      <c r="P621" s="60">
        <f>IF(match_results_2!E621="","",match_results_2!E621)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>
        <f>統合マスタ!AA624</f>
        <v>0</v>
      </c>
    </row>
    <row r="622" spans="1:21">
      <c r="A622" s="6" t="s">
        <v>982</v>
      </c>
      <c r="B622" s="6" t="s">
        <v>90</v>
      </c>
      <c r="C622" s="7" t="s">
        <v>10</v>
      </c>
      <c r="D622" s="6" t="s">
        <v>983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IF(match_results_2!C622="完全一致","〇","×")</f>
        <v>〇</v>
      </c>
      <c r="O622" t="str">
        <f>IF(match_results_2!C622="薬価一致候補","〇","×")</f>
        <v>×</v>
      </c>
      <c r="P622" s="60">
        <f>IF(match_results_2!E622="","",match_results_2!E622)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>
        <f>統合マスタ!AA625</f>
        <v>0</v>
      </c>
    </row>
    <row r="623" spans="1:21">
      <c r="A623" s="6" t="s">
        <v>984</v>
      </c>
      <c r="B623" s="6" t="s">
        <v>44</v>
      </c>
      <c r="C623" s="7" t="s">
        <v>39</v>
      </c>
      <c r="D623" s="6" t="s">
        <v>69</v>
      </c>
      <c r="E623" s="6" t="s">
        <v>985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IF(match_results_2!C623="完全一致","〇","×")</f>
        <v>×</v>
      </c>
      <c r="O623" t="str">
        <f>IF(match_results_2!C623="薬価一致候補","〇","×")</f>
        <v>〇</v>
      </c>
      <c r="P623" s="59">
        <v>541</v>
      </c>
      <c r="Q623" s="51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>
        <f>統合マスタ!AA626</f>
        <v>0</v>
      </c>
    </row>
    <row r="624" spans="1:21">
      <c r="A624" s="6" t="s">
        <v>986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IF(match_results_2!C624="完全一致","〇","×")</f>
        <v>〇</v>
      </c>
      <c r="O624" t="str">
        <f>IF(match_results_2!C624="薬価一致候補","〇","×")</f>
        <v>×</v>
      </c>
      <c r="P624" s="60">
        <f>IF(match_results_2!E624="","",match_results_2!E624)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>
        <f>統合マスタ!AA627</f>
        <v>0</v>
      </c>
    </row>
    <row r="625" spans="1:21">
      <c r="A625" s="6" t="s">
        <v>987</v>
      </c>
      <c r="B625" s="6" t="s">
        <v>44</v>
      </c>
      <c r="C625" s="7" t="s">
        <v>14</v>
      </c>
      <c r="D625" s="6" t="s">
        <v>988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IF(match_results_2!C625="完全一致","〇","×")</f>
        <v>〇</v>
      </c>
      <c r="O625" t="str">
        <f>IF(match_results_2!C625="薬価一致候補","〇","×")</f>
        <v>×</v>
      </c>
      <c r="P625" s="60">
        <f>IF(match_results_2!E625="","",match_results_2!E625)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>
        <f>統合マスタ!AA628</f>
        <v>0</v>
      </c>
    </row>
    <row r="626" spans="1:21">
      <c r="A626" s="6" t="s">
        <v>987</v>
      </c>
      <c r="B626" s="6" t="s">
        <v>44</v>
      </c>
      <c r="C626" s="7" t="s">
        <v>14</v>
      </c>
      <c r="D626" s="6" t="s">
        <v>989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IF(match_results_2!C626="完全一致","〇","×")</f>
        <v>〇</v>
      </c>
      <c r="O626" t="str">
        <f>IF(match_results_2!C626="薬価一致候補","〇","×")</f>
        <v>×</v>
      </c>
      <c r="P626" s="60">
        <f>IF(match_results_2!E626="","",match_results_2!E626)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>
        <f>統合マスタ!AA629</f>
        <v>0</v>
      </c>
    </row>
    <row r="627" spans="1:21">
      <c r="A627" s="6" t="s">
        <v>990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IF(match_results_2!C627="完全一致","〇","×")</f>
        <v>×</v>
      </c>
      <c r="O627" t="str">
        <f>IF(match_results_2!C627="薬価一致候補","〇","×")</f>
        <v>〇</v>
      </c>
      <c r="P627" s="59">
        <v>543</v>
      </c>
      <c r="Q627" s="51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>
        <f>統合マスタ!AA630</f>
        <v>0</v>
      </c>
    </row>
    <row r="628" spans="1:21">
      <c r="A628" s="6" t="s">
        <v>991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IF(match_results_2!C628="完全一致","〇","×")</f>
        <v>〇</v>
      </c>
      <c r="O628" t="str">
        <f>IF(match_results_2!C628="薬価一致候補","〇","×")</f>
        <v>×</v>
      </c>
      <c r="P628" s="60">
        <f>IF(match_results_2!E628="","",match_results_2!E628)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>
        <f>統合マスタ!AA631</f>
        <v>0</v>
      </c>
    </row>
    <row r="629" spans="1:21">
      <c r="A629" s="6" t="s">
        <v>992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IF(match_results_2!C629="完全一致","〇","×")</f>
        <v>〇</v>
      </c>
      <c r="O629" t="str">
        <f>IF(match_results_2!C629="薬価一致候補","〇","×")</f>
        <v>×</v>
      </c>
      <c r="P629" s="60">
        <f>IF(match_results_2!E629="","",match_results_2!E629)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>
        <f>統合マスタ!AA632</f>
        <v>0</v>
      </c>
    </row>
    <row r="630" spans="1:21">
      <c r="A630" s="6" t="s">
        <v>992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IF(match_results_2!C630="完全一致","〇","×")</f>
        <v>〇</v>
      </c>
      <c r="O630" t="str">
        <f>IF(match_results_2!C630="薬価一致候補","〇","×")</f>
        <v>×</v>
      </c>
      <c r="P630" s="60">
        <f>IF(match_results_2!E630="","",match_results_2!E630)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>
        <f>統合マスタ!AA633</f>
        <v>0</v>
      </c>
    </row>
    <row r="631" spans="1:21">
      <c r="A631" s="6" t="s">
        <v>993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994</v>
      </c>
      <c r="M631" s="15">
        <f t="shared" si="47"/>
        <v>2.36</v>
      </c>
      <c r="N631" t="str">
        <f>IF(match_results_2!C631="完全一致","〇","×")</f>
        <v>〇</v>
      </c>
      <c r="O631" t="str">
        <f>IF(match_results_2!C631="薬価一致候補","〇","×")</f>
        <v>×</v>
      </c>
      <c r="P631" s="60">
        <f>IF(match_results_2!E631="","",match_results_2!E631)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>
        <f>統合マスタ!AA634</f>
        <v>0</v>
      </c>
    </row>
    <row r="632" spans="1:21">
      <c r="A632" s="6" t="s">
        <v>993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994</v>
      </c>
      <c r="M632" s="15">
        <f t="shared" si="47"/>
        <v>2.36</v>
      </c>
      <c r="N632" t="str">
        <f>IF(match_results_2!C632="完全一致","〇","×")</f>
        <v>〇</v>
      </c>
      <c r="O632" t="str">
        <f>IF(match_results_2!C632="薬価一致候補","〇","×")</f>
        <v>×</v>
      </c>
      <c r="P632" s="60">
        <f>IF(match_results_2!E632="","",match_results_2!E632)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>
        <f>統合マスタ!AA635</f>
        <v>0</v>
      </c>
    </row>
    <row r="633" spans="1:21">
      <c r="A633" s="6" t="s">
        <v>995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994</v>
      </c>
      <c r="M633" s="15">
        <f t="shared" si="47"/>
        <v>2.36</v>
      </c>
      <c r="N633" t="str">
        <f>IF(match_results_2!C633="完全一致","〇","×")</f>
        <v>〇</v>
      </c>
      <c r="O633" t="str">
        <f>IF(match_results_2!C633="薬価一致候補","〇","×")</f>
        <v>×</v>
      </c>
      <c r="P633" s="60">
        <f>IF(match_results_2!E633="","",match_results_2!E633)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>
        <f>統合マスタ!AA636</f>
        <v>0</v>
      </c>
    </row>
    <row r="634" spans="1:21">
      <c r="A634" s="6" t="s">
        <v>995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994</v>
      </c>
      <c r="M634" s="15">
        <f t="shared" si="47"/>
        <v>2.36</v>
      </c>
      <c r="N634" t="str">
        <f>IF(match_results_2!C634="完全一致","〇","×")</f>
        <v>〇</v>
      </c>
      <c r="O634" t="str">
        <f>IF(match_results_2!C634="薬価一致候補","〇","×")</f>
        <v>×</v>
      </c>
      <c r="P634" s="60">
        <f>IF(match_results_2!E634="","",match_results_2!E634)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>
        <f>統合マスタ!AA637</f>
        <v>0</v>
      </c>
    </row>
    <row r="635" spans="1:21">
      <c r="A635" s="6" t="s">
        <v>996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IF(match_results_2!C635="完全一致","〇","×")</f>
        <v>×</v>
      </c>
      <c r="O635" t="str">
        <f>IF(match_results_2!C635="薬価一致候補","〇","×")</f>
        <v>〇</v>
      </c>
      <c r="Q635" t="str">
        <f ca="1">OFFSET(マスタ非採用削除!$C$4,元データ!P635,0)</f>
        <v>名称</v>
      </c>
      <c r="R635">
        <f t="shared" si="49"/>
        <v>634</v>
      </c>
      <c r="S635" t="str">
        <f t="shared" si="48"/>
        <v>マドパー配合錠L100</v>
      </c>
      <c r="T635">
        <v>0</v>
      </c>
      <c r="U635">
        <f>統合マスタ!AA638</f>
        <v>0</v>
      </c>
    </row>
    <row r="636" spans="1:21">
      <c r="A636" s="6" t="s">
        <v>997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IF(match_results_2!C636="完全一致","〇","×")</f>
        <v>〇</v>
      </c>
      <c r="O636" t="str">
        <f>IF(match_results_2!C636="薬価一致候補","〇","×")</f>
        <v>×</v>
      </c>
      <c r="P636" s="60">
        <f>IF(match_results_2!E636="","",match_results_2!E636)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>
        <f>統合マスタ!AA639</f>
        <v>0</v>
      </c>
    </row>
    <row r="637" spans="1:21">
      <c r="A637" s="6" t="s">
        <v>998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IF(match_results_2!C637="完全一致","〇","×")</f>
        <v>〇</v>
      </c>
      <c r="O637" t="str">
        <f>IF(match_results_2!C637="薬価一致候補","〇","×")</f>
        <v>×</v>
      </c>
      <c r="P637" s="60">
        <f>IF(match_results_2!E637="","",match_results_2!E637)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>
        <f>統合マスタ!AA640</f>
        <v>0</v>
      </c>
    </row>
    <row r="638" spans="1:21">
      <c r="A638" s="6" t="s">
        <v>999</v>
      </c>
      <c r="B638" s="6" t="s">
        <v>90</v>
      </c>
      <c r="C638" s="7" t="s">
        <v>10</v>
      </c>
      <c r="D638" s="6" t="s">
        <v>1000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IF(match_results_2!C638="完全一致","〇","×")</f>
        <v>〇</v>
      </c>
      <c r="O638" t="str">
        <f>IF(match_results_2!C638="薬価一致候補","〇","×")</f>
        <v>×</v>
      </c>
      <c r="P638" s="60">
        <f>IF(match_results_2!E638="","",match_results_2!E638)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>
        <f>統合マスタ!AA641</f>
        <v>0</v>
      </c>
    </row>
    <row r="639" spans="1:21">
      <c r="A639" s="6" t="s">
        <v>1001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IF(match_results_2!C639="完全一致","〇","×")</f>
        <v>〇</v>
      </c>
      <c r="O639" t="str">
        <f>IF(match_results_2!C639="薬価一致候補","〇","×")</f>
        <v>×</v>
      </c>
      <c r="P639" s="60">
        <f>IF(match_results_2!E639="","",match_results_2!E639)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>
        <f>統合マスタ!AA642</f>
        <v>0</v>
      </c>
    </row>
    <row r="640" spans="1:21">
      <c r="A640" s="6" t="s">
        <v>1002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1003</v>
      </c>
      <c r="M640" s="15">
        <f t="shared" si="47"/>
        <v>1.29</v>
      </c>
      <c r="N640" t="str">
        <f>IF(match_results_2!C640="完全一致","〇","×")</f>
        <v>〇</v>
      </c>
      <c r="O640" t="str">
        <f>IF(match_results_2!C640="薬価一致候補","〇","×")</f>
        <v>×</v>
      </c>
      <c r="P640" s="60">
        <f>IF(match_results_2!E640="","",match_results_2!E640)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>
        <f>統合マスタ!AA643</f>
        <v>0</v>
      </c>
    </row>
    <row r="641" spans="1:21">
      <c r="A641" s="6" t="s">
        <v>1004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IF(match_results_2!C641="完全一致","〇","×")</f>
        <v>〇</v>
      </c>
      <c r="O641" t="str">
        <f>IF(match_results_2!C641="薬価一致候補","〇","×")</f>
        <v>×</v>
      </c>
      <c r="P641" s="60">
        <f>IF(match_results_2!E641="","",match_results_2!E641)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>
        <f>統合マスタ!AA644</f>
        <v>0</v>
      </c>
    </row>
    <row r="642" spans="1:21">
      <c r="A642" s="6" t="s">
        <v>1005</v>
      </c>
      <c r="B642" s="6" t="s">
        <v>9</v>
      </c>
      <c r="C642" s="7" t="s">
        <v>58</v>
      </c>
      <c r="D642" s="6" t="s">
        <v>1006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IF(match_results_2!C642="完全一致","〇","×")</f>
        <v>〇</v>
      </c>
      <c r="O642" t="str">
        <f>IF(match_results_2!C642="薬価一致候補","〇","×")</f>
        <v>×</v>
      </c>
      <c r="P642" s="60">
        <f>IF(match_results_2!E642="","",match_results_2!E642)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>
        <f>統合マスタ!AA645</f>
        <v>0</v>
      </c>
    </row>
    <row r="643" spans="1:21">
      <c r="A643" s="6" t="s">
        <v>1007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IF(match_results_2!C643="完全一致","〇","×")</f>
        <v>〇</v>
      </c>
      <c r="O643" t="str">
        <f>IF(match_results_2!C643="薬価一致候補","〇","×")</f>
        <v>×</v>
      </c>
      <c r="P643" s="60">
        <f>IF(match_results_2!E643="","",match_results_2!E643)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>
        <f>統合マスタ!AA646</f>
        <v>0</v>
      </c>
    </row>
    <row r="644" spans="1:21">
      <c r="A644" s="6" t="s">
        <v>1007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IF(match_results_2!C644="完全一致","〇","×")</f>
        <v>〇</v>
      </c>
      <c r="O644" t="str">
        <f>IF(match_results_2!C644="薬価一致候補","〇","×")</f>
        <v>×</v>
      </c>
      <c r="P644" s="60">
        <f>IF(match_results_2!E644="","",match_results_2!E644)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>
        <f>統合マスタ!AA647</f>
        <v>0</v>
      </c>
    </row>
    <row r="645" spans="1:21">
      <c r="A645" s="6" t="s">
        <v>1008</v>
      </c>
      <c r="B645" s="6" t="s">
        <v>90</v>
      </c>
      <c r="C645" s="7" t="s">
        <v>10</v>
      </c>
      <c r="D645" s="6" t="s">
        <v>1009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IF(match_results_2!C645="完全一致","〇","×")</f>
        <v>〇</v>
      </c>
      <c r="O645" t="str">
        <f>IF(match_results_2!C645="薬価一致候補","〇","×")</f>
        <v>×</v>
      </c>
      <c r="P645" s="60">
        <f>IF(match_results_2!E645="","",match_results_2!E645)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>
        <f>統合マスタ!AA648</f>
        <v>0</v>
      </c>
    </row>
    <row r="646" spans="1:21">
      <c r="A646" s="6" t="s">
        <v>1010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IF(match_results_2!C646="完全一致","〇","×")</f>
        <v>〇</v>
      </c>
      <c r="O646" t="str">
        <f>IF(match_results_2!C646="薬価一致候補","〇","×")</f>
        <v>×</v>
      </c>
      <c r="P646" s="60">
        <f>IF(match_results_2!E646="","",match_results_2!E646)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>
        <f>統合マスタ!AA649</f>
        <v>0</v>
      </c>
    </row>
    <row r="647" spans="1:21">
      <c r="A647" s="6" t="s">
        <v>1011</v>
      </c>
      <c r="B647" s="6" t="s">
        <v>10</v>
      </c>
      <c r="C647" s="7" t="s">
        <v>10</v>
      </c>
      <c r="D647" s="6" t="s">
        <v>1012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IF(match_results_2!C647="完全一致","〇","×")</f>
        <v>×</v>
      </c>
      <c r="O647" t="str">
        <f>IF(match_results_2!C647="薬価一致候補","〇","×")</f>
        <v>〇</v>
      </c>
      <c r="P647" s="58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>
        <f>統合マスタ!AA650</f>
        <v>0</v>
      </c>
    </row>
    <row r="648" spans="1:21">
      <c r="A648" s="6" t="s">
        <v>1013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IF(match_results_2!C648="完全一致","〇","×")</f>
        <v>〇</v>
      </c>
      <c r="O648" t="str">
        <f>IF(match_results_2!C648="薬価一致候補","〇","×")</f>
        <v>×</v>
      </c>
      <c r="P648" s="60">
        <f>IF(match_results_2!E648="","",match_results_2!E648)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>
        <f>統合マスタ!AA651</f>
        <v>0</v>
      </c>
    </row>
    <row r="649" spans="1:21">
      <c r="A649" s="6" t="s">
        <v>1014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IF(match_results_2!C649="完全一致","〇","×")</f>
        <v>〇</v>
      </c>
      <c r="O649" t="str">
        <f>IF(match_results_2!C649="薬価一致候補","〇","×")</f>
        <v>×</v>
      </c>
      <c r="P649" s="60">
        <f>IF(match_results_2!E649="","",match_results_2!E649)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>
        <f>統合マスタ!AA652</f>
        <v>0</v>
      </c>
    </row>
    <row r="650" spans="1:21">
      <c r="A650" s="6" t="s">
        <v>1014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IF(match_results_2!C650="完全一致","〇","×")</f>
        <v>〇</v>
      </c>
      <c r="O650" t="str">
        <f>IF(match_results_2!C650="薬価一致候補","〇","×")</f>
        <v>×</v>
      </c>
      <c r="P650" s="60">
        <f>IF(match_results_2!E650="","",match_results_2!E650)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>
        <f>統合マスタ!AA653</f>
        <v>0</v>
      </c>
    </row>
    <row r="651" spans="1:21">
      <c r="A651" s="6" t="s">
        <v>1015</v>
      </c>
      <c r="B651" s="6" t="s">
        <v>90</v>
      </c>
      <c r="C651" s="7" t="s">
        <v>39</v>
      </c>
      <c r="D651" s="6" t="s">
        <v>1016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IF(match_results_2!C651="完全一致","〇","×")</f>
        <v>〇</v>
      </c>
      <c r="O651" t="str">
        <f>IF(match_results_2!C651="薬価一致候補","〇","×")</f>
        <v>×</v>
      </c>
      <c r="P651" s="60">
        <f>IF(match_results_2!E651="","",match_results_2!E651)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>
        <f>統合マスタ!AA654</f>
        <v>0</v>
      </c>
    </row>
    <row r="652" spans="1:21">
      <c r="A652" s="6" t="s">
        <v>1017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IF(match_results_2!C652="完全一致","〇","×")</f>
        <v>〇</v>
      </c>
      <c r="O652" t="str">
        <f>IF(match_results_2!C652="薬価一致候補","〇","×")</f>
        <v>×</v>
      </c>
      <c r="P652" s="60">
        <f>IF(match_results_2!E652="","",match_results_2!E652)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>
        <f>統合マスタ!AA655</f>
        <v>0</v>
      </c>
    </row>
    <row r="653" spans="1:21">
      <c r="A653" s="6" t="s">
        <v>1018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IF(match_results_2!C653="完全一致","〇","×")</f>
        <v>×</v>
      </c>
      <c r="O653" t="str">
        <f>IF(match_results_2!C653="薬価一致候補","〇","×")</f>
        <v>〇</v>
      </c>
      <c r="P653" s="58">
        <f>IF(match_results_2!E653="","",match_results_2!E653)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>
        <f>統合マスタ!AA656</f>
        <v>0</v>
      </c>
    </row>
    <row r="654" spans="1:21">
      <c r="A654" s="6" t="s">
        <v>1019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IF(match_results_2!C654="完全一致","〇","×")</f>
        <v>〇</v>
      </c>
      <c r="O654" t="str">
        <f>IF(match_results_2!C654="薬価一致候補","〇","×")</f>
        <v>×</v>
      </c>
      <c r="P654" s="60">
        <f>IF(match_results_2!E654="","",match_results_2!E654)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>
        <f>統合マスタ!AA657</f>
        <v>0</v>
      </c>
    </row>
    <row r="655" spans="1:21">
      <c r="A655" s="6" t="s">
        <v>1019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IF(match_results_2!C655="完全一致","〇","×")</f>
        <v>〇</v>
      </c>
      <c r="O655" t="str">
        <f>IF(match_results_2!C655="薬価一致候補","〇","×")</f>
        <v>×</v>
      </c>
      <c r="P655" s="60">
        <f>IF(match_results_2!E655="","",match_results_2!E655)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>
        <f>統合マスタ!AA658</f>
        <v>0</v>
      </c>
    </row>
    <row r="656" spans="1:21">
      <c r="A656" s="6" t="s">
        <v>1020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IF(match_results_2!C656="完全一致","〇","×")</f>
        <v>〇</v>
      </c>
      <c r="O656" t="str">
        <f>IF(match_results_2!C656="薬価一致候補","〇","×")</f>
        <v>×</v>
      </c>
      <c r="P656" s="60">
        <f>IF(match_results_2!E656="","",match_results_2!E656)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>
        <f>統合マスタ!AA659</f>
        <v>0</v>
      </c>
    </row>
    <row r="657" spans="1:21">
      <c r="A657" s="6" t="s">
        <v>1020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IF(match_results_2!C657="完全一致","〇","×")</f>
        <v>〇</v>
      </c>
      <c r="O657" t="str">
        <f>IF(match_results_2!C657="薬価一致候補","〇","×")</f>
        <v>×</v>
      </c>
      <c r="P657" s="60">
        <f>IF(match_results_2!E657="","",match_results_2!E657)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>
        <f>統合マスタ!AA660</f>
        <v>0</v>
      </c>
    </row>
    <row r="658" spans="1:21">
      <c r="A658" s="6" t="s">
        <v>1021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IF(match_results_2!C658="完全一致","〇","×")</f>
        <v>〇</v>
      </c>
      <c r="O658" t="str">
        <f>IF(match_results_2!C658="薬価一致候補","〇","×")</f>
        <v>×</v>
      </c>
      <c r="P658" s="60">
        <f>IF(match_results_2!E658="","",match_results_2!E658)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>
        <f>統合マスタ!AA661</f>
        <v>0</v>
      </c>
    </row>
    <row r="659" spans="1:21">
      <c r="A659" s="6" t="s">
        <v>1022</v>
      </c>
      <c r="B659" s="6" t="s">
        <v>9</v>
      </c>
      <c r="C659" s="7" t="s">
        <v>58</v>
      </c>
      <c r="D659" s="6" t="s">
        <v>36</v>
      </c>
      <c r="E659" s="6" t="s">
        <v>963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IF(match_results_2!C659="完全一致","〇","×")</f>
        <v>〇</v>
      </c>
      <c r="O659" t="str">
        <f>IF(match_results_2!C659="薬価一致候補","〇","×")</f>
        <v>×</v>
      </c>
      <c r="P659" s="60">
        <f>IF(match_results_2!E659="","",match_results_2!E659)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>
        <f>統合マスタ!AA662</f>
        <v>0</v>
      </c>
    </row>
    <row r="660" spans="1:21">
      <c r="A660" s="6" t="s">
        <v>1023</v>
      </c>
      <c r="B660" s="6" t="s">
        <v>109</v>
      </c>
      <c r="C660" s="7" t="s">
        <v>10</v>
      </c>
      <c r="D660" s="6" t="s">
        <v>1024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IF(match_results_2!C660="完全一致","〇","×")</f>
        <v>〇</v>
      </c>
      <c r="O660" t="str">
        <f>IF(match_results_2!C660="薬価一致候補","〇","×")</f>
        <v>×</v>
      </c>
      <c r="P660" s="60">
        <f>IF(match_results_2!E660="","",match_results_2!E660)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>
        <f>統合マスタ!AA663</f>
        <v>0</v>
      </c>
    </row>
    <row r="661" spans="1:21">
      <c r="A661" s="6" t="s">
        <v>1025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IF(match_results_2!C661="完全一致","〇","×")</f>
        <v>〇</v>
      </c>
      <c r="O661" t="str">
        <f>IF(match_results_2!C661="薬価一致候補","〇","×")</f>
        <v>×</v>
      </c>
      <c r="P661" s="60">
        <f>IF(match_results_2!E661="","",match_results_2!E661)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>
        <f>統合マスタ!AA664</f>
        <v>0</v>
      </c>
    </row>
    <row r="662" spans="1:21">
      <c r="A662" s="6" t="s">
        <v>1026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IF(match_results_2!C662="完全一致","〇","×")</f>
        <v>〇</v>
      </c>
      <c r="O662" t="str">
        <f>IF(match_results_2!C662="薬価一致候補","〇","×")</f>
        <v>×</v>
      </c>
      <c r="P662" s="60">
        <f>IF(match_results_2!E662="","",match_results_2!E662)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>
        <f>統合マスタ!AA665</f>
        <v>0</v>
      </c>
    </row>
    <row r="663" spans="1:21">
      <c r="A663" s="6" t="s">
        <v>1026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IF(match_results_2!C663="完全一致","〇","×")</f>
        <v>〇</v>
      </c>
      <c r="O663" t="str">
        <f>IF(match_results_2!C663="薬価一致候補","〇","×")</f>
        <v>×</v>
      </c>
      <c r="P663" s="60">
        <f>IF(match_results_2!E663="","",match_results_2!E663)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>
        <f>統合マスタ!AA666</f>
        <v>0</v>
      </c>
    </row>
    <row r="664" spans="1:21">
      <c r="A664" s="6" t="s">
        <v>1027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1028</v>
      </c>
      <c r="M664" s="15">
        <f t="shared" si="52"/>
        <v>42.5</v>
      </c>
      <c r="N664" t="str">
        <f>IF(match_results_2!C664="完全一致","〇","×")</f>
        <v>〇</v>
      </c>
      <c r="O664" t="str">
        <f>IF(match_results_2!C664="薬価一致候補","〇","×")</f>
        <v>×</v>
      </c>
      <c r="P664" s="60">
        <f>IF(match_results_2!E664="","",match_results_2!E664)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>
        <f>統合マスタ!AA667</f>
        <v>0</v>
      </c>
    </row>
    <row r="665" spans="1:21">
      <c r="A665" s="6" t="s">
        <v>1029</v>
      </c>
      <c r="B665" s="6" t="s">
        <v>9</v>
      </c>
      <c r="C665" s="7" t="s">
        <v>14</v>
      </c>
      <c r="D665" s="6" t="s">
        <v>1030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IF(match_results_2!C665="完全一致","〇","×")</f>
        <v>×</v>
      </c>
      <c r="O665" t="str">
        <f>IF(match_results_2!C665="薬価一致候補","〇","×")</f>
        <v>〇</v>
      </c>
      <c r="P665" s="58">
        <f>IF(match_results_2!E665="","",match_results_2!E665)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>
        <f>統合マスタ!AA668</f>
        <v>0</v>
      </c>
    </row>
    <row r="666" spans="1:21">
      <c r="A666" s="6" t="s">
        <v>1031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IF(match_results_2!C666="完全一致","〇","×")</f>
        <v>〇</v>
      </c>
      <c r="O666" t="str">
        <f>IF(match_results_2!C666="薬価一致候補","〇","×")</f>
        <v>×</v>
      </c>
      <c r="P666" s="60">
        <f>IF(match_results_2!E666="","",match_results_2!E666)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>
        <f>統合マスタ!AA669</f>
        <v>0</v>
      </c>
    </row>
    <row r="667" spans="1:21">
      <c r="A667" s="6" t="s">
        <v>1032</v>
      </c>
      <c r="B667" s="6" t="s">
        <v>90</v>
      </c>
      <c r="C667" s="7" t="s">
        <v>39</v>
      </c>
      <c r="D667" s="6" t="s">
        <v>1033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IF(match_results_2!C667="完全一致","〇","×")</f>
        <v>〇</v>
      </c>
      <c r="O667" t="str">
        <f>IF(match_results_2!C667="薬価一致候補","〇","×")</f>
        <v>×</v>
      </c>
      <c r="P667" s="60">
        <f>IF(match_results_2!E667="","",match_results_2!E667)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>
        <f>統合マスタ!AA670</f>
        <v>0</v>
      </c>
    </row>
    <row r="668" spans="1:21">
      <c r="A668" s="52" t="s">
        <v>1034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IF(match_results_2!C668="完全一致","〇","×")</f>
        <v>×</v>
      </c>
      <c r="O668" t="str">
        <f>IF(match_results_2!C668="薬価一致候補","〇","×")</f>
        <v>×</v>
      </c>
      <c r="P668" s="67" t="s">
        <v>4076</v>
      </c>
      <c r="Q668" s="68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</v>
      </c>
      <c r="U668" t="str">
        <f>統合マスタ!AA671</f>
        <v>非採用</v>
      </c>
    </row>
    <row r="669" spans="1:21">
      <c r="A669" s="6" t="s">
        <v>1035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IF(match_results_2!C669="完全一致","〇","×")</f>
        <v>〇</v>
      </c>
      <c r="O669" t="str">
        <f>IF(match_results_2!C669="薬価一致候補","〇","×")</f>
        <v>×</v>
      </c>
      <c r="P669" s="60">
        <f>IF(match_results_2!E669="","",match_results_2!E669)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>
        <f>統合マスタ!AA672</f>
        <v>0</v>
      </c>
    </row>
    <row r="670" spans="1:21">
      <c r="A670" s="6" t="s">
        <v>1036</v>
      </c>
      <c r="B670" s="6" t="s">
        <v>9</v>
      </c>
      <c r="C670" s="7" t="s">
        <v>39</v>
      </c>
      <c r="D670" s="6" t="s">
        <v>1037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1038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IF(match_results_2!C670="完全一致","〇","×")</f>
        <v>〇</v>
      </c>
      <c r="O670" t="str">
        <f>IF(match_results_2!C670="薬価一致候補","〇","×")</f>
        <v>×</v>
      </c>
      <c r="P670" s="60">
        <f>IF(match_results_2!E670="","",match_results_2!E670)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>
        <f>統合マスタ!AA673</f>
        <v>0</v>
      </c>
    </row>
    <row r="671" spans="1:21">
      <c r="A671" s="6" t="s">
        <v>1039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IF(match_results_2!C671="完全一致","〇","×")</f>
        <v>〇</v>
      </c>
      <c r="O671" t="str">
        <f>IF(match_results_2!C671="薬価一致候補","〇","×")</f>
        <v>×</v>
      </c>
      <c r="P671" s="60">
        <f>IF(match_results_2!E671="","",match_results_2!E671)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>
        <f>統合マスタ!AA674</f>
        <v>0</v>
      </c>
    </row>
    <row r="672" spans="1:21">
      <c r="A672" s="6" t="s">
        <v>1040</v>
      </c>
      <c r="B672" s="6" t="s">
        <v>90</v>
      </c>
      <c r="C672" s="7" t="s">
        <v>67</v>
      </c>
      <c r="D672" s="6" t="s">
        <v>1041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IF(match_results_2!C672="完全一致","〇","×")</f>
        <v>〇</v>
      </c>
      <c r="O672" t="str">
        <f>IF(match_results_2!C672="薬価一致候補","〇","×")</f>
        <v>×</v>
      </c>
      <c r="P672" s="60">
        <f>IF(match_results_2!E672="","",match_results_2!E672)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>
        <f>統合マスタ!AA675</f>
        <v>0</v>
      </c>
    </row>
    <row r="673" spans="1:21">
      <c r="A673" s="6" t="s">
        <v>1042</v>
      </c>
      <c r="B673" s="6" t="s">
        <v>90</v>
      </c>
      <c r="C673" s="7" t="s">
        <v>10</v>
      </c>
      <c r="D673" s="6" t="s">
        <v>1043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1044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IF(match_results_2!C673="完全一致","〇","×")</f>
        <v>×</v>
      </c>
      <c r="O673" t="str">
        <f>IF(match_results_2!C673="薬価一致候補","〇","×")</f>
        <v>〇</v>
      </c>
      <c r="P673" s="59">
        <v>586</v>
      </c>
      <c r="Q673" s="51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>
        <f>統合マスタ!AA676</f>
        <v>0</v>
      </c>
    </row>
    <row r="674" spans="1:21">
      <c r="A674" s="6" t="s">
        <v>1045</v>
      </c>
      <c r="B674" s="6" t="s">
        <v>90</v>
      </c>
      <c r="C674" s="7" t="s">
        <v>10</v>
      </c>
      <c r="D674" s="6" t="s">
        <v>1043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1044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IF(match_results_2!C674="完全一致","〇","×")</f>
        <v>×</v>
      </c>
      <c r="O674" t="str">
        <f>IF(match_results_2!C674="薬価一致候補","〇","×")</f>
        <v>〇</v>
      </c>
      <c r="P674" s="59">
        <v>585</v>
      </c>
      <c r="Q674" s="51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>
        <f>統合マスタ!AA677</f>
        <v>0</v>
      </c>
    </row>
    <row r="675" spans="1:21">
      <c r="A675" s="6" t="s">
        <v>1046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IF(match_results_2!C675="完全一致","〇","×")</f>
        <v>〇</v>
      </c>
      <c r="O675" t="str">
        <f>IF(match_results_2!C675="薬価一致候補","〇","×")</f>
        <v>×</v>
      </c>
      <c r="P675" s="60">
        <f>IF(match_results_2!E675="","",match_results_2!E675)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>
        <f>統合マスタ!AA678</f>
        <v>0</v>
      </c>
    </row>
    <row r="676" spans="1:21">
      <c r="A676" s="6" t="s">
        <v>1047</v>
      </c>
      <c r="B676" s="6" t="s">
        <v>10</v>
      </c>
      <c r="C676" s="7" t="s">
        <v>10</v>
      </c>
      <c r="D676" s="6" t="s">
        <v>1048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IF(match_results_2!C676="完全一致","〇","×")</f>
        <v>×</v>
      </c>
      <c r="O676" t="str">
        <f>IF(match_results_2!C676="薬価一致候補","〇","×")</f>
        <v>〇</v>
      </c>
      <c r="P676" s="61">
        <f>IF(match_results_2!E676="","",match_results_2!E676)</f>
        <v>587</v>
      </c>
      <c r="Q676" s="62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>
        <f>統合マスタ!AA679</f>
        <v>0</v>
      </c>
    </row>
    <row r="677" spans="1:21">
      <c r="A677" s="6" t="s">
        <v>1049</v>
      </c>
      <c r="B677" s="6" t="s">
        <v>10</v>
      </c>
      <c r="C677" s="7" t="s">
        <v>10</v>
      </c>
      <c r="D677" s="6" t="s">
        <v>1050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IF(match_results_2!C677="完全一致","〇","×")</f>
        <v>×</v>
      </c>
      <c r="O677" t="str">
        <f>IF(match_results_2!C677="薬価一致候補","〇","×")</f>
        <v>〇</v>
      </c>
      <c r="P677" s="61">
        <f>IF(match_results_2!E677="","",match_results_2!E677)</f>
        <v>587</v>
      </c>
      <c r="Q677" s="62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>
        <f>統合マスタ!AA680</f>
        <v>0</v>
      </c>
    </row>
    <row r="678" spans="1:21">
      <c r="A678" s="6" t="s">
        <v>1051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IF(match_results_2!C678="完全一致","〇","×")</f>
        <v>〇</v>
      </c>
      <c r="O678" t="str">
        <f>IF(match_results_2!C678="薬価一致候補","〇","×")</f>
        <v>×</v>
      </c>
      <c r="P678" s="60">
        <f>IF(match_results_2!E678="","",match_results_2!E678)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>
        <f>統合マスタ!AA681</f>
        <v>0</v>
      </c>
    </row>
    <row r="679" spans="1:21">
      <c r="A679" s="6" t="s">
        <v>1052</v>
      </c>
      <c r="B679" s="6" t="s">
        <v>9</v>
      </c>
      <c r="C679" s="7" t="s">
        <v>10</v>
      </c>
      <c r="D679" s="6" t="s">
        <v>1000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IF(match_results_2!C679="完全一致","〇","×")</f>
        <v>〇</v>
      </c>
      <c r="O679" t="str">
        <f>IF(match_results_2!C679="薬価一致候補","〇","×")</f>
        <v>×</v>
      </c>
      <c r="P679" s="60">
        <f>IF(match_results_2!E679="","",match_results_2!E679)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>
        <f>統合マスタ!AA682</f>
        <v>0</v>
      </c>
    </row>
    <row r="680" spans="1:21">
      <c r="A680" s="6" t="s">
        <v>1053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IF(match_results_2!C680="完全一致","〇","×")</f>
        <v>〇</v>
      </c>
      <c r="O680" t="str">
        <f>IF(match_results_2!C680="薬価一致候補","〇","×")</f>
        <v>×</v>
      </c>
      <c r="P680" s="60">
        <f>IF(match_results_2!E680="","",match_results_2!E680)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>
        <f>統合マスタ!AA683</f>
        <v>0</v>
      </c>
    </row>
    <row r="681" spans="1:21">
      <c r="A681" s="6" t="s">
        <v>1053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IF(match_results_2!C681="完全一致","〇","×")</f>
        <v>〇</v>
      </c>
      <c r="O681" t="str">
        <f>IF(match_results_2!C681="薬価一致候補","〇","×")</f>
        <v>×</v>
      </c>
      <c r="P681" s="60">
        <f>IF(match_results_2!E681="","",match_results_2!E681)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>
        <f>統合マスタ!AA684</f>
        <v>0</v>
      </c>
    </row>
    <row r="682" spans="1:21">
      <c r="A682" s="6" t="s">
        <v>1054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IF(match_results_2!C682="完全一致","〇","×")</f>
        <v>〇</v>
      </c>
      <c r="O682" t="str">
        <f>IF(match_results_2!C682="薬価一致候補","〇","×")</f>
        <v>×</v>
      </c>
      <c r="P682" s="60">
        <f>IF(match_results_2!E682="","",match_results_2!E682)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>
        <f>統合マスタ!AA685</f>
        <v>0</v>
      </c>
    </row>
    <row r="683" spans="1:21">
      <c r="A683" s="6" t="s">
        <v>1054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IF(match_results_2!C683="完全一致","〇","×")</f>
        <v>〇</v>
      </c>
      <c r="O683" t="str">
        <f>IF(match_results_2!C683="薬価一致候補","〇","×")</f>
        <v>×</v>
      </c>
      <c r="P683" s="60">
        <f>IF(match_results_2!E683="","",match_results_2!E683)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>
        <f>統合マスタ!AA686</f>
        <v>0</v>
      </c>
    </row>
    <row r="684" spans="1:21">
      <c r="A684" s="6" t="s">
        <v>1055</v>
      </c>
      <c r="B684" s="6" t="s">
        <v>10</v>
      </c>
      <c r="C684" s="7" t="s">
        <v>10</v>
      </c>
      <c r="D684" s="6" t="s">
        <v>1056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IF(match_results_2!C684="完全一致","〇","×")</f>
        <v>×</v>
      </c>
      <c r="O684" t="str">
        <f>IF(match_results_2!C684="薬価一致候補","〇","×")</f>
        <v>〇</v>
      </c>
      <c r="P684" s="58">
        <f>IF(match_results_2!E684="","",match_results_2!E684)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>
        <f>統合マスタ!AA687</f>
        <v>0</v>
      </c>
    </row>
    <row r="685" spans="1:21">
      <c r="A685" s="6" t="s">
        <v>1057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IF(match_results_2!C685="完全一致","〇","×")</f>
        <v>〇</v>
      </c>
      <c r="O685" t="str">
        <f>IF(match_results_2!C685="薬価一致候補","〇","×")</f>
        <v>×</v>
      </c>
      <c r="P685" s="60">
        <f>IF(match_results_2!E685="","",match_results_2!E685)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>
        <f>統合マスタ!AA688</f>
        <v>0</v>
      </c>
    </row>
    <row r="686" spans="1:21">
      <c r="A686" s="6" t="s">
        <v>1057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IF(match_results_2!C686="完全一致","〇","×")</f>
        <v>〇</v>
      </c>
      <c r="O686" t="str">
        <f>IF(match_results_2!C686="薬価一致候補","〇","×")</f>
        <v>×</v>
      </c>
      <c r="P686" s="60">
        <f>IF(match_results_2!E686="","",match_results_2!E686)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>
        <f>統合マスタ!AA689</f>
        <v>0</v>
      </c>
    </row>
    <row r="687" spans="1:21">
      <c r="A687" s="6" t="s">
        <v>1058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IF(match_results_2!C687="完全一致","〇","×")</f>
        <v>〇</v>
      </c>
      <c r="O687" t="str">
        <f>IF(match_results_2!C687="薬価一致候補","〇","×")</f>
        <v>×</v>
      </c>
      <c r="P687" s="60">
        <f>IF(match_results_2!E687="","",match_results_2!E687)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>
        <f>統合マスタ!AA690</f>
        <v>0</v>
      </c>
    </row>
    <row r="688" spans="1:21">
      <c r="A688" s="6" t="s">
        <v>1058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IF(match_results_2!C688="完全一致","〇","×")</f>
        <v>〇</v>
      </c>
      <c r="O688" t="str">
        <f>IF(match_results_2!C688="薬価一致候補","〇","×")</f>
        <v>×</v>
      </c>
      <c r="P688" s="60">
        <f>IF(match_results_2!E688="","",match_results_2!E688)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>
        <f>統合マスタ!AA691</f>
        <v>0</v>
      </c>
    </row>
    <row r="689" spans="1:21">
      <c r="A689" s="6" t="s">
        <v>1059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IF(match_results_2!C689="完全一致","〇","×")</f>
        <v>〇</v>
      </c>
      <c r="O689" t="str">
        <f>IF(match_results_2!C689="薬価一致候補","〇","×")</f>
        <v>×</v>
      </c>
      <c r="P689" s="60">
        <f>IF(match_results_2!E689="","",match_results_2!E689)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>
        <f>統合マスタ!AA692</f>
        <v>0</v>
      </c>
    </row>
    <row r="690" spans="1:21">
      <c r="A690" s="6" t="s">
        <v>1059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IF(match_results_2!C690="完全一致","〇","×")</f>
        <v>〇</v>
      </c>
      <c r="O690" t="str">
        <f>IF(match_results_2!C690="薬価一致候補","〇","×")</f>
        <v>×</v>
      </c>
      <c r="P690" s="60">
        <f>IF(match_results_2!E690="","",match_results_2!E690)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>
        <f>統合マスタ!AA693</f>
        <v>0</v>
      </c>
    </row>
    <row r="691" spans="1:21">
      <c r="A691" s="6" t="s">
        <v>1060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IF(match_results_2!C691="完全一致","〇","×")</f>
        <v>〇</v>
      </c>
      <c r="O691" t="str">
        <f>IF(match_results_2!C691="薬価一致候補","〇","×")</f>
        <v>×</v>
      </c>
      <c r="P691" s="60">
        <f>IF(match_results_2!E691="","",match_results_2!E691)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>
        <f>統合マスタ!AA694</f>
        <v>0</v>
      </c>
    </row>
    <row r="692" spans="1:21">
      <c r="A692" s="6" t="s">
        <v>1060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IF(match_results_2!C692="完全一致","〇","×")</f>
        <v>〇</v>
      </c>
      <c r="O692" t="str">
        <f>IF(match_results_2!C692="薬価一致候補","〇","×")</f>
        <v>×</v>
      </c>
      <c r="P692" s="60">
        <f>IF(match_results_2!E692="","",match_results_2!E692)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>
        <f>統合マスタ!AA695</f>
        <v>0</v>
      </c>
    </row>
    <row r="693" spans="1:21">
      <c r="A693" s="52" t="s">
        <v>1061</v>
      </c>
      <c r="B693" s="6" t="s">
        <v>44</v>
      </c>
      <c r="C693" s="7" t="s">
        <v>10</v>
      </c>
      <c r="D693" s="6" t="s">
        <v>1062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IF(match_results_2!C693="完全一致","〇","×")</f>
        <v>×</v>
      </c>
      <c r="O693" t="str">
        <f>IF(match_results_2!C693="薬価一致候補","〇","×")</f>
        <v>×</v>
      </c>
      <c r="P693" s="67" t="s">
        <v>4076</v>
      </c>
      <c r="Q693" s="68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</v>
      </c>
      <c r="U693" t="str">
        <f>統合マスタ!AA696</f>
        <v>非採用</v>
      </c>
    </row>
    <row r="694" spans="1:21">
      <c r="A694" s="6" t="s">
        <v>1063</v>
      </c>
      <c r="B694" s="6" t="s">
        <v>44</v>
      </c>
      <c r="C694" s="7" t="s">
        <v>10</v>
      </c>
      <c r="D694" s="6" t="s">
        <v>1064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IF(match_results_2!C694="完全一致","〇","×")</f>
        <v>×</v>
      </c>
      <c r="O694" t="str">
        <f>IF(match_results_2!C694="薬価一致候補","〇","×")</f>
        <v>〇</v>
      </c>
      <c r="P694" s="58">
        <f>IF(match_results_2!E694="","",match_results_2!E694)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>
        <f>統合マスタ!AA697</f>
        <v>0</v>
      </c>
    </row>
    <row r="695" spans="1:21">
      <c r="A695" s="6" t="s">
        <v>1065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IF(match_results_2!C695="完全一致","〇","×")</f>
        <v>〇</v>
      </c>
      <c r="O695" t="str">
        <f>IF(match_results_2!C695="薬価一致候補","〇","×")</f>
        <v>×</v>
      </c>
      <c r="P695" s="60">
        <f>IF(match_results_2!E695="","",match_results_2!E695)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>
        <f>統合マスタ!AA698</f>
        <v>0</v>
      </c>
    </row>
    <row r="696" spans="1:21">
      <c r="A696" s="6" t="s">
        <v>1066</v>
      </c>
      <c r="B696" s="6" t="s">
        <v>9</v>
      </c>
      <c r="C696" s="7" t="s">
        <v>39</v>
      </c>
      <c r="D696" s="6" t="s">
        <v>36</v>
      </c>
      <c r="E696" s="6" t="s">
        <v>1067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IF(match_results_2!C696="完全一致","〇","×")</f>
        <v>〇</v>
      </c>
      <c r="O696" t="str">
        <f>IF(match_results_2!C696="薬価一致候補","〇","×")</f>
        <v>×</v>
      </c>
      <c r="P696" s="60">
        <f>IF(match_results_2!E696="","",match_results_2!E696)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>
        <f>統合マスタ!AA699</f>
        <v>0</v>
      </c>
    </row>
    <row r="697" spans="1:21">
      <c r="A697" s="6" t="s">
        <v>1068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IF(match_results_2!C697="完全一致","〇","×")</f>
        <v>〇</v>
      </c>
      <c r="O697" t="str">
        <f>IF(match_results_2!C697="薬価一致候補","〇","×")</f>
        <v>×</v>
      </c>
      <c r="P697" s="60">
        <f>IF(match_results_2!E697="","",match_results_2!E697)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>
        <f>統合マスタ!AA700</f>
        <v>0</v>
      </c>
    </row>
    <row r="698" spans="1:21">
      <c r="A698" s="6" t="s">
        <v>1069</v>
      </c>
      <c r="B698" s="6" t="s">
        <v>10</v>
      </c>
      <c r="C698" s="7" t="s">
        <v>10</v>
      </c>
      <c r="D698" s="6" t="s">
        <v>1070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IF(match_results_2!C698="完全一致","〇","×")</f>
        <v>×</v>
      </c>
      <c r="O698" t="str">
        <f>IF(match_results_2!C698="薬価一致候補","〇","×")</f>
        <v>〇</v>
      </c>
      <c r="P698" s="58">
        <f>IF(match_results_2!E698="","",match_results_2!E698)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>
        <f>統合マスタ!AA701</f>
        <v>0</v>
      </c>
    </row>
    <row r="699" spans="1:21">
      <c r="A699" s="6" t="s">
        <v>1071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IF(match_results_2!C699="完全一致","〇","×")</f>
        <v>×</v>
      </c>
      <c r="O699" t="str">
        <f>IF(match_results_2!C699="薬価一致候補","〇","×")</f>
        <v>〇</v>
      </c>
      <c r="P699" s="58">
        <f>IF(match_results_2!E699="","",match_results_2!E699)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>
        <f>統合マスタ!AA702</f>
        <v>0</v>
      </c>
    </row>
    <row r="700" spans="1:21">
      <c r="A700" s="6" t="s">
        <v>1235</v>
      </c>
      <c r="B700" s="6" t="s">
        <v>44</v>
      </c>
      <c r="C700" s="7" t="s">
        <v>10</v>
      </c>
      <c r="D700" s="6" t="s">
        <v>1072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IF(match_results_2!C700="完全一致","〇","×")</f>
        <v>×</v>
      </c>
      <c r="O700" t="str">
        <f>IF(match_results_2!C700="薬価一致候補","〇","×")</f>
        <v>〇</v>
      </c>
      <c r="P700" s="58">
        <f>IF(match_results_2!E700="","",match_results_2!E700)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>
        <f>統合マスタ!AA703</f>
        <v>0</v>
      </c>
    </row>
    <row r="701" spans="1:21">
      <c r="A701" s="6" t="s">
        <v>1073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IF(match_results_2!C701="完全一致","〇","×")</f>
        <v>〇</v>
      </c>
      <c r="O701" t="str">
        <f>IF(match_results_2!C701="薬価一致候補","〇","×")</f>
        <v>×</v>
      </c>
      <c r="P701" s="60">
        <f>IF(match_results_2!E701="","",match_results_2!E701)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>
        <f>統合マスタ!AA704</f>
        <v>0</v>
      </c>
    </row>
    <row r="702" spans="1:21">
      <c r="A702" s="6" t="s">
        <v>1074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IF(match_results_2!C702="完全一致","〇","×")</f>
        <v>×</v>
      </c>
      <c r="O702" t="str">
        <f>IF(match_results_2!C702="薬価一致候補","〇","×")</f>
        <v>〇</v>
      </c>
      <c r="P702" s="58">
        <f>IF(match_results_2!E702="","",match_results_2!E702)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>
        <f>統合マスタ!AA705</f>
        <v>0</v>
      </c>
    </row>
    <row r="703" spans="1:21">
      <c r="A703" s="6" t="s">
        <v>1074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IF(match_results_2!C703="完全一致","〇","×")</f>
        <v>×</v>
      </c>
      <c r="O703" t="str">
        <f>IF(match_results_2!C703="薬価一致候補","〇","×")</f>
        <v>〇</v>
      </c>
      <c r="P703" s="58">
        <f>IF(match_results_2!E703="","",match_results_2!E703)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>
        <f>統合マスタ!AA706</f>
        <v>0</v>
      </c>
    </row>
    <row r="704" spans="1:21">
      <c r="A704" s="6" t="s">
        <v>1075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IF(match_results_2!C704="完全一致","〇","×")</f>
        <v>×</v>
      </c>
      <c r="O704" t="str">
        <f>IF(match_results_2!C704="薬価一致候補","〇","×")</f>
        <v>〇</v>
      </c>
      <c r="P704" s="58">
        <f>IF(match_results_2!E704="","",match_results_2!E704)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>
        <f>統合マスタ!AA707</f>
        <v>0</v>
      </c>
    </row>
    <row r="705" spans="1:21">
      <c r="A705" s="6" t="s">
        <v>1075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IF(match_results_2!C705="完全一致","〇","×")</f>
        <v>×</v>
      </c>
      <c r="O705" t="str">
        <f>IF(match_results_2!C705="薬価一致候補","〇","×")</f>
        <v>〇</v>
      </c>
      <c r="P705" s="58">
        <f>IF(match_results_2!E705="","",match_results_2!E705)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>
        <f>統合マスタ!AA708</f>
        <v>0</v>
      </c>
    </row>
    <row r="706" spans="1:21">
      <c r="A706" s="6" t="s">
        <v>1076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IF(match_results_2!C706="完全一致","〇","×")</f>
        <v>〇</v>
      </c>
      <c r="O706" t="str">
        <f>IF(match_results_2!C706="薬価一致候補","〇","×")</f>
        <v>×</v>
      </c>
      <c r="P706" s="60">
        <f>IF(match_results_2!E706="","",match_results_2!E706)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>
        <f>統合マスタ!AA709</f>
        <v>0</v>
      </c>
    </row>
    <row r="707" spans="1:21">
      <c r="A707" s="6" t="s">
        <v>1076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IF(match_results_2!C707="完全一致","〇","×")</f>
        <v>〇</v>
      </c>
      <c r="O707" t="str">
        <f>IF(match_results_2!C707="薬価一致候補","〇","×")</f>
        <v>×</v>
      </c>
      <c r="P707" s="60">
        <f>IF(match_results_2!E707="","",match_results_2!E707)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>
        <f>統合マスタ!AA710</f>
        <v>0</v>
      </c>
    </row>
    <row r="708" spans="1:21" ht="20.25" customHeight="1">
      <c r="A708" s="14" t="s">
        <v>1234</v>
      </c>
      <c r="B708" s="6" t="s">
        <v>44</v>
      </c>
      <c r="C708" s="7" t="s">
        <v>10</v>
      </c>
      <c r="D708" s="6" t="s">
        <v>1077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IF(match_results_2!C708="完全一致","〇","×")</f>
        <v>×</v>
      </c>
      <c r="O708" t="str">
        <f>IF(match_results_2!C708="薬価一致候補","〇","×")</f>
        <v>〇</v>
      </c>
      <c r="P708" s="59">
        <v>604</v>
      </c>
      <c r="Q708" s="51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>
        <f>統合マスタ!AA711</f>
        <v>0</v>
      </c>
    </row>
    <row r="709" spans="1:21">
      <c r="A709" s="6" t="s">
        <v>1078</v>
      </c>
      <c r="B709" s="6" t="s">
        <v>44</v>
      </c>
      <c r="C709" s="7" t="s">
        <v>10</v>
      </c>
      <c r="D709" s="6" t="s">
        <v>1079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IF(match_results_2!C709="完全一致","〇","×")</f>
        <v>×</v>
      </c>
      <c r="O709" t="str">
        <f>IF(match_results_2!C709="薬価一致候補","〇","×")</f>
        <v>〇</v>
      </c>
      <c r="P709" s="59">
        <v>605</v>
      </c>
      <c r="Q709" s="51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>
        <f>統合マスタ!AA712</f>
        <v>0</v>
      </c>
    </row>
    <row r="710" spans="1:21">
      <c r="A710" s="6" t="s">
        <v>1080</v>
      </c>
      <c r="B710" s="6" t="s">
        <v>44</v>
      </c>
      <c r="C710" s="7" t="s">
        <v>10</v>
      </c>
      <c r="D710" s="6" t="s">
        <v>1081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IF(match_results_2!C710="完全一致","〇","×")</f>
        <v>×</v>
      </c>
      <c r="O710" t="str">
        <f>IF(match_results_2!C710="薬価一致候補","〇","×")</f>
        <v>〇</v>
      </c>
      <c r="P710" s="58">
        <f>IF(match_results_2!E710="","",match_results_2!E710)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>
        <f>統合マスタ!AA713</f>
        <v>0</v>
      </c>
    </row>
    <row r="711" spans="1:21">
      <c r="A711" s="6" t="s">
        <v>1082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IF(match_results_2!C711="完全一致","〇","×")</f>
        <v>〇</v>
      </c>
      <c r="O711" t="str">
        <f>IF(match_results_2!C711="薬価一致候補","〇","×")</f>
        <v>×</v>
      </c>
      <c r="P711" s="60">
        <f>IF(match_results_2!E711="","",match_results_2!E711)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>
        <f>統合マスタ!AA714</f>
        <v>0</v>
      </c>
    </row>
    <row r="712" spans="1:21">
      <c r="A712" s="6" t="s">
        <v>1082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IF(match_results_2!C712="完全一致","〇","×")</f>
        <v>〇</v>
      </c>
      <c r="O712" t="str">
        <f>IF(match_results_2!C712="薬価一致候補","〇","×")</f>
        <v>×</v>
      </c>
      <c r="P712" s="60">
        <f>IF(match_results_2!E712="","",match_results_2!E712)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>
        <f>統合マスタ!AA715</f>
        <v>0</v>
      </c>
    </row>
    <row r="713" spans="1:21">
      <c r="A713" s="6" t="s">
        <v>1083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IF(match_results_2!C713="完全一致","〇","×")</f>
        <v>〇</v>
      </c>
      <c r="O713" t="str">
        <f>IF(match_results_2!C713="薬価一致候補","〇","×")</f>
        <v>×</v>
      </c>
      <c r="P713" s="60">
        <f>IF(match_results_2!E713="","",match_results_2!E713)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>
        <f>統合マスタ!AA716</f>
        <v>0</v>
      </c>
    </row>
    <row r="714" spans="1:21">
      <c r="A714" s="6" t="s">
        <v>1083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IF(match_results_2!C714="完全一致","〇","×")</f>
        <v>〇</v>
      </c>
      <c r="O714" t="str">
        <f>IF(match_results_2!C714="薬価一致候補","〇","×")</f>
        <v>×</v>
      </c>
      <c r="P714" s="60">
        <f>IF(match_results_2!E714="","",match_results_2!E714)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>
        <f>統合マスタ!AA717</f>
        <v>0</v>
      </c>
    </row>
    <row r="715" spans="1:21">
      <c r="A715" s="6" t="s">
        <v>1084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IF(match_results_2!C715="完全一致","〇","×")</f>
        <v>〇</v>
      </c>
      <c r="O715" t="str">
        <f>IF(match_results_2!C715="薬価一致候補","〇","×")</f>
        <v>×</v>
      </c>
      <c r="P715" s="60">
        <f>IF(match_results_2!E715="","",match_results_2!E715)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>
        <f>統合マスタ!AA718</f>
        <v>0</v>
      </c>
    </row>
    <row r="716" spans="1:21">
      <c r="A716" s="6" t="s">
        <v>1084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IF(match_results_2!C716="完全一致","〇","×")</f>
        <v>〇</v>
      </c>
      <c r="O716" t="str">
        <f>IF(match_results_2!C716="薬価一致候補","〇","×")</f>
        <v>×</v>
      </c>
      <c r="P716" s="60">
        <f>IF(match_results_2!E716="","",match_results_2!E716)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>
        <f>統合マスタ!AA719</f>
        <v>0</v>
      </c>
    </row>
    <row r="717" spans="1:21">
      <c r="A717" s="6" t="s">
        <v>1085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IF(match_results_2!C717="完全一致","〇","×")</f>
        <v>〇</v>
      </c>
      <c r="O717" t="str">
        <f>IF(match_results_2!C717="薬価一致候補","〇","×")</f>
        <v>×</v>
      </c>
      <c r="P717" s="60">
        <f>IF(match_results_2!E717="","",match_results_2!E717)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>
        <f>統合マスタ!AA720</f>
        <v>0</v>
      </c>
    </row>
    <row r="718" spans="1:21">
      <c r="A718" s="6" t="s">
        <v>1085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IF(match_results_2!C718="完全一致","〇","×")</f>
        <v>〇</v>
      </c>
      <c r="O718" t="str">
        <f>IF(match_results_2!C718="薬価一致候補","〇","×")</f>
        <v>×</v>
      </c>
      <c r="P718" s="60">
        <f>IF(match_results_2!E718="","",match_results_2!E718)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>
        <f>統合マスタ!AA721</f>
        <v>0</v>
      </c>
    </row>
    <row r="719" spans="1:21">
      <c r="A719" s="52" t="s">
        <v>1086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IF(match_results_2!C719="完全一致","〇","×")</f>
        <v>×</v>
      </c>
      <c r="O719" t="str">
        <f>IF(match_results_2!C719="薬価一致候補","〇","×")</f>
        <v>×</v>
      </c>
      <c r="P719" s="67" t="s">
        <v>4076</v>
      </c>
      <c r="Q719" s="68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</v>
      </c>
      <c r="U719" t="str">
        <f>統合マスタ!AA722</f>
        <v>非採用</v>
      </c>
    </row>
    <row r="720" spans="1:21">
      <c r="A720" s="6" t="s">
        <v>1087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IF(match_results_2!C720="完全一致","〇","×")</f>
        <v>×</v>
      </c>
      <c r="O720" t="str">
        <f>IF(match_results_2!C720="薬価一致候補","〇","×")</f>
        <v>〇</v>
      </c>
      <c r="P720" s="59">
        <v>614</v>
      </c>
      <c r="Q720" s="51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>
        <f>統合マスタ!AA723</f>
        <v>0</v>
      </c>
    </row>
    <row r="721" spans="1:21">
      <c r="A721" s="6" t="s">
        <v>1088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IF(match_results_2!C721="完全一致","〇","×")</f>
        <v>×</v>
      </c>
      <c r="O721" t="str">
        <f>IF(match_results_2!C721="薬価一致候補","〇","×")</f>
        <v>〇</v>
      </c>
      <c r="P721" s="59">
        <v>615</v>
      </c>
      <c r="Q721" s="51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>
        <f>統合マスタ!AA724</f>
        <v>0</v>
      </c>
    </row>
    <row r="722" spans="1:21">
      <c r="A722" s="6" t="s">
        <v>1089</v>
      </c>
      <c r="B722" s="6" t="s">
        <v>44</v>
      </c>
      <c r="C722" s="7" t="s">
        <v>10</v>
      </c>
      <c r="D722" s="6" t="s">
        <v>1090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IF(match_results_2!C722="完全一致","〇","×")</f>
        <v>×</v>
      </c>
      <c r="O722" t="str">
        <f>IF(match_results_2!C722="薬価一致候補","〇","×")</f>
        <v>〇</v>
      </c>
      <c r="P722" s="58">
        <f>IF(match_results_2!E722="","",match_results_2!E722)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>
        <f>統合マスタ!AA725</f>
        <v>0</v>
      </c>
    </row>
    <row r="723" spans="1:21">
      <c r="A723" s="6" t="s">
        <v>1091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IF(match_results_2!C723="完全一致","〇","×")</f>
        <v>×</v>
      </c>
      <c r="O723" t="str">
        <f>IF(match_results_2!C723="薬価一致候補","〇","×")</f>
        <v>〇</v>
      </c>
      <c r="P723" s="59">
        <v>613</v>
      </c>
      <c r="Q723" s="51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>
        <f>統合マスタ!AA726</f>
        <v>0</v>
      </c>
    </row>
    <row r="724" spans="1:21">
      <c r="A724" s="6" t="s">
        <v>1092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IF(match_results_2!C724="完全一致","〇","×")</f>
        <v>〇</v>
      </c>
      <c r="O724" t="str">
        <f>IF(match_results_2!C724="薬価一致候補","〇","×")</f>
        <v>×</v>
      </c>
      <c r="P724" s="60">
        <f>IF(match_results_2!E724="","",match_results_2!E724)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>
        <f>統合マスタ!AA727</f>
        <v>0</v>
      </c>
    </row>
    <row r="725" spans="1:21">
      <c r="A725" s="6" t="s">
        <v>1093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IF(match_results_2!C725="完全一致","〇","×")</f>
        <v>〇</v>
      </c>
      <c r="O725" t="str">
        <f>IF(match_results_2!C725="薬価一致候補","〇","×")</f>
        <v>×</v>
      </c>
      <c r="P725" s="60">
        <f>IF(match_results_2!E725="","",match_results_2!E725)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>
        <f>統合マスタ!AA728</f>
        <v>0</v>
      </c>
    </row>
    <row r="726" spans="1:21">
      <c r="A726" s="6" t="s">
        <v>1094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IF(match_results_2!C726="完全一致","〇","×")</f>
        <v>〇</v>
      </c>
      <c r="O726" t="str">
        <f>IF(match_results_2!C726="薬価一致候補","〇","×")</f>
        <v>×</v>
      </c>
      <c r="P726" s="60">
        <f>IF(match_results_2!E726="","",match_results_2!E726)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>
        <f>統合マスタ!AA729</f>
        <v>0</v>
      </c>
    </row>
    <row r="727" spans="1:21">
      <c r="A727" s="6" t="s">
        <v>1095</v>
      </c>
      <c r="B727" s="6" t="s">
        <v>114</v>
      </c>
      <c r="C727" s="7" t="s">
        <v>10</v>
      </c>
      <c r="D727" s="6" t="s">
        <v>1096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IF(match_results_2!C727="完全一致","〇","×")</f>
        <v>×</v>
      </c>
      <c r="O727" t="str">
        <f>IF(match_results_2!C727="薬価一致候補","〇","×")</f>
        <v>〇</v>
      </c>
      <c r="P727" s="58">
        <f>IF(match_results_2!E727="","",match_results_2!E727)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>
        <f>統合マスタ!AA730</f>
        <v>0</v>
      </c>
    </row>
    <row r="728" spans="1:21">
      <c r="A728" s="6" t="s">
        <v>1097</v>
      </c>
      <c r="B728" s="6" t="s">
        <v>114</v>
      </c>
      <c r="C728" s="7" t="s">
        <v>10</v>
      </c>
      <c r="D728" s="6" t="s">
        <v>1096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IF(match_results_2!C728="完全一致","〇","×")</f>
        <v>×</v>
      </c>
      <c r="O728" t="str">
        <f>IF(match_results_2!C728="薬価一致候補","〇","×")</f>
        <v>〇</v>
      </c>
      <c r="P728" s="58">
        <f>IF(match_results_2!E728="","",match_results_2!E728)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>
        <f>統合マスタ!AA731</f>
        <v>0</v>
      </c>
    </row>
    <row r="729" spans="1:21">
      <c r="A729" s="6" t="s">
        <v>1098</v>
      </c>
      <c r="B729" s="6" t="s">
        <v>114</v>
      </c>
      <c r="C729" s="7" t="s">
        <v>10</v>
      </c>
      <c r="D729" s="6" t="s">
        <v>1096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IF(match_results_2!C729="完全一致","〇","×")</f>
        <v>〇</v>
      </c>
      <c r="O729" t="str">
        <f>IF(match_results_2!C729="薬価一致候補","〇","×")</f>
        <v>×</v>
      </c>
      <c r="P729" s="60">
        <f>IF(match_results_2!E729="","",match_results_2!E729)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>
        <f>統合マスタ!AA732</f>
        <v>0</v>
      </c>
    </row>
    <row r="730" spans="1:21">
      <c r="A730" s="6" t="s">
        <v>1099</v>
      </c>
      <c r="B730" s="6" t="s">
        <v>114</v>
      </c>
      <c r="C730" s="7" t="s">
        <v>10</v>
      </c>
      <c r="D730" s="6" t="s">
        <v>1096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IF(match_results_2!C730="完全一致","〇","×")</f>
        <v>×</v>
      </c>
      <c r="O730" t="str">
        <f>IF(match_results_2!C730="薬価一致候補","〇","×")</f>
        <v>〇</v>
      </c>
      <c r="P730" s="58">
        <f>IF(match_results_2!E730="","",match_results_2!E730)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>
        <f>統合マスタ!AA733</f>
        <v>0</v>
      </c>
    </row>
    <row r="731" spans="1:21">
      <c r="A731" s="52" t="s">
        <v>1100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1101</v>
      </c>
      <c r="M731" s="15">
        <f t="shared" si="57"/>
        <v>25.650000000000006</v>
      </c>
      <c r="N731" t="str">
        <f>IF(match_results_2!C731="完全一致","〇","×")</f>
        <v>×</v>
      </c>
      <c r="O731" t="str">
        <f>IF(match_results_2!C731="薬価一致候補","〇","×")</f>
        <v>×</v>
      </c>
      <c r="P731" s="67" t="s">
        <v>4076</v>
      </c>
      <c r="Q731" s="68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</v>
      </c>
      <c r="U731" t="str">
        <f>統合マスタ!AA734</f>
        <v>非採用</v>
      </c>
    </row>
    <row r="732" spans="1:21">
      <c r="A732" s="6" t="s">
        <v>1102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IF(match_results_2!C732="完全一致","〇","×")</f>
        <v>〇</v>
      </c>
      <c r="O732" t="str">
        <f>IF(match_results_2!C732="薬価一致候補","〇","×")</f>
        <v>×</v>
      </c>
      <c r="P732" s="60">
        <f>IF(match_results_2!E732="","",match_results_2!E732)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>
        <f>統合マスタ!AA735</f>
        <v>0</v>
      </c>
    </row>
    <row r="733" spans="1:21">
      <c r="A733" s="6" t="s">
        <v>1102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IF(match_results_2!C733="完全一致","〇","×")</f>
        <v>〇</v>
      </c>
      <c r="O733" t="str">
        <f>IF(match_results_2!C733="薬価一致候補","〇","×")</f>
        <v>×</v>
      </c>
      <c r="P733" s="60">
        <f>IF(match_results_2!E733="","",match_results_2!E733)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>
        <f>統合マスタ!AA736</f>
        <v>0</v>
      </c>
    </row>
    <row r="734" spans="1:21">
      <c r="A734" s="6" t="s">
        <v>1103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IF(match_results_2!C734="完全一致","〇","×")</f>
        <v>〇</v>
      </c>
      <c r="O734" t="str">
        <f>IF(match_results_2!C734="薬価一致候補","〇","×")</f>
        <v>×</v>
      </c>
      <c r="P734" s="60">
        <f>IF(match_results_2!E734="","",match_results_2!E734)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>
        <f>統合マスタ!AA737</f>
        <v>0</v>
      </c>
    </row>
    <row r="735" spans="1:21">
      <c r="A735" s="6" t="s">
        <v>1103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IF(match_results_2!C735="完全一致","〇","×")</f>
        <v>〇</v>
      </c>
      <c r="O735" t="str">
        <f>IF(match_results_2!C735="薬価一致候補","〇","×")</f>
        <v>×</v>
      </c>
      <c r="P735" s="60">
        <f>IF(match_results_2!E735="","",match_results_2!E735)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>
        <f>統合マスタ!AA738</f>
        <v>0</v>
      </c>
    </row>
    <row r="736" spans="1:21">
      <c r="A736" s="6" t="s">
        <v>1104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1105</v>
      </c>
      <c r="M736" s="15">
        <f t="shared" si="57"/>
        <v>3.1499999999999986</v>
      </c>
      <c r="N736" t="str">
        <f>IF(match_results_2!C736="完全一致","〇","×")</f>
        <v>〇</v>
      </c>
      <c r="O736" t="str">
        <f>IF(match_results_2!C736="薬価一致候補","〇","×")</f>
        <v>×</v>
      </c>
      <c r="P736" s="60">
        <f>IF(match_results_2!E736="","",match_results_2!E736)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>
        <f>統合マスタ!AA739</f>
        <v>0</v>
      </c>
    </row>
    <row r="737" spans="1:21">
      <c r="A737" s="6" t="s">
        <v>1106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IF(match_results_2!C737="完全一致","〇","×")</f>
        <v>×</v>
      </c>
      <c r="O737" t="str">
        <f>IF(match_results_2!C737="薬価一致候補","〇","×")</f>
        <v>〇</v>
      </c>
      <c r="P737" s="58">
        <f>IF(match_results_2!E737="","",match_results_2!E737)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>
        <f>統合マスタ!AA740</f>
        <v>0</v>
      </c>
    </row>
    <row r="738" spans="1:21">
      <c r="A738" s="6" t="s">
        <v>1107</v>
      </c>
      <c r="B738" s="6" t="s">
        <v>10</v>
      </c>
      <c r="C738" s="7" t="s">
        <v>10</v>
      </c>
      <c r="D738" s="6" t="s">
        <v>1108</v>
      </c>
      <c r="E738" s="6" t="s">
        <v>963</v>
      </c>
      <c r="F738" s="8">
        <v>17611</v>
      </c>
      <c r="G738" s="8">
        <v>17611</v>
      </c>
      <c r="H738" s="9">
        <f t="shared" si="55"/>
        <v>1</v>
      </c>
      <c r="I738" s="7" t="s">
        <v>874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IF(match_results_2!C738="完全一致","〇","×")</f>
        <v>〇</v>
      </c>
      <c r="O738" t="str">
        <f>IF(match_results_2!C738="薬価一致候補","〇","×")</f>
        <v>×</v>
      </c>
      <c r="P738" s="60">
        <f>IF(match_results_2!E738="","",match_results_2!E738)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>
        <f>統合マスタ!AA741</f>
        <v>0</v>
      </c>
    </row>
    <row r="739" spans="1:21">
      <c r="A739" s="6" t="s">
        <v>1109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IF(match_results_2!C739="完全一致","〇","×")</f>
        <v>〇</v>
      </c>
      <c r="O739" t="str">
        <f>IF(match_results_2!C739="薬価一致候補","〇","×")</f>
        <v>×</v>
      </c>
      <c r="P739" s="60">
        <f>IF(match_results_2!E739="","",match_results_2!E739)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>
        <f>統合マスタ!AA742</f>
        <v>0</v>
      </c>
    </row>
    <row r="740" spans="1:21">
      <c r="A740" s="6" t="s">
        <v>1110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IF(match_results_2!C740="完全一致","〇","×")</f>
        <v>〇</v>
      </c>
      <c r="O740" t="str">
        <f>IF(match_results_2!C740="薬価一致候補","〇","×")</f>
        <v>×</v>
      </c>
      <c r="P740" s="60">
        <f>IF(match_results_2!E740="","",match_results_2!E740)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>
        <f>統合マスタ!AA743</f>
        <v>0</v>
      </c>
    </row>
    <row r="741" spans="1:21">
      <c r="A741" s="6" t="s">
        <v>1111</v>
      </c>
      <c r="B741" s="6" t="s">
        <v>90</v>
      </c>
      <c r="C741" s="7" t="s">
        <v>10</v>
      </c>
      <c r="D741" s="6" t="s">
        <v>1112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IF(match_results_2!C741="完全一致","〇","×")</f>
        <v>×</v>
      </c>
      <c r="O741" t="str">
        <f>IF(match_results_2!C741="薬価一致候補","〇","×")</f>
        <v>〇</v>
      </c>
      <c r="P741" s="58">
        <f>IF(match_results_2!E741="","",match_results_2!E741)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>
        <f>統合マスタ!AA744</f>
        <v>0</v>
      </c>
    </row>
    <row r="742" spans="1:21">
      <c r="A742" s="6" t="s">
        <v>1113</v>
      </c>
      <c r="B742" s="6" t="s">
        <v>10</v>
      </c>
      <c r="C742" s="7" t="s">
        <v>10</v>
      </c>
      <c r="D742" s="6" t="s">
        <v>1114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IF(match_results_2!C742="完全一致","〇","×")</f>
        <v>×</v>
      </c>
      <c r="O742" t="str">
        <f>IF(match_results_2!C742="薬価一致候補","〇","×")</f>
        <v>〇</v>
      </c>
      <c r="P742" s="58">
        <f>IF(match_results_2!E742="","",match_results_2!E742)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>
        <f>統合マスタ!AA745</f>
        <v>0</v>
      </c>
    </row>
    <row r="743" spans="1:21">
      <c r="A743" s="6" t="s">
        <v>1115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IF(match_results_2!C743="完全一致","〇","×")</f>
        <v>×</v>
      </c>
      <c r="O743" t="str">
        <f>IF(match_results_2!C743="薬価一致候補","〇","×")</f>
        <v>〇</v>
      </c>
      <c r="P743" s="59">
        <v>633</v>
      </c>
      <c r="Q743" s="51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>
        <f>統合マスタ!AA746</f>
        <v>0</v>
      </c>
    </row>
    <row r="744" spans="1:21">
      <c r="A744" s="6" t="s">
        <v>1116</v>
      </c>
      <c r="B744" s="6" t="s">
        <v>9</v>
      </c>
      <c r="C744" s="7" t="s">
        <v>39</v>
      </c>
      <c r="D744" s="6" t="s">
        <v>1117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IF(match_results_2!C744="完全一致","〇","×")</f>
        <v>×</v>
      </c>
      <c r="O744" t="str">
        <f>IF(match_results_2!C744="薬価一致候補","〇","×")</f>
        <v>〇</v>
      </c>
      <c r="P744" s="58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>
        <f>統合マスタ!AA747</f>
        <v>0</v>
      </c>
    </row>
    <row r="745" spans="1:21">
      <c r="A745" s="6" t="s">
        <v>1116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IF(match_results_2!C745="完全一致","〇","×")</f>
        <v>×</v>
      </c>
      <c r="O745" t="str">
        <f>IF(match_results_2!C745="薬価一致候補","〇","×")</f>
        <v>〇</v>
      </c>
      <c r="P745" s="58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>
        <f>統合マスタ!AA748</f>
        <v>0</v>
      </c>
    </row>
    <row r="746" spans="1:21">
      <c r="A746" s="6" t="s">
        <v>1118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IF(match_results_2!C746="完全一致","〇","×")</f>
        <v>〇</v>
      </c>
      <c r="O746" t="str">
        <f>IF(match_results_2!C746="薬価一致候補","〇","×")</f>
        <v>×</v>
      </c>
      <c r="P746" s="60">
        <f>IF(match_results_2!E746="","",match_results_2!E746)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>
        <f>統合マスタ!AA749</f>
        <v>0</v>
      </c>
    </row>
    <row r="747" spans="1:21">
      <c r="A747" s="6" t="s">
        <v>1119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IF(match_results_2!C747="完全一致","〇","×")</f>
        <v>×</v>
      </c>
      <c r="O747" t="str">
        <f>IF(match_results_2!C747="薬価一致候補","〇","×")</f>
        <v>〇</v>
      </c>
      <c r="P747" s="58">
        <f>IF(match_results_2!E747="","",match_results_2!E747)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>
        <f>統合マスタ!AA750</f>
        <v>0</v>
      </c>
    </row>
    <row r="748" spans="1:21">
      <c r="A748" s="6" t="s">
        <v>1120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IF(match_results_2!C748="完全一致","〇","×")</f>
        <v>〇</v>
      </c>
      <c r="O748" t="str">
        <f>IF(match_results_2!C748="薬価一致候補","〇","×")</f>
        <v>×</v>
      </c>
      <c r="P748" s="60">
        <f>IF(match_results_2!E748="","",match_results_2!E748)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>
        <f>統合マスタ!AA751</f>
        <v>0</v>
      </c>
    </row>
    <row r="749" spans="1:21">
      <c r="A749" s="6" t="s">
        <v>1120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IF(match_results_2!C749="完全一致","〇","×")</f>
        <v>〇</v>
      </c>
      <c r="O749" t="str">
        <f>IF(match_results_2!C749="薬価一致候補","〇","×")</f>
        <v>×</v>
      </c>
      <c r="P749" s="60">
        <f>IF(match_results_2!E749="","",match_results_2!E749)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>
        <f>統合マスタ!AA752</f>
        <v>0</v>
      </c>
    </row>
    <row r="750" spans="1:21">
      <c r="A750" s="6" t="s">
        <v>1121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IF(match_results_2!C750="完全一致","〇","×")</f>
        <v>〇</v>
      </c>
      <c r="O750" t="str">
        <f>IF(match_results_2!C750="薬価一致候補","〇","×")</f>
        <v>×</v>
      </c>
      <c r="P750" s="60">
        <f>IF(match_results_2!E750="","",match_results_2!E750)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>
        <f>統合マスタ!AA753</f>
        <v>0</v>
      </c>
    </row>
    <row r="751" spans="1:21">
      <c r="A751" s="6" t="s">
        <v>1121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IF(match_results_2!C751="完全一致","〇","×")</f>
        <v>〇</v>
      </c>
      <c r="O751" t="str">
        <f>IF(match_results_2!C751="薬価一致候補","〇","×")</f>
        <v>×</v>
      </c>
      <c r="P751" s="60">
        <f>IF(match_results_2!E751="","",match_results_2!E751)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>
        <f>統合マスタ!AA754</f>
        <v>0</v>
      </c>
    </row>
    <row r="752" spans="1:21">
      <c r="A752" s="6" t="s">
        <v>1123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IF(match_results_2!C752="完全一致","〇","×")</f>
        <v>〇</v>
      </c>
      <c r="O752" t="str">
        <f>IF(match_results_2!C752="薬価一致候補","〇","×")</f>
        <v>×</v>
      </c>
      <c r="P752" s="60">
        <f>IF(match_results_2!E752="","",match_results_2!E752)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>
        <f>統合マスタ!AA755</f>
        <v>0</v>
      </c>
    </row>
    <row r="753" spans="1:21">
      <c r="A753" s="6" t="s">
        <v>1122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IF(match_results_2!C753="完全一致","〇","×")</f>
        <v>〇</v>
      </c>
      <c r="O753" t="str">
        <f>IF(match_results_2!C753="薬価一致候補","〇","×")</f>
        <v>×</v>
      </c>
      <c r="P753" s="60">
        <f>IF(match_results_2!E753="","",match_results_2!E753)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>
        <f>統合マスタ!AA756</f>
        <v>0</v>
      </c>
    </row>
    <row r="754" spans="1:21">
      <c r="A754" s="6" t="s">
        <v>1124</v>
      </c>
      <c r="B754" s="6" t="s">
        <v>9</v>
      </c>
      <c r="C754" s="7" t="s">
        <v>39</v>
      </c>
      <c r="D754" s="6" t="s">
        <v>36</v>
      </c>
      <c r="E754" s="6" t="s">
        <v>1125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IF(match_results_2!C754="完全一致","〇","×")</f>
        <v>〇</v>
      </c>
      <c r="O754" t="str">
        <f>IF(match_results_2!C754="薬価一致候補","〇","×")</f>
        <v>×</v>
      </c>
      <c r="P754" s="60">
        <f>IF(match_results_2!E754="","",match_results_2!E754)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>
        <f>統合マスタ!AA757</f>
        <v>0</v>
      </c>
    </row>
    <row r="755" spans="1:21">
      <c r="A755" s="6" t="s">
        <v>1124</v>
      </c>
      <c r="B755" s="6" t="s">
        <v>9</v>
      </c>
      <c r="C755" s="7" t="s">
        <v>67</v>
      </c>
      <c r="D755" s="6" t="s">
        <v>132</v>
      </c>
      <c r="E755" s="6" t="s">
        <v>1125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IF(match_results_2!C755="完全一致","〇","×")</f>
        <v>〇</v>
      </c>
      <c r="O755" t="str">
        <f>IF(match_results_2!C755="薬価一致候補","〇","×")</f>
        <v>×</v>
      </c>
      <c r="P755" s="60">
        <f>IF(match_results_2!E755="","",match_results_2!E755)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>
        <f>統合マスタ!AA758</f>
        <v>0</v>
      </c>
    </row>
    <row r="756" spans="1:21">
      <c r="A756" s="6" t="s">
        <v>1126</v>
      </c>
      <c r="B756" s="6" t="s">
        <v>9</v>
      </c>
      <c r="C756" s="7" t="s">
        <v>39</v>
      </c>
      <c r="D756" s="6" t="s">
        <v>36</v>
      </c>
      <c r="E756" s="6" t="s">
        <v>1125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IF(match_results_2!C756="完全一致","〇","×")</f>
        <v>〇</v>
      </c>
      <c r="O756" t="str">
        <f>IF(match_results_2!C756="薬価一致候補","〇","×")</f>
        <v>×</v>
      </c>
      <c r="P756" s="60">
        <f>IF(match_results_2!E756="","",match_results_2!E756)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>
        <f>統合マスタ!AA759</f>
        <v>0</v>
      </c>
    </row>
    <row r="757" spans="1:21">
      <c r="A757" s="6" t="s">
        <v>1126</v>
      </c>
      <c r="B757" s="6" t="s">
        <v>9</v>
      </c>
      <c r="C757" s="7" t="s">
        <v>67</v>
      </c>
      <c r="D757" s="6" t="s">
        <v>132</v>
      </c>
      <c r="E757" s="6" t="s">
        <v>1125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IF(match_results_2!C757="完全一致","〇","×")</f>
        <v>〇</v>
      </c>
      <c r="O757" t="str">
        <f>IF(match_results_2!C757="薬価一致候補","〇","×")</f>
        <v>×</v>
      </c>
      <c r="P757" s="60">
        <f>IF(match_results_2!E757="","",match_results_2!E757)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>
        <f>統合マスタ!AA760</f>
        <v>0</v>
      </c>
    </row>
    <row r="758" spans="1:21">
      <c r="A758" s="6" t="s">
        <v>1127</v>
      </c>
      <c r="B758" s="6" t="s">
        <v>9</v>
      </c>
      <c r="C758" s="7" t="s">
        <v>39</v>
      </c>
      <c r="D758" s="6" t="s">
        <v>1128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IF(match_results_2!C758="完全一致","〇","×")</f>
        <v>〇</v>
      </c>
      <c r="O758" t="str">
        <f>IF(match_results_2!C758="薬価一致候補","〇","×")</f>
        <v>×</v>
      </c>
      <c r="P758" s="60">
        <f>IF(match_results_2!E758="","",match_results_2!E758)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>
        <f>統合マスタ!AA761</f>
        <v>0</v>
      </c>
    </row>
    <row r="759" spans="1:21">
      <c r="A759" s="6" t="s">
        <v>1127</v>
      </c>
      <c r="B759" s="6" t="s">
        <v>9</v>
      </c>
      <c r="C759" s="7" t="s">
        <v>67</v>
      </c>
      <c r="D759" s="6" t="s">
        <v>1129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IF(match_results_2!C759="完全一致","〇","×")</f>
        <v>〇</v>
      </c>
      <c r="O759" t="str">
        <f>IF(match_results_2!C759="薬価一致候補","〇","×")</f>
        <v>×</v>
      </c>
      <c r="P759" s="60">
        <f>IF(match_results_2!E759="","",match_results_2!E759)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>
        <f>統合マスタ!AA762</f>
        <v>0</v>
      </c>
    </row>
    <row r="760" spans="1:21">
      <c r="A760" s="6" t="s">
        <v>1130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IF(match_results_2!C760="完全一致","〇","×")</f>
        <v>×</v>
      </c>
      <c r="O760" t="str">
        <f>IF(match_results_2!C760="薬価一致候補","〇","×")</f>
        <v>〇</v>
      </c>
      <c r="P760" s="59">
        <v>646</v>
      </c>
      <c r="Q760" s="51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>
        <f>統合マスタ!AA763</f>
        <v>0</v>
      </c>
    </row>
    <row r="761" spans="1:21">
      <c r="A761" s="6" t="s">
        <v>1131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IF(match_results_2!C761="完全一致","〇","×")</f>
        <v>〇</v>
      </c>
      <c r="O761" t="str">
        <f>IF(match_results_2!C761="薬価一致候補","〇","×")</f>
        <v>×</v>
      </c>
      <c r="P761" s="60">
        <f>IF(match_results_2!E761="","",match_results_2!E761)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>
        <f>統合マスタ!AA764</f>
        <v>0</v>
      </c>
    </row>
    <row r="762" spans="1:21">
      <c r="A762" s="6" t="s">
        <v>1132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IF(match_results_2!C762="完全一致","〇","×")</f>
        <v>〇</v>
      </c>
      <c r="O762" t="str">
        <f>IF(match_results_2!C762="薬価一致候補","〇","×")</f>
        <v>×</v>
      </c>
      <c r="P762" s="60">
        <f>IF(match_results_2!E762="","",match_results_2!E762)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>
        <f>統合マスタ!AA765</f>
        <v>0</v>
      </c>
    </row>
    <row r="763" spans="1:21">
      <c r="A763" s="6" t="s">
        <v>1133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IF(match_results_2!C763="完全一致","〇","×")</f>
        <v>〇</v>
      </c>
      <c r="O763" t="str">
        <f>IF(match_results_2!C763="薬価一致候補","〇","×")</f>
        <v>×</v>
      </c>
      <c r="P763" s="60">
        <f>IF(match_results_2!E763="","",match_results_2!E763)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>
        <f>統合マスタ!AA766</f>
        <v>0</v>
      </c>
    </row>
    <row r="764" spans="1:21">
      <c r="A764" s="6" t="s">
        <v>1133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IF(match_results_2!C764="完全一致","〇","×")</f>
        <v>〇</v>
      </c>
      <c r="O764" t="str">
        <f>IF(match_results_2!C764="薬価一致候補","〇","×")</f>
        <v>×</v>
      </c>
      <c r="P764" s="60">
        <f>IF(match_results_2!E764="","",match_results_2!E764)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>
        <f>統合マスタ!AA767</f>
        <v>0</v>
      </c>
    </row>
    <row r="765" spans="1:21">
      <c r="A765" s="6" t="s">
        <v>1134</v>
      </c>
      <c r="B765" s="6" t="s">
        <v>114</v>
      </c>
      <c r="C765" s="7" t="s">
        <v>14</v>
      </c>
      <c r="D765" s="6" t="s">
        <v>1135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IF(match_results_2!C765="完全一致","〇","×")</f>
        <v>〇</v>
      </c>
      <c r="O765" t="str">
        <f>IF(match_results_2!C765="薬価一致候補","〇","×")</f>
        <v>×</v>
      </c>
      <c r="P765" s="60">
        <f>IF(match_results_2!E765="","",match_results_2!E765)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>
        <f>統合マスタ!AA768</f>
        <v>0</v>
      </c>
    </row>
    <row r="766" spans="1:21">
      <c r="A766" s="6" t="s">
        <v>1136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IF(match_results_2!C766="完全一致","〇","×")</f>
        <v>〇</v>
      </c>
      <c r="O766" t="str">
        <f>IF(match_results_2!C766="薬価一致候補","〇","×")</f>
        <v>×</v>
      </c>
      <c r="P766" s="60">
        <f>IF(match_results_2!E766="","",match_results_2!E766)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>
        <f>統合マスタ!AA769</f>
        <v>0</v>
      </c>
    </row>
    <row r="767" spans="1:21">
      <c r="A767" s="6" t="s">
        <v>1136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IF(match_results_2!C767="完全一致","〇","×")</f>
        <v>〇</v>
      </c>
      <c r="O767" t="str">
        <f>IF(match_results_2!C767="薬価一致候補","〇","×")</f>
        <v>×</v>
      </c>
      <c r="P767" s="60">
        <f>IF(match_results_2!E767="","",match_results_2!E767)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>
        <f>統合マスタ!AA770</f>
        <v>0</v>
      </c>
    </row>
    <row r="768" spans="1:21">
      <c r="A768" s="6" t="s">
        <v>1137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IF(match_results_2!C768="完全一致","〇","×")</f>
        <v>〇</v>
      </c>
      <c r="O768" t="str">
        <f>IF(match_results_2!C768="薬価一致候補","〇","×")</f>
        <v>×</v>
      </c>
      <c r="P768" s="60">
        <f>IF(match_results_2!E768="","",match_results_2!E768)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>
        <f>統合マスタ!AA771</f>
        <v>0</v>
      </c>
    </row>
    <row r="769" spans="1:21">
      <c r="A769" s="6" t="s">
        <v>1138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IF(match_results_2!C769="完全一致","〇","×")</f>
        <v>〇</v>
      </c>
      <c r="O769" t="str">
        <f>IF(match_results_2!C769="薬価一致候補","〇","×")</f>
        <v>×</v>
      </c>
      <c r="P769" s="60">
        <f>IF(match_results_2!E769="","",match_results_2!E769)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>
        <f>統合マスタ!AA772</f>
        <v>0</v>
      </c>
    </row>
    <row r="770" spans="1:21">
      <c r="A770" s="6" t="s">
        <v>1139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IF(match_results_2!C770="完全一致","〇","×")</f>
        <v>〇</v>
      </c>
      <c r="O770" t="str">
        <f>IF(match_results_2!C770="薬価一致候補","〇","×")</f>
        <v>×</v>
      </c>
      <c r="P770" s="60">
        <f>IF(match_results_2!E770="","",match_results_2!E770)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>
        <f>統合マスタ!AA773</f>
        <v>0</v>
      </c>
    </row>
    <row r="771" spans="1:21">
      <c r="A771" s="6" t="s">
        <v>1140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IF(match_results_2!C771="完全一致","〇","×")</f>
        <v>〇</v>
      </c>
      <c r="O771" t="str">
        <f>IF(match_results_2!C771="薬価一致候補","〇","×")</f>
        <v>×</v>
      </c>
      <c r="P771" s="60">
        <f>IF(match_results_2!E771="","",match_results_2!E771)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>
        <f>統合マスタ!AA774</f>
        <v>0</v>
      </c>
    </row>
    <row r="772" spans="1:21">
      <c r="A772" s="6" t="s">
        <v>1141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IF(match_results_2!C772="完全一致","〇","×")</f>
        <v>〇</v>
      </c>
      <c r="O772" t="str">
        <f>IF(match_results_2!C772="薬価一致候補","〇","×")</f>
        <v>×</v>
      </c>
      <c r="P772" s="60">
        <f>IF(match_results_2!E772="","",match_results_2!E772)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>
        <f>統合マスタ!AA775</f>
        <v>0</v>
      </c>
    </row>
    <row r="773" spans="1:21">
      <c r="A773" s="6" t="s">
        <v>1142</v>
      </c>
      <c r="B773" s="6" t="s">
        <v>9</v>
      </c>
      <c r="C773" s="7" t="s">
        <v>10</v>
      </c>
      <c r="D773" s="6" t="s">
        <v>1143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IF(match_results_2!C773="完全一致","〇","×")</f>
        <v>×</v>
      </c>
      <c r="O773" t="str">
        <f>IF(match_results_2!C773="薬価一致候補","〇","×")</f>
        <v>〇</v>
      </c>
      <c r="P773" s="58">
        <f>IF(match_results_2!E773="","",match_results_2!E773)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>
        <f>統合マスタ!AA776</f>
        <v>0</v>
      </c>
    </row>
    <row r="774" spans="1:21">
      <c r="A774" s="6" t="s">
        <v>1144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IF(match_results_2!C774="完全一致","〇","×")</f>
        <v>〇</v>
      </c>
      <c r="O774" t="str">
        <f>IF(match_results_2!C774="薬価一致候補","〇","×")</f>
        <v>×</v>
      </c>
      <c r="P774" s="60">
        <f>IF(match_results_2!E774="","",match_results_2!E774)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>
        <f>統合マスタ!AA777</f>
        <v>0</v>
      </c>
    </row>
    <row r="775" spans="1:21">
      <c r="A775" s="6" t="s">
        <v>1145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1003</v>
      </c>
      <c r="M775" s="15">
        <f t="shared" si="62"/>
        <v>41.599999999999966</v>
      </c>
      <c r="N775" t="str">
        <f>IF(match_results_2!C775="完全一致","〇","×")</f>
        <v>〇</v>
      </c>
      <c r="O775" t="str">
        <f>IF(match_results_2!C775="薬価一致候補","〇","×")</f>
        <v>×</v>
      </c>
      <c r="P775" s="60">
        <f>IF(match_results_2!E775="","",match_results_2!E775)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>
        <f>統合マスタ!AA778</f>
        <v>0</v>
      </c>
    </row>
    <row r="776" spans="1:21">
      <c r="A776" s="6" t="s">
        <v>1146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IF(match_results_2!C776="完全一致","〇","×")</f>
        <v>〇</v>
      </c>
      <c r="O776" t="str">
        <f>IF(match_results_2!C776="薬価一致候補","〇","×")</f>
        <v>×</v>
      </c>
      <c r="P776" s="60">
        <f>IF(match_results_2!E776="","",match_results_2!E776)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>
        <f>統合マスタ!AA779</f>
        <v>0</v>
      </c>
    </row>
    <row r="777" spans="1:21">
      <c r="A777" s="6" t="s">
        <v>1147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IF(match_results_2!C777="完全一致","〇","×")</f>
        <v>〇</v>
      </c>
      <c r="O777" t="str">
        <f>IF(match_results_2!C777="薬価一致候補","〇","×")</f>
        <v>×</v>
      </c>
      <c r="P777" s="60">
        <f>IF(match_results_2!E777="","",match_results_2!E777)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>
        <f>統合マスタ!AA780</f>
        <v>0</v>
      </c>
    </row>
    <row r="778" spans="1:21">
      <c r="A778" s="52" t="s">
        <v>1148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IF(match_results_2!C778="完全一致","〇","×")</f>
        <v>×</v>
      </c>
      <c r="O778" t="str">
        <f>IF(match_results_2!C778="薬価一致候補","〇","×")</f>
        <v>×</v>
      </c>
      <c r="Q778" t="str">
        <f ca="1">OFFSET(マスタ非採用削除!$C$4,元データ!P778,0)</f>
        <v>名称</v>
      </c>
      <c r="R778">
        <f t="shared" si="64"/>
        <v>777</v>
      </c>
      <c r="S778" t="str">
        <f t="shared" si="63"/>
        <v>ロイコボリン注3ｍｇ</v>
      </c>
      <c r="T778">
        <v>0</v>
      </c>
      <c r="U778">
        <f>統合マスタ!AA781</f>
        <v>0</v>
      </c>
    </row>
    <row r="779" spans="1:21">
      <c r="A779" s="6" t="s">
        <v>1149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IF(match_results_2!C779="完全一致","〇","×")</f>
        <v>〇</v>
      </c>
      <c r="O779" t="str">
        <f>IF(match_results_2!C779="薬価一致候補","〇","×")</f>
        <v>×</v>
      </c>
      <c r="P779" s="60">
        <f>IF(match_results_2!E779="","",match_results_2!E779)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>
        <f>統合マスタ!AA782</f>
        <v>0</v>
      </c>
    </row>
    <row r="780" spans="1:21">
      <c r="A780" s="6" t="s">
        <v>1150</v>
      </c>
      <c r="B780" s="6" t="s">
        <v>9</v>
      </c>
      <c r="C780" s="7" t="s">
        <v>10</v>
      </c>
      <c r="D780" s="6" t="s">
        <v>1151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IF(match_results_2!C780="完全一致","〇","×")</f>
        <v>〇</v>
      </c>
      <c r="O780" t="str">
        <f>IF(match_results_2!C780="薬価一致候補","〇","×")</f>
        <v>×</v>
      </c>
      <c r="P780" s="60">
        <f>IF(match_results_2!E780="","",match_results_2!E780)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>
        <f>統合マスタ!AA783</f>
        <v>0</v>
      </c>
    </row>
    <row r="781" spans="1:21">
      <c r="A781" s="6" t="s">
        <v>1152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IF(match_results_2!C781="完全一致","〇","×")</f>
        <v>〇</v>
      </c>
      <c r="O781" t="str">
        <f>IF(match_results_2!C781="薬価一致候補","〇","×")</f>
        <v>×</v>
      </c>
      <c r="P781" s="60">
        <f>IF(match_results_2!E781="","",match_results_2!E781)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>
        <f>統合マスタ!AA784</f>
        <v>0</v>
      </c>
    </row>
    <row r="782" spans="1:21">
      <c r="A782" s="6" t="s">
        <v>1152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IF(match_results_2!C782="完全一致","〇","×")</f>
        <v>〇</v>
      </c>
      <c r="O782" t="str">
        <f>IF(match_results_2!C782="薬価一致候補","〇","×")</f>
        <v>×</v>
      </c>
      <c r="P782" s="60">
        <f>IF(match_results_2!E782="","",match_results_2!E782)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>
        <f>統合マスタ!AA785</f>
        <v>0</v>
      </c>
    </row>
    <row r="783" spans="1:21">
      <c r="A783" s="6" t="s">
        <v>1153</v>
      </c>
      <c r="B783" s="6" t="s">
        <v>44</v>
      </c>
      <c r="C783" s="7" t="s">
        <v>14</v>
      </c>
      <c r="D783" s="6" t="s">
        <v>1154</v>
      </c>
      <c r="E783" s="6" t="s">
        <v>1155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IF(match_results_2!C783="完全一致","〇","×")</f>
        <v>〇</v>
      </c>
      <c r="O783" t="str">
        <f>IF(match_results_2!C783="薬価一致候補","〇","×")</f>
        <v>×</v>
      </c>
      <c r="P783" s="60">
        <f>IF(match_results_2!E783="","",match_results_2!E783)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>
        <f>統合マスタ!AA786</f>
        <v>0</v>
      </c>
    </row>
    <row r="784" spans="1:21">
      <c r="A784" s="6" t="s">
        <v>1156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IF(match_results_2!C784="完全一致","〇","×")</f>
        <v>〇</v>
      </c>
      <c r="O784" t="str">
        <f>IF(match_results_2!C784="薬価一致候補","〇","×")</f>
        <v>×</v>
      </c>
      <c r="P784" s="60">
        <f>IF(match_results_2!E784="","",match_results_2!E784)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>
        <f>統合マスタ!AA787</f>
        <v>0</v>
      </c>
    </row>
    <row r="785" spans="1:21">
      <c r="A785" s="6" t="s">
        <v>1157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IF(match_results_2!C785="完全一致","〇","×")</f>
        <v>〇</v>
      </c>
      <c r="O785" t="str">
        <f>IF(match_results_2!C785="薬価一致候補","〇","×")</f>
        <v>×</v>
      </c>
      <c r="P785" s="60">
        <f>IF(match_results_2!E785="","",match_results_2!E785)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>
        <f>統合マスタ!AA788</f>
        <v>0</v>
      </c>
    </row>
    <row r="786" spans="1:21">
      <c r="A786" s="6" t="s">
        <v>1157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IF(match_results_2!C786="完全一致","〇","×")</f>
        <v>〇</v>
      </c>
      <c r="O786" t="str">
        <f>IF(match_results_2!C786="薬価一致候補","〇","×")</f>
        <v>×</v>
      </c>
      <c r="P786" s="60">
        <f>IF(match_results_2!E786="","",match_results_2!E786)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>
        <f>統合マスタ!AA789</f>
        <v>0</v>
      </c>
    </row>
    <row r="787" spans="1:21">
      <c r="A787" s="6" t="s">
        <v>1158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IF(match_results_2!C787="完全一致","〇","×")</f>
        <v>〇</v>
      </c>
      <c r="O787" t="str">
        <f>IF(match_results_2!C787="薬価一致候補","〇","×")</f>
        <v>×</v>
      </c>
      <c r="P787" s="60">
        <f>IF(match_results_2!E787="","",match_results_2!E787)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>
        <f>統合マスタ!AA790</f>
        <v>0</v>
      </c>
    </row>
    <row r="788" spans="1:21">
      <c r="A788" s="6" t="s">
        <v>1159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IF(match_results_2!C788="完全一致","〇","×")</f>
        <v>〇</v>
      </c>
      <c r="O788" t="str">
        <f>IF(match_results_2!C788="薬価一致候補","〇","×")</f>
        <v>×</v>
      </c>
      <c r="P788" s="60">
        <f>IF(match_results_2!E788="","",match_results_2!E788)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>
        <f>統合マスタ!AA791</f>
        <v>0</v>
      </c>
    </row>
    <row r="789" spans="1:21">
      <c r="A789" s="6" t="s">
        <v>1160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IF(match_results_2!C789="完全一致","〇","×")</f>
        <v>〇</v>
      </c>
      <c r="O789" t="str">
        <f>IF(match_results_2!C789="薬価一致候補","〇","×")</f>
        <v>×</v>
      </c>
      <c r="P789" s="60">
        <f>IF(match_results_2!E789="","",match_results_2!E789)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>
        <f>統合マスタ!AA792</f>
        <v>0</v>
      </c>
    </row>
    <row r="790" spans="1:21">
      <c r="A790" s="6" t="s">
        <v>1160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IF(match_results_2!C790="完全一致","〇","×")</f>
        <v>〇</v>
      </c>
      <c r="O790" t="str">
        <f>IF(match_results_2!C790="薬価一致候補","〇","×")</f>
        <v>×</v>
      </c>
      <c r="P790" s="60">
        <f>IF(match_results_2!E790="","",match_results_2!E790)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>
        <f>統合マスタ!AA793</f>
        <v>0</v>
      </c>
    </row>
    <row r="791" spans="1:21">
      <c r="A791" s="6" t="s">
        <v>1161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IF(match_results_2!C791="完全一致","〇","×")</f>
        <v>〇</v>
      </c>
      <c r="O791" t="str">
        <f>IF(match_results_2!C791="薬価一致候補","〇","×")</f>
        <v>×</v>
      </c>
      <c r="P791" s="60">
        <f>IF(match_results_2!E791="","",match_results_2!E791)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>
        <f>統合マスタ!AA794</f>
        <v>0</v>
      </c>
    </row>
    <row r="792" spans="1:21">
      <c r="A792" s="6" t="s">
        <v>1161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IF(match_results_2!C792="完全一致","〇","×")</f>
        <v>〇</v>
      </c>
      <c r="O792" t="str">
        <f>IF(match_results_2!C792="薬価一致候補","〇","×")</f>
        <v>×</v>
      </c>
      <c r="P792" s="60">
        <f>IF(match_results_2!E792="","",match_results_2!E792)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>
        <f>統合マスタ!AA795</f>
        <v>0</v>
      </c>
    </row>
    <row r="793" spans="1:21">
      <c r="A793" s="6" t="s">
        <v>1162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IF(match_results_2!C793="完全一致","〇","×")</f>
        <v>〇</v>
      </c>
      <c r="O793" t="str">
        <f>IF(match_results_2!C793="薬価一致候補","〇","×")</f>
        <v>×</v>
      </c>
      <c r="P793" s="60">
        <f>IF(match_results_2!E793="","",match_results_2!E793)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>
        <f>統合マスタ!AA796</f>
        <v>0</v>
      </c>
    </row>
    <row r="794" spans="1:21">
      <c r="A794" s="6" t="s">
        <v>1163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IF(match_results_2!C794="完全一致","〇","×")</f>
        <v>〇</v>
      </c>
      <c r="O794" t="str">
        <f>IF(match_results_2!C794="薬価一致候補","〇","×")</f>
        <v>×</v>
      </c>
      <c r="P794" s="60">
        <f>IF(match_results_2!E794="","",match_results_2!E794)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>
        <f>統合マスタ!AA797</f>
        <v>0</v>
      </c>
    </row>
    <row r="795" spans="1:21">
      <c r="A795" s="6" t="s">
        <v>1164</v>
      </c>
      <c r="B795" s="6" t="s">
        <v>90</v>
      </c>
      <c r="C795" s="7" t="s">
        <v>39</v>
      </c>
      <c r="D795" s="6" t="s">
        <v>1165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IF(match_results_2!C795="完全一致","〇","×")</f>
        <v>〇</v>
      </c>
      <c r="O795" t="str">
        <f>IF(match_results_2!C795="薬価一致候補","〇","×")</f>
        <v>×</v>
      </c>
      <c r="P795" s="60">
        <f>IF(match_results_2!E795="","",match_results_2!E795)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>
        <f>統合マスタ!AA798</f>
        <v>0</v>
      </c>
    </row>
    <row r="796" spans="1:21">
      <c r="A796" s="6" t="s">
        <v>1166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IF(match_results_2!C796="完全一致","〇","×")</f>
        <v>〇</v>
      </c>
      <c r="O796" t="str">
        <f>IF(match_results_2!C796="薬価一致候補","〇","×")</f>
        <v>×</v>
      </c>
      <c r="P796" s="60">
        <f>IF(match_results_2!E796="","",match_results_2!E796)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>
        <f>統合マスタ!AA799</f>
        <v>0</v>
      </c>
    </row>
    <row r="797" spans="1:21">
      <c r="A797" s="6" t="s">
        <v>1167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IF(match_results_2!C797="完全一致","〇","×")</f>
        <v>×</v>
      </c>
      <c r="O797" t="str">
        <f>IF(match_results_2!C797="薬価一致候補","〇","×")</f>
        <v>〇</v>
      </c>
      <c r="P797" s="59">
        <v>677</v>
      </c>
      <c r="Q797" s="51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>
        <f>統合マスタ!AA800</f>
        <v>0</v>
      </c>
    </row>
    <row r="798" spans="1:21">
      <c r="A798" s="6" t="s">
        <v>1167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IF(match_results_2!C798="完全一致","〇","×")</f>
        <v>×</v>
      </c>
      <c r="O798" t="str">
        <f>IF(match_results_2!C798="薬価一致候補","〇","×")</f>
        <v>〇</v>
      </c>
      <c r="P798" s="59">
        <v>677</v>
      </c>
      <c r="Q798" s="51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>
        <f>統合マスタ!AA801</f>
        <v>0</v>
      </c>
    </row>
    <row r="799" spans="1:21">
      <c r="A799" s="6" t="s">
        <v>1168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IF(match_results_2!C799="完全一致","〇","×")</f>
        <v>〇</v>
      </c>
      <c r="O799" t="str">
        <f>IF(match_results_2!C799="薬価一致候補","〇","×")</f>
        <v>×</v>
      </c>
      <c r="P799" s="60">
        <f>IF(match_results_2!E799="","",match_results_2!E799)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>
        <f>統合マスタ!AA802</f>
        <v>0</v>
      </c>
    </row>
    <row r="800" spans="1:21">
      <c r="A800" s="6" t="s">
        <v>1169</v>
      </c>
      <c r="B800" s="6" t="s">
        <v>10</v>
      </c>
      <c r="C800" s="7" t="s">
        <v>10</v>
      </c>
      <c r="D800" s="6" t="s">
        <v>1170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IF(match_results_2!C800="完全一致","〇","×")</f>
        <v>×</v>
      </c>
      <c r="O800" t="str">
        <f>IF(match_results_2!C800="薬価一致候補","〇","×")</f>
        <v>〇</v>
      </c>
      <c r="P800" s="59">
        <v>678</v>
      </c>
      <c r="Q800" s="51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>
        <f>統合マスタ!AA803</f>
        <v>0</v>
      </c>
    </row>
    <row r="801" spans="1:21">
      <c r="A801" s="6" t="s">
        <v>1171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IF(match_results_2!C801="完全一致","〇","×")</f>
        <v>〇</v>
      </c>
      <c r="O801" t="str">
        <f>IF(match_results_2!C801="薬価一致候補","〇","×")</f>
        <v>×</v>
      </c>
      <c r="P801" s="60">
        <f>IF(match_results_2!E801="","",match_results_2!E801)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>
        <f>統合マスタ!AA804</f>
        <v>0</v>
      </c>
    </row>
    <row r="802" spans="1:21">
      <c r="A802" s="6" t="s">
        <v>1172</v>
      </c>
      <c r="B802" s="6" t="s">
        <v>90</v>
      </c>
      <c r="C802" s="7" t="s">
        <v>10</v>
      </c>
      <c r="D802" s="6" t="s">
        <v>1173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IF(match_results_2!C802="完全一致","〇","×")</f>
        <v>〇</v>
      </c>
      <c r="O802" t="str">
        <f>IF(match_results_2!C802="薬価一致候補","〇","×")</f>
        <v>×</v>
      </c>
      <c r="P802" s="60">
        <f>IF(match_results_2!E802="","",match_results_2!E802)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>
        <f>統合マスタ!AA805</f>
        <v>0</v>
      </c>
    </row>
    <row r="803" spans="1:21">
      <c r="A803" s="6" t="s">
        <v>1174</v>
      </c>
      <c r="B803" s="6" t="s">
        <v>90</v>
      </c>
      <c r="C803" s="7" t="s">
        <v>10</v>
      </c>
      <c r="D803" s="6" t="s">
        <v>1175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IF(match_results_2!C803="完全一致","〇","×")</f>
        <v>×</v>
      </c>
      <c r="O803" t="str">
        <f>IF(match_results_2!C803="薬価一致候補","〇","×")</f>
        <v>〇</v>
      </c>
      <c r="P803" s="58">
        <f>IF(match_results_2!E803="","",match_results_2!E803)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>
        <f>統合マスタ!AA806</f>
        <v>0</v>
      </c>
    </row>
    <row r="804" spans="1:21">
      <c r="A804" s="6" t="s">
        <v>1176</v>
      </c>
      <c r="B804" s="6" t="s">
        <v>90</v>
      </c>
      <c r="C804" s="7" t="s">
        <v>10</v>
      </c>
      <c r="D804" s="6" t="s">
        <v>1177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IF(match_results_2!C804="完全一致","〇","×")</f>
        <v>×</v>
      </c>
      <c r="O804" t="str">
        <f>IF(match_results_2!C804="薬価一致候補","〇","×")</f>
        <v>〇</v>
      </c>
      <c r="P804" s="58">
        <f>IF(match_results_2!E804="","",match_results_2!E804)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>
        <f>統合マスタ!AA807</f>
        <v>0</v>
      </c>
    </row>
    <row r="805" spans="1:21">
      <c r="A805" s="6" t="s">
        <v>1227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IF(match_results_2!C805="完全一致","〇","×")</f>
        <v>×</v>
      </c>
      <c r="O805" t="str">
        <f>IF(match_results_2!C805="薬価一致候補","〇","×")</f>
        <v>〇</v>
      </c>
      <c r="P805" s="59">
        <v>1</v>
      </c>
      <c r="Q805" s="51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>
        <f>統合マスタ!AA808</f>
        <v>0</v>
      </c>
    </row>
    <row r="806" spans="1:21">
      <c r="A806" s="6" t="s">
        <v>1178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IF(match_results_2!C806="完全一致","〇","×")</f>
        <v>×</v>
      </c>
      <c r="O806" t="str">
        <f>IF(match_results_2!C806="薬価一致候補","〇","×")</f>
        <v>〇</v>
      </c>
      <c r="P806" s="59">
        <v>96</v>
      </c>
      <c r="Q806" s="51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>
        <f>統合マスタ!AA809</f>
        <v>0</v>
      </c>
    </row>
    <row r="807" spans="1:21">
      <c r="A807" s="6" t="s">
        <v>1179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IF(match_results_2!C807="完全一致","〇","×")</f>
        <v>×</v>
      </c>
      <c r="O807" t="str">
        <f>IF(match_results_2!C807="薬価一致候補","〇","×")</f>
        <v>〇</v>
      </c>
      <c r="P807" s="59">
        <v>97</v>
      </c>
      <c r="Q807" s="51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>
        <f>統合マスタ!AA810</f>
        <v>0</v>
      </c>
    </row>
    <row r="808" spans="1:21">
      <c r="A808" s="6" t="s">
        <v>1180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IF(match_results_2!C808="完全一致","〇","×")</f>
        <v>×</v>
      </c>
      <c r="O808" t="str">
        <f>IF(match_results_2!C808="薬価一致候補","〇","×")</f>
        <v>〇</v>
      </c>
      <c r="Q808" t="str">
        <f ca="1">OFFSET(マスタ非採用削除!$C$4,元データ!P808,0)</f>
        <v>名称</v>
      </c>
      <c r="R808">
        <f t="shared" si="64"/>
        <v>807</v>
      </c>
      <c r="S808" t="str">
        <f t="shared" si="63"/>
        <v>塩酸メトクロプラミド注射液10mg「タカタ」</v>
      </c>
      <c r="T808">
        <v>0</v>
      </c>
      <c r="U808">
        <f>統合マスタ!AA811</f>
        <v>0</v>
      </c>
    </row>
    <row r="809" spans="1:21">
      <c r="A809" s="6" t="s">
        <v>1181</v>
      </c>
      <c r="B809" s="6" t="s">
        <v>9</v>
      </c>
      <c r="C809" s="7" t="s">
        <v>10</v>
      </c>
      <c r="D809" s="6" t="s">
        <v>1182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IF(match_results_2!C809="完全一致","〇","×")</f>
        <v>×</v>
      </c>
      <c r="O809" t="str">
        <f>IF(match_results_2!C809="薬価一致候補","〇","×")</f>
        <v>〇</v>
      </c>
      <c r="Q809" t="str">
        <f ca="1">OFFSET(マスタ非採用削除!$C$4,元データ!P809,0)</f>
        <v>名称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>
        <f>統合マスタ!AA812</f>
        <v>0</v>
      </c>
    </row>
    <row r="810" spans="1:21">
      <c r="A810" s="52" t="s">
        <v>1183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IF(match_results_2!C810="完全一致","〇","×")</f>
        <v>×</v>
      </c>
      <c r="O810" t="str">
        <f>IF(match_results_2!C810="薬価一致候補","〇","×")</f>
        <v>×</v>
      </c>
      <c r="P810" s="60" t="str">
        <f>IF(match_results_2!E810="","",match_results_2!E810)</f>
        <v/>
      </c>
      <c r="Q810" t="e">
        <f ca="1">OFFSET(マスタ非採用削除!$C$4,元データ!P810,0)</f>
        <v>#VALUE!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>
        <f>統合マスタ!AA813</f>
        <v>0</v>
      </c>
    </row>
    <row r="811" spans="1:21">
      <c r="A811" s="6" t="s">
        <v>1184</v>
      </c>
      <c r="B811" s="6" t="s">
        <v>9</v>
      </c>
      <c r="C811" s="7" t="s">
        <v>67</v>
      </c>
      <c r="D811" s="6" t="s">
        <v>1185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IF(match_results_2!C811="完全一致","〇","×")</f>
        <v>〇</v>
      </c>
      <c r="O811" t="str">
        <f>IF(match_results_2!C811="薬価一致候補","〇","×")</f>
        <v>×</v>
      </c>
      <c r="P811" s="60">
        <f>IF(match_results_2!E811="","",match_results_2!E811)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>
        <f>統合マスタ!AA814</f>
        <v>0</v>
      </c>
    </row>
    <row r="812" spans="1:21">
      <c r="A812" s="6" t="s">
        <v>1186</v>
      </c>
      <c r="B812" s="6" t="s">
        <v>44</v>
      </c>
      <c r="C812" s="7" t="s">
        <v>10</v>
      </c>
      <c r="D812" s="6" t="s">
        <v>1187</v>
      </c>
      <c r="E812" s="6" t="s">
        <v>916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IF(match_results_2!C812="完全一致","〇","×")</f>
        <v>×</v>
      </c>
      <c r="O812" t="str">
        <f>IF(match_results_2!C812="薬価一致候補","〇","×")</f>
        <v>〇</v>
      </c>
      <c r="P812" s="58">
        <f>IF(match_results_2!E812="","",match_results_2!E812)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>
        <f>統合マスタ!AA815</f>
        <v>0</v>
      </c>
    </row>
    <row r="813" spans="1:21">
      <c r="A813" s="6" t="s">
        <v>1188</v>
      </c>
      <c r="B813" s="6" t="s">
        <v>9</v>
      </c>
      <c r="C813" s="7" t="s">
        <v>10</v>
      </c>
      <c r="D813" s="6" t="s">
        <v>1189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1190</v>
      </c>
      <c r="M813" s="15">
        <f t="shared" si="62"/>
        <v>45.100000000000023</v>
      </c>
      <c r="N813" t="str">
        <f>IF(match_results_2!C813="完全一致","〇","×")</f>
        <v>×</v>
      </c>
      <c r="O813" t="str">
        <f>IF(match_results_2!C813="薬価一致候補","〇","×")</f>
        <v>〇</v>
      </c>
      <c r="P813" s="58">
        <f>IF(match_results_2!E813="","",match_results_2!E813)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>
        <f>統合マスタ!AA816</f>
        <v>0</v>
      </c>
    </row>
    <row r="814" spans="1:21">
      <c r="A814" s="6" t="s">
        <v>1191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IF(match_results_2!C814="完全一致","〇","×")</f>
        <v>〇</v>
      </c>
      <c r="O814" t="str">
        <f>IF(match_results_2!C814="薬価一致候補","〇","×")</f>
        <v>×</v>
      </c>
      <c r="P814" s="60">
        <f>IF(match_results_2!E814="","",match_results_2!E814)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>
        <f>統合マスタ!AA817</f>
        <v>0</v>
      </c>
    </row>
    <row r="815" spans="1:21">
      <c r="A815" s="6" t="s">
        <v>1192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IF(match_results_2!C815="完全一致","〇","×")</f>
        <v>×</v>
      </c>
      <c r="O815" t="str">
        <f>IF(match_results_2!C815="薬価一致候補","〇","×")</f>
        <v>〇</v>
      </c>
      <c r="Q815" t="str">
        <f ca="1">OFFSET(マスタ非採用削除!$C$4,元データ!P815,0)</f>
        <v>名称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>
        <f>統合マスタ!AA818</f>
        <v>0</v>
      </c>
    </row>
    <row r="816" spans="1:21">
      <c r="A816" s="6" t="s">
        <v>1193</v>
      </c>
      <c r="B816" s="6" t="s">
        <v>44</v>
      </c>
      <c r="C816" s="7" t="s">
        <v>10</v>
      </c>
      <c r="D816" s="6" t="s">
        <v>291</v>
      </c>
      <c r="E816" s="6" t="s">
        <v>1194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IF(match_results_2!C816="完全一致","〇","×")</f>
        <v>×</v>
      </c>
      <c r="O816" t="str">
        <f>IF(match_results_2!C816="薬価一致候補","〇","×")</f>
        <v>〇</v>
      </c>
      <c r="P816" s="58">
        <f>IF(match_results_2!E816="","",match_results_2!E816)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>
        <f>統合マスタ!AA819</f>
        <v>0</v>
      </c>
    </row>
    <row r="817" spans="1:21">
      <c r="A817" s="6" t="s">
        <v>1195</v>
      </c>
      <c r="B817" s="6" t="s">
        <v>9</v>
      </c>
      <c r="C817" s="7" t="s">
        <v>10</v>
      </c>
      <c r="D817" s="6" t="s">
        <v>1196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IF(match_results_2!C817="完全一致","〇","×")</f>
        <v>×</v>
      </c>
      <c r="O817" t="str">
        <f>IF(match_results_2!C817="薬価一致候補","〇","×")</f>
        <v>〇</v>
      </c>
      <c r="P817" s="58">
        <f>IF(match_results_2!E817="","",match_results_2!E817)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>
        <f>統合マスタ!AA820</f>
        <v>0</v>
      </c>
    </row>
    <row r="818" spans="1:21">
      <c r="A818" s="6" t="s">
        <v>1225</v>
      </c>
      <c r="B818" s="6" t="s">
        <v>10</v>
      </c>
      <c r="C818" s="7" t="s">
        <v>10</v>
      </c>
      <c r="D818" s="6" t="s">
        <v>1197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IF(match_results_2!C818="完全一致","〇","×")</f>
        <v>×</v>
      </c>
      <c r="O818" t="str">
        <f>IF(match_results_2!C818="薬価一致候補","〇","×")</f>
        <v>〇</v>
      </c>
      <c r="Q818" t="str">
        <f ca="1">OFFSET(マスタ非採用削除!$C$4,元データ!P818,0)</f>
        <v>名称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>
        <f>統合マスタ!AA821</f>
        <v>0</v>
      </c>
    </row>
    <row r="819" spans="1:21">
      <c r="A819" s="52" t="s">
        <v>1198</v>
      </c>
      <c r="B819" s="6" t="s">
        <v>44</v>
      </c>
      <c r="C819" s="7" t="s">
        <v>10</v>
      </c>
      <c r="D819" s="6" t="s">
        <v>260</v>
      </c>
      <c r="E819" s="6" t="s">
        <v>976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1199</v>
      </c>
      <c r="M819" s="15">
        <f t="shared" si="62"/>
        <v>0.2799999999999998</v>
      </c>
      <c r="N819" t="str">
        <f>IF(match_results_2!C819="完全一致","〇","×")</f>
        <v>×</v>
      </c>
      <c r="O819" t="str">
        <f>IF(match_results_2!C819="薬価一致候補","〇","×")</f>
        <v>×</v>
      </c>
      <c r="Q819" t="str">
        <f ca="1">OFFSET(マスタ非採用削除!$C$4,元データ!P819,0)</f>
        <v>名称</v>
      </c>
      <c r="R819">
        <f t="shared" si="64"/>
        <v>818</v>
      </c>
      <c r="S819" t="str">
        <f t="shared" si="63"/>
        <v>精製水「ケンエー」</v>
      </c>
      <c r="T819">
        <v>0</v>
      </c>
      <c r="U819">
        <f>統合マスタ!AA822</f>
        <v>0</v>
      </c>
    </row>
    <row r="820" spans="1:21">
      <c r="A820" s="52" t="s">
        <v>1200</v>
      </c>
      <c r="B820" s="6" t="s">
        <v>9</v>
      </c>
      <c r="C820" s="7" t="s">
        <v>10</v>
      </c>
      <c r="D820" s="6" t="s">
        <v>1201</v>
      </c>
      <c r="E820" s="6" t="s">
        <v>1155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IF(match_results_2!C820="完全一致","〇","×")</f>
        <v>×</v>
      </c>
      <c r="O820" t="str">
        <f>IF(match_results_2!C820="薬価一致候補","〇","×")</f>
        <v>×</v>
      </c>
      <c r="P820" s="67" t="s">
        <v>4076</v>
      </c>
      <c r="Q820" s="68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</v>
      </c>
      <c r="U820" t="str">
        <f>統合マスタ!AA823</f>
        <v>非採用</v>
      </c>
    </row>
    <row r="821" spans="1:21">
      <c r="A821" s="6" t="s">
        <v>1228</v>
      </c>
      <c r="B821" s="6" t="s">
        <v>10</v>
      </c>
      <c r="C821" s="7" t="s">
        <v>10</v>
      </c>
      <c r="D821" s="6" t="s">
        <v>1202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IF(match_results_2!C821="完全一致","〇","×")</f>
        <v>×</v>
      </c>
      <c r="O821" t="str">
        <f>IF(match_results_2!C821="薬価一致候補","〇","×")</f>
        <v>〇</v>
      </c>
      <c r="Q821" t="str">
        <f ca="1">OFFSET(マスタ非採用削除!$C$4,元データ!P821,0)</f>
        <v>名称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>
        <f>統合マスタ!AA824</f>
        <v>0</v>
      </c>
    </row>
    <row r="822" spans="1:21">
      <c r="A822" s="6" t="s">
        <v>1229</v>
      </c>
      <c r="B822" s="6" t="s">
        <v>9</v>
      </c>
      <c r="C822" s="7" t="s">
        <v>10</v>
      </c>
      <c r="D822" s="6" t="s">
        <v>1203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IF(match_results_2!C822="完全一致","〇","×")</f>
        <v>×</v>
      </c>
      <c r="O822" t="str">
        <f>IF(match_results_2!C822="薬価一致候補","〇","×")</f>
        <v>〇</v>
      </c>
      <c r="Q822" t="str">
        <f ca="1">OFFSET(マスタ非採用削除!$C$4,元データ!P822,0)</f>
        <v>名称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>
        <f>統合マスタ!AA825</f>
        <v>0</v>
      </c>
    </row>
    <row r="823" spans="1:21">
      <c r="A823" s="6" t="s">
        <v>1204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871</v>
      </c>
      <c r="M823" s="15">
        <f t="shared" si="62"/>
        <v>37.5</v>
      </c>
      <c r="N823" t="str">
        <f>IF(match_results_2!C823="完全一致","〇","×")</f>
        <v>×</v>
      </c>
      <c r="O823" t="str">
        <f>IF(match_results_2!C823="薬価一致候補","〇","×")</f>
        <v>〇</v>
      </c>
      <c r="P823" s="58">
        <f>IF(match_results_2!E823="","",match_results_2!E823)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>
        <f>統合マスタ!AA826</f>
        <v>0</v>
      </c>
    </row>
    <row r="824" spans="1:21">
      <c r="A824" s="6" t="s">
        <v>1204</v>
      </c>
      <c r="B824" s="6" t="s">
        <v>71</v>
      </c>
      <c r="C824" s="7" t="s">
        <v>10</v>
      </c>
      <c r="D824" s="6" t="s">
        <v>1205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1206</v>
      </c>
      <c r="J824" s="10">
        <v>1345</v>
      </c>
      <c r="K824" s="11">
        <f t="shared" si="61"/>
        <v>134.5</v>
      </c>
      <c r="L824" s="7" t="s">
        <v>871</v>
      </c>
      <c r="M824" s="15">
        <f t="shared" si="62"/>
        <v>16.5</v>
      </c>
      <c r="N824" t="str">
        <f>IF(match_results_2!C824="完全一致","〇","×")</f>
        <v>×</v>
      </c>
      <c r="O824" t="str">
        <f>IF(match_results_2!C824="薬価一致候補","〇","×")</f>
        <v>〇</v>
      </c>
      <c r="Q824" t="str">
        <f ca="1">OFFSET(マスタ非採用削除!$C$4,元データ!P824,0)</f>
        <v>名称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>
        <f>統合マスタ!AA827</f>
        <v>0</v>
      </c>
    </row>
    <row r="825" spans="1:21">
      <c r="A825" s="6" t="s">
        <v>1207</v>
      </c>
      <c r="B825" s="6" t="s">
        <v>44</v>
      </c>
      <c r="C825" s="7" t="s">
        <v>39</v>
      </c>
      <c r="D825" s="6" t="s">
        <v>1208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IF(match_results_2!C825="完全一致","〇","×")</f>
        <v>〇</v>
      </c>
      <c r="O825" t="str">
        <f>IF(match_results_2!C825="薬価一致候補","〇","×")</f>
        <v>×</v>
      </c>
      <c r="P825" s="60">
        <f>IF(match_results_2!E825="","",match_results_2!E825)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>
        <f>統合マスタ!AA828</f>
        <v>0</v>
      </c>
    </row>
    <row r="826" spans="1:21">
      <c r="A826" s="6" t="s">
        <v>1207</v>
      </c>
      <c r="B826" s="6" t="s">
        <v>10</v>
      </c>
      <c r="C826" s="7" t="s">
        <v>67</v>
      </c>
      <c r="D826" s="6" t="s">
        <v>1209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IF(match_results_2!C826="完全一致","〇","×")</f>
        <v>〇</v>
      </c>
      <c r="O826" t="str">
        <f>IF(match_results_2!C826="薬価一致候補","〇","×")</f>
        <v>×</v>
      </c>
      <c r="P826" s="60">
        <f>IF(match_results_2!E826="","",match_results_2!E826)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>
        <f>統合マスタ!AA829</f>
        <v>0</v>
      </c>
    </row>
    <row r="827" spans="1:21">
      <c r="A827" s="6" t="s">
        <v>1210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IF(match_results_2!C827="完全一致","〇","×")</f>
        <v>〇</v>
      </c>
      <c r="O827" t="str">
        <f>IF(match_results_2!C827="薬価一致候補","〇","×")</f>
        <v>×</v>
      </c>
      <c r="P827" s="60">
        <f>IF(match_results_2!E827="","",match_results_2!E827)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>
        <f>統合マスタ!AA830</f>
        <v>0</v>
      </c>
    </row>
    <row r="828" spans="1:21">
      <c r="A828" s="6" t="s">
        <v>1210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IF(match_results_2!C828="完全一致","〇","×")</f>
        <v>〇</v>
      </c>
      <c r="O828" t="str">
        <f>IF(match_results_2!C828="薬価一致候補","〇","×")</f>
        <v>×</v>
      </c>
      <c r="P828" s="60">
        <f>IF(match_results_2!E828="","",match_results_2!E828)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>
        <f>統合マスタ!AA831</f>
        <v>0</v>
      </c>
    </row>
    <row r="829" spans="1:21">
      <c r="A829" s="6" t="s">
        <v>1211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994</v>
      </c>
      <c r="M829" s="15">
        <f t="shared" si="62"/>
        <v>0.70000000000000018</v>
      </c>
      <c r="N829" t="str">
        <f>IF(match_results_2!C829="完全一致","〇","×")</f>
        <v>×</v>
      </c>
      <c r="O829" t="str">
        <f>IF(match_results_2!C829="薬価一致候補","〇","×")</f>
        <v>〇</v>
      </c>
      <c r="P829" s="59">
        <v>278</v>
      </c>
      <c r="Q829" s="51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>
        <f>統合マスタ!AA832</f>
        <v>0</v>
      </c>
    </row>
    <row r="830" spans="1:21">
      <c r="A830" s="6" t="s">
        <v>1230</v>
      </c>
      <c r="B830" s="6" t="s">
        <v>10</v>
      </c>
      <c r="C830" s="7" t="s">
        <v>10</v>
      </c>
      <c r="D830" s="6" t="s">
        <v>1212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874</v>
      </c>
      <c r="J830" s="12">
        <v>1308</v>
      </c>
      <c r="K830" s="11">
        <f t="shared" si="61"/>
        <v>130.80000000000001</v>
      </c>
      <c r="L830" s="7" t="s">
        <v>1199</v>
      </c>
      <c r="M830" s="15">
        <f t="shared" si="62"/>
        <v>16.199999999999989</v>
      </c>
      <c r="N830" t="str">
        <f>IF(match_results_2!C830="完全一致","〇","×")</f>
        <v>×</v>
      </c>
      <c r="O830" t="str">
        <f>IF(match_results_2!C830="薬価一致候補","〇","×")</f>
        <v>〇</v>
      </c>
      <c r="Q830" t="str">
        <f ca="1">OFFSET(マスタ非採用削除!$C$4,元データ!P830,0)</f>
        <v>名称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>
        <f>統合マスタ!AA833</f>
        <v>0</v>
      </c>
    </row>
    <row r="831" spans="1:21">
      <c r="A831" s="6" t="s">
        <v>1231</v>
      </c>
      <c r="B831" s="6" t="s">
        <v>9</v>
      </c>
      <c r="C831" s="7" t="s">
        <v>10</v>
      </c>
      <c r="D831" s="6" t="s">
        <v>1213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874</v>
      </c>
      <c r="J831" s="10">
        <v>4454</v>
      </c>
      <c r="K831" s="11">
        <f t="shared" si="61"/>
        <v>89.08</v>
      </c>
      <c r="L831" s="7" t="s">
        <v>1199</v>
      </c>
      <c r="M831" s="15">
        <f t="shared" si="62"/>
        <v>10.920000000000002</v>
      </c>
      <c r="N831" t="str">
        <f>IF(match_results_2!C831="完全一致","〇","×")</f>
        <v>×</v>
      </c>
      <c r="O831" t="str">
        <f>IF(match_results_2!C831="薬価一致候補","〇","×")</f>
        <v>〇</v>
      </c>
      <c r="Q831" t="str">
        <f ca="1">OFFSET(マスタ非採用削除!$C$4,元データ!P831,0)</f>
        <v>名称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>
        <f>統合マスタ!AA834</f>
        <v>0</v>
      </c>
    </row>
    <row r="832" spans="1:21">
      <c r="A832" s="6" t="s">
        <v>1214</v>
      </c>
      <c r="B832" s="6" t="s">
        <v>44</v>
      </c>
      <c r="C832" s="7" t="s">
        <v>14</v>
      </c>
      <c r="D832" s="6" t="s">
        <v>135</v>
      </c>
      <c r="E832" s="6" t="s">
        <v>1215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1216</v>
      </c>
      <c r="M832" s="15">
        <f t="shared" si="62"/>
        <v>1.6400000000000006</v>
      </c>
      <c r="N832" t="str">
        <f>IF(match_results_2!C832="完全一致","〇","×")</f>
        <v>×</v>
      </c>
      <c r="O832" t="str">
        <f>IF(match_results_2!C832="薬価一致候補","〇","×")</f>
        <v>〇</v>
      </c>
      <c r="Q832" t="str">
        <f ca="1">OFFSET(マスタ非採用削除!$C$4,元データ!P832,0)</f>
        <v>名称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>
        <f>統合マスタ!AA835</f>
        <v>0</v>
      </c>
    </row>
    <row r="833" spans="1:21">
      <c r="A833" s="6" t="s">
        <v>1217</v>
      </c>
      <c r="B833" s="6" t="s">
        <v>9</v>
      </c>
      <c r="C833" s="7" t="s">
        <v>10</v>
      </c>
      <c r="D833" s="6" t="s">
        <v>1218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IF(match_results_2!C833="完全一致","〇","×")</f>
        <v>〇</v>
      </c>
      <c r="O833" t="str">
        <f>IF(match_results_2!C833="薬価一致候補","〇","×")</f>
        <v>×</v>
      </c>
      <c r="P833" s="60">
        <f>IF(match_results_2!E833="","",match_results_2!E833)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>
        <f>統合マスタ!AA836</f>
        <v>0</v>
      </c>
    </row>
    <row r="834" spans="1:21">
      <c r="A834" s="52" t="s">
        <v>1219</v>
      </c>
      <c r="B834" s="6" t="s">
        <v>44</v>
      </c>
      <c r="C834" s="7" t="s">
        <v>10</v>
      </c>
      <c r="D834" s="6" t="s">
        <v>135</v>
      </c>
      <c r="E834" s="6" t="s">
        <v>1215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IF(match_results_2!C834="完全一致","〇","×")</f>
        <v>×</v>
      </c>
      <c r="O834" t="str">
        <f>IF(match_results_2!C834="薬価一致候補","〇","×")</f>
        <v>×</v>
      </c>
      <c r="Q834" t="str">
        <f ca="1">OFFSET(マスタ非採用削除!$C$4,元データ!P834,0)</f>
        <v>名称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>
        <f>統合マスタ!AA837</f>
        <v>0</v>
      </c>
    </row>
  </sheetData>
  <autoFilter ref="A1:U1" xr:uid="{00000000-0001-0000-0000-000000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BAAF-C699-476E-BC95-A252FAC64151}">
  <dimension ref="A1:R26"/>
  <sheetViews>
    <sheetView workbookViewId="0">
      <selection activeCell="J11" sqref="J11"/>
    </sheetView>
  </sheetViews>
  <sheetFormatPr defaultRowHeight="13.2"/>
  <sheetData>
    <row r="1" spans="1:18" ht="13.8" thickBot="1"/>
    <row r="2" spans="1:18">
      <c r="A2" s="32" t="s">
        <v>4040</v>
      </c>
      <c r="B2" s="32" t="s">
        <v>4043</v>
      </c>
      <c r="E2" s="33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5"/>
    </row>
    <row r="3" spans="1:18">
      <c r="A3">
        <v>1</v>
      </c>
      <c r="B3" t="s">
        <v>1918</v>
      </c>
      <c r="E3" s="36"/>
      <c r="F3" t="s">
        <v>4044</v>
      </c>
      <c r="R3" s="37"/>
    </row>
    <row r="4" spans="1:18">
      <c r="A4">
        <v>2</v>
      </c>
      <c r="B4" t="s">
        <v>835</v>
      </c>
      <c r="E4" s="36"/>
      <c r="F4" t="s">
        <v>4045</v>
      </c>
      <c r="R4" s="37"/>
    </row>
    <row r="5" spans="1:18">
      <c r="A5">
        <v>3</v>
      </c>
      <c r="B5" t="s">
        <v>1941</v>
      </c>
      <c r="E5" s="36"/>
      <c r="F5" t="s">
        <v>4046</v>
      </c>
      <c r="R5" s="37"/>
    </row>
    <row r="6" spans="1:18">
      <c r="A6">
        <v>4</v>
      </c>
      <c r="B6" t="s">
        <v>2202</v>
      </c>
      <c r="E6" s="36"/>
      <c r="R6" s="37"/>
    </row>
    <row r="7" spans="1:18">
      <c r="A7">
        <v>5</v>
      </c>
      <c r="B7" t="s">
        <v>2584</v>
      </c>
      <c r="E7" s="36"/>
      <c r="G7" s="32" t="s">
        <v>4047</v>
      </c>
      <c r="J7" s="32" t="s">
        <v>4048</v>
      </c>
      <c r="M7" s="32" t="s">
        <v>4049</v>
      </c>
      <c r="P7" s="32" t="s">
        <v>4050</v>
      </c>
      <c r="R7" s="37"/>
    </row>
    <row r="8" spans="1:18">
      <c r="A8">
        <v>6</v>
      </c>
      <c r="B8" t="s">
        <v>3015</v>
      </c>
      <c r="E8" s="36"/>
      <c r="G8" s="27" t="s">
        <v>1909</v>
      </c>
      <c r="H8">
        <v>15</v>
      </c>
      <c r="J8" s="27" t="s">
        <v>4048</v>
      </c>
      <c r="K8">
        <v>3</v>
      </c>
      <c r="M8" s="27" t="s">
        <v>4049</v>
      </c>
      <c r="N8">
        <v>1</v>
      </c>
      <c r="P8" s="27" t="s">
        <v>4050</v>
      </c>
      <c r="Q8">
        <v>25</v>
      </c>
      <c r="R8" s="37"/>
    </row>
    <row r="9" spans="1:18">
      <c r="A9">
        <v>7</v>
      </c>
      <c r="B9" t="s">
        <v>2145</v>
      </c>
      <c r="E9" s="36"/>
      <c r="G9" s="27" t="s">
        <v>1901</v>
      </c>
      <c r="H9">
        <v>14</v>
      </c>
      <c r="J9" s="27"/>
      <c r="M9" s="27"/>
      <c r="P9" s="27"/>
      <c r="R9" s="37"/>
    </row>
    <row r="10" spans="1:18">
      <c r="A10">
        <v>8</v>
      </c>
      <c r="B10" t="s">
        <v>2116</v>
      </c>
      <c r="E10" s="36"/>
      <c r="G10" s="27" t="s">
        <v>2116</v>
      </c>
      <c r="H10">
        <v>8</v>
      </c>
      <c r="J10" s="27"/>
      <c r="M10" s="27"/>
      <c r="P10" s="27"/>
      <c r="R10" s="37"/>
    </row>
    <row r="11" spans="1:18">
      <c r="A11">
        <v>9</v>
      </c>
      <c r="B11" t="s">
        <v>3378</v>
      </c>
      <c r="E11" s="36"/>
      <c r="G11" s="27" t="s">
        <v>4051</v>
      </c>
      <c r="H11">
        <v>21</v>
      </c>
      <c r="J11" s="27"/>
      <c r="M11" s="27"/>
      <c r="P11" s="27"/>
      <c r="R11" s="37"/>
    </row>
    <row r="12" spans="1:18">
      <c r="A12">
        <v>10</v>
      </c>
      <c r="B12" t="s">
        <v>1970</v>
      </c>
      <c r="E12" s="36"/>
      <c r="G12" s="27" t="s">
        <v>4052</v>
      </c>
      <c r="H12">
        <v>23</v>
      </c>
      <c r="J12" s="27"/>
      <c r="M12" s="27"/>
      <c r="P12" s="27"/>
      <c r="R12" s="37"/>
    </row>
    <row r="13" spans="1:18">
      <c r="A13">
        <v>11</v>
      </c>
      <c r="B13" t="s">
        <v>2354</v>
      </c>
      <c r="E13" s="36"/>
      <c r="G13" s="27" t="s">
        <v>4053</v>
      </c>
      <c r="H13">
        <v>17</v>
      </c>
      <c r="J13" s="27"/>
      <c r="M13" s="27"/>
      <c r="P13" s="27"/>
      <c r="R13" s="37"/>
    </row>
    <row r="14" spans="1:18">
      <c r="A14">
        <v>12</v>
      </c>
      <c r="B14" t="s">
        <v>2250</v>
      </c>
      <c r="E14" s="36"/>
      <c r="G14" s="27" t="s">
        <v>4054</v>
      </c>
      <c r="H14">
        <v>10</v>
      </c>
      <c r="J14" s="27"/>
      <c r="M14" s="27"/>
      <c r="P14" s="27"/>
      <c r="R14" s="37"/>
    </row>
    <row r="15" spans="1:18">
      <c r="A15">
        <v>13</v>
      </c>
      <c r="B15" t="s">
        <v>2331</v>
      </c>
      <c r="E15" s="36"/>
      <c r="G15" s="27" t="s">
        <v>4055</v>
      </c>
      <c r="H15">
        <v>19</v>
      </c>
      <c r="J15" s="27"/>
      <c r="M15" s="27"/>
      <c r="P15" s="27"/>
      <c r="R15" s="37"/>
    </row>
    <row r="16" spans="1:18" ht="13.8" thickBot="1">
      <c r="A16">
        <v>14</v>
      </c>
      <c r="B16" t="s">
        <v>1901</v>
      </c>
      <c r="E16" s="38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40"/>
    </row>
    <row r="17" spans="1:2">
      <c r="A17">
        <v>15</v>
      </c>
      <c r="B17" t="s">
        <v>1909</v>
      </c>
    </row>
    <row r="18" spans="1:2">
      <c r="A18">
        <v>16</v>
      </c>
      <c r="B18" t="s">
        <v>3387</v>
      </c>
    </row>
    <row r="19" spans="1:2">
      <c r="A19">
        <v>17</v>
      </c>
      <c r="B19" t="s">
        <v>2093</v>
      </c>
    </row>
    <row r="20" spans="1:2">
      <c r="A20">
        <v>18</v>
      </c>
      <c r="B20" t="s">
        <v>2257</v>
      </c>
    </row>
    <row r="21" spans="1:2">
      <c r="A21">
        <v>19</v>
      </c>
      <c r="B21" t="s">
        <v>1982</v>
      </c>
    </row>
    <row r="22" spans="1:2">
      <c r="A22">
        <v>21</v>
      </c>
      <c r="B22" t="s">
        <v>1948</v>
      </c>
    </row>
    <row r="23" spans="1:2">
      <c r="A23">
        <v>22</v>
      </c>
      <c r="B23" t="s">
        <v>2665</v>
      </c>
    </row>
    <row r="24" spans="1:2">
      <c r="A24">
        <v>23</v>
      </c>
      <c r="B24" t="s">
        <v>2363</v>
      </c>
    </row>
    <row r="25" spans="1:2">
      <c r="A25">
        <v>24</v>
      </c>
      <c r="B25" t="s">
        <v>2059</v>
      </c>
    </row>
    <row r="26" spans="1:2">
      <c r="A26">
        <v>25</v>
      </c>
      <c r="B26" t="s">
        <v>1905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1E57-9705-4872-88EF-ABB92F37C8F7}">
  <dimension ref="A1:R51"/>
  <sheetViews>
    <sheetView workbookViewId="0">
      <selection activeCell="D58" sqref="D58"/>
    </sheetView>
  </sheetViews>
  <sheetFormatPr defaultRowHeight="13.2"/>
  <cols>
    <col min="1" max="1" width="4.88671875" customWidth="1"/>
    <col min="2" max="2" width="11.6640625" customWidth="1"/>
    <col min="3" max="3" width="36" customWidth="1"/>
    <col min="4" max="4" width="36.21875" customWidth="1"/>
    <col min="5" max="5" width="9.77734375" style="69" bestFit="1" customWidth="1"/>
    <col min="6" max="6" width="8.5546875" style="69" bestFit="1" customWidth="1"/>
    <col min="7" max="7" width="39.88671875" style="69" bestFit="1" customWidth="1"/>
    <col min="8" max="8" width="9.77734375" style="69" bestFit="1" customWidth="1"/>
    <col min="9" max="9" width="8.5546875" style="69" bestFit="1" customWidth="1"/>
    <col min="10" max="10" width="55.6640625" style="69" bestFit="1" customWidth="1"/>
    <col min="11" max="11" width="9.77734375" style="69" bestFit="1" customWidth="1"/>
    <col min="12" max="12" width="8.5546875" style="69" bestFit="1" customWidth="1"/>
    <col min="13" max="13" width="40.5546875" style="69" bestFit="1" customWidth="1"/>
    <col min="14" max="14" width="9.77734375" style="69" bestFit="1" customWidth="1"/>
    <col min="15" max="15" width="8.5546875" style="69" bestFit="1" customWidth="1"/>
    <col min="16" max="16" width="40.33203125" style="69" bestFit="1" customWidth="1"/>
    <col min="17" max="17" width="9.77734375" style="69" bestFit="1" customWidth="1"/>
    <col min="18" max="18" width="8.5546875" style="69" bestFit="1" customWidth="1"/>
  </cols>
  <sheetData>
    <row r="1" spans="1:18">
      <c r="A1" t="s">
        <v>3776</v>
      </c>
      <c r="C1" t="s">
        <v>3777</v>
      </c>
      <c r="D1" t="s">
        <v>4083</v>
      </c>
      <c r="E1" s="69" t="s">
        <v>4084</v>
      </c>
      <c r="F1" s="69" t="s">
        <v>4085</v>
      </c>
      <c r="G1" s="69" t="s">
        <v>4086</v>
      </c>
      <c r="H1" s="69" t="s">
        <v>4087</v>
      </c>
      <c r="I1" s="69" t="s">
        <v>4088</v>
      </c>
      <c r="J1" s="69" t="s">
        <v>4089</v>
      </c>
      <c r="K1" s="69" t="s">
        <v>4090</v>
      </c>
      <c r="L1" s="69" t="s">
        <v>4091</v>
      </c>
      <c r="M1" s="69" t="s">
        <v>4092</v>
      </c>
      <c r="N1" s="69" t="s">
        <v>4093</v>
      </c>
      <c r="O1" s="69" t="s">
        <v>4094</v>
      </c>
      <c r="P1" s="69" t="s">
        <v>4095</v>
      </c>
      <c r="Q1" s="69" t="s">
        <v>4096</v>
      </c>
      <c r="R1" s="69" t="s">
        <v>4097</v>
      </c>
    </row>
    <row r="2" spans="1:18">
      <c r="A2">
        <v>1</v>
      </c>
      <c r="B2">
        <f>MATCH(C2,統合マスタ!$C$5:$C$836,0)</f>
        <v>41</v>
      </c>
      <c r="C2" t="s">
        <v>3887</v>
      </c>
      <c r="D2" t="s">
        <v>1254</v>
      </c>
      <c r="E2" s="69">
        <v>10</v>
      </c>
      <c r="F2" s="69">
        <v>78.947368421052602</v>
      </c>
      <c r="G2" s="69" t="s">
        <v>1252</v>
      </c>
      <c r="H2" s="69">
        <v>8</v>
      </c>
      <c r="I2" s="69">
        <v>61.538461538461497</v>
      </c>
      <c r="J2" s="69" t="s">
        <v>1583</v>
      </c>
      <c r="K2" s="69">
        <v>370</v>
      </c>
      <c r="L2" s="69">
        <v>57.142857142857103</v>
      </c>
      <c r="M2" s="69" t="s">
        <v>1584</v>
      </c>
      <c r="N2" s="69">
        <v>371</v>
      </c>
      <c r="O2" s="69">
        <v>57.142857142857103</v>
      </c>
      <c r="P2" s="69" t="s">
        <v>1014</v>
      </c>
      <c r="Q2" s="69">
        <v>563</v>
      </c>
      <c r="R2" s="69">
        <v>57.142857142857103</v>
      </c>
    </row>
    <row r="3" spans="1:18">
      <c r="A3">
        <v>3</v>
      </c>
      <c r="B3">
        <f>MATCH(C3,統合マスタ!$C$5:$C$836,0)</f>
        <v>50</v>
      </c>
      <c r="C3" t="s">
        <v>3889</v>
      </c>
      <c r="D3" t="s">
        <v>1261</v>
      </c>
      <c r="E3" s="69">
        <v>17</v>
      </c>
      <c r="F3" s="69">
        <v>35.294117647058798</v>
      </c>
      <c r="G3" s="69" t="s">
        <v>1262</v>
      </c>
      <c r="H3" s="69">
        <v>18</v>
      </c>
      <c r="I3" s="69">
        <v>34.482758620689602</v>
      </c>
      <c r="J3" s="69" t="s">
        <v>4098</v>
      </c>
      <c r="K3" s="69">
        <v>87</v>
      </c>
      <c r="L3" s="69">
        <v>34.285714285714199</v>
      </c>
      <c r="M3" s="69" t="s">
        <v>4099</v>
      </c>
      <c r="N3" s="69">
        <v>88</v>
      </c>
      <c r="O3" s="69">
        <v>34.285714285714199</v>
      </c>
      <c r="P3" s="69" t="s">
        <v>1442</v>
      </c>
      <c r="Q3" s="69">
        <v>209</v>
      </c>
      <c r="R3" s="69">
        <v>32.4324324324324</v>
      </c>
    </row>
    <row r="4" spans="1:18">
      <c r="A4">
        <v>4</v>
      </c>
      <c r="B4">
        <f>MATCH(C4,統合マスタ!$C$5:$C$836,0)</f>
        <v>54</v>
      </c>
      <c r="C4" t="s">
        <v>1264</v>
      </c>
      <c r="D4" t="s">
        <v>1263</v>
      </c>
      <c r="E4" s="69">
        <v>19</v>
      </c>
      <c r="F4" s="69">
        <v>93.75</v>
      </c>
      <c r="G4" s="69" t="s">
        <v>1476</v>
      </c>
      <c r="H4" s="69">
        <v>250</v>
      </c>
      <c r="I4" s="69">
        <v>64.864864864864799</v>
      </c>
      <c r="J4" s="69" t="s">
        <v>1469</v>
      </c>
      <c r="K4" s="69">
        <v>240</v>
      </c>
      <c r="L4" s="69">
        <v>64.705882352941103</v>
      </c>
      <c r="M4" s="69" t="s">
        <v>1363</v>
      </c>
      <c r="N4" s="69">
        <v>121</v>
      </c>
      <c r="O4" s="69">
        <v>58.823529411764703</v>
      </c>
      <c r="P4" s="69" t="s">
        <v>1690</v>
      </c>
      <c r="Q4" s="69">
        <v>488</v>
      </c>
      <c r="R4" s="69">
        <v>58.064516129032199</v>
      </c>
    </row>
    <row r="5" spans="1:18">
      <c r="A5">
        <v>5</v>
      </c>
      <c r="B5">
        <f>MATCH(C5,統合マスタ!$C$5:$C$836,0)</f>
        <v>63</v>
      </c>
      <c r="C5" t="s">
        <v>3891</v>
      </c>
      <c r="D5" t="s">
        <v>1273</v>
      </c>
      <c r="E5" s="69">
        <v>28</v>
      </c>
      <c r="F5" s="69">
        <v>71.428571428571402</v>
      </c>
      <c r="G5" s="69" t="s">
        <v>1274</v>
      </c>
      <c r="H5" s="69">
        <v>29</v>
      </c>
      <c r="I5" s="69">
        <v>65.116279069767401</v>
      </c>
      <c r="J5" s="69" t="s">
        <v>1491</v>
      </c>
      <c r="K5" s="69">
        <v>270</v>
      </c>
      <c r="L5" s="69">
        <v>51.428571428571402</v>
      </c>
      <c r="M5" s="69" t="s">
        <v>1544</v>
      </c>
      <c r="N5" s="69">
        <v>328</v>
      </c>
      <c r="O5" s="69">
        <v>51.162790697674403</v>
      </c>
      <c r="P5" s="69" t="s">
        <v>1756</v>
      </c>
      <c r="Q5" s="69">
        <v>562</v>
      </c>
      <c r="R5" s="69">
        <v>50</v>
      </c>
    </row>
    <row r="6" spans="1:18">
      <c r="A6">
        <v>6</v>
      </c>
      <c r="B6">
        <f>MATCH(C6,統合マスタ!$C$5:$C$836,0)</f>
        <v>66</v>
      </c>
      <c r="C6" t="s">
        <v>3894</v>
      </c>
      <c r="D6" t="s">
        <v>1274</v>
      </c>
      <c r="E6" s="69">
        <v>29</v>
      </c>
      <c r="F6" s="69">
        <v>71.428571428571402</v>
      </c>
      <c r="G6" s="69" t="s">
        <v>1273</v>
      </c>
      <c r="H6" s="69">
        <v>28</v>
      </c>
      <c r="I6" s="69">
        <v>68.292682926829201</v>
      </c>
      <c r="J6" s="69" t="s">
        <v>1544</v>
      </c>
      <c r="K6" s="69">
        <v>328</v>
      </c>
      <c r="L6" s="69">
        <v>52.380952380952301</v>
      </c>
      <c r="M6" s="69" t="s">
        <v>1756</v>
      </c>
      <c r="N6" s="69">
        <v>562</v>
      </c>
      <c r="O6" s="69">
        <v>51.428571428571402</v>
      </c>
      <c r="P6" s="69" t="s">
        <v>1564</v>
      </c>
      <c r="Q6" s="69">
        <v>349</v>
      </c>
      <c r="R6" s="69">
        <v>50</v>
      </c>
    </row>
    <row r="7" spans="1:18">
      <c r="A7">
        <v>7</v>
      </c>
      <c r="B7">
        <f>MATCH(C7,統合マスタ!$C$5:$C$836,0)</f>
        <v>71</v>
      </c>
      <c r="C7" t="s">
        <v>198</v>
      </c>
      <c r="D7" t="s">
        <v>707</v>
      </c>
      <c r="E7" s="69">
        <v>344</v>
      </c>
      <c r="F7" s="69">
        <v>86.956521739130395</v>
      </c>
      <c r="G7" s="69" t="s">
        <v>1411</v>
      </c>
      <c r="H7" s="69">
        <v>170</v>
      </c>
      <c r="I7" s="69">
        <v>69.565217391304301</v>
      </c>
      <c r="J7" s="69" t="s">
        <v>1411</v>
      </c>
      <c r="K7" s="69">
        <v>319</v>
      </c>
      <c r="L7" s="69">
        <v>69.565217391304301</v>
      </c>
      <c r="M7" s="69" t="s">
        <v>1592</v>
      </c>
      <c r="N7" s="69">
        <v>380</v>
      </c>
      <c r="O7" s="69">
        <v>66.6666666666666</v>
      </c>
      <c r="P7" s="69" t="s">
        <v>1671</v>
      </c>
      <c r="Q7" s="69">
        <v>467</v>
      </c>
      <c r="R7" s="69">
        <v>66.6666666666666</v>
      </c>
    </row>
    <row r="8" spans="1:18">
      <c r="A8">
        <v>8</v>
      </c>
      <c r="B8">
        <f>MATCH(C8,統合マスタ!$C$5:$C$836,0)</f>
        <v>100</v>
      </c>
      <c r="C8" t="s">
        <v>1299</v>
      </c>
      <c r="D8" t="s">
        <v>1741</v>
      </c>
      <c r="E8" s="69">
        <v>543</v>
      </c>
      <c r="F8" s="69">
        <v>66.6666666666666</v>
      </c>
      <c r="G8" s="69" t="s">
        <v>1255</v>
      </c>
      <c r="H8" s="69">
        <v>11</v>
      </c>
      <c r="I8" s="69">
        <v>61.538461538461497</v>
      </c>
      <c r="J8" s="69" t="s">
        <v>1729</v>
      </c>
      <c r="K8" s="69">
        <v>529</v>
      </c>
      <c r="L8" s="69">
        <v>52.173913043478201</v>
      </c>
      <c r="M8" s="69" t="s">
        <v>1689</v>
      </c>
      <c r="N8" s="69">
        <v>487</v>
      </c>
      <c r="O8" s="69">
        <v>48.275862068965502</v>
      </c>
      <c r="P8" s="69" t="s">
        <v>99</v>
      </c>
      <c r="Q8" s="69">
        <v>5</v>
      </c>
      <c r="R8" s="69">
        <v>45.454545454545404</v>
      </c>
    </row>
    <row r="9" spans="1:18">
      <c r="A9">
        <v>9</v>
      </c>
      <c r="B9">
        <f>MATCH(C9,統合マスタ!$C$5:$C$836,0)</f>
        <v>102</v>
      </c>
      <c r="C9" t="s">
        <v>3900</v>
      </c>
      <c r="D9" t="s">
        <v>1365</v>
      </c>
      <c r="E9" s="69">
        <v>123</v>
      </c>
      <c r="F9" s="69">
        <v>33.3333333333333</v>
      </c>
      <c r="G9" s="69" t="s">
        <v>1411</v>
      </c>
      <c r="H9" s="69">
        <v>170</v>
      </c>
      <c r="I9" s="69">
        <v>32.258064516128997</v>
      </c>
      <c r="J9" s="69" t="s">
        <v>1411</v>
      </c>
      <c r="K9" s="69">
        <v>319</v>
      </c>
      <c r="L9" s="69">
        <v>32.258064516128997</v>
      </c>
      <c r="M9" s="69" t="s">
        <v>1508</v>
      </c>
      <c r="N9" s="69">
        <v>287</v>
      </c>
      <c r="O9" s="69">
        <v>31.578947368421002</v>
      </c>
      <c r="P9" s="69" t="s">
        <v>4081</v>
      </c>
      <c r="Q9" s="69">
        <v>537</v>
      </c>
      <c r="R9" s="69">
        <v>31.25</v>
      </c>
    </row>
    <row r="10" spans="1:18">
      <c r="A10">
        <v>10</v>
      </c>
      <c r="B10">
        <f>MATCH(C10,統合マスタ!$C$5:$C$836,0)</f>
        <v>120</v>
      </c>
      <c r="C10" t="s">
        <v>3902</v>
      </c>
      <c r="D10" t="s">
        <v>1651</v>
      </c>
      <c r="E10" s="69">
        <v>445</v>
      </c>
      <c r="F10" s="69">
        <v>53.846153846153797</v>
      </c>
      <c r="G10" s="69" t="s">
        <v>1726</v>
      </c>
      <c r="H10" s="69">
        <v>526</v>
      </c>
      <c r="I10" s="69">
        <v>48</v>
      </c>
      <c r="J10" s="69" t="s">
        <v>1854</v>
      </c>
      <c r="K10" s="69">
        <v>664</v>
      </c>
      <c r="L10" s="69">
        <v>46.153846153846096</v>
      </c>
      <c r="M10" s="69" t="s">
        <v>1458</v>
      </c>
      <c r="N10" s="69">
        <v>229</v>
      </c>
      <c r="O10" s="69">
        <v>40</v>
      </c>
      <c r="P10" s="69" t="s">
        <v>1540</v>
      </c>
      <c r="Q10" s="69">
        <v>324</v>
      </c>
      <c r="R10" s="69">
        <v>40</v>
      </c>
    </row>
    <row r="11" spans="1:18">
      <c r="A11">
        <v>11</v>
      </c>
      <c r="B11">
        <f>MATCH(C11,統合マスタ!$C$5:$C$836,0)</f>
        <v>182</v>
      </c>
      <c r="C11" t="s">
        <v>3914</v>
      </c>
      <c r="D11" t="s">
        <v>1368</v>
      </c>
      <c r="E11" s="69">
        <v>126</v>
      </c>
      <c r="F11" s="69">
        <v>83.870967741935402</v>
      </c>
      <c r="G11" s="69" t="s">
        <v>1369</v>
      </c>
      <c r="H11" s="69">
        <v>127</v>
      </c>
      <c r="I11" s="69">
        <v>64.516129032257993</v>
      </c>
      <c r="J11" s="69" t="s">
        <v>1764</v>
      </c>
      <c r="K11" s="69">
        <v>572</v>
      </c>
      <c r="L11" s="69">
        <v>43.243243243243199</v>
      </c>
      <c r="M11" s="69" t="s">
        <v>1473</v>
      </c>
      <c r="N11" s="69">
        <v>247</v>
      </c>
      <c r="O11" s="69">
        <v>40</v>
      </c>
      <c r="P11" s="69" t="s">
        <v>1427</v>
      </c>
      <c r="Q11" s="69">
        <v>193</v>
      </c>
      <c r="R11" s="69">
        <v>38.8888888888888</v>
      </c>
    </row>
    <row r="12" spans="1:18">
      <c r="A12">
        <v>12</v>
      </c>
      <c r="B12">
        <f>MATCH(C12,統合マスタ!$C$5:$C$836,0)</f>
        <v>187</v>
      </c>
      <c r="C12" t="s">
        <v>1377</v>
      </c>
      <c r="D12" t="s">
        <v>1378</v>
      </c>
      <c r="E12" s="69">
        <v>135</v>
      </c>
      <c r="F12" s="69">
        <v>90.909090909090907</v>
      </c>
      <c r="G12" s="69" t="s">
        <v>1636</v>
      </c>
      <c r="H12" s="69">
        <v>431</v>
      </c>
      <c r="I12" s="69">
        <v>60.869565217391298</v>
      </c>
      <c r="J12" s="69" t="s">
        <v>1706</v>
      </c>
      <c r="K12" s="69">
        <v>505</v>
      </c>
      <c r="L12" s="69">
        <v>60</v>
      </c>
      <c r="M12" s="69" t="s">
        <v>1637</v>
      </c>
      <c r="N12" s="69">
        <v>432</v>
      </c>
      <c r="O12" s="69">
        <v>58.3333333333333</v>
      </c>
      <c r="P12" s="69" t="s">
        <v>1489</v>
      </c>
      <c r="Q12" s="69">
        <v>268</v>
      </c>
      <c r="R12" s="69">
        <v>57.142857142857103</v>
      </c>
    </row>
    <row r="13" spans="1:18">
      <c r="A13">
        <v>13</v>
      </c>
      <c r="B13">
        <f>MATCH(C13,統合マスタ!$C$5:$C$836,0)</f>
        <v>226</v>
      </c>
      <c r="C13" t="s">
        <v>1408</v>
      </c>
      <c r="D13" t="s">
        <v>1407</v>
      </c>
      <c r="E13" s="69">
        <v>166</v>
      </c>
      <c r="F13" s="69">
        <v>75.862068965517196</v>
      </c>
      <c r="G13" s="69" t="s">
        <v>1303</v>
      </c>
      <c r="H13" s="69">
        <v>59</v>
      </c>
      <c r="I13" s="69">
        <v>66.6666666666666</v>
      </c>
      <c r="J13" s="69" t="s">
        <v>1850</v>
      </c>
      <c r="K13" s="69">
        <v>660</v>
      </c>
      <c r="L13" s="69">
        <v>61.538461538461497</v>
      </c>
      <c r="M13" s="69" t="s">
        <v>1564</v>
      </c>
      <c r="N13" s="69">
        <v>349</v>
      </c>
      <c r="O13" s="69">
        <v>60</v>
      </c>
      <c r="P13" s="69" t="s">
        <v>1305</v>
      </c>
      <c r="Q13" s="69">
        <v>61</v>
      </c>
      <c r="R13" s="69">
        <v>58.064516129032199</v>
      </c>
    </row>
    <row r="14" spans="1:18">
      <c r="A14">
        <v>14</v>
      </c>
      <c r="B14">
        <f>MATCH(C14,統合マスタ!$C$5:$C$836,0)</f>
        <v>229</v>
      </c>
      <c r="C14" t="s">
        <v>1413</v>
      </c>
      <c r="D14" t="s">
        <v>1457</v>
      </c>
      <c r="E14" s="69">
        <v>226</v>
      </c>
      <c r="F14" s="69">
        <v>70</v>
      </c>
      <c r="G14" s="69" t="s">
        <v>1820</v>
      </c>
      <c r="H14" s="69">
        <v>627</v>
      </c>
      <c r="I14" s="69">
        <v>70</v>
      </c>
      <c r="J14" s="69" t="s">
        <v>1821</v>
      </c>
      <c r="K14" s="69">
        <v>628</v>
      </c>
      <c r="L14" s="69">
        <v>70</v>
      </c>
      <c r="M14" s="69" t="s">
        <v>1411</v>
      </c>
      <c r="N14" s="69">
        <v>170</v>
      </c>
      <c r="O14" s="69">
        <v>66.6666666666666</v>
      </c>
      <c r="P14" s="69" t="s">
        <v>1505</v>
      </c>
      <c r="Q14" s="69">
        <v>284</v>
      </c>
      <c r="R14" s="69">
        <v>66.6666666666666</v>
      </c>
    </row>
    <row r="15" spans="1:18">
      <c r="A15">
        <v>15</v>
      </c>
      <c r="B15">
        <f>MATCH(C15,統合マスタ!$C$5:$C$836,0)</f>
        <v>232</v>
      </c>
      <c r="C15" t="s">
        <v>3920</v>
      </c>
      <c r="D15" t="s">
        <v>1025</v>
      </c>
      <c r="E15" s="69">
        <v>574</v>
      </c>
      <c r="F15" s="69">
        <v>52.941176470588204</v>
      </c>
      <c r="G15" s="69" t="s">
        <v>1410</v>
      </c>
      <c r="H15" s="69">
        <v>169</v>
      </c>
      <c r="I15" s="69">
        <v>48.648648648648603</v>
      </c>
      <c r="J15" s="69" t="s">
        <v>1582</v>
      </c>
      <c r="K15" s="69">
        <v>369</v>
      </c>
      <c r="L15" s="69">
        <v>48.484848484848399</v>
      </c>
      <c r="M15" s="69" t="s">
        <v>1639</v>
      </c>
      <c r="N15" s="69">
        <v>434</v>
      </c>
      <c r="O15" s="69">
        <v>48.484848484848399</v>
      </c>
      <c r="P15" s="69" t="s">
        <v>1435</v>
      </c>
      <c r="Q15" s="69">
        <v>201</v>
      </c>
      <c r="R15" s="69">
        <v>47.368421052631497</v>
      </c>
    </row>
    <row r="16" spans="1:18">
      <c r="A16">
        <v>16</v>
      </c>
      <c r="B16">
        <f>MATCH(C16,統合マスタ!$C$5:$C$836,0)</f>
        <v>233</v>
      </c>
      <c r="C16" t="s">
        <v>470</v>
      </c>
      <c r="D16" t="s">
        <v>1306</v>
      </c>
      <c r="E16" s="69">
        <v>62</v>
      </c>
      <c r="F16" s="69">
        <v>50</v>
      </c>
      <c r="G16" s="69" t="s">
        <v>1455</v>
      </c>
      <c r="H16" s="69">
        <v>223</v>
      </c>
      <c r="I16" s="69">
        <v>45.454545454545404</v>
      </c>
      <c r="J16" s="69" t="s">
        <v>1462</v>
      </c>
      <c r="K16" s="69">
        <v>233</v>
      </c>
      <c r="L16" s="69">
        <v>42.857142857142797</v>
      </c>
      <c r="M16" s="69" t="s">
        <v>1463</v>
      </c>
      <c r="N16" s="69">
        <v>234</v>
      </c>
      <c r="O16" s="69">
        <v>42.857142857142797</v>
      </c>
      <c r="P16" s="69" t="s">
        <v>1464</v>
      </c>
      <c r="Q16" s="69">
        <v>235</v>
      </c>
      <c r="R16" s="69">
        <v>42.857142857142797</v>
      </c>
    </row>
    <row r="17" spans="1:18">
      <c r="A17">
        <v>17</v>
      </c>
      <c r="B17">
        <f>MATCH(C17,統合マスタ!$C$5:$C$836,0)</f>
        <v>282</v>
      </c>
      <c r="C17" t="s">
        <v>3927</v>
      </c>
      <c r="D17" t="s">
        <v>1703</v>
      </c>
      <c r="E17" s="69">
        <v>502</v>
      </c>
      <c r="F17" s="69">
        <v>30.303030303030202</v>
      </c>
    </row>
    <row r="18" spans="1:18">
      <c r="A18">
        <v>18</v>
      </c>
      <c r="B18">
        <f>MATCH(C18,統合マスタ!$C$5:$C$836,0)</f>
        <v>283</v>
      </c>
      <c r="C18" t="s">
        <v>3928</v>
      </c>
      <c r="D18" t="s">
        <v>4081</v>
      </c>
      <c r="E18" s="69">
        <v>537</v>
      </c>
      <c r="F18" s="69">
        <v>41.176470588235198</v>
      </c>
      <c r="G18" s="69" t="s">
        <v>1734</v>
      </c>
      <c r="H18" s="69">
        <v>536</v>
      </c>
      <c r="I18" s="69">
        <v>33.3333333333333</v>
      </c>
    </row>
    <row r="19" spans="1:18">
      <c r="A19">
        <v>19</v>
      </c>
      <c r="B19">
        <f>MATCH(C19,統合マスタ!$C$5:$C$836,0)</f>
        <v>362</v>
      </c>
      <c r="C19" t="s">
        <v>3942</v>
      </c>
      <c r="D19" t="s">
        <v>1533</v>
      </c>
      <c r="E19" s="69">
        <v>314</v>
      </c>
      <c r="F19" s="69">
        <v>66.6666666666666</v>
      </c>
      <c r="G19" s="69" t="s">
        <v>1825</v>
      </c>
      <c r="H19" s="69">
        <v>632</v>
      </c>
      <c r="I19" s="69">
        <v>63.636363636363598</v>
      </c>
      <c r="J19" s="69" t="s">
        <v>1860</v>
      </c>
      <c r="K19" s="69">
        <v>670</v>
      </c>
      <c r="L19" s="69">
        <v>60</v>
      </c>
      <c r="M19" s="69" t="s">
        <v>1861</v>
      </c>
      <c r="N19" s="69">
        <v>671</v>
      </c>
      <c r="O19" s="69">
        <v>60</v>
      </c>
      <c r="P19" s="69" t="s">
        <v>1586</v>
      </c>
      <c r="Q19" s="69">
        <v>374</v>
      </c>
      <c r="R19" s="69">
        <v>58.3333333333333</v>
      </c>
    </row>
    <row r="20" spans="1:18">
      <c r="A20">
        <v>20</v>
      </c>
      <c r="B20">
        <f>MATCH(C20,統合マスタ!$C$5:$C$836,0)</f>
        <v>364</v>
      </c>
      <c r="C20" t="s">
        <v>3943</v>
      </c>
      <c r="D20" t="s">
        <v>1533</v>
      </c>
      <c r="E20" s="69">
        <v>314</v>
      </c>
      <c r="F20" s="69">
        <v>84.615384615384599</v>
      </c>
      <c r="G20" s="69" t="s">
        <v>1611</v>
      </c>
      <c r="H20" s="69">
        <v>400</v>
      </c>
      <c r="I20" s="69">
        <v>56</v>
      </c>
      <c r="J20" s="69" t="s">
        <v>1247</v>
      </c>
      <c r="K20" s="69">
        <v>2</v>
      </c>
      <c r="L20" s="69">
        <v>50</v>
      </c>
      <c r="M20" s="69" t="s">
        <v>1442</v>
      </c>
      <c r="N20" s="69">
        <v>209</v>
      </c>
      <c r="O20" s="69">
        <v>50</v>
      </c>
      <c r="P20" s="69" t="s">
        <v>1573</v>
      </c>
      <c r="Q20" s="69">
        <v>359</v>
      </c>
      <c r="R20" s="69">
        <v>48</v>
      </c>
    </row>
    <row r="21" spans="1:18">
      <c r="A21">
        <v>21</v>
      </c>
      <c r="B21">
        <f>MATCH(C21,統合マスタ!$C$5:$C$836,0)</f>
        <v>370</v>
      </c>
      <c r="C21" t="s">
        <v>668</v>
      </c>
      <c r="D21" t="s">
        <v>765</v>
      </c>
      <c r="E21" s="69">
        <v>389</v>
      </c>
      <c r="F21" s="69">
        <v>47.619047619047599</v>
      </c>
      <c r="G21" s="69" t="s">
        <v>421</v>
      </c>
      <c r="H21" s="69">
        <v>153</v>
      </c>
      <c r="I21" s="69">
        <v>40</v>
      </c>
      <c r="J21" s="69" t="s">
        <v>575</v>
      </c>
      <c r="K21" s="69">
        <v>241</v>
      </c>
      <c r="L21" s="69">
        <v>38.095238095238003</v>
      </c>
      <c r="M21" s="69" t="s">
        <v>1308</v>
      </c>
      <c r="N21" s="69">
        <v>67</v>
      </c>
      <c r="O21" s="69">
        <v>36.363636363636303</v>
      </c>
      <c r="P21" s="69" t="s">
        <v>404</v>
      </c>
      <c r="Q21" s="69">
        <v>137</v>
      </c>
      <c r="R21" s="69">
        <v>34.782608695652101</v>
      </c>
    </row>
    <row r="22" spans="1:18">
      <c r="A22">
        <v>22</v>
      </c>
      <c r="B22">
        <f>MATCH(C22,統合マスタ!$C$5:$C$836,0)</f>
        <v>388</v>
      </c>
      <c r="C22" t="s">
        <v>1549</v>
      </c>
      <c r="D22" t="s">
        <v>1741</v>
      </c>
      <c r="E22" s="69">
        <v>543</v>
      </c>
      <c r="F22" s="69">
        <v>66.6666666666666</v>
      </c>
      <c r="G22" s="69" t="s">
        <v>1550</v>
      </c>
      <c r="H22" s="69">
        <v>333</v>
      </c>
      <c r="I22" s="69">
        <v>54.545454545454497</v>
      </c>
      <c r="J22" s="69" t="s">
        <v>1255</v>
      </c>
      <c r="K22" s="69">
        <v>11</v>
      </c>
      <c r="L22" s="69">
        <v>53.846153846153797</v>
      </c>
      <c r="M22" s="69" t="s">
        <v>1647</v>
      </c>
      <c r="N22" s="69">
        <v>441</v>
      </c>
      <c r="O22" s="69">
        <v>51.851851851851798</v>
      </c>
      <c r="P22" s="69" t="s">
        <v>1689</v>
      </c>
      <c r="Q22" s="69">
        <v>487</v>
      </c>
      <c r="R22" s="69">
        <v>48.275862068965502</v>
      </c>
    </row>
    <row r="23" spans="1:18">
      <c r="A23">
        <v>23</v>
      </c>
      <c r="B23">
        <f>MATCH(C23,統合マスタ!$C$5:$C$836,0)</f>
        <v>409</v>
      </c>
      <c r="C23" t="s">
        <v>3948</v>
      </c>
      <c r="D23" t="s">
        <v>1566</v>
      </c>
      <c r="E23" s="69">
        <v>351</v>
      </c>
      <c r="F23" s="69">
        <v>73.170731707317003</v>
      </c>
      <c r="G23" s="69" t="s">
        <v>1693</v>
      </c>
      <c r="H23" s="69">
        <v>491</v>
      </c>
      <c r="I23" s="69">
        <v>57.142857142857103</v>
      </c>
      <c r="J23" s="69" t="s">
        <v>1320</v>
      </c>
      <c r="K23" s="69">
        <v>79</v>
      </c>
      <c r="L23" s="69">
        <v>56.410256410256402</v>
      </c>
      <c r="M23" s="69" t="s">
        <v>1865</v>
      </c>
      <c r="N23" s="69">
        <v>676</v>
      </c>
      <c r="O23" s="69">
        <v>51.282051282051199</v>
      </c>
      <c r="P23" s="69" t="s">
        <v>1321</v>
      </c>
      <c r="Q23" s="69">
        <v>80</v>
      </c>
      <c r="R23" s="69">
        <v>48.648648648648603</v>
      </c>
    </row>
    <row r="24" spans="1:18">
      <c r="A24">
        <v>24</v>
      </c>
      <c r="B24">
        <f>MATCH(C24,統合マスタ!$C$5:$C$836,0)</f>
        <v>410</v>
      </c>
      <c r="C24" t="s">
        <v>3949</v>
      </c>
      <c r="D24" t="s">
        <v>1566</v>
      </c>
      <c r="E24" s="69">
        <v>351</v>
      </c>
      <c r="F24" s="69">
        <v>75</v>
      </c>
      <c r="G24" s="69" t="s">
        <v>1693</v>
      </c>
      <c r="H24" s="69">
        <v>491</v>
      </c>
      <c r="I24" s="69">
        <v>58.536585365853597</v>
      </c>
      <c r="J24" s="69" t="s">
        <v>1320</v>
      </c>
      <c r="K24" s="69">
        <v>79</v>
      </c>
      <c r="L24" s="69">
        <v>57.894736842105203</v>
      </c>
      <c r="M24" s="69" t="s">
        <v>1865</v>
      </c>
      <c r="N24" s="69">
        <v>676</v>
      </c>
      <c r="O24" s="69">
        <v>52.631578947368403</v>
      </c>
      <c r="P24" s="69" t="s">
        <v>1468</v>
      </c>
      <c r="Q24" s="69">
        <v>239</v>
      </c>
      <c r="R24" s="69">
        <v>48.648648648648603</v>
      </c>
    </row>
    <row r="25" spans="1:18">
      <c r="A25">
        <v>25</v>
      </c>
      <c r="B25">
        <f>MATCH(C25,統合マスタ!$C$5:$C$836,0)</f>
        <v>438</v>
      </c>
      <c r="C25" t="s">
        <v>753</v>
      </c>
      <c r="D25" t="s">
        <v>1594</v>
      </c>
      <c r="E25" s="69">
        <v>382</v>
      </c>
      <c r="F25" s="69">
        <v>93.3333333333333</v>
      </c>
      <c r="G25" s="69" t="s">
        <v>1653</v>
      </c>
      <c r="H25" s="69">
        <v>447</v>
      </c>
      <c r="I25" s="69">
        <v>68.75</v>
      </c>
      <c r="J25" s="69" t="s">
        <v>1684</v>
      </c>
      <c r="K25" s="69">
        <v>482</v>
      </c>
      <c r="L25" s="69">
        <v>66.6666666666666</v>
      </c>
      <c r="M25" s="69" t="s">
        <v>1752</v>
      </c>
      <c r="N25" s="69">
        <v>558</v>
      </c>
      <c r="O25" s="69">
        <v>66.6666666666666</v>
      </c>
      <c r="P25" s="69" t="s">
        <v>1253</v>
      </c>
      <c r="Q25" s="69">
        <v>9</v>
      </c>
      <c r="R25" s="69">
        <v>64.705882352941103</v>
      </c>
    </row>
    <row r="26" spans="1:18">
      <c r="A26">
        <v>26</v>
      </c>
      <c r="B26">
        <f>MATCH(C26,統合マスタ!$C$5:$C$836,0)</f>
        <v>481</v>
      </c>
      <c r="C26" t="s">
        <v>3965</v>
      </c>
      <c r="D26" t="s">
        <v>1395</v>
      </c>
      <c r="E26" s="69">
        <v>154</v>
      </c>
      <c r="F26" s="69">
        <v>72.2222222222222</v>
      </c>
      <c r="G26" s="69" t="s">
        <v>1353</v>
      </c>
      <c r="H26" s="69">
        <v>111</v>
      </c>
      <c r="I26" s="69">
        <v>66.6666666666666</v>
      </c>
      <c r="J26" s="69" t="s">
        <v>1788</v>
      </c>
      <c r="K26" s="69">
        <v>596</v>
      </c>
      <c r="L26" s="69">
        <v>66.6666666666666</v>
      </c>
      <c r="M26" s="69" t="s">
        <v>1614</v>
      </c>
      <c r="N26" s="69">
        <v>405</v>
      </c>
      <c r="O26" s="69">
        <v>64.864864864864799</v>
      </c>
      <c r="P26" s="69" t="s">
        <v>1752</v>
      </c>
      <c r="Q26" s="69">
        <v>558</v>
      </c>
      <c r="R26" s="69">
        <v>64.864864864864799</v>
      </c>
    </row>
    <row r="27" spans="1:18">
      <c r="A27">
        <v>27</v>
      </c>
      <c r="B27">
        <f>MATCH(C27,統合マスタ!$C$5:$C$836,0)</f>
        <v>503</v>
      </c>
      <c r="C27" t="s">
        <v>1640</v>
      </c>
      <c r="D27" t="s">
        <v>831</v>
      </c>
      <c r="E27" s="69">
        <v>435</v>
      </c>
      <c r="F27" s="69">
        <v>80</v>
      </c>
      <c r="G27" s="69" t="s">
        <v>1649</v>
      </c>
      <c r="H27" s="69">
        <v>443</v>
      </c>
      <c r="I27" s="69">
        <v>66.6666666666666</v>
      </c>
      <c r="J27" s="69" t="s">
        <v>1601</v>
      </c>
      <c r="K27" s="69">
        <v>390</v>
      </c>
      <c r="L27" s="69">
        <v>63.157894736842103</v>
      </c>
      <c r="M27" s="69" t="s">
        <v>1648</v>
      </c>
      <c r="N27" s="69">
        <v>442</v>
      </c>
      <c r="O27" s="69">
        <v>60</v>
      </c>
      <c r="P27" s="69" t="s">
        <v>1650</v>
      </c>
      <c r="Q27" s="69">
        <v>444</v>
      </c>
      <c r="R27" s="69">
        <v>57.142857142857103</v>
      </c>
    </row>
    <row r="28" spans="1:18">
      <c r="A28">
        <v>28</v>
      </c>
      <c r="B28">
        <f>MATCH(C28,統合マスタ!$C$5:$C$836,0)</f>
        <v>513</v>
      </c>
      <c r="C28" t="s">
        <v>3970</v>
      </c>
      <c r="D28" t="s">
        <v>1342</v>
      </c>
      <c r="E28" s="69">
        <v>100</v>
      </c>
      <c r="F28" s="69">
        <v>45.454545454545404</v>
      </c>
      <c r="G28" s="69" t="s">
        <v>1754</v>
      </c>
      <c r="H28" s="69">
        <v>560</v>
      </c>
      <c r="I28" s="69">
        <v>42.105263157894697</v>
      </c>
      <c r="J28" s="69" t="s">
        <v>1265</v>
      </c>
      <c r="K28" s="69">
        <v>20</v>
      </c>
      <c r="L28" s="69">
        <v>40</v>
      </c>
      <c r="M28" s="69" t="s">
        <v>1478</v>
      </c>
      <c r="N28" s="69">
        <v>253</v>
      </c>
      <c r="O28" s="69">
        <v>38.095238095238003</v>
      </c>
      <c r="P28" s="69" t="s">
        <v>1479</v>
      </c>
      <c r="Q28" s="69">
        <v>254</v>
      </c>
      <c r="R28" s="69">
        <v>38.095238095238003</v>
      </c>
    </row>
    <row r="29" spans="1:18">
      <c r="A29">
        <v>29</v>
      </c>
      <c r="B29" t="e">
        <f>MATCH(C29,統合マスタ!$C$5:$C$836,0)</f>
        <v>#N/A</v>
      </c>
      <c r="C29" t="s">
        <v>4082</v>
      </c>
      <c r="D29" t="s">
        <v>1659</v>
      </c>
      <c r="E29" s="69">
        <v>453</v>
      </c>
      <c r="F29" s="69">
        <v>70.270270270270203</v>
      </c>
      <c r="G29" s="69" t="s">
        <v>1661</v>
      </c>
      <c r="H29" s="69">
        <v>455</v>
      </c>
      <c r="I29" s="69">
        <v>48.484848484848399</v>
      </c>
      <c r="J29" s="69" t="s">
        <v>1660</v>
      </c>
      <c r="K29" s="69">
        <v>454</v>
      </c>
      <c r="L29" s="69">
        <v>46.6666666666666</v>
      </c>
      <c r="M29" s="69" t="s">
        <v>4081</v>
      </c>
      <c r="N29" s="69">
        <v>537</v>
      </c>
      <c r="O29" s="69">
        <v>38.709677419354797</v>
      </c>
      <c r="P29" s="69" t="s">
        <v>1331</v>
      </c>
      <c r="Q29" s="69">
        <v>90</v>
      </c>
      <c r="R29" s="69">
        <v>35</v>
      </c>
    </row>
    <row r="30" spans="1:18">
      <c r="A30">
        <v>31</v>
      </c>
      <c r="B30">
        <f>MATCH(C30,統合マスタ!$C$5:$C$836,0)</f>
        <v>537</v>
      </c>
      <c r="C30" t="s">
        <v>866</v>
      </c>
      <c r="D30" t="s">
        <v>1663</v>
      </c>
      <c r="E30" s="69">
        <v>457</v>
      </c>
      <c r="F30" s="69">
        <v>47.619047619047599</v>
      </c>
      <c r="G30" s="69" t="s">
        <v>1691</v>
      </c>
      <c r="H30" s="69">
        <v>489</v>
      </c>
      <c r="I30" s="69">
        <v>38.461538461538403</v>
      </c>
      <c r="J30" s="69" t="s">
        <v>1347</v>
      </c>
      <c r="K30" s="69">
        <v>105</v>
      </c>
      <c r="L30" s="69">
        <v>34.482758620689602</v>
      </c>
      <c r="M30" s="69" t="s">
        <v>1255</v>
      </c>
      <c r="N30" s="69">
        <v>11</v>
      </c>
      <c r="O30" s="69">
        <v>33.3333333333333</v>
      </c>
      <c r="P30" s="69" t="s">
        <v>1647</v>
      </c>
      <c r="Q30" s="69">
        <v>441</v>
      </c>
      <c r="R30" s="69">
        <v>31.999999999999901</v>
      </c>
    </row>
    <row r="31" spans="1:18">
      <c r="A31">
        <v>32</v>
      </c>
      <c r="B31">
        <f>MATCH(C31,統合マスタ!$C$5:$C$836,0)</f>
        <v>539</v>
      </c>
      <c r="C31" t="s">
        <v>868</v>
      </c>
      <c r="D31" t="s">
        <v>1665</v>
      </c>
      <c r="E31" s="69">
        <v>460</v>
      </c>
      <c r="F31" s="69">
        <v>82.352941176470495</v>
      </c>
      <c r="G31" s="69" t="s">
        <v>867</v>
      </c>
      <c r="H31" s="69">
        <v>459</v>
      </c>
      <c r="I31" s="69">
        <v>63.157894736842103</v>
      </c>
      <c r="J31" s="69" t="s">
        <v>1576</v>
      </c>
      <c r="K31" s="69">
        <v>362</v>
      </c>
      <c r="L31" s="69">
        <v>60</v>
      </c>
      <c r="M31" s="69" t="s">
        <v>1577</v>
      </c>
      <c r="N31" s="69">
        <v>363</v>
      </c>
      <c r="O31" s="69">
        <v>60</v>
      </c>
      <c r="P31" s="69" t="s">
        <v>1663</v>
      </c>
      <c r="Q31" s="69">
        <v>457</v>
      </c>
      <c r="R31" s="69">
        <v>60</v>
      </c>
    </row>
    <row r="32" spans="1:18">
      <c r="A32">
        <v>33</v>
      </c>
      <c r="B32">
        <f>MATCH(C32,統合マスタ!$C$5:$C$836,0)</f>
        <v>540</v>
      </c>
      <c r="C32" t="s">
        <v>3973</v>
      </c>
      <c r="D32" t="s">
        <v>1667</v>
      </c>
      <c r="E32" s="69">
        <v>462</v>
      </c>
      <c r="F32" s="69">
        <v>86.956521739130395</v>
      </c>
      <c r="G32" s="69" t="s">
        <v>1837</v>
      </c>
      <c r="H32" s="69">
        <v>647</v>
      </c>
      <c r="I32" s="69">
        <v>52.173913043478201</v>
      </c>
      <c r="J32" s="69" t="s">
        <v>670</v>
      </c>
      <c r="K32" s="69">
        <v>322</v>
      </c>
      <c r="L32" s="69">
        <v>50</v>
      </c>
      <c r="M32" s="69" t="s">
        <v>1556</v>
      </c>
      <c r="N32" s="69">
        <v>340</v>
      </c>
      <c r="O32" s="69">
        <v>50</v>
      </c>
      <c r="P32" s="69" t="s">
        <v>248</v>
      </c>
      <c r="Q32" s="69">
        <v>53</v>
      </c>
      <c r="R32" s="69">
        <v>48</v>
      </c>
    </row>
    <row r="33" spans="1:18">
      <c r="A33">
        <v>34</v>
      </c>
      <c r="B33">
        <f>MATCH(C33,統合マスタ!$C$5:$C$836,0)</f>
        <v>541</v>
      </c>
      <c r="C33" t="s">
        <v>870</v>
      </c>
      <c r="D33" t="s">
        <v>1668</v>
      </c>
      <c r="E33" s="69">
        <v>463</v>
      </c>
      <c r="F33" s="69">
        <v>61.538461538461497</v>
      </c>
      <c r="G33" s="69" t="s">
        <v>1669</v>
      </c>
      <c r="H33" s="69">
        <v>464</v>
      </c>
      <c r="I33" s="69">
        <v>44.4444444444444</v>
      </c>
      <c r="J33" s="69" t="s">
        <v>1669</v>
      </c>
      <c r="K33" s="69">
        <v>466</v>
      </c>
      <c r="L33" s="69">
        <v>44.4444444444444</v>
      </c>
      <c r="M33" s="69" t="s">
        <v>1670</v>
      </c>
      <c r="N33" s="69">
        <v>465</v>
      </c>
      <c r="O33" s="69">
        <v>42.105263157894697</v>
      </c>
    </row>
    <row r="34" spans="1:18">
      <c r="A34">
        <v>36</v>
      </c>
      <c r="B34">
        <f>MATCH(C34,統合マスタ!$C$5:$C$836,0)</f>
        <v>542</v>
      </c>
      <c r="C34" s="17" t="s">
        <v>3974</v>
      </c>
      <c r="D34" t="s">
        <v>1670</v>
      </c>
      <c r="E34" s="69">
        <v>465</v>
      </c>
      <c r="F34" s="69">
        <v>93.3333333333333</v>
      </c>
      <c r="G34" s="69" t="s">
        <v>1669</v>
      </c>
      <c r="H34" s="69">
        <v>464</v>
      </c>
      <c r="I34" s="69">
        <v>89.655172413793096</v>
      </c>
      <c r="J34" s="69" t="s">
        <v>1669</v>
      </c>
      <c r="K34" s="69">
        <v>466</v>
      </c>
      <c r="L34" s="69">
        <v>89.655172413793096</v>
      </c>
      <c r="M34" s="69" t="s">
        <v>1509</v>
      </c>
      <c r="N34" s="69">
        <v>288</v>
      </c>
      <c r="O34" s="69">
        <v>61.538461538461497</v>
      </c>
      <c r="P34" s="69" t="s">
        <v>1509</v>
      </c>
      <c r="Q34" s="69">
        <v>289</v>
      </c>
      <c r="R34" s="69">
        <v>61.538461538461497</v>
      </c>
    </row>
    <row r="35" spans="1:18">
      <c r="A35">
        <v>38</v>
      </c>
      <c r="B35">
        <f>MATCH(C35,統合マスタ!$C$5:$C$836,0)</f>
        <v>544</v>
      </c>
      <c r="C35" t="s">
        <v>3975</v>
      </c>
      <c r="D35" t="s">
        <v>1669</v>
      </c>
      <c r="E35" s="69">
        <v>464</v>
      </c>
      <c r="F35" s="69">
        <v>87.5</v>
      </c>
      <c r="G35" s="69" t="s">
        <v>1669</v>
      </c>
      <c r="H35" s="69">
        <v>466</v>
      </c>
      <c r="I35" s="69">
        <v>87.5</v>
      </c>
      <c r="J35" s="69" t="s">
        <v>1670</v>
      </c>
      <c r="K35" s="69">
        <v>465</v>
      </c>
      <c r="L35" s="69">
        <v>84.848484848484802</v>
      </c>
      <c r="M35" s="69" t="s">
        <v>1509</v>
      </c>
      <c r="N35" s="69">
        <v>288</v>
      </c>
      <c r="O35" s="69">
        <v>55.172413793103402</v>
      </c>
      <c r="P35" s="69" t="s">
        <v>1509</v>
      </c>
      <c r="Q35" s="69">
        <v>289</v>
      </c>
      <c r="R35" s="69">
        <v>55.172413793103402</v>
      </c>
    </row>
    <row r="36" spans="1:18">
      <c r="A36">
        <v>39</v>
      </c>
      <c r="B36">
        <f>MATCH(C36,統合マスタ!$C$5:$C$836,0)</f>
        <v>566</v>
      </c>
      <c r="C36" t="s">
        <v>3978</v>
      </c>
      <c r="D36" t="s">
        <v>1690</v>
      </c>
      <c r="E36" s="69">
        <v>488</v>
      </c>
      <c r="F36" s="69">
        <v>93.3333333333333</v>
      </c>
      <c r="G36" s="69" t="s">
        <v>1692</v>
      </c>
      <c r="H36" s="69">
        <v>490</v>
      </c>
      <c r="I36" s="69">
        <v>80</v>
      </c>
      <c r="J36" s="69" t="s">
        <v>1664</v>
      </c>
      <c r="K36" s="69">
        <v>458</v>
      </c>
      <c r="L36" s="69">
        <v>60</v>
      </c>
      <c r="M36" s="69" t="s">
        <v>1430</v>
      </c>
      <c r="N36" s="69">
        <v>196</v>
      </c>
      <c r="O36" s="69">
        <v>57.142857142857103</v>
      </c>
      <c r="P36" s="69" t="s">
        <v>1776</v>
      </c>
      <c r="Q36" s="69">
        <v>584</v>
      </c>
      <c r="R36" s="69">
        <v>55.172413793103402</v>
      </c>
    </row>
    <row r="37" spans="1:18">
      <c r="A37">
        <v>40</v>
      </c>
      <c r="B37">
        <f>MATCH(C37,統合マスタ!$C$5:$C$836,0)</f>
        <v>619</v>
      </c>
      <c r="C37" t="s">
        <v>3995</v>
      </c>
      <c r="D37" t="s">
        <v>1734</v>
      </c>
      <c r="E37" s="69">
        <v>536</v>
      </c>
      <c r="F37" s="69">
        <v>65</v>
      </c>
      <c r="G37" s="69" t="s">
        <v>4081</v>
      </c>
      <c r="H37" s="69">
        <v>537</v>
      </c>
      <c r="I37" s="69">
        <v>62.5</v>
      </c>
      <c r="J37" s="69" t="s">
        <v>1370</v>
      </c>
      <c r="K37" s="69">
        <v>128</v>
      </c>
      <c r="L37" s="69">
        <v>36.363636363636303</v>
      </c>
      <c r="M37" s="69" t="s">
        <v>245</v>
      </c>
      <c r="N37" s="69">
        <v>52</v>
      </c>
      <c r="O37" s="69">
        <v>33.3333333333333</v>
      </c>
      <c r="P37" s="69" t="s">
        <v>1582</v>
      </c>
      <c r="Q37" s="69">
        <v>369</v>
      </c>
      <c r="R37" s="69">
        <v>32.4324324324324</v>
      </c>
    </row>
    <row r="38" spans="1:18">
      <c r="A38">
        <v>41</v>
      </c>
      <c r="B38">
        <f>MATCH(C38,統合マスタ!$C$5:$C$836,0)</f>
        <v>634</v>
      </c>
      <c r="C38" t="s">
        <v>1744</v>
      </c>
      <c r="D38" t="s">
        <v>757</v>
      </c>
      <c r="E38" s="69">
        <v>384</v>
      </c>
      <c r="F38" s="69">
        <v>72</v>
      </c>
      <c r="G38" s="69" t="s">
        <v>1821</v>
      </c>
      <c r="H38" s="69">
        <v>628</v>
      </c>
      <c r="I38" s="69">
        <v>47.619047619047599</v>
      </c>
      <c r="J38" s="69" t="s">
        <v>1402</v>
      </c>
      <c r="K38" s="69">
        <v>161</v>
      </c>
      <c r="L38" s="69">
        <v>45.454545454545404</v>
      </c>
      <c r="M38" s="69" t="s">
        <v>1559</v>
      </c>
      <c r="N38" s="69">
        <v>343</v>
      </c>
      <c r="O38" s="69">
        <v>45.454545454545404</v>
      </c>
      <c r="P38" s="69" t="s">
        <v>1766</v>
      </c>
      <c r="Q38" s="69">
        <v>575</v>
      </c>
      <c r="R38" s="69">
        <v>41.6666666666666</v>
      </c>
    </row>
    <row r="39" spans="1:18">
      <c r="A39">
        <v>42</v>
      </c>
      <c r="B39">
        <f>MATCH(C39,統合マスタ!$C$5:$C$836,0)</f>
        <v>777</v>
      </c>
      <c r="C39" t="s">
        <v>4023</v>
      </c>
      <c r="D39" t="s">
        <v>1731</v>
      </c>
      <c r="E39" s="69">
        <v>532</v>
      </c>
      <c r="F39" s="69">
        <v>55.5555555555555</v>
      </c>
      <c r="G39" s="69" t="s">
        <v>1486</v>
      </c>
      <c r="H39" s="69">
        <v>265</v>
      </c>
      <c r="I39" s="69">
        <v>54.545454545454497</v>
      </c>
      <c r="J39" s="69" t="s">
        <v>278</v>
      </c>
      <c r="K39" s="69">
        <v>65</v>
      </c>
      <c r="L39" s="69">
        <v>52.631578947368403</v>
      </c>
      <c r="M39" s="69" t="s">
        <v>1579</v>
      </c>
      <c r="N39" s="69">
        <v>364</v>
      </c>
      <c r="O39" s="69">
        <v>52.631578947368403</v>
      </c>
      <c r="P39" s="69" t="s">
        <v>1533</v>
      </c>
      <c r="Q39" s="69">
        <v>314</v>
      </c>
      <c r="R39" s="69">
        <v>52.173913043478201</v>
      </c>
    </row>
    <row r="40" spans="1:18">
      <c r="A40">
        <v>43</v>
      </c>
      <c r="B40">
        <f>MATCH(C40,統合マスタ!$C$5:$C$836,0)</f>
        <v>807</v>
      </c>
      <c r="C40" t="s">
        <v>1339</v>
      </c>
      <c r="D40" t="s">
        <v>1679</v>
      </c>
      <c r="E40" s="69">
        <v>475</v>
      </c>
      <c r="F40" s="69">
        <v>51.428571428571402</v>
      </c>
      <c r="G40" s="69" t="s">
        <v>665</v>
      </c>
      <c r="H40" s="69">
        <v>320</v>
      </c>
      <c r="I40" s="69">
        <v>50</v>
      </c>
      <c r="J40" s="69" t="s">
        <v>1692</v>
      </c>
      <c r="K40" s="69">
        <v>490</v>
      </c>
      <c r="L40" s="69">
        <v>48.648648648648603</v>
      </c>
      <c r="M40" s="69" t="s">
        <v>1439</v>
      </c>
      <c r="N40" s="69">
        <v>205</v>
      </c>
      <c r="O40" s="69">
        <v>47.619047619047599</v>
      </c>
      <c r="P40" s="69" t="s">
        <v>1573</v>
      </c>
      <c r="Q40" s="69">
        <v>359</v>
      </c>
      <c r="R40" s="69">
        <v>47.058823529411697</v>
      </c>
    </row>
    <row r="41" spans="1:18">
      <c r="A41">
        <v>44</v>
      </c>
      <c r="B41">
        <f>MATCH(C41,統合マスタ!$C$5:$C$836,0)</f>
        <v>808</v>
      </c>
      <c r="C41" t="s">
        <v>4028</v>
      </c>
      <c r="D41" t="s">
        <v>1472</v>
      </c>
      <c r="E41" s="69">
        <v>246</v>
      </c>
      <c r="F41" s="69">
        <v>44.4444444444444</v>
      </c>
      <c r="G41" s="69" t="s">
        <v>1540</v>
      </c>
      <c r="H41" s="69">
        <v>324</v>
      </c>
      <c r="I41" s="69">
        <v>42.857142857142797</v>
      </c>
      <c r="J41" s="69" t="s">
        <v>1405</v>
      </c>
      <c r="K41" s="69">
        <v>164</v>
      </c>
      <c r="L41" s="69">
        <v>42.424242424242401</v>
      </c>
      <c r="M41" s="69" t="s">
        <v>1582</v>
      </c>
      <c r="N41" s="69">
        <v>369</v>
      </c>
      <c r="O41" s="69">
        <v>38.709677419354797</v>
      </c>
      <c r="P41" s="69" t="s">
        <v>1619</v>
      </c>
      <c r="Q41" s="69">
        <v>410</v>
      </c>
      <c r="R41" s="69">
        <v>38.709677419354797</v>
      </c>
    </row>
    <row r="42" spans="1:18">
      <c r="A42">
        <v>45</v>
      </c>
      <c r="B42">
        <f>MATCH(C42,統合マスタ!$C$5:$C$836,0)</f>
        <v>809</v>
      </c>
      <c r="C42" t="s">
        <v>1183</v>
      </c>
      <c r="D42" t="s">
        <v>1472</v>
      </c>
      <c r="E42" s="69">
        <v>246</v>
      </c>
      <c r="F42" s="69">
        <v>46.153846153846096</v>
      </c>
    </row>
    <row r="43" spans="1:18">
      <c r="A43">
        <v>48</v>
      </c>
      <c r="B43">
        <f>MATCH(C43,統合マスタ!$C$5:$C$836,0)</f>
        <v>814</v>
      </c>
      <c r="C43" t="s">
        <v>4029</v>
      </c>
      <c r="D43" t="s">
        <v>1455</v>
      </c>
      <c r="E43" s="69">
        <v>223</v>
      </c>
      <c r="F43" s="69">
        <v>78.571428571428498</v>
      </c>
      <c r="G43" s="69" t="s">
        <v>1368</v>
      </c>
      <c r="H43" s="69">
        <v>126</v>
      </c>
      <c r="I43" s="69">
        <v>37.5</v>
      </c>
      <c r="J43" s="69" t="s">
        <v>1714</v>
      </c>
      <c r="K43" s="69">
        <v>513</v>
      </c>
      <c r="L43" s="69">
        <v>37.5</v>
      </c>
      <c r="M43" s="69" t="s">
        <v>1391</v>
      </c>
      <c r="N43" s="69">
        <v>148</v>
      </c>
      <c r="O43" s="69">
        <v>37.037037037037003</v>
      </c>
      <c r="P43" s="69" t="s">
        <v>526</v>
      </c>
      <c r="Q43" s="69">
        <v>207</v>
      </c>
      <c r="R43" s="69">
        <v>37.037037037037003</v>
      </c>
    </row>
    <row r="44" spans="1:18">
      <c r="A44">
        <v>49</v>
      </c>
      <c r="B44">
        <f>MATCH(C44,統合マスタ!$C$5:$C$836,0)</f>
        <v>817</v>
      </c>
      <c r="C44" t="s">
        <v>4032</v>
      </c>
      <c r="D44" t="s">
        <v>1456</v>
      </c>
      <c r="E44" s="69">
        <v>224</v>
      </c>
      <c r="F44" s="69">
        <v>84.615384615384599</v>
      </c>
      <c r="G44" s="69" t="s">
        <v>1456</v>
      </c>
      <c r="H44" s="69">
        <v>225</v>
      </c>
      <c r="I44" s="69">
        <v>84.615384615384599</v>
      </c>
      <c r="J44" s="69" t="s">
        <v>1460</v>
      </c>
      <c r="K44" s="69">
        <v>231</v>
      </c>
      <c r="L44" s="69">
        <v>37.5</v>
      </c>
      <c r="M44" s="69" t="s">
        <v>1686</v>
      </c>
      <c r="N44" s="69">
        <v>484</v>
      </c>
      <c r="O44" s="69">
        <v>37.5</v>
      </c>
      <c r="P44" s="69" t="s">
        <v>1687</v>
      </c>
      <c r="Q44" s="69">
        <v>485</v>
      </c>
      <c r="R44" s="69">
        <v>37.5</v>
      </c>
    </row>
    <row r="45" spans="1:18">
      <c r="A45">
        <v>52</v>
      </c>
      <c r="B45">
        <f>MATCH(C45,統合マスタ!$C$5:$C$836,0)</f>
        <v>818</v>
      </c>
      <c r="C45" t="s">
        <v>1198</v>
      </c>
      <c r="D45" t="s">
        <v>1734</v>
      </c>
      <c r="E45" s="69">
        <v>536</v>
      </c>
      <c r="F45" s="69">
        <v>41.379310344827502</v>
      </c>
      <c r="G45" s="69" t="s">
        <v>1509</v>
      </c>
      <c r="H45" s="69">
        <v>288</v>
      </c>
      <c r="I45" s="69">
        <v>40</v>
      </c>
      <c r="J45" s="69" t="s">
        <v>1509</v>
      </c>
      <c r="K45" s="69">
        <v>289</v>
      </c>
      <c r="L45" s="69">
        <v>40</v>
      </c>
      <c r="M45" s="69" t="s">
        <v>1773</v>
      </c>
      <c r="N45" s="69">
        <v>581</v>
      </c>
      <c r="O45" s="69">
        <v>33.3333333333333</v>
      </c>
      <c r="P45" s="69" t="s">
        <v>1245</v>
      </c>
      <c r="Q45" s="69">
        <v>1</v>
      </c>
      <c r="R45" s="69">
        <v>30</v>
      </c>
    </row>
    <row r="46" spans="1:18">
      <c r="A46">
        <v>53</v>
      </c>
      <c r="B46">
        <f>MATCH(C46,統合マスタ!$C$5:$C$836,0)</f>
        <v>820</v>
      </c>
      <c r="C46" t="s">
        <v>1242</v>
      </c>
      <c r="D46" t="s">
        <v>1453</v>
      </c>
      <c r="E46" s="69">
        <v>220</v>
      </c>
      <c r="F46" s="69">
        <v>66.6666666666666</v>
      </c>
      <c r="G46" s="69" t="s">
        <v>1453</v>
      </c>
      <c r="H46" s="69">
        <v>221</v>
      </c>
      <c r="I46" s="69">
        <v>66.6666666666666</v>
      </c>
    </row>
    <row r="47" spans="1:18">
      <c r="A47">
        <v>56</v>
      </c>
      <c r="B47">
        <f>MATCH(C47,統合マスタ!$C$5:$C$836,0)</f>
        <v>821</v>
      </c>
      <c r="C47" t="s">
        <v>1243</v>
      </c>
      <c r="D47" t="s">
        <v>1453</v>
      </c>
      <c r="E47" s="69">
        <v>220</v>
      </c>
      <c r="F47" s="69">
        <v>58.823529411764703</v>
      </c>
      <c r="G47" s="69" t="s">
        <v>1453</v>
      </c>
      <c r="H47" s="69">
        <v>221</v>
      </c>
      <c r="I47" s="69">
        <v>58.823529411764703</v>
      </c>
    </row>
    <row r="48" spans="1:18">
      <c r="A48">
        <v>58</v>
      </c>
      <c r="B48">
        <f>MATCH(C48,統合マスタ!$C$5:$C$836,0)</f>
        <v>822</v>
      </c>
      <c r="C48" t="s">
        <v>1204</v>
      </c>
      <c r="D48" t="s">
        <v>1551</v>
      </c>
      <c r="E48" s="69">
        <v>335</v>
      </c>
      <c r="F48" s="69">
        <v>100</v>
      </c>
      <c r="G48" s="69" t="s">
        <v>1453</v>
      </c>
      <c r="H48" s="69">
        <v>220</v>
      </c>
      <c r="I48" s="69">
        <v>36.363636363636303</v>
      </c>
      <c r="J48" s="69" t="s">
        <v>1453</v>
      </c>
      <c r="K48" s="69">
        <v>221</v>
      </c>
      <c r="L48" s="69">
        <v>36.363636363636303</v>
      </c>
      <c r="M48" s="69" t="s">
        <v>1488</v>
      </c>
      <c r="N48" s="69">
        <v>267</v>
      </c>
      <c r="O48" s="69">
        <v>30</v>
      </c>
      <c r="P48" s="69" t="s">
        <v>1669</v>
      </c>
      <c r="Q48" s="69">
        <v>464</v>
      </c>
      <c r="R48" s="69">
        <v>30</v>
      </c>
    </row>
    <row r="49" spans="1:18">
      <c r="A49">
        <v>59</v>
      </c>
      <c r="B49">
        <f>MATCH(C49,統合マスタ!$C$5:$C$836,0)</f>
        <v>829</v>
      </c>
      <c r="C49" t="s">
        <v>4033</v>
      </c>
      <c r="D49" t="s">
        <v>1509</v>
      </c>
      <c r="E49" s="69">
        <v>288</v>
      </c>
      <c r="F49" s="69">
        <v>62.857142857142797</v>
      </c>
      <c r="G49" s="69" t="s">
        <v>1509</v>
      </c>
      <c r="H49" s="69">
        <v>289</v>
      </c>
      <c r="I49" s="69">
        <v>62.857142857142797</v>
      </c>
      <c r="J49" s="69" t="s">
        <v>1669</v>
      </c>
      <c r="K49" s="69">
        <v>464</v>
      </c>
      <c r="L49" s="69">
        <v>42.105263157894697</v>
      </c>
      <c r="M49" s="69" t="s">
        <v>1669</v>
      </c>
      <c r="N49" s="69">
        <v>466</v>
      </c>
      <c r="O49" s="69">
        <v>42.105263157894697</v>
      </c>
      <c r="P49" s="69" t="s">
        <v>1670</v>
      </c>
      <c r="Q49" s="69">
        <v>465</v>
      </c>
      <c r="R49" s="69">
        <v>41.025641025641001</v>
      </c>
    </row>
    <row r="50" spans="1:18">
      <c r="A50">
        <v>60</v>
      </c>
      <c r="B50">
        <f>MATCH(C50,統合マスタ!$C$5:$C$836,0)</f>
        <v>830</v>
      </c>
      <c r="C50" t="s">
        <v>4034</v>
      </c>
      <c r="D50" t="s">
        <v>1509</v>
      </c>
      <c r="E50" s="69">
        <v>288</v>
      </c>
      <c r="F50" s="69">
        <v>66.6666666666666</v>
      </c>
      <c r="G50" s="69" t="s">
        <v>1509</v>
      </c>
      <c r="H50" s="69">
        <v>289</v>
      </c>
      <c r="I50" s="69">
        <v>66.6666666666666</v>
      </c>
      <c r="J50" s="69" t="s">
        <v>1669</v>
      </c>
      <c r="K50" s="69">
        <v>464</v>
      </c>
      <c r="L50" s="69">
        <v>44.4444444444444</v>
      </c>
      <c r="M50" s="69" t="s">
        <v>1669</v>
      </c>
      <c r="N50" s="69">
        <v>466</v>
      </c>
      <c r="O50" s="69">
        <v>44.4444444444444</v>
      </c>
      <c r="P50" s="69" t="s">
        <v>1670</v>
      </c>
      <c r="Q50" s="69">
        <v>465</v>
      </c>
      <c r="R50" s="69">
        <v>43.243243243243199</v>
      </c>
    </row>
    <row r="51" spans="1:18">
      <c r="A51">
        <v>61</v>
      </c>
      <c r="B51">
        <f>MATCH(C51,統合マスタ!$C$5:$C$836,0)</f>
        <v>831</v>
      </c>
      <c r="C51" t="s">
        <v>1214</v>
      </c>
      <c r="D51" t="s">
        <v>1588</v>
      </c>
      <c r="E51" s="69">
        <v>376</v>
      </c>
      <c r="F51" s="69">
        <v>55.5555555555555</v>
      </c>
      <c r="G51" s="69" t="s">
        <v>1734</v>
      </c>
      <c r="H51" s="69">
        <v>536</v>
      </c>
      <c r="I51" s="69">
        <v>36.363636363636303</v>
      </c>
      <c r="J51" s="69" t="s">
        <v>1509</v>
      </c>
      <c r="K51" s="69">
        <v>288</v>
      </c>
      <c r="L51" s="69">
        <v>33.3333333333333</v>
      </c>
      <c r="M51" s="69" t="s">
        <v>1509</v>
      </c>
      <c r="N51" s="69">
        <v>289</v>
      </c>
      <c r="O51" s="69">
        <v>33.3333333333333</v>
      </c>
    </row>
  </sheetData>
  <autoFilter ref="A1:R51" xr:uid="{74B11E57-9705-4872-88EF-ABB92F37C8F7}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1B72-B299-4C31-8C30-4193D598596C}">
  <sheetPr filterMode="1"/>
  <dimension ref="A1:F533"/>
  <sheetViews>
    <sheetView workbookViewId="0">
      <selection activeCell="B2" sqref="B2"/>
    </sheetView>
  </sheetViews>
  <sheetFormatPr defaultRowHeight="13.2"/>
  <cols>
    <col min="1" max="1" width="8.88671875" bestFit="1" customWidth="1"/>
    <col min="2" max="2" width="8.88671875" customWidth="1"/>
    <col min="3" max="3" width="57" bestFit="1" customWidth="1"/>
    <col min="4" max="4" width="48.33203125" bestFit="1" customWidth="1"/>
    <col min="5" max="5" width="8.88671875" bestFit="1" customWidth="1"/>
    <col min="6" max="6" width="14.77734375" style="69" bestFit="1" customWidth="1"/>
  </cols>
  <sheetData>
    <row r="1" spans="1:6">
      <c r="A1" t="s">
        <v>3776</v>
      </c>
      <c r="C1" t="s">
        <v>3777</v>
      </c>
      <c r="D1" t="s">
        <v>4078</v>
      </c>
      <c r="E1" t="s">
        <v>4079</v>
      </c>
      <c r="F1" s="69" t="s">
        <v>4080</v>
      </c>
    </row>
    <row r="2" spans="1:6">
      <c r="A2">
        <v>1</v>
      </c>
      <c r="B2">
        <f>MATCH(C2,統合マスタ!$C$5:$C$836,0)</f>
        <v>8</v>
      </c>
      <c r="C2" t="s">
        <v>3866</v>
      </c>
      <c r="D2" t="s">
        <v>1503</v>
      </c>
      <c r="E2">
        <v>282</v>
      </c>
      <c r="F2" s="69">
        <v>32.258064516128997</v>
      </c>
    </row>
    <row r="3" spans="1:6">
      <c r="A3">
        <v>2</v>
      </c>
      <c r="B3" s="51">
        <f>MATCH(C3,統合マスタ!$C$5:$C$836,0)</f>
        <v>24</v>
      </c>
      <c r="C3" t="s">
        <v>3882</v>
      </c>
      <c r="D3" t="s">
        <v>1303</v>
      </c>
      <c r="E3">
        <v>59</v>
      </c>
      <c r="F3" s="69">
        <v>82.758620689655103</v>
      </c>
    </row>
    <row r="4" spans="1:6">
      <c r="A4">
        <v>3</v>
      </c>
      <c r="B4">
        <f>MATCH(C4,統合マスタ!$C$5:$C$836,0)</f>
        <v>41</v>
      </c>
      <c r="C4" t="s">
        <v>3887</v>
      </c>
      <c r="D4" t="s">
        <v>1254</v>
      </c>
      <c r="E4">
        <v>10</v>
      </c>
      <c r="F4" s="69">
        <v>78.947368421052602</v>
      </c>
    </row>
    <row r="5" spans="1:6">
      <c r="A5">
        <v>4</v>
      </c>
      <c r="B5">
        <f>MATCH(C5,統合マスタ!$C$5:$C$836,0)</f>
        <v>50</v>
      </c>
      <c r="C5" t="s">
        <v>3889</v>
      </c>
      <c r="D5" t="s">
        <v>1261</v>
      </c>
      <c r="E5">
        <v>17</v>
      </c>
      <c r="F5" s="69">
        <v>35.294117647058798</v>
      </c>
    </row>
    <row r="6" spans="1:6">
      <c r="A6">
        <v>5</v>
      </c>
      <c r="B6">
        <f>MATCH(C6,統合マスタ!$C$5:$C$836,0)</f>
        <v>54</v>
      </c>
      <c r="C6" t="s">
        <v>1264</v>
      </c>
      <c r="D6" t="s">
        <v>1263</v>
      </c>
      <c r="E6">
        <v>19</v>
      </c>
      <c r="F6" s="69">
        <v>93.75</v>
      </c>
    </row>
    <row r="7" spans="1:6">
      <c r="A7">
        <v>6</v>
      </c>
      <c r="B7">
        <f>MATCH(C7,統合マスタ!$C$5:$C$836,0)</f>
        <v>63</v>
      </c>
      <c r="C7" t="s">
        <v>3891</v>
      </c>
      <c r="D7" t="s">
        <v>1273</v>
      </c>
      <c r="E7">
        <v>28</v>
      </c>
      <c r="F7" s="69">
        <v>71.428571428571402</v>
      </c>
    </row>
    <row r="8" spans="1:6">
      <c r="A8">
        <v>7</v>
      </c>
      <c r="B8">
        <f>MATCH(C8,統合マスタ!$C$5:$C$836,0)</f>
        <v>66</v>
      </c>
      <c r="C8" t="s">
        <v>3894</v>
      </c>
      <c r="D8" t="s">
        <v>1274</v>
      </c>
      <c r="E8">
        <v>29</v>
      </c>
      <c r="F8" s="69">
        <v>71.428571428571402</v>
      </c>
    </row>
    <row r="9" spans="1:6">
      <c r="A9">
        <v>8</v>
      </c>
      <c r="B9">
        <f>MATCH(C9,統合マスタ!$C$5:$C$836,0)</f>
        <v>71</v>
      </c>
      <c r="C9" t="s">
        <v>198</v>
      </c>
      <c r="D9" t="s">
        <v>707</v>
      </c>
      <c r="E9">
        <v>344</v>
      </c>
      <c r="F9" s="69">
        <v>86.956521739130395</v>
      </c>
    </row>
    <row r="10" spans="1:6">
      <c r="A10">
        <v>9</v>
      </c>
      <c r="B10">
        <f>MATCH(C10,統合マスタ!$C$5:$C$836,0)</f>
        <v>76</v>
      </c>
      <c r="C10" t="s">
        <v>3896</v>
      </c>
      <c r="D10" t="s">
        <v>1284</v>
      </c>
      <c r="E10">
        <v>38</v>
      </c>
      <c r="F10" s="69">
        <v>78.571428571428498</v>
      </c>
    </row>
    <row r="11" spans="1:6">
      <c r="A11">
        <v>10</v>
      </c>
      <c r="B11">
        <f>MATCH(C11,統合マスタ!$C$5:$C$836,0)</f>
        <v>96</v>
      </c>
      <c r="C11" t="s">
        <v>3899</v>
      </c>
      <c r="D11" t="s">
        <v>248</v>
      </c>
      <c r="E11">
        <v>53</v>
      </c>
      <c r="F11" s="69">
        <v>75</v>
      </c>
    </row>
    <row r="12" spans="1:6">
      <c r="A12">
        <v>11</v>
      </c>
      <c r="B12">
        <f>MATCH(C12,統合マスタ!$C$5:$C$836,0)</f>
        <v>100</v>
      </c>
      <c r="C12" t="s">
        <v>1299</v>
      </c>
      <c r="D12" t="s">
        <v>1741</v>
      </c>
      <c r="E12">
        <v>543</v>
      </c>
      <c r="F12" s="69">
        <v>66.6666666666666</v>
      </c>
    </row>
    <row r="13" spans="1:6">
      <c r="A13">
        <v>12</v>
      </c>
      <c r="B13">
        <f>MATCH(C13,統合マスタ!$C$5:$C$836,0)</f>
        <v>102</v>
      </c>
      <c r="C13" t="s">
        <v>3900</v>
      </c>
      <c r="D13" t="s">
        <v>1365</v>
      </c>
      <c r="E13">
        <v>123</v>
      </c>
      <c r="F13" s="69">
        <v>33.3333333333333</v>
      </c>
    </row>
    <row r="14" spans="1:6" hidden="1">
      <c r="A14">
        <v>13</v>
      </c>
      <c r="B14" s="51">
        <f>MATCH(C14,統合マスタ!$C$5:$C$836,0)</f>
        <v>103</v>
      </c>
      <c r="C14" t="s">
        <v>263</v>
      </c>
      <c r="D14" t="s">
        <v>263</v>
      </c>
      <c r="E14">
        <v>57</v>
      </c>
      <c r="F14" s="69">
        <v>100</v>
      </c>
    </row>
    <row r="15" spans="1:6">
      <c r="A15">
        <v>14</v>
      </c>
      <c r="B15">
        <f>MATCH(C15,統合マスタ!$C$5:$C$836,0)</f>
        <v>120</v>
      </c>
      <c r="C15" t="s">
        <v>3902</v>
      </c>
      <c r="D15" t="s">
        <v>1651</v>
      </c>
      <c r="E15">
        <v>445</v>
      </c>
      <c r="F15" s="69">
        <v>53.846153846153797</v>
      </c>
    </row>
    <row r="16" spans="1:6">
      <c r="A16">
        <v>15</v>
      </c>
      <c r="B16">
        <f>MATCH(C16,統合マスタ!$C$5:$C$836,0)</f>
        <v>138</v>
      </c>
      <c r="C16" t="s">
        <v>3903</v>
      </c>
      <c r="D16" t="s">
        <v>1533</v>
      </c>
      <c r="E16">
        <v>314</v>
      </c>
      <c r="F16" s="69">
        <v>64</v>
      </c>
    </row>
    <row r="17" spans="1:6" hidden="1">
      <c r="A17">
        <v>16</v>
      </c>
      <c r="B17" s="51">
        <f>MATCH(C17,統合マスタ!$C$5:$C$836,0)</f>
        <v>152</v>
      </c>
      <c r="C17" t="s">
        <v>1342</v>
      </c>
      <c r="D17" t="s">
        <v>1342</v>
      </c>
      <c r="E17">
        <v>100</v>
      </c>
      <c r="F17" s="69">
        <v>100</v>
      </c>
    </row>
    <row r="18" spans="1:6">
      <c r="A18">
        <v>17</v>
      </c>
      <c r="B18">
        <f>MATCH(C18,統合マスタ!$C$5:$C$836,0)</f>
        <v>164</v>
      </c>
      <c r="C18" t="s">
        <v>365</v>
      </c>
      <c r="F18" s="69">
        <v>0</v>
      </c>
    </row>
    <row r="19" spans="1:6">
      <c r="A19">
        <v>18</v>
      </c>
      <c r="B19">
        <f>MATCH(C19,統合マスタ!$C$5:$C$836,0)</f>
        <v>182</v>
      </c>
      <c r="C19" t="s">
        <v>3914</v>
      </c>
      <c r="D19" t="s">
        <v>1368</v>
      </c>
      <c r="E19">
        <v>126</v>
      </c>
      <c r="F19" s="69">
        <v>83.870967741935402</v>
      </c>
    </row>
    <row r="20" spans="1:6">
      <c r="A20">
        <v>19</v>
      </c>
      <c r="B20">
        <f>MATCH(C20,統合マスタ!$C$5:$C$836,0)</f>
        <v>187</v>
      </c>
      <c r="C20" t="s">
        <v>1377</v>
      </c>
      <c r="D20" t="s">
        <v>1378</v>
      </c>
      <c r="E20">
        <v>135</v>
      </c>
      <c r="F20" s="69">
        <v>90.909090909090907</v>
      </c>
    </row>
    <row r="21" spans="1:6">
      <c r="A21">
        <v>20</v>
      </c>
      <c r="B21">
        <f>MATCH(C21,統合マスタ!$C$5:$C$836,0)</f>
        <v>226</v>
      </c>
      <c r="C21" t="s">
        <v>1408</v>
      </c>
      <c r="D21" t="s">
        <v>1407</v>
      </c>
      <c r="E21">
        <v>166</v>
      </c>
      <c r="F21" s="69">
        <v>75.862068965517196</v>
      </c>
    </row>
    <row r="22" spans="1:6">
      <c r="A22">
        <v>21</v>
      </c>
      <c r="B22">
        <f>MATCH(C22,統合マスタ!$C$5:$C$836,0)</f>
        <v>229</v>
      </c>
      <c r="C22" t="s">
        <v>1413</v>
      </c>
      <c r="D22" t="s">
        <v>1457</v>
      </c>
      <c r="E22">
        <v>226</v>
      </c>
      <c r="F22" s="69">
        <v>70</v>
      </c>
    </row>
    <row r="23" spans="1:6">
      <c r="A23">
        <v>22</v>
      </c>
      <c r="B23">
        <f>MATCH(C23,統合マスタ!$C$5:$C$836,0)</f>
        <v>232</v>
      </c>
      <c r="C23" t="s">
        <v>3920</v>
      </c>
      <c r="D23" t="s">
        <v>1025</v>
      </c>
      <c r="E23">
        <v>574</v>
      </c>
      <c r="F23" s="69">
        <v>52.941176470588204</v>
      </c>
    </row>
    <row r="24" spans="1:6">
      <c r="A24">
        <v>23</v>
      </c>
      <c r="B24">
        <f>MATCH(C24,統合マスタ!$C$5:$C$836,0)</f>
        <v>233</v>
      </c>
      <c r="C24" t="s">
        <v>470</v>
      </c>
      <c r="D24" t="s">
        <v>1306</v>
      </c>
      <c r="E24">
        <v>62</v>
      </c>
      <c r="F24" s="69">
        <v>50</v>
      </c>
    </row>
    <row r="25" spans="1:6" hidden="1">
      <c r="A25">
        <v>24</v>
      </c>
      <c r="B25" s="51">
        <f>MATCH(C25,統合マスタ!$C$5:$C$836,0)</f>
        <v>252</v>
      </c>
      <c r="C25" t="s">
        <v>1423</v>
      </c>
      <c r="D25" t="s">
        <v>1423</v>
      </c>
      <c r="E25">
        <v>189</v>
      </c>
      <c r="F25" s="69">
        <v>100</v>
      </c>
    </row>
    <row r="26" spans="1:6" hidden="1">
      <c r="A26">
        <v>25</v>
      </c>
      <c r="B26" s="51">
        <f>MATCH(C26,統合マスタ!$C$5:$C$836,0)</f>
        <v>276</v>
      </c>
      <c r="C26" t="s">
        <v>1448</v>
      </c>
      <c r="D26" t="s">
        <v>1448</v>
      </c>
      <c r="E26">
        <v>215</v>
      </c>
      <c r="F26" s="69">
        <v>100</v>
      </c>
    </row>
    <row r="27" spans="1:6">
      <c r="A27">
        <v>26</v>
      </c>
      <c r="B27">
        <f>MATCH(C27,統合マスタ!$C$5:$C$836,0)</f>
        <v>282</v>
      </c>
      <c r="C27" t="s">
        <v>3927</v>
      </c>
      <c r="D27" t="s">
        <v>1703</v>
      </c>
      <c r="E27">
        <v>502</v>
      </c>
      <c r="F27" s="69">
        <v>30.303030303030202</v>
      </c>
    </row>
    <row r="28" spans="1:6">
      <c r="A28">
        <v>27</v>
      </c>
      <c r="B28">
        <f>MATCH(C28,統合マスタ!$C$5:$C$836,0)</f>
        <v>283</v>
      </c>
      <c r="C28" t="s">
        <v>3928</v>
      </c>
      <c r="D28" t="s">
        <v>4081</v>
      </c>
      <c r="E28">
        <v>537</v>
      </c>
      <c r="F28" s="69">
        <v>41.176470588235198</v>
      </c>
    </row>
    <row r="29" spans="1:6">
      <c r="A29">
        <v>28</v>
      </c>
      <c r="B29">
        <f>MATCH(C29,統合マスタ!$C$5:$C$836,0)</f>
        <v>362</v>
      </c>
      <c r="C29" t="s">
        <v>3942</v>
      </c>
      <c r="D29" t="s">
        <v>1533</v>
      </c>
      <c r="E29">
        <v>314</v>
      </c>
      <c r="F29" s="69">
        <v>66.6666666666666</v>
      </c>
    </row>
    <row r="30" spans="1:6">
      <c r="A30">
        <v>29</v>
      </c>
      <c r="B30">
        <f>MATCH(C30,統合マスタ!$C$5:$C$836,0)</f>
        <v>364</v>
      </c>
      <c r="C30" t="s">
        <v>3943</v>
      </c>
      <c r="D30" t="s">
        <v>1533</v>
      </c>
      <c r="E30">
        <v>314</v>
      </c>
      <c r="F30" s="69">
        <v>84.615384615384599</v>
      </c>
    </row>
    <row r="31" spans="1:6">
      <c r="A31">
        <v>30</v>
      </c>
      <c r="B31">
        <f>MATCH(C31,統合マスタ!$C$5:$C$836,0)</f>
        <v>370</v>
      </c>
      <c r="C31" t="s">
        <v>668</v>
      </c>
      <c r="D31" t="s">
        <v>765</v>
      </c>
      <c r="E31">
        <v>389</v>
      </c>
      <c r="F31" s="69">
        <v>47.619047619047599</v>
      </c>
    </row>
    <row r="32" spans="1:6">
      <c r="A32">
        <v>31</v>
      </c>
      <c r="B32">
        <f>MATCH(C32,統合マスタ!$C$5:$C$836,0)</f>
        <v>388</v>
      </c>
      <c r="C32" t="s">
        <v>1549</v>
      </c>
      <c r="D32" t="s">
        <v>1741</v>
      </c>
      <c r="E32">
        <v>543</v>
      </c>
      <c r="F32" s="69">
        <v>66.6666666666666</v>
      </c>
    </row>
    <row r="33" spans="1:6" hidden="1">
      <c r="A33">
        <v>32</v>
      </c>
      <c r="B33" s="51">
        <f>MATCH(C33,統合マスタ!$C$5:$C$836,0)</f>
        <v>407</v>
      </c>
      <c r="C33" t="s">
        <v>3947</v>
      </c>
      <c r="D33" t="s">
        <v>1564</v>
      </c>
      <c r="E33">
        <v>349</v>
      </c>
      <c r="F33" s="69">
        <v>100</v>
      </c>
    </row>
    <row r="34" spans="1:6" hidden="1">
      <c r="A34">
        <v>33</v>
      </c>
      <c r="B34" s="51">
        <f>MATCH(C34,統合マスタ!$C$5:$C$836,0)</f>
        <v>408</v>
      </c>
      <c r="C34" t="s">
        <v>715</v>
      </c>
      <c r="D34" t="s">
        <v>1565</v>
      </c>
      <c r="E34">
        <v>350</v>
      </c>
      <c r="F34" s="69">
        <v>100</v>
      </c>
    </row>
    <row r="35" spans="1:6">
      <c r="A35">
        <v>34</v>
      </c>
      <c r="B35">
        <f>MATCH(C35,統合マスタ!$C$5:$C$836,0)</f>
        <v>409</v>
      </c>
      <c r="C35" t="s">
        <v>3948</v>
      </c>
      <c r="D35" t="s">
        <v>1566</v>
      </c>
      <c r="E35">
        <v>351</v>
      </c>
      <c r="F35" s="69">
        <v>73.170731707317003</v>
      </c>
    </row>
    <row r="36" spans="1:6">
      <c r="A36">
        <v>35</v>
      </c>
      <c r="B36">
        <f>MATCH(C36,統合マスタ!$C$5:$C$836,0)</f>
        <v>410</v>
      </c>
      <c r="C36" t="s">
        <v>3949</v>
      </c>
      <c r="D36" t="s">
        <v>1566</v>
      </c>
      <c r="E36">
        <v>351</v>
      </c>
      <c r="F36" s="69">
        <v>75</v>
      </c>
    </row>
    <row r="37" spans="1:6" hidden="1">
      <c r="A37">
        <v>36</v>
      </c>
      <c r="B37">
        <f>MATCH(C37,統合マスタ!$C$5:$C$836,0)</f>
        <v>411</v>
      </c>
      <c r="C37" t="s">
        <v>3950</v>
      </c>
      <c r="D37" t="s">
        <v>1566</v>
      </c>
      <c r="E37">
        <v>351</v>
      </c>
      <c r="F37" s="69">
        <v>100</v>
      </c>
    </row>
    <row r="38" spans="1:6" hidden="1">
      <c r="A38">
        <v>37</v>
      </c>
      <c r="B38" s="51">
        <f>MATCH(C38,統合マスタ!$C$5:$C$836,0)</f>
        <v>423</v>
      </c>
      <c r="C38" t="s">
        <v>3953</v>
      </c>
      <c r="D38" t="s">
        <v>1577</v>
      </c>
      <c r="E38">
        <v>363</v>
      </c>
      <c r="F38" s="69">
        <v>100</v>
      </c>
    </row>
    <row r="39" spans="1:6" hidden="1">
      <c r="A39">
        <v>38</v>
      </c>
      <c r="B39" s="51">
        <f>MATCH(C39,統合マスタ!$C$5:$C$836,0)</f>
        <v>428</v>
      </c>
      <c r="C39" t="s">
        <v>3954</v>
      </c>
      <c r="D39" t="s">
        <v>1583</v>
      </c>
      <c r="E39">
        <v>370</v>
      </c>
      <c r="F39" s="69">
        <v>100</v>
      </c>
    </row>
    <row r="40" spans="1:6">
      <c r="A40">
        <v>39</v>
      </c>
      <c r="B40" s="51">
        <f>MATCH(C40,統合マスタ!$C$5:$C$836,0)</f>
        <v>435</v>
      </c>
      <c r="C40" t="s">
        <v>3955</v>
      </c>
      <c r="D40" t="s">
        <v>1590</v>
      </c>
      <c r="E40">
        <v>378</v>
      </c>
      <c r="F40" s="69">
        <v>82.352941176470495</v>
      </c>
    </row>
    <row r="41" spans="1:6">
      <c r="A41">
        <v>40</v>
      </c>
      <c r="B41">
        <f>MATCH(C41,統合マスタ!$C$5:$C$836,0)</f>
        <v>438</v>
      </c>
      <c r="C41" t="s">
        <v>753</v>
      </c>
      <c r="D41" t="s">
        <v>1594</v>
      </c>
      <c r="E41">
        <v>382</v>
      </c>
      <c r="F41" s="69">
        <v>93.3333333333333</v>
      </c>
    </row>
    <row r="42" spans="1:6" hidden="1">
      <c r="A42">
        <v>41</v>
      </c>
      <c r="B42" s="51">
        <f>MATCH(C42,統合マスタ!$C$5:$C$836,0)</f>
        <v>444</v>
      </c>
      <c r="C42" t="s">
        <v>1598</v>
      </c>
      <c r="D42" t="s">
        <v>1598</v>
      </c>
      <c r="E42">
        <v>387</v>
      </c>
      <c r="F42" s="69">
        <v>100</v>
      </c>
    </row>
    <row r="43" spans="1:6" hidden="1">
      <c r="A43">
        <v>42</v>
      </c>
      <c r="B43" s="51">
        <f>MATCH(C43,統合マスタ!$C$5:$C$836,0)</f>
        <v>479</v>
      </c>
      <c r="C43" t="s">
        <v>1626</v>
      </c>
      <c r="D43" t="s">
        <v>1626</v>
      </c>
      <c r="E43">
        <v>417</v>
      </c>
      <c r="F43" s="69">
        <v>100</v>
      </c>
    </row>
    <row r="44" spans="1:6">
      <c r="A44">
        <v>43</v>
      </c>
      <c r="B44">
        <f>MATCH(C44,統合マスタ!$C$5:$C$836,0)</f>
        <v>481</v>
      </c>
      <c r="C44" t="s">
        <v>3965</v>
      </c>
      <c r="D44" t="s">
        <v>1395</v>
      </c>
      <c r="E44">
        <v>154</v>
      </c>
      <c r="F44" s="69">
        <v>72.2222222222222</v>
      </c>
    </row>
    <row r="45" spans="1:6">
      <c r="A45">
        <v>44</v>
      </c>
      <c r="B45">
        <f>MATCH(C45,統合マスタ!$C$5:$C$836,0)</f>
        <v>503</v>
      </c>
      <c r="C45" t="s">
        <v>1640</v>
      </c>
      <c r="D45" t="s">
        <v>831</v>
      </c>
      <c r="E45">
        <v>435</v>
      </c>
      <c r="F45" s="69">
        <v>80</v>
      </c>
    </row>
    <row r="46" spans="1:6">
      <c r="A46">
        <v>45</v>
      </c>
      <c r="B46">
        <f>MATCH(C46,統合マスタ!$C$5:$C$836,0)</f>
        <v>513</v>
      </c>
      <c r="C46" t="s">
        <v>3970</v>
      </c>
      <c r="D46" t="s">
        <v>1342</v>
      </c>
      <c r="E46">
        <v>100</v>
      </c>
      <c r="F46" s="69">
        <v>45.454545454545404</v>
      </c>
    </row>
    <row r="47" spans="1:6">
      <c r="A47">
        <v>46</v>
      </c>
      <c r="B47" s="51">
        <f>MATCH(C47,統合マスタ!$C$5:$C$836,0)</f>
        <v>516</v>
      </c>
      <c r="C47" t="s">
        <v>3971</v>
      </c>
      <c r="D47" t="s">
        <v>1647</v>
      </c>
      <c r="E47">
        <v>441</v>
      </c>
      <c r="F47" s="69">
        <v>96.551724137931004</v>
      </c>
    </row>
    <row r="48" spans="1:6" ht="26.4">
      <c r="A48">
        <v>47</v>
      </c>
      <c r="B48" t="e">
        <f>MATCH(C48,統合マスタ!$C$5:$C$836,0)</f>
        <v>#N/A</v>
      </c>
      <c r="C48" s="17" t="s">
        <v>4082</v>
      </c>
      <c r="D48" t="s">
        <v>1659</v>
      </c>
      <c r="E48">
        <v>453</v>
      </c>
      <c r="F48" s="69">
        <v>70.270270270270203</v>
      </c>
    </row>
    <row r="49" spans="1:6">
      <c r="A49">
        <v>48</v>
      </c>
      <c r="B49" s="51">
        <f>MATCH(C49,統合マスタ!$C$5:$C$836,0)</f>
        <v>533</v>
      </c>
      <c r="C49" t="s">
        <v>863</v>
      </c>
      <c r="D49" t="s">
        <v>1662</v>
      </c>
      <c r="E49">
        <v>456</v>
      </c>
      <c r="F49" s="69">
        <v>95</v>
      </c>
    </row>
    <row r="50" spans="1:6">
      <c r="A50">
        <v>49</v>
      </c>
      <c r="B50">
        <f>MATCH(C50,統合マスタ!$C$5:$C$836,0)</f>
        <v>537</v>
      </c>
      <c r="C50" t="s">
        <v>866</v>
      </c>
      <c r="D50" t="s">
        <v>1663</v>
      </c>
      <c r="E50">
        <v>457</v>
      </c>
      <c r="F50" s="69">
        <v>47.619047619047599</v>
      </c>
    </row>
    <row r="51" spans="1:6">
      <c r="A51">
        <v>50</v>
      </c>
      <c r="B51">
        <f>MATCH(C51,統合マスタ!$C$5:$C$836,0)</f>
        <v>539</v>
      </c>
      <c r="C51" t="s">
        <v>868</v>
      </c>
      <c r="D51" t="s">
        <v>1665</v>
      </c>
      <c r="E51">
        <v>460</v>
      </c>
      <c r="F51" s="69">
        <v>82.352941176470495</v>
      </c>
    </row>
    <row r="52" spans="1:6">
      <c r="A52">
        <v>51</v>
      </c>
      <c r="B52">
        <f>MATCH(C52,統合マスタ!$C$5:$C$836,0)</f>
        <v>540</v>
      </c>
      <c r="C52" t="s">
        <v>3973</v>
      </c>
      <c r="D52" t="s">
        <v>1667</v>
      </c>
      <c r="E52">
        <v>462</v>
      </c>
      <c r="F52" s="69">
        <v>86.956521739130395</v>
      </c>
    </row>
    <row r="53" spans="1:6">
      <c r="A53">
        <v>52</v>
      </c>
      <c r="B53">
        <f>MATCH(C53,統合マスタ!$C$5:$C$836,0)</f>
        <v>541</v>
      </c>
      <c r="C53" t="s">
        <v>870</v>
      </c>
      <c r="D53" t="s">
        <v>1668</v>
      </c>
      <c r="E53">
        <v>463</v>
      </c>
      <c r="F53" s="69">
        <v>61.538461538461497</v>
      </c>
    </row>
    <row r="54" spans="1:6">
      <c r="A54">
        <v>53</v>
      </c>
      <c r="B54">
        <f>MATCH(C54,統合マスタ!$C$5:$C$836,0)</f>
        <v>542</v>
      </c>
      <c r="C54" t="s">
        <v>3974</v>
      </c>
      <c r="D54" t="s">
        <v>1670</v>
      </c>
      <c r="E54">
        <v>465</v>
      </c>
      <c r="F54" s="69">
        <v>93.3333333333333</v>
      </c>
    </row>
    <row r="55" spans="1:6">
      <c r="A55">
        <v>54</v>
      </c>
      <c r="B55">
        <f>MATCH(C55,統合マスタ!$C$5:$C$836,0)</f>
        <v>544</v>
      </c>
      <c r="C55" t="s">
        <v>3975</v>
      </c>
      <c r="D55" t="s">
        <v>1669</v>
      </c>
      <c r="E55">
        <v>464</v>
      </c>
      <c r="F55" s="69">
        <v>87.5</v>
      </c>
    </row>
    <row r="56" spans="1:6" hidden="1">
      <c r="A56">
        <v>55</v>
      </c>
      <c r="B56" s="51">
        <f>MATCH(C56,統合マスタ!$C$5:$C$836,0)</f>
        <v>553</v>
      </c>
      <c r="C56" t="s">
        <v>1680</v>
      </c>
      <c r="D56" t="s">
        <v>1680</v>
      </c>
      <c r="E56">
        <v>477</v>
      </c>
      <c r="F56" s="69">
        <v>100</v>
      </c>
    </row>
    <row r="57" spans="1:6" hidden="1">
      <c r="A57">
        <v>56</v>
      </c>
      <c r="B57" s="51">
        <f>MATCH(C57,統合マスタ!$C$5:$C$836,0)</f>
        <v>562</v>
      </c>
      <c r="C57" t="s">
        <v>3977</v>
      </c>
      <c r="D57" t="s">
        <v>1687</v>
      </c>
      <c r="E57">
        <v>485</v>
      </c>
      <c r="F57" s="69">
        <v>100</v>
      </c>
    </row>
    <row r="58" spans="1:6">
      <c r="A58">
        <v>57</v>
      </c>
      <c r="B58">
        <f>MATCH(C58,統合マスタ!$C$5:$C$836,0)</f>
        <v>566</v>
      </c>
      <c r="C58" t="s">
        <v>3978</v>
      </c>
      <c r="D58" t="s">
        <v>1690</v>
      </c>
      <c r="E58">
        <v>488</v>
      </c>
      <c r="F58" s="69">
        <v>93.3333333333333</v>
      </c>
    </row>
    <row r="59" spans="1:6">
      <c r="A59">
        <v>58</v>
      </c>
      <c r="B59">
        <f>MATCH(C59,統合マスタ!$C$5:$C$836,0)</f>
        <v>580</v>
      </c>
      <c r="C59" t="s">
        <v>3980</v>
      </c>
      <c r="D59" t="s">
        <v>1704</v>
      </c>
      <c r="E59">
        <v>503</v>
      </c>
      <c r="F59" s="69">
        <v>75.5555555555555</v>
      </c>
    </row>
    <row r="60" spans="1:6">
      <c r="A60">
        <v>59</v>
      </c>
      <c r="B60" s="51">
        <f>MATCH(C60,統合マスタ!$C$5:$C$836,0)</f>
        <v>584</v>
      </c>
      <c r="C60" t="s">
        <v>3981</v>
      </c>
      <c r="D60" t="s">
        <v>1706</v>
      </c>
      <c r="E60">
        <v>505</v>
      </c>
      <c r="F60" s="69">
        <v>88.8888888888888</v>
      </c>
    </row>
    <row r="61" spans="1:6" hidden="1">
      <c r="A61">
        <v>60</v>
      </c>
      <c r="B61" s="51">
        <f>MATCH(C61,統合マスタ!$C$5:$C$836,0)</f>
        <v>587</v>
      </c>
      <c r="C61" t="s">
        <v>927</v>
      </c>
      <c r="D61" t="s">
        <v>1708</v>
      </c>
      <c r="E61">
        <v>508</v>
      </c>
      <c r="F61" s="69">
        <v>100</v>
      </c>
    </row>
    <row r="62" spans="1:6" hidden="1">
      <c r="A62">
        <v>61</v>
      </c>
      <c r="B62" s="51">
        <f>MATCH(C62,統合マスタ!$C$5:$C$836,0)</f>
        <v>602</v>
      </c>
      <c r="C62" t="s">
        <v>3987</v>
      </c>
      <c r="D62" t="s">
        <v>1723</v>
      </c>
      <c r="E62">
        <v>523</v>
      </c>
      <c r="F62" s="69">
        <v>100</v>
      </c>
    </row>
    <row r="63" spans="1:6">
      <c r="A63">
        <v>62</v>
      </c>
      <c r="B63" s="51">
        <f>MATCH(C63,統合マスタ!$C$5:$C$836,0)</f>
        <v>610</v>
      </c>
      <c r="C63" t="s">
        <v>3989</v>
      </c>
      <c r="D63" t="s">
        <v>1738</v>
      </c>
      <c r="E63">
        <v>540</v>
      </c>
      <c r="F63" s="69">
        <v>90.909090909090907</v>
      </c>
    </row>
    <row r="64" spans="1:6">
      <c r="A64">
        <v>63</v>
      </c>
      <c r="B64">
        <f>MATCH(C64,統合マスタ!$C$5:$C$836,0)</f>
        <v>619</v>
      </c>
      <c r="C64" t="s">
        <v>3995</v>
      </c>
      <c r="D64" t="s">
        <v>1734</v>
      </c>
      <c r="E64">
        <v>536</v>
      </c>
      <c r="F64" s="69">
        <v>65</v>
      </c>
    </row>
    <row r="65" spans="1:6" hidden="1">
      <c r="A65">
        <v>64</v>
      </c>
      <c r="B65" s="51">
        <f>MATCH(C65,統合マスタ!$C$5:$C$836,0)</f>
        <v>626</v>
      </c>
      <c r="C65" t="s">
        <v>1741</v>
      </c>
      <c r="D65" t="s">
        <v>1741</v>
      </c>
      <c r="E65">
        <v>543</v>
      </c>
      <c r="F65" s="69">
        <v>100</v>
      </c>
    </row>
    <row r="66" spans="1:6">
      <c r="A66">
        <v>65</v>
      </c>
      <c r="B66">
        <f>MATCH(C66,統合マスタ!$C$5:$C$836,0)</f>
        <v>634</v>
      </c>
      <c r="C66" t="s">
        <v>1744</v>
      </c>
      <c r="D66" t="s">
        <v>757</v>
      </c>
      <c r="E66">
        <v>384</v>
      </c>
      <c r="F66" s="69">
        <v>72</v>
      </c>
    </row>
    <row r="67" spans="1:6">
      <c r="A67">
        <v>66</v>
      </c>
      <c r="B67" s="51">
        <f>MATCH(C67,統合マスタ!$C$5:$C$836,0)</f>
        <v>672</v>
      </c>
      <c r="C67" t="s">
        <v>4000</v>
      </c>
      <c r="D67" t="s">
        <v>1778</v>
      </c>
      <c r="E67">
        <v>586</v>
      </c>
      <c r="F67" s="69">
        <v>85.714285714285694</v>
      </c>
    </row>
    <row r="68" spans="1:6">
      <c r="A68">
        <v>67</v>
      </c>
      <c r="B68" s="51">
        <f>MATCH(C68,統合マスタ!$C$5:$C$836,0)</f>
        <v>673</v>
      </c>
      <c r="C68" t="s">
        <v>4001</v>
      </c>
      <c r="D68" t="s">
        <v>1777</v>
      </c>
      <c r="E68">
        <v>585</v>
      </c>
      <c r="F68" s="69">
        <v>84.848484848484802</v>
      </c>
    </row>
    <row r="69" spans="1:6">
      <c r="A69">
        <v>68</v>
      </c>
      <c r="B69">
        <f>MATCH(C69,統合マスタ!$C$5:$C$836,0)</f>
        <v>675</v>
      </c>
      <c r="C69" t="s">
        <v>4002</v>
      </c>
      <c r="D69" t="s">
        <v>1779</v>
      </c>
      <c r="E69">
        <v>587</v>
      </c>
      <c r="F69" s="69">
        <v>84.848484848484802</v>
      </c>
    </row>
    <row r="70" spans="1:6">
      <c r="A70">
        <v>69</v>
      </c>
      <c r="B70">
        <f>MATCH(C70,統合マスタ!$C$5:$C$836,0)</f>
        <v>676</v>
      </c>
      <c r="C70" t="s">
        <v>4003</v>
      </c>
      <c r="D70" t="s">
        <v>1779</v>
      </c>
      <c r="E70">
        <v>587</v>
      </c>
      <c r="F70" s="69">
        <v>84.848484848484802</v>
      </c>
    </row>
    <row r="71" spans="1:6">
      <c r="A71">
        <v>70</v>
      </c>
      <c r="B71" s="51">
        <f>MATCH(C71,統合マスタ!$C$5:$C$836,0)</f>
        <v>719</v>
      </c>
      <c r="C71" t="s">
        <v>1802</v>
      </c>
      <c r="D71" t="s">
        <v>1807</v>
      </c>
      <c r="E71">
        <v>614</v>
      </c>
      <c r="F71" s="69">
        <v>94.4444444444444</v>
      </c>
    </row>
    <row r="72" spans="1:6">
      <c r="A72">
        <v>71</v>
      </c>
      <c r="B72" s="51">
        <f>MATCH(C72,統合マスタ!$C$5:$C$836,0)</f>
        <v>720</v>
      </c>
      <c r="C72" t="s">
        <v>1804</v>
      </c>
      <c r="D72" t="s">
        <v>1808</v>
      </c>
      <c r="E72">
        <v>615</v>
      </c>
      <c r="F72" s="69">
        <v>93.75</v>
      </c>
    </row>
    <row r="73" spans="1:6" hidden="1">
      <c r="A73">
        <v>72</v>
      </c>
      <c r="B73" s="51">
        <f>MATCH(C73,統合マスタ!$C$5:$C$836,0)</f>
        <v>759</v>
      </c>
      <c r="C73" t="s">
        <v>1836</v>
      </c>
      <c r="D73" t="s">
        <v>1836</v>
      </c>
      <c r="E73">
        <v>646</v>
      </c>
      <c r="F73" s="69">
        <v>100</v>
      </c>
    </row>
    <row r="74" spans="1:6">
      <c r="A74">
        <v>73</v>
      </c>
      <c r="B74">
        <f>MATCH(C74,統合マスタ!$C$5:$C$836,0)</f>
        <v>777</v>
      </c>
      <c r="C74" t="s">
        <v>4023</v>
      </c>
      <c r="D74" t="s">
        <v>1731</v>
      </c>
      <c r="E74">
        <v>532</v>
      </c>
      <c r="F74" s="69">
        <v>55.5555555555555</v>
      </c>
    </row>
    <row r="75" spans="1:6">
      <c r="A75">
        <v>74</v>
      </c>
      <c r="B75" s="51">
        <f>MATCH(C75,統合マスタ!$C$5:$C$836,0)</f>
        <v>799</v>
      </c>
      <c r="C75" t="s">
        <v>4025</v>
      </c>
      <c r="D75" t="s">
        <v>1867</v>
      </c>
      <c r="E75">
        <v>678</v>
      </c>
      <c r="F75" s="69">
        <v>96.296296296296305</v>
      </c>
    </row>
    <row r="76" spans="1:6" hidden="1">
      <c r="A76">
        <v>75</v>
      </c>
      <c r="B76" s="51">
        <f>MATCH(C76,統合マスタ!$C$5:$C$836,0)</f>
        <v>804</v>
      </c>
      <c r="C76" t="s">
        <v>1241</v>
      </c>
      <c r="D76" t="s">
        <v>1245</v>
      </c>
      <c r="E76">
        <v>1</v>
      </c>
      <c r="F76" s="69">
        <v>100</v>
      </c>
    </row>
    <row r="77" spans="1:6">
      <c r="A77">
        <v>76</v>
      </c>
      <c r="B77">
        <f>MATCH(C77,統合マスタ!$C$5:$C$836,0)</f>
        <v>807</v>
      </c>
      <c r="C77" t="s">
        <v>1339</v>
      </c>
      <c r="D77" t="s">
        <v>1679</v>
      </c>
      <c r="E77">
        <v>475</v>
      </c>
      <c r="F77" s="69">
        <v>51.428571428571402</v>
      </c>
    </row>
    <row r="78" spans="1:6">
      <c r="A78">
        <v>77</v>
      </c>
      <c r="B78">
        <f>MATCH(C78,統合マスタ!$C$5:$C$836,0)</f>
        <v>808</v>
      </c>
      <c r="C78" t="s">
        <v>4028</v>
      </c>
      <c r="D78" t="s">
        <v>1472</v>
      </c>
      <c r="E78">
        <v>246</v>
      </c>
      <c r="F78" s="69">
        <v>44.4444444444444</v>
      </c>
    </row>
    <row r="79" spans="1:6">
      <c r="A79">
        <v>78</v>
      </c>
      <c r="B79">
        <f>MATCH(C79,統合マスタ!$C$5:$C$836,0)</f>
        <v>809</v>
      </c>
      <c r="C79" t="s">
        <v>1183</v>
      </c>
      <c r="D79" t="s">
        <v>1472</v>
      </c>
      <c r="E79">
        <v>246</v>
      </c>
      <c r="F79" s="69">
        <v>46.153846153846096</v>
      </c>
    </row>
    <row r="80" spans="1:6">
      <c r="A80">
        <v>79</v>
      </c>
      <c r="B80">
        <f>MATCH(C80,統合マスタ!$C$5:$C$836,0)</f>
        <v>814</v>
      </c>
      <c r="C80" t="s">
        <v>4029</v>
      </c>
      <c r="D80" t="s">
        <v>1455</v>
      </c>
      <c r="E80">
        <v>223</v>
      </c>
      <c r="F80" s="69">
        <v>78.571428571428498</v>
      </c>
    </row>
    <row r="81" spans="1:6">
      <c r="A81">
        <v>80</v>
      </c>
      <c r="B81">
        <f>MATCH(C81,統合マスタ!$C$5:$C$836,0)</f>
        <v>817</v>
      </c>
      <c r="C81" t="s">
        <v>4032</v>
      </c>
      <c r="D81" t="s">
        <v>1456</v>
      </c>
      <c r="E81">
        <v>224</v>
      </c>
      <c r="F81" s="69">
        <v>84.615384615384599</v>
      </c>
    </row>
    <row r="82" spans="1:6">
      <c r="A82">
        <v>81</v>
      </c>
      <c r="B82">
        <f>MATCH(C82,統合マスタ!$C$5:$C$836,0)</f>
        <v>818</v>
      </c>
      <c r="C82" t="s">
        <v>1198</v>
      </c>
      <c r="D82" t="s">
        <v>1734</v>
      </c>
      <c r="E82">
        <v>536</v>
      </c>
      <c r="F82" s="69">
        <v>41.379310344827502</v>
      </c>
    </row>
    <row r="83" spans="1:6">
      <c r="A83">
        <v>82</v>
      </c>
      <c r="B83">
        <f>MATCH(C83,統合マスタ!$C$5:$C$836,0)</f>
        <v>820</v>
      </c>
      <c r="C83" t="s">
        <v>1242</v>
      </c>
      <c r="D83" t="s">
        <v>1453</v>
      </c>
      <c r="E83">
        <v>220</v>
      </c>
      <c r="F83" s="69">
        <v>66.6666666666666</v>
      </c>
    </row>
    <row r="84" spans="1:6">
      <c r="A84">
        <v>83</v>
      </c>
      <c r="B84">
        <f>MATCH(C84,統合マスタ!$C$5:$C$836,0)</f>
        <v>821</v>
      </c>
      <c r="C84" t="s">
        <v>1243</v>
      </c>
      <c r="D84" t="s">
        <v>1453</v>
      </c>
      <c r="E84">
        <v>220</v>
      </c>
      <c r="F84" s="69">
        <v>58.823529411764703</v>
      </c>
    </row>
    <row r="85" spans="1:6" hidden="1">
      <c r="A85">
        <v>84</v>
      </c>
      <c r="B85" s="51">
        <f>MATCH(C85,統合マスタ!$C$5:$C$836,0)</f>
        <v>822</v>
      </c>
      <c r="C85" t="s">
        <v>1204</v>
      </c>
      <c r="D85" t="s">
        <v>1551</v>
      </c>
      <c r="E85">
        <v>335</v>
      </c>
      <c r="F85" s="69">
        <v>100</v>
      </c>
    </row>
    <row r="86" spans="1:6" hidden="1">
      <c r="A86">
        <v>85</v>
      </c>
      <c r="B86" s="51">
        <f>MATCH(C86,統合マスタ!$C$5:$C$836,0)</f>
        <v>828</v>
      </c>
      <c r="C86" t="s">
        <v>1499</v>
      </c>
      <c r="D86" t="s">
        <v>1499</v>
      </c>
      <c r="E86">
        <v>278</v>
      </c>
      <c r="F86" s="69">
        <v>100</v>
      </c>
    </row>
    <row r="87" spans="1:6">
      <c r="A87">
        <v>86</v>
      </c>
      <c r="B87">
        <f>MATCH(C87,統合マスタ!$C$5:$C$836,0)</f>
        <v>829</v>
      </c>
      <c r="C87" t="s">
        <v>4033</v>
      </c>
      <c r="D87" t="s">
        <v>1509</v>
      </c>
      <c r="E87">
        <v>288</v>
      </c>
      <c r="F87" s="69">
        <v>62.857142857142797</v>
      </c>
    </row>
    <row r="88" spans="1:6">
      <c r="A88">
        <v>87</v>
      </c>
      <c r="B88">
        <f>MATCH(C88,統合マスタ!$C$5:$C$836,0)</f>
        <v>830</v>
      </c>
      <c r="C88" t="s">
        <v>4034</v>
      </c>
      <c r="D88" t="s">
        <v>1509</v>
      </c>
      <c r="E88">
        <v>288</v>
      </c>
      <c r="F88" s="69">
        <v>66.6666666666666</v>
      </c>
    </row>
    <row r="89" spans="1:6">
      <c r="A89">
        <v>88</v>
      </c>
      <c r="B89">
        <f>MATCH(C89,統合マスタ!$C$5:$C$836,0)</f>
        <v>831</v>
      </c>
      <c r="C89" t="s">
        <v>1214</v>
      </c>
      <c r="D89" t="s">
        <v>1588</v>
      </c>
      <c r="E89">
        <v>376</v>
      </c>
      <c r="F89" s="69">
        <v>55.5555555555555</v>
      </c>
    </row>
    <row r="90" spans="1:6">
      <c r="A90">
        <v>89</v>
      </c>
      <c r="B90" t="e">
        <f>MATCH(C90,統合マスタ!$C$5:$C$836,0)</f>
        <v>#N/A</v>
      </c>
      <c r="C90" t="s">
        <v>1219</v>
      </c>
      <c r="D90" t="s">
        <v>1607</v>
      </c>
      <c r="E90">
        <v>396</v>
      </c>
      <c r="F90" s="69">
        <v>66.6666666666666</v>
      </c>
    </row>
    <row r="91" spans="1:6">
      <c r="B91" t="e">
        <f>MATCH(C91,統合マスタ!$C$5:$C$836,0)</f>
        <v>#N/A</v>
      </c>
    </row>
    <row r="92" spans="1:6">
      <c r="B92" t="e">
        <f>MATCH(C92,統合マスタ!$C$5:$C$836,0)</f>
        <v>#N/A</v>
      </c>
    </row>
    <row r="93" spans="1:6">
      <c r="B93" t="e">
        <f>MATCH(C93,統合マスタ!$C$5:$C$836,0)</f>
        <v>#N/A</v>
      </c>
    </row>
    <row r="94" spans="1:6">
      <c r="B94" t="e">
        <f>MATCH(C94,統合マスタ!$C$5:$C$836,0)</f>
        <v>#N/A</v>
      </c>
    </row>
    <row r="95" spans="1:6">
      <c r="B95" t="e">
        <f>MATCH(C95,統合マスタ!$C$5:$C$836,0)</f>
        <v>#N/A</v>
      </c>
    </row>
    <row r="96" spans="1:6">
      <c r="B96" t="e">
        <f>MATCH(C96,統合マスタ!$C$5:$C$836,0)</f>
        <v>#N/A</v>
      </c>
    </row>
    <row r="97" spans="2:2">
      <c r="B97" t="e">
        <f>MATCH(C97,統合マスタ!$C$5:$C$836,0)</f>
        <v>#N/A</v>
      </c>
    </row>
    <row r="98" spans="2:2">
      <c r="B98" t="e">
        <f>MATCH(C98,統合マスタ!$C$5:$C$836,0)</f>
        <v>#N/A</v>
      </c>
    </row>
    <row r="99" spans="2:2">
      <c r="B99" t="e">
        <f>MATCH(C99,統合マスタ!$C$5:$C$836,0)</f>
        <v>#N/A</v>
      </c>
    </row>
    <row r="100" spans="2:2">
      <c r="B100" t="e">
        <f>MATCH(C100,統合マスタ!$C$5:$C$836,0)</f>
        <v>#N/A</v>
      </c>
    </row>
    <row r="101" spans="2:2">
      <c r="B101" t="e">
        <f>MATCH(C101,統合マスタ!$C$5:$C$836,0)</f>
        <v>#N/A</v>
      </c>
    </row>
    <row r="102" spans="2:2">
      <c r="B102" t="e">
        <f>MATCH(C102,統合マスタ!$C$5:$C$836,0)</f>
        <v>#N/A</v>
      </c>
    </row>
    <row r="103" spans="2:2">
      <c r="B103" t="e">
        <f>MATCH(C103,統合マスタ!$C$5:$C$836,0)</f>
        <v>#N/A</v>
      </c>
    </row>
    <row r="104" spans="2:2">
      <c r="B104" t="e">
        <f>MATCH(C104,統合マスタ!$C$5:$C$836,0)</f>
        <v>#N/A</v>
      </c>
    </row>
    <row r="105" spans="2:2">
      <c r="B105" t="e">
        <f>MATCH(C105,統合マスタ!$C$5:$C$836,0)</f>
        <v>#N/A</v>
      </c>
    </row>
    <row r="106" spans="2:2">
      <c r="B106" t="e">
        <f>MATCH(C106,統合マスタ!$C$5:$C$836,0)</f>
        <v>#N/A</v>
      </c>
    </row>
    <row r="107" spans="2:2">
      <c r="B107" t="e">
        <f>MATCH(C107,統合マスタ!$C$5:$C$836,0)</f>
        <v>#N/A</v>
      </c>
    </row>
    <row r="108" spans="2:2">
      <c r="B108" t="e">
        <f>MATCH(C108,統合マスタ!$C$5:$C$836,0)</f>
        <v>#N/A</v>
      </c>
    </row>
    <row r="109" spans="2:2">
      <c r="B109" t="e">
        <f>MATCH(C109,統合マスタ!$C$5:$C$836,0)</f>
        <v>#N/A</v>
      </c>
    </row>
    <row r="110" spans="2:2">
      <c r="B110" t="e">
        <f>MATCH(C110,統合マスタ!$C$5:$C$836,0)</f>
        <v>#N/A</v>
      </c>
    </row>
    <row r="111" spans="2:2">
      <c r="B111" t="e">
        <f>MATCH(C111,統合マスタ!$C$5:$C$836,0)</f>
        <v>#N/A</v>
      </c>
    </row>
    <row r="112" spans="2:2">
      <c r="B112" t="e">
        <f>MATCH(C112,統合マスタ!$C$5:$C$836,0)</f>
        <v>#N/A</v>
      </c>
    </row>
    <row r="113" spans="2:2">
      <c r="B113" t="e">
        <f>MATCH(C113,統合マスタ!$C$5:$C$836,0)</f>
        <v>#N/A</v>
      </c>
    </row>
    <row r="114" spans="2:2">
      <c r="B114" t="e">
        <f>MATCH(C114,統合マスタ!$C$5:$C$836,0)</f>
        <v>#N/A</v>
      </c>
    </row>
    <row r="115" spans="2:2">
      <c r="B115" t="e">
        <f>MATCH(C115,統合マスタ!$C$5:$C$836,0)</f>
        <v>#N/A</v>
      </c>
    </row>
    <row r="116" spans="2:2">
      <c r="B116" t="e">
        <f>MATCH(C116,統合マスタ!$C$5:$C$836,0)</f>
        <v>#N/A</v>
      </c>
    </row>
    <row r="117" spans="2:2">
      <c r="B117" t="e">
        <f>MATCH(C117,統合マスタ!$C$5:$C$836,0)</f>
        <v>#N/A</v>
      </c>
    </row>
    <row r="118" spans="2:2">
      <c r="B118" t="e">
        <f>MATCH(C118,統合マスタ!$C$5:$C$836,0)</f>
        <v>#N/A</v>
      </c>
    </row>
    <row r="119" spans="2:2">
      <c r="B119" t="e">
        <f>MATCH(C119,統合マスタ!$C$5:$C$836,0)</f>
        <v>#N/A</v>
      </c>
    </row>
    <row r="120" spans="2:2">
      <c r="B120" t="e">
        <f>MATCH(C120,統合マスタ!$C$5:$C$836,0)</f>
        <v>#N/A</v>
      </c>
    </row>
    <row r="121" spans="2:2">
      <c r="B121" t="e">
        <f>MATCH(C121,統合マスタ!$C$5:$C$836,0)</f>
        <v>#N/A</v>
      </c>
    </row>
    <row r="122" spans="2:2">
      <c r="B122" t="e">
        <f>MATCH(C122,統合マスタ!$C$5:$C$836,0)</f>
        <v>#N/A</v>
      </c>
    </row>
    <row r="123" spans="2:2">
      <c r="B123" t="e">
        <f>MATCH(C123,統合マスタ!$C$5:$C$836,0)</f>
        <v>#N/A</v>
      </c>
    </row>
    <row r="124" spans="2:2">
      <c r="B124" t="e">
        <f>MATCH(C124,統合マスタ!$C$5:$C$836,0)</f>
        <v>#N/A</v>
      </c>
    </row>
    <row r="125" spans="2:2">
      <c r="B125" t="e">
        <f>MATCH(C125,統合マスタ!$C$5:$C$836,0)</f>
        <v>#N/A</v>
      </c>
    </row>
    <row r="126" spans="2:2">
      <c r="B126" t="e">
        <f>MATCH(C126,統合マスタ!$C$5:$C$836,0)</f>
        <v>#N/A</v>
      </c>
    </row>
    <row r="127" spans="2:2">
      <c r="B127" t="e">
        <f>MATCH(C127,統合マスタ!$C$5:$C$836,0)</f>
        <v>#N/A</v>
      </c>
    </row>
    <row r="128" spans="2:2">
      <c r="B128" t="e">
        <f>MATCH(C128,統合マスタ!$C$5:$C$836,0)</f>
        <v>#N/A</v>
      </c>
    </row>
    <row r="129" spans="2:2">
      <c r="B129" t="e">
        <f>MATCH(C129,統合マスタ!$C$5:$C$836,0)</f>
        <v>#N/A</v>
      </c>
    </row>
    <row r="130" spans="2:2">
      <c r="B130" t="e">
        <f>MATCH(C130,統合マスタ!$C$5:$C$836,0)</f>
        <v>#N/A</v>
      </c>
    </row>
    <row r="131" spans="2:2">
      <c r="B131" t="e">
        <f>MATCH(C131,統合マスタ!$C$5:$C$836,0)</f>
        <v>#N/A</v>
      </c>
    </row>
    <row r="132" spans="2:2">
      <c r="B132" t="e">
        <f>MATCH(C132,統合マスタ!$C$5:$C$836,0)</f>
        <v>#N/A</v>
      </c>
    </row>
    <row r="133" spans="2:2">
      <c r="B133" t="e">
        <f>MATCH(C133,統合マスタ!$C$5:$C$836,0)</f>
        <v>#N/A</v>
      </c>
    </row>
    <row r="134" spans="2:2">
      <c r="B134" t="e">
        <f>MATCH(C134,統合マスタ!$C$5:$C$836,0)</f>
        <v>#N/A</v>
      </c>
    </row>
    <row r="135" spans="2:2">
      <c r="B135" t="e">
        <f>MATCH(C135,統合マスタ!$C$5:$C$836,0)</f>
        <v>#N/A</v>
      </c>
    </row>
    <row r="136" spans="2:2">
      <c r="B136" t="e">
        <f>MATCH(C136,統合マスタ!$C$5:$C$836,0)</f>
        <v>#N/A</v>
      </c>
    </row>
    <row r="137" spans="2:2">
      <c r="B137" t="e">
        <f>MATCH(C137,統合マスタ!$C$5:$C$836,0)</f>
        <v>#N/A</v>
      </c>
    </row>
    <row r="138" spans="2:2">
      <c r="B138" t="e">
        <f>MATCH(C138,統合マスタ!$C$5:$C$836,0)</f>
        <v>#N/A</v>
      </c>
    </row>
    <row r="139" spans="2:2">
      <c r="B139" t="e">
        <f>MATCH(C139,統合マスタ!$C$5:$C$836,0)</f>
        <v>#N/A</v>
      </c>
    </row>
    <row r="140" spans="2:2">
      <c r="B140" t="e">
        <f>MATCH(C140,統合マスタ!$C$5:$C$836,0)</f>
        <v>#N/A</v>
      </c>
    </row>
    <row r="141" spans="2:2">
      <c r="B141" t="e">
        <f>MATCH(C141,統合マスタ!$C$5:$C$836,0)</f>
        <v>#N/A</v>
      </c>
    </row>
    <row r="142" spans="2:2">
      <c r="B142" t="e">
        <f>MATCH(C142,統合マスタ!$C$5:$C$836,0)</f>
        <v>#N/A</v>
      </c>
    </row>
    <row r="143" spans="2:2">
      <c r="B143" t="e">
        <f>MATCH(C143,統合マスタ!$C$5:$C$836,0)</f>
        <v>#N/A</v>
      </c>
    </row>
    <row r="144" spans="2:2">
      <c r="B144" t="e">
        <f>MATCH(C144,統合マスタ!$C$5:$C$836,0)</f>
        <v>#N/A</v>
      </c>
    </row>
    <row r="145" spans="2:2">
      <c r="B145" t="e">
        <f>MATCH(C145,統合マスタ!$C$5:$C$836,0)</f>
        <v>#N/A</v>
      </c>
    </row>
    <row r="146" spans="2:2">
      <c r="B146" t="e">
        <f>MATCH(C146,統合マスタ!$C$5:$C$836,0)</f>
        <v>#N/A</v>
      </c>
    </row>
    <row r="147" spans="2:2">
      <c r="B147" t="e">
        <f>MATCH(C147,統合マスタ!$C$5:$C$836,0)</f>
        <v>#N/A</v>
      </c>
    </row>
    <row r="148" spans="2:2">
      <c r="B148" t="e">
        <f>MATCH(C148,統合マスタ!$C$5:$C$836,0)</f>
        <v>#N/A</v>
      </c>
    </row>
    <row r="149" spans="2:2">
      <c r="B149" t="e">
        <f>MATCH(C149,統合マスタ!$C$5:$C$836,0)</f>
        <v>#N/A</v>
      </c>
    </row>
    <row r="150" spans="2:2">
      <c r="B150" t="e">
        <f>MATCH(C150,統合マスタ!$C$5:$C$836,0)</f>
        <v>#N/A</v>
      </c>
    </row>
    <row r="151" spans="2:2">
      <c r="B151" t="e">
        <f>MATCH(C151,統合マスタ!$C$5:$C$836,0)</f>
        <v>#N/A</v>
      </c>
    </row>
    <row r="152" spans="2:2">
      <c r="B152" t="e">
        <f>MATCH(C152,統合マスタ!$C$5:$C$836,0)</f>
        <v>#N/A</v>
      </c>
    </row>
    <row r="153" spans="2:2">
      <c r="B153" t="e">
        <f>MATCH(C153,統合マスタ!$C$5:$C$836,0)</f>
        <v>#N/A</v>
      </c>
    </row>
    <row r="154" spans="2:2">
      <c r="B154" t="e">
        <f>MATCH(C154,統合マスタ!$C$5:$C$836,0)</f>
        <v>#N/A</v>
      </c>
    </row>
    <row r="155" spans="2:2">
      <c r="B155" t="e">
        <f>MATCH(C155,統合マスタ!$C$5:$C$836,0)</f>
        <v>#N/A</v>
      </c>
    </row>
    <row r="156" spans="2:2">
      <c r="B156" t="e">
        <f>MATCH(C156,統合マスタ!$C$5:$C$836,0)</f>
        <v>#N/A</v>
      </c>
    </row>
    <row r="157" spans="2:2">
      <c r="B157" t="e">
        <f>MATCH(C157,統合マスタ!$C$5:$C$836,0)</f>
        <v>#N/A</v>
      </c>
    </row>
    <row r="158" spans="2:2">
      <c r="B158" t="e">
        <f>MATCH(C158,統合マスタ!$C$5:$C$836,0)</f>
        <v>#N/A</v>
      </c>
    </row>
    <row r="159" spans="2:2">
      <c r="B159" t="e">
        <f>MATCH(C159,統合マスタ!$C$5:$C$836,0)</f>
        <v>#N/A</v>
      </c>
    </row>
    <row r="160" spans="2:2">
      <c r="B160" t="e">
        <f>MATCH(C160,統合マスタ!$C$5:$C$836,0)</f>
        <v>#N/A</v>
      </c>
    </row>
    <row r="161" spans="2:2">
      <c r="B161" t="e">
        <f>MATCH(C161,統合マスタ!$C$5:$C$836,0)</f>
        <v>#N/A</v>
      </c>
    </row>
    <row r="162" spans="2:2">
      <c r="B162" t="e">
        <f>MATCH(C162,統合マスタ!$C$5:$C$836,0)</f>
        <v>#N/A</v>
      </c>
    </row>
    <row r="163" spans="2:2">
      <c r="B163" t="e">
        <f>MATCH(C163,統合マスタ!$C$5:$C$836,0)</f>
        <v>#N/A</v>
      </c>
    </row>
    <row r="164" spans="2:2">
      <c r="B164" t="e">
        <f>MATCH(C164,統合マスタ!$C$5:$C$836,0)</f>
        <v>#N/A</v>
      </c>
    </row>
    <row r="165" spans="2:2">
      <c r="B165" t="e">
        <f>MATCH(C165,統合マスタ!$C$5:$C$836,0)</f>
        <v>#N/A</v>
      </c>
    </row>
    <row r="166" spans="2:2">
      <c r="B166" t="e">
        <f>MATCH(C166,統合マスタ!$C$5:$C$836,0)</f>
        <v>#N/A</v>
      </c>
    </row>
    <row r="167" spans="2:2">
      <c r="B167" t="e">
        <f>MATCH(C167,統合マスタ!$C$5:$C$836,0)</f>
        <v>#N/A</v>
      </c>
    </row>
    <row r="168" spans="2:2">
      <c r="B168" t="e">
        <f>MATCH(C168,統合マスタ!$C$5:$C$836,0)</f>
        <v>#N/A</v>
      </c>
    </row>
    <row r="169" spans="2:2">
      <c r="B169" t="e">
        <f>MATCH(C169,統合マスタ!$C$5:$C$836,0)</f>
        <v>#N/A</v>
      </c>
    </row>
    <row r="170" spans="2:2">
      <c r="B170" t="e">
        <f>MATCH(C170,統合マスタ!$C$5:$C$836,0)</f>
        <v>#N/A</v>
      </c>
    </row>
    <row r="171" spans="2:2">
      <c r="B171" t="e">
        <f>MATCH(C171,統合マスタ!$C$5:$C$836,0)</f>
        <v>#N/A</v>
      </c>
    </row>
    <row r="172" spans="2:2">
      <c r="B172" t="e">
        <f>MATCH(C172,統合マスタ!$C$5:$C$836,0)</f>
        <v>#N/A</v>
      </c>
    </row>
    <row r="173" spans="2:2">
      <c r="B173" t="e">
        <f>MATCH(C173,統合マスタ!$C$5:$C$836,0)</f>
        <v>#N/A</v>
      </c>
    </row>
    <row r="174" spans="2:2">
      <c r="B174" t="e">
        <f>MATCH(C174,統合マスタ!$C$5:$C$836,0)</f>
        <v>#N/A</v>
      </c>
    </row>
    <row r="175" spans="2:2">
      <c r="B175" t="e">
        <f>MATCH(C175,統合マスタ!$C$5:$C$836,0)</f>
        <v>#N/A</v>
      </c>
    </row>
    <row r="176" spans="2:2">
      <c r="B176" t="e">
        <f>MATCH(C176,統合マスタ!$C$5:$C$836,0)</f>
        <v>#N/A</v>
      </c>
    </row>
    <row r="177" spans="2:2">
      <c r="B177" t="e">
        <f>MATCH(C177,統合マスタ!$C$5:$C$836,0)</f>
        <v>#N/A</v>
      </c>
    </row>
    <row r="178" spans="2:2">
      <c r="B178" t="e">
        <f>MATCH(C178,統合マスタ!$C$5:$C$836,0)</f>
        <v>#N/A</v>
      </c>
    </row>
    <row r="179" spans="2:2">
      <c r="B179" t="e">
        <f>MATCH(C179,統合マスタ!$C$5:$C$836,0)</f>
        <v>#N/A</v>
      </c>
    </row>
    <row r="180" spans="2:2">
      <c r="B180" t="e">
        <f>MATCH(C180,統合マスタ!$C$5:$C$836,0)</f>
        <v>#N/A</v>
      </c>
    </row>
    <row r="181" spans="2:2">
      <c r="B181" t="e">
        <f>MATCH(C181,統合マスタ!$C$5:$C$836,0)</f>
        <v>#N/A</v>
      </c>
    </row>
    <row r="182" spans="2:2">
      <c r="B182" t="e">
        <f>MATCH(C182,統合マスタ!$C$5:$C$836,0)</f>
        <v>#N/A</v>
      </c>
    </row>
    <row r="183" spans="2:2">
      <c r="B183" t="e">
        <f>MATCH(C183,統合マスタ!$C$5:$C$836,0)</f>
        <v>#N/A</v>
      </c>
    </row>
    <row r="184" spans="2:2">
      <c r="B184" t="e">
        <f>MATCH(C184,統合マスタ!$C$5:$C$836,0)</f>
        <v>#N/A</v>
      </c>
    </row>
    <row r="185" spans="2:2">
      <c r="B185" t="e">
        <f>MATCH(C185,統合マスタ!$C$5:$C$836,0)</f>
        <v>#N/A</v>
      </c>
    </row>
    <row r="186" spans="2:2">
      <c r="B186" t="e">
        <f>MATCH(C186,統合マスタ!$C$5:$C$836,0)</f>
        <v>#N/A</v>
      </c>
    </row>
    <row r="187" spans="2:2">
      <c r="B187" t="e">
        <f>MATCH(C187,統合マスタ!$C$5:$C$836,0)</f>
        <v>#N/A</v>
      </c>
    </row>
    <row r="188" spans="2:2">
      <c r="B188" t="e">
        <f>MATCH(C188,統合マスタ!$C$5:$C$836,0)</f>
        <v>#N/A</v>
      </c>
    </row>
    <row r="189" spans="2:2">
      <c r="B189" t="e">
        <f>MATCH(C189,統合マスタ!$C$5:$C$836,0)</f>
        <v>#N/A</v>
      </c>
    </row>
    <row r="190" spans="2:2">
      <c r="B190" t="e">
        <f>MATCH(C190,統合マスタ!$C$5:$C$836,0)</f>
        <v>#N/A</v>
      </c>
    </row>
    <row r="191" spans="2:2">
      <c r="B191" t="e">
        <f>MATCH(C191,統合マスタ!$C$5:$C$836,0)</f>
        <v>#N/A</v>
      </c>
    </row>
    <row r="192" spans="2:2">
      <c r="B192" t="e">
        <f>MATCH(C192,統合マスタ!$C$5:$C$836,0)</f>
        <v>#N/A</v>
      </c>
    </row>
    <row r="193" spans="2:2">
      <c r="B193" t="e">
        <f>MATCH(C193,統合マスタ!$C$5:$C$836,0)</f>
        <v>#N/A</v>
      </c>
    </row>
    <row r="194" spans="2:2">
      <c r="B194" t="e">
        <f>MATCH(C194,統合マスタ!$C$5:$C$836,0)</f>
        <v>#N/A</v>
      </c>
    </row>
    <row r="195" spans="2:2">
      <c r="B195" t="e">
        <f>MATCH(C195,統合マスタ!$C$5:$C$836,0)</f>
        <v>#N/A</v>
      </c>
    </row>
    <row r="196" spans="2:2">
      <c r="B196" t="e">
        <f>MATCH(C196,統合マスタ!$C$5:$C$836,0)</f>
        <v>#N/A</v>
      </c>
    </row>
    <row r="197" spans="2:2">
      <c r="B197" t="e">
        <f>MATCH(C197,統合マスタ!$C$5:$C$836,0)</f>
        <v>#N/A</v>
      </c>
    </row>
    <row r="198" spans="2:2">
      <c r="B198" t="e">
        <f>MATCH(C198,統合マスタ!$C$5:$C$836,0)</f>
        <v>#N/A</v>
      </c>
    </row>
    <row r="199" spans="2:2">
      <c r="B199" t="e">
        <f>MATCH(C199,統合マスタ!$C$5:$C$836,0)</f>
        <v>#N/A</v>
      </c>
    </row>
    <row r="200" spans="2:2">
      <c r="B200" t="e">
        <f>MATCH(C200,統合マスタ!$C$5:$C$836,0)</f>
        <v>#N/A</v>
      </c>
    </row>
    <row r="201" spans="2:2">
      <c r="B201" t="e">
        <f>MATCH(C201,統合マスタ!$C$5:$C$836,0)</f>
        <v>#N/A</v>
      </c>
    </row>
    <row r="202" spans="2:2">
      <c r="B202" t="e">
        <f>MATCH(C202,統合マスタ!$C$5:$C$836,0)</f>
        <v>#N/A</v>
      </c>
    </row>
    <row r="203" spans="2:2">
      <c r="B203" t="e">
        <f>MATCH(C203,統合マスタ!$C$5:$C$836,0)</f>
        <v>#N/A</v>
      </c>
    </row>
    <row r="204" spans="2:2">
      <c r="B204" t="e">
        <f>MATCH(C204,統合マスタ!$C$5:$C$836,0)</f>
        <v>#N/A</v>
      </c>
    </row>
    <row r="205" spans="2:2">
      <c r="B205" t="e">
        <f>MATCH(C205,統合マスタ!$C$5:$C$836,0)</f>
        <v>#N/A</v>
      </c>
    </row>
    <row r="206" spans="2:2">
      <c r="B206" t="e">
        <f>MATCH(C206,統合マスタ!$C$5:$C$836,0)</f>
        <v>#N/A</v>
      </c>
    </row>
    <row r="207" spans="2:2">
      <c r="B207" t="e">
        <f>MATCH(C207,統合マスタ!$C$5:$C$836,0)</f>
        <v>#N/A</v>
      </c>
    </row>
    <row r="208" spans="2:2">
      <c r="B208" t="e">
        <f>MATCH(C208,統合マスタ!$C$5:$C$836,0)</f>
        <v>#N/A</v>
      </c>
    </row>
    <row r="209" spans="2:2">
      <c r="B209" t="e">
        <f>MATCH(C209,統合マスタ!$C$5:$C$836,0)</f>
        <v>#N/A</v>
      </c>
    </row>
    <row r="210" spans="2:2">
      <c r="B210" t="e">
        <f>MATCH(C210,統合マスタ!$C$5:$C$836,0)</f>
        <v>#N/A</v>
      </c>
    </row>
    <row r="211" spans="2:2">
      <c r="B211" t="e">
        <f>MATCH(C211,統合マスタ!$C$5:$C$836,0)</f>
        <v>#N/A</v>
      </c>
    </row>
    <row r="212" spans="2:2">
      <c r="B212" t="e">
        <f>MATCH(C212,統合マスタ!$C$5:$C$836,0)</f>
        <v>#N/A</v>
      </c>
    </row>
    <row r="213" spans="2:2">
      <c r="B213" t="e">
        <f>MATCH(C213,統合マスタ!$C$5:$C$836,0)</f>
        <v>#N/A</v>
      </c>
    </row>
    <row r="214" spans="2:2">
      <c r="B214" t="e">
        <f>MATCH(C214,統合マスタ!$C$5:$C$836,0)</f>
        <v>#N/A</v>
      </c>
    </row>
    <row r="215" spans="2:2">
      <c r="B215" t="e">
        <f>MATCH(C215,統合マスタ!$C$5:$C$836,0)</f>
        <v>#N/A</v>
      </c>
    </row>
    <row r="216" spans="2:2">
      <c r="B216" t="e">
        <f>MATCH(C216,統合マスタ!$C$5:$C$836,0)</f>
        <v>#N/A</v>
      </c>
    </row>
    <row r="217" spans="2:2">
      <c r="B217" t="e">
        <f>MATCH(C217,統合マスタ!$C$5:$C$836,0)</f>
        <v>#N/A</v>
      </c>
    </row>
    <row r="218" spans="2:2">
      <c r="B218" t="e">
        <f>MATCH(C218,統合マスタ!$C$5:$C$836,0)</f>
        <v>#N/A</v>
      </c>
    </row>
    <row r="219" spans="2:2">
      <c r="B219" t="e">
        <f>MATCH(C219,統合マスタ!$C$5:$C$836,0)</f>
        <v>#N/A</v>
      </c>
    </row>
    <row r="220" spans="2:2">
      <c r="B220" t="e">
        <f>MATCH(C220,統合マスタ!$C$5:$C$836,0)</f>
        <v>#N/A</v>
      </c>
    </row>
    <row r="221" spans="2:2">
      <c r="B221" t="e">
        <f>MATCH(C221,統合マスタ!$C$5:$C$836,0)</f>
        <v>#N/A</v>
      </c>
    </row>
    <row r="222" spans="2:2">
      <c r="B222" t="e">
        <f>MATCH(C222,統合マスタ!$C$5:$C$836,0)</f>
        <v>#N/A</v>
      </c>
    </row>
    <row r="223" spans="2:2">
      <c r="B223" t="e">
        <f>MATCH(C223,統合マスタ!$C$5:$C$836,0)</f>
        <v>#N/A</v>
      </c>
    </row>
    <row r="224" spans="2:2">
      <c r="B224" t="e">
        <f>MATCH(C224,統合マスタ!$C$5:$C$836,0)</f>
        <v>#N/A</v>
      </c>
    </row>
    <row r="225" spans="2:2">
      <c r="B225" t="e">
        <f>MATCH(C225,統合マスタ!$C$5:$C$836,0)</f>
        <v>#N/A</v>
      </c>
    </row>
    <row r="226" spans="2:2">
      <c r="B226" t="e">
        <f>MATCH(C226,統合マスタ!$C$5:$C$836,0)</f>
        <v>#N/A</v>
      </c>
    </row>
    <row r="227" spans="2:2">
      <c r="B227" t="e">
        <f>MATCH(C227,統合マスタ!$C$5:$C$836,0)</f>
        <v>#N/A</v>
      </c>
    </row>
    <row r="228" spans="2:2">
      <c r="B228" t="e">
        <f>MATCH(C228,統合マスタ!$C$5:$C$836,0)</f>
        <v>#N/A</v>
      </c>
    </row>
    <row r="229" spans="2:2">
      <c r="B229" t="e">
        <f>MATCH(C229,統合マスタ!$C$5:$C$836,0)</f>
        <v>#N/A</v>
      </c>
    </row>
    <row r="230" spans="2:2">
      <c r="B230" t="e">
        <f>MATCH(C230,統合マスタ!$C$5:$C$836,0)</f>
        <v>#N/A</v>
      </c>
    </row>
    <row r="231" spans="2:2">
      <c r="B231" t="e">
        <f>MATCH(C231,統合マスタ!$C$5:$C$836,0)</f>
        <v>#N/A</v>
      </c>
    </row>
    <row r="232" spans="2:2">
      <c r="B232" t="e">
        <f>MATCH(C232,統合マスタ!$C$5:$C$836,0)</f>
        <v>#N/A</v>
      </c>
    </row>
    <row r="233" spans="2:2">
      <c r="B233" t="e">
        <f>MATCH(C233,統合マスタ!$C$5:$C$836,0)</f>
        <v>#N/A</v>
      </c>
    </row>
    <row r="234" spans="2:2">
      <c r="B234" t="e">
        <f>MATCH(C234,統合マスタ!$C$5:$C$836,0)</f>
        <v>#N/A</v>
      </c>
    </row>
    <row r="235" spans="2:2">
      <c r="B235" t="e">
        <f>MATCH(C235,統合マスタ!$C$5:$C$836,0)</f>
        <v>#N/A</v>
      </c>
    </row>
    <row r="236" spans="2:2">
      <c r="B236" t="e">
        <f>MATCH(C236,統合マスタ!$C$5:$C$836,0)</f>
        <v>#N/A</v>
      </c>
    </row>
    <row r="237" spans="2:2">
      <c r="B237" t="e">
        <f>MATCH(C237,統合マスタ!$C$5:$C$836,0)</f>
        <v>#N/A</v>
      </c>
    </row>
    <row r="238" spans="2:2">
      <c r="B238" t="e">
        <f>MATCH(C238,統合マスタ!$C$5:$C$836,0)</f>
        <v>#N/A</v>
      </c>
    </row>
    <row r="239" spans="2:2">
      <c r="B239" t="e">
        <f>MATCH(C239,統合マスタ!$C$5:$C$836,0)</f>
        <v>#N/A</v>
      </c>
    </row>
    <row r="240" spans="2:2">
      <c r="B240" t="e">
        <f>MATCH(C240,統合マスタ!$C$5:$C$836,0)</f>
        <v>#N/A</v>
      </c>
    </row>
    <row r="241" spans="2:2">
      <c r="B241" t="e">
        <f>MATCH(C241,統合マスタ!$C$5:$C$836,0)</f>
        <v>#N/A</v>
      </c>
    </row>
    <row r="242" spans="2:2">
      <c r="B242" t="e">
        <f>MATCH(C242,統合マスタ!$C$5:$C$836,0)</f>
        <v>#N/A</v>
      </c>
    </row>
    <row r="243" spans="2:2">
      <c r="B243" t="e">
        <f>MATCH(C243,統合マスタ!$C$5:$C$836,0)</f>
        <v>#N/A</v>
      </c>
    </row>
    <row r="244" spans="2:2">
      <c r="B244" t="e">
        <f>MATCH(C244,統合マスタ!$C$5:$C$836,0)</f>
        <v>#N/A</v>
      </c>
    </row>
    <row r="245" spans="2:2">
      <c r="B245" t="e">
        <f>MATCH(C245,統合マスタ!$C$5:$C$836,0)</f>
        <v>#N/A</v>
      </c>
    </row>
    <row r="246" spans="2:2">
      <c r="B246" t="e">
        <f>MATCH(C246,統合マスタ!$C$5:$C$836,0)</f>
        <v>#N/A</v>
      </c>
    </row>
    <row r="247" spans="2:2">
      <c r="B247" t="e">
        <f>MATCH(C247,統合マスタ!$C$5:$C$836,0)</f>
        <v>#N/A</v>
      </c>
    </row>
    <row r="248" spans="2:2">
      <c r="B248" t="e">
        <f>MATCH(C248,統合マスタ!$C$5:$C$836,0)</f>
        <v>#N/A</v>
      </c>
    </row>
    <row r="249" spans="2:2">
      <c r="B249" t="e">
        <f>MATCH(C249,統合マスタ!$C$5:$C$836,0)</f>
        <v>#N/A</v>
      </c>
    </row>
    <row r="250" spans="2:2">
      <c r="B250" t="e">
        <f>MATCH(C250,統合マスタ!$C$5:$C$836,0)</f>
        <v>#N/A</v>
      </c>
    </row>
    <row r="251" spans="2:2">
      <c r="B251" t="e">
        <f>MATCH(C251,統合マスタ!$C$5:$C$836,0)</f>
        <v>#N/A</v>
      </c>
    </row>
    <row r="252" spans="2:2">
      <c r="B252" t="e">
        <f>MATCH(C252,統合マスタ!$C$5:$C$836,0)</f>
        <v>#N/A</v>
      </c>
    </row>
    <row r="253" spans="2:2">
      <c r="B253" t="e">
        <f>MATCH(C253,統合マスタ!$C$5:$C$836,0)</f>
        <v>#N/A</v>
      </c>
    </row>
    <row r="254" spans="2:2">
      <c r="B254" t="e">
        <f>MATCH(C254,統合マスタ!$C$5:$C$836,0)</f>
        <v>#N/A</v>
      </c>
    </row>
    <row r="255" spans="2:2">
      <c r="B255" t="e">
        <f>MATCH(C255,統合マスタ!$C$5:$C$836,0)</f>
        <v>#N/A</v>
      </c>
    </row>
    <row r="256" spans="2:2">
      <c r="B256" t="e">
        <f>MATCH(C256,統合マスタ!$C$5:$C$836,0)</f>
        <v>#N/A</v>
      </c>
    </row>
    <row r="257" spans="2:2">
      <c r="B257" t="e">
        <f>MATCH(C257,統合マスタ!$C$5:$C$836,0)</f>
        <v>#N/A</v>
      </c>
    </row>
    <row r="258" spans="2:2">
      <c r="B258" t="e">
        <f>MATCH(C258,統合マスタ!$C$5:$C$836,0)</f>
        <v>#N/A</v>
      </c>
    </row>
    <row r="259" spans="2:2">
      <c r="B259" t="e">
        <f>MATCH(C259,統合マスタ!$C$5:$C$836,0)</f>
        <v>#N/A</v>
      </c>
    </row>
    <row r="260" spans="2:2">
      <c r="B260" t="e">
        <f>MATCH(C260,統合マスタ!$C$5:$C$836,0)</f>
        <v>#N/A</v>
      </c>
    </row>
    <row r="261" spans="2:2">
      <c r="B261" t="e">
        <f>MATCH(C261,統合マスタ!$C$5:$C$836,0)</f>
        <v>#N/A</v>
      </c>
    </row>
    <row r="262" spans="2:2">
      <c r="B262" t="e">
        <f>MATCH(C262,統合マスタ!$C$5:$C$836,0)</f>
        <v>#N/A</v>
      </c>
    </row>
    <row r="263" spans="2:2">
      <c r="B263" t="e">
        <f>MATCH(C263,統合マスタ!$C$5:$C$836,0)</f>
        <v>#N/A</v>
      </c>
    </row>
    <row r="264" spans="2:2">
      <c r="B264" t="e">
        <f>MATCH(C264,統合マスタ!$C$5:$C$836,0)</f>
        <v>#N/A</v>
      </c>
    </row>
    <row r="265" spans="2:2">
      <c r="B265" t="e">
        <f>MATCH(C265,統合マスタ!$C$5:$C$836,0)</f>
        <v>#N/A</v>
      </c>
    </row>
    <row r="266" spans="2:2">
      <c r="B266" t="e">
        <f>MATCH(C266,統合マスタ!$C$5:$C$836,0)</f>
        <v>#N/A</v>
      </c>
    </row>
    <row r="267" spans="2:2">
      <c r="B267" t="e">
        <f>MATCH(C267,統合マスタ!$C$5:$C$836,0)</f>
        <v>#N/A</v>
      </c>
    </row>
    <row r="268" spans="2:2">
      <c r="B268" t="e">
        <f>MATCH(C268,統合マスタ!$C$5:$C$836,0)</f>
        <v>#N/A</v>
      </c>
    </row>
    <row r="269" spans="2:2">
      <c r="B269" t="e">
        <f>MATCH(C269,統合マスタ!$C$5:$C$836,0)</f>
        <v>#N/A</v>
      </c>
    </row>
    <row r="270" spans="2:2">
      <c r="B270" t="e">
        <f>MATCH(C270,統合マスタ!$C$5:$C$836,0)</f>
        <v>#N/A</v>
      </c>
    </row>
    <row r="271" spans="2:2">
      <c r="B271" t="e">
        <f>MATCH(C271,統合マスタ!$C$5:$C$836,0)</f>
        <v>#N/A</v>
      </c>
    </row>
    <row r="272" spans="2:2">
      <c r="B272" t="e">
        <f>MATCH(C272,統合マスタ!$C$5:$C$836,0)</f>
        <v>#N/A</v>
      </c>
    </row>
    <row r="273" spans="2:2">
      <c r="B273" t="e">
        <f>MATCH(C273,統合マスタ!$C$5:$C$836,0)</f>
        <v>#N/A</v>
      </c>
    </row>
    <row r="274" spans="2:2">
      <c r="B274" t="e">
        <f>MATCH(C274,統合マスタ!$C$5:$C$836,0)</f>
        <v>#N/A</v>
      </c>
    </row>
    <row r="275" spans="2:2">
      <c r="B275" t="e">
        <f>MATCH(C275,統合マスタ!$C$5:$C$836,0)</f>
        <v>#N/A</v>
      </c>
    </row>
    <row r="276" spans="2:2">
      <c r="B276" t="e">
        <f>MATCH(C276,統合マスタ!$C$5:$C$836,0)</f>
        <v>#N/A</v>
      </c>
    </row>
    <row r="277" spans="2:2">
      <c r="B277" t="e">
        <f>MATCH(C277,統合マスタ!$C$5:$C$836,0)</f>
        <v>#N/A</v>
      </c>
    </row>
    <row r="278" spans="2:2">
      <c r="B278" t="e">
        <f>MATCH(C278,統合マスタ!$C$5:$C$836,0)</f>
        <v>#N/A</v>
      </c>
    </row>
    <row r="279" spans="2:2">
      <c r="B279" t="e">
        <f>MATCH(C279,統合マスタ!$C$5:$C$836,0)</f>
        <v>#N/A</v>
      </c>
    </row>
    <row r="280" spans="2:2">
      <c r="B280" t="e">
        <f>MATCH(C280,統合マスタ!$C$5:$C$836,0)</f>
        <v>#N/A</v>
      </c>
    </row>
    <row r="281" spans="2:2">
      <c r="B281" t="e">
        <f>MATCH(C281,統合マスタ!$C$5:$C$836,0)</f>
        <v>#N/A</v>
      </c>
    </row>
    <row r="282" spans="2:2">
      <c r="B282" t="e">
        <f>MATCH(C282,統合マスタ!$C$5:$C$836,0)</f>
        <v>#N/A</v>
      </c>
    </row>
    <row r="283" spans="2:2">
      <c r="B283" t="e">
        <f>MATCH(C283,統合マスタ!$C$5:$C$836,0)</f>
        <v>#N/A</v>
      </c>
    </row>
    <row r="284" spans="2:2">
      <c r="B284" t="e">
        <f>MATCH(C284,統合マスタ!$C$5:$C$836,0)</f>
        <v>#N/A</v>
      </c>
    </row>
    <row r="285" spans="2:2">
      <c r="B285" t="e">
        <f>MATCH(C285,統合マスタ!$C$5:$C$836,0)</f>
        <v>#N/A</v>
      </c>
    </row>
    <row r="286" spans="2:2">
      <c r="B286" t="e">
        <f>MATCH(C286,統合マスタ!$C$5:$C$836,0)</f>
        <v>#N/A</v>
      </c>
    </row>
    <row r="287" spans="2:2">
      <c r="B287" t="e">
        <f>MATCH(C287,統合マスタ!$C$5:$C$836,0)</f>
        <v>#N/A</v>
      </c>
    </row>
    <row r="288" spans="2:2">
      <c r="B288" t="e">
        <f>MATCH(C288,統合マスタ!$C$5:$C$836,0)</f>
        <v>#N/A</v>
      </c>
    </row>
    <row r="289" spans="2:2">
      <c r="B289" t="e">
        <f>MATCH(C289,統合マスタ!$C$5:$C$836,0)</f>
        <v>#N/A</v>
      </c>
    </row>
    <row r="290" spans="2:2">
      <c r="B290" t="e">
        <f>MATCH(C290,統合マスタ!$C$5:$C$836,0)</f>
        <v>#N/A</v>
      </c>
    </row>
    <row r="291" spans="2:2">
      <c r="B291" t="e">
        <f>MATCH(C291,統合マスタ!$C$5:$C$836,0)</f>
        <v>#N/A</v>
      </c>
    </row>
    <row r="292" spans="2:2">
      <c r="B292" t="e">
        <f>MATCH(C292,統合マスタ!$C$5:$C$836,0)</f>
        <v>#N/A</v>
      </c>
    </row>
    <row r="293" spans="2:2">
      <c r="B293" t="e">
        <f>MATCH(C293,統合マスタ!$C$5:$C$836,0)</f>
        <v>#N/A</v>
      </c>
    </row>
    <row r="294" spans="2:2">
      <c r="B294" t="e">
        <f>MATCH(C294,統合マスタ!$C$5:$C$836,0)</f>
        <v>#N/A</v>
      </c>
    </row>
    <row r="295" spans="2:2">
      <c r="B295" t="e">
        <f>MATCH(C295,統合マスタ!$C$5:$C$836,0)</f>
        <v>#N/A</v>
      </c>
    </row>
    <row r="296" spans="2:2">
      <c r="B296" t="e">
        <f>MATCH(C296,統合マスタ!$C$5:$C$836,0)</f>
        <v>#N/A</v>
      </c>
    </row>
    <row r="297" spans="2:2">
      <c r="B297" t="e">
        <f>MATCH(C297,統合マスタ!$C$5:$C$836,0)</f>
        <v>#N/A</v>
      </c>
    </row>
    <row r="298" spans="2:2">
      <c r="B298" t="e">
        <f>MATCH(C298,統合マスタ!$C$5:$C$836,0)</f>
        <v>#N/A</v>
      </c>
    </row>
    <row r="299" spans="2:2">
      <c r="B299" t="e">
        <f>MATCH(C299,統合マスタ!$C$5:$C$836,0)</f>
        <v>#N/A</v>
      </c>
    </row>
    <row r="300" spans="2:2">
      <c r="B300" t="e">
        <f>MATCH(C300,統合マスタ!$C$5:$C$836,0)</f>
        <v>#N/A</v>
      </c>
    </row>
    <row r="301" spans="2:2">
      <c r="B301" t="e">
        <f>MATCH(C301,統合マスタ!$C$5:$C$836,0)</f>
        <v>#N/A</v>
      </c>
    </row>
    <row r="302" spans="2:2">
      <c r="B302" t="e">
        <f>MATCH(C302,統合マスタ!$C$5:$C$836,0)</f>
        <v>#N/A</v>
      </c>
    </row>
    <row r="303" spans="2:2">
      <c r="B303" t="e">
        <f>MATCH(C303,統合マスタ!$C$5:$C$836,0)</f>
        <v>#N/A</v>
      </c>
    </row>
    <row r="304" spans="2:2">
      <c r="B304" t="e">
        <f>MATCH(C304,統合マスタ!$C$5:$C$836,0)</f>
        <v>#N/A</v>
      </c>
    </row>
    <row r="305" spans="2:2">
      <c r="B305" t="e">
        <f>MATCH(C305,統合マスタ!$C$5:$C$836,0)</f>
        <v>#N/A</v>
      </c>
    </row>
    <row r="306" spans="2:2">
      <c r="B306" t="e">
        <f>MATCH(C306,統合マスタ!$C$5:$C$836,0)</f>
        <v>#N/A</v>
      </c>
    </row>
    <row r="307" spans="2:2">
      <c r="B307" t="e">
        <f>MATCH(C307,統合マスタ!$C$5:$C$836,0)</f>
        <v>#N/A</v>
      </c>
    </row>
    <row r="308" spans="2:2">
      <c r="B308" t="e">
        <f>MATCH(C308,統合マスタ!$C$5:$C$836,0)</f>
        <v>#N/A</v>
      </c>
    </row>
    <row r="309" spans="2:2">
      <c r="B309" t="e">
        <f>MATCH(C309,統合マスタ!$C$5:$C$836,0)</f>
        <v>#N/A</v>
      </c>
    </row>
    <row r="310" spans="2:2">
      <c r="B310" t="e">
        <f>MATCH(C310,統合マスタ!$C$5:$C$836,0)</f>
        <v>#N/A</v>
      </c>
    </row>
    <row r="311" spans="2:2">
      <c r="B311" t="e">
        <f>MATCH(C311,統合マスタ!$C$5:$C$836,0)</f>
        <v>#N/A</v>
      </c>
    </row>
    <row r="312" spans="2:2">
      <c r="B312" t="e">
        <f>MATCH(C312,統合マスタ!$C$5:$C$836,0)</f>
        <v>#N/A</v>
      </c>
    </row>
    <row r="313" spans="2:2">
      <c r="B313" t="e">
        <f>MATCH(C313,統合マスタ!$C$5:$C$836,0)</f>
        <v>#N/A</v>
      </c>
    </row>
    <row r="314" spans="2:2">
      <c r="B314" t="e">
        <f>MATCH(C314,統合マスタ!$C$5:$C$836,0)</f>
        <v>#N/A</v>
      </c>
    </row>
    <row r="315" spans="2:2">
      <c r="B315" t="e">
        <f>MATCH(C315,統合マスタ!$C$5:$C$836,0)</f>
        <v>#N/A</v>
      </c>
    </row>
    <row r="316" spans="2:2">
      <c r="B316" t="e">
        <f>MATCH(C316,統合マスタ!$C$5:$C$836,0)</f>
        <v>#N/A</v>
      </c>
    </row>
    <row r="317" spans="2:2">
      <c r="B317" t="e">
        <f>MATCH(C317,統合マスタ!$C$5:$C$836,0)</f>
        <v>#N/A</v>
      </c>
    </row>
    <row r="318" spans="2:2">
      <c r="B318" t="e">
        <f>MATCH(C318,統合マスタ!$C$5:$C$836,0)</f>
        <v>#N/A</v>
      </c>
    </row>
    <row r="319" spans="2:2">
      <c r="B319" t="e">
        <f>MATCH(C319,統合マスタ!$C$5:$C$836,0)</f>
        <v>#N/A</v>
      </c>
    </row>
    <row r="320" spans="2:2">
      <c r="B320" t="e">
        <f>MATCH(C320,統合マスタ!$C$5:$C$836,0)</f>
        <v>#N/A</v>
      </c>
    </row>
    <row r="321" spans="2:2">
      <c r="B321" t="e">
        <f>MATCH(C321,統合マスタ!$C$5:$C$836,0)</f>
        <v>#N/A</v>
      </c>
    </row>
    <row r="322" spans="2:2">
      <c r="B322" t="e">
        <f>MATCH(C322,統合マスタ!$C$5:$C$836,0)</f>
        <v>#N/A</v>
      </c>
    </row>
    <row r="323" spans="2:2">
      <c r="B323" t="e">
        <f>MATCH(C323,統合マスタ!$C$5:$C$836,0)</f>
        <v>#N/A</v>
      </c>
    </row>
    <row r="324" spans="2:2">
      <c r="B324" t="e">
        <f>MATCH(C324,統合マスタ!$C$5:$C$836,0)</f>
        <v>#N/A</v>
      </c>
    </row>
    <row r="325" spans="2:2">
      <c r="B325" t="e">
        <f>MATCH(C325,統合マスタ!$C$5:$C$836,0)</f>
        <v>#N/A</v>
      </c>
    </row>
    <row r="326" spans="2:2">
      <c r="B326" t="e">
        <f>MATCH(C326,統合マスタ!$C$5:$C$836,0)</f>
        <v>#N/A</v>
      </c>
    </row>
    <row r="327" spans="2:2">
      <c r="B327" t="e">
        <f>MATCH(C327,統合マスタ!$C$5:$C$836,0)</f>
        <v>#N/A</v>
      </c>
    </row>
    <row r="328" spans="2:2">
      <c r="B328" t="e">
        <f>MATCH(C328,統合マスタ!$C$5:$C$836,0)</f>
        <v>#N/A</v>
      </c>
    </row>
    <row r="329" spans="2:2">
      <c r="B329" t="e">
        <f>MATCH(C329,統合マスタ!$C$5:$C$836,0)</f>
        <v>#N/A</v>
      </c>
    </row>
    <row r="330" spans="2:2">
      <c r="B330" t="e">
        <f>MATCH(C330,統合マスタ!$C$5:$C$836,0)</f>
        <v>#N/A</v>
      </c>
    </row>
    <row r="331" spans="2:2">
      <c r="B331" t="e">
        <f>MATCH(C331,統合マスタ!$C$5:$C$836,0)</f>
        <v>#N/A</v>
      </c>
    </row>
    <row r="332" spans="2:2">
      <c r="B332" t="e">
        <f>MATCH(C332,統合マスタ!$C$5:$C$836,0)</f>
        <v>#N/A</v>
      </c>
    </row>
    <row r="333" spans="2:2">
      <c r="B333" t="e">
        <f>MATCH(C333,統合マスタ!$C$5:$C$836,0)</f>
        <v>#N/A</v>
      </c>
    </row>
    <row r="334" spans="2:2">
      <c r="B334" t="e">
        <f>MATCH(C334,統合マスタ!$C$5:$C$836,0)</f>
        <v>#N/A</v>
      </c>
    </row>
    <row r="335" spans="2:2">
      <c r="B335" t="e">
        <f>MATCH(C335,統合マスタ!$C$5:$C$836,0)</f>
        <v>#N/A</v>
      </c>
    </row>
    <row r="336" spans="2:2">
      <c r="B336" t="e">
        <f>MATCH(C336,統合マスタ!$C$5:$C$836,0)</f>
        <v>#N/A</v>
      </c>
    </row>
    <row r="337" spans="2:2">
      <c r="B337" t="e">
        <f>MATCH(C337,統合マスタ!$C$5:$C$836,0)</f>
        <v>#N/A</v>
      </c>
    </row>
    <row r="338" spans="2:2">
      <c r="B338" t="e">
        <f>MATCH(C338,統合マスタ!$C$5:$C$836,0)</f>
        <v>#N/A</v>
      </c>
    </row>
    <row r="339" spans="2:2">
      <c r="B339" t="e">
        <f>MATCH(C339,統合マスタ!$C$5:$C$836,0)</f>
        <v>#N/A</v>
      </c>
    </row>
    <row r="340" spans="2:2">
      <c r="B340" t="e">
        <f>MATCH(C340,統合マスタ!$C$5:$C$836,0)</f>
        <v>#N/A</v>
      </c>
    </row>
    <row r="341" spans="2:2">
      <c r="B341" t="e">
        <f>MATCH(C341,統合マスタ!$C$5:$C$836,0)</f>
        <v>#N/A</v>
      </c>
    </row>
    <row r="342" spans="2:2">
      <c r="B342" t="e">
        <f>MATCH(C342,統合マスタ!$C$5:$C$836,0)</f>
        <v>#N/A</v>
      </c>
    </row>
    <row r="343" spans="2:2">
      <c r="B343" t="e">
        <f>MATCH(C343,統合マスタ!$C$5:$C$836,0)</f>
        <v>#N/A</v>
      </c>
    </row>
    <row r="344" spans="2:2">
      <c r="B344" t="e">
        <f>MATCH(C344,統合マスタ!$C$5:$C$836,0)</f>
        <v>#N/A</v>
      </c>
    </row>
    <row r="345" spans="2:2">
      <c r="B345" t="e">
        <f>MATCH(C345,統合マスタ!$C$5:$C$836,0)</f>
        <v>#N/A</v>
      </c>
    </row>
    <row r="346" spans="2:2">
      <c r="B346" t="e">
        <f>MATCH(C346,統合マスタ!$C$5:$C$836,0)</f>
        <v>#N/A</v>
      </c>
    </row>
    <row r="347" spans="2:2">
      <c r="B347" t="e">
        <f>MATCH(C347,統合マスタ!$C$5:$C$836,0)</f>
        <v>#N/A</v>
      </c>
    </row>
    <row r="348" spans="2:2">
      <c r="B348" t="e">
        <f>MATCH(C348,統合マスタ!$C$5:$C$836,0)</f>
        <v>#N/A</v>
      </c>
    </row>
    <row r="349" spans="2:2">
      <c r="B349" t="e">
        <f>MATCH(C349,統合マスタ!$C$5:$C$836,0)</f>
        <v>#N/A</v>
      </c>
    </row>
    <row r="350" spans="2:2">
      <c r="B350" t="e">
        <f>MATCH(C350,統合マスタ!$C$5:$C$836,0)</f>
        <v>#N/A</v>
      </c>
    </row>
    <row r="351" spans="2:2">
      <c r="B351" t="e">
        <f>MATCH(C351,統合マスタ!$C$5:$C$836,0)</f>
        <v>#N/A</v>
      </c>
    </row>
    <row r="352" spans="2:2">
      <c r="B352" t="e">
        <f>MATCH(C352,統合マスタ!$C$5:$C$836,0)</f>
        <v>#N/A</v>
      </c>
    </row>
    <row r="353" spans="2:2">
      <c r="B353" t="e">
        <f>MATCH(C353,統合マスタ!$C$5:$C$836,0)</f>
        <v>#N/A</v>
      </c>
    </row>
    <row r="354" spans="2:2">
      <c r="B354" t="e">
        <f>MATCH(C354,統合マスタ!$C$5:$C$836,0)</f>
        <v>#N/A</v>
      </c>
    </row>
    <row r="355" spans="2:2">
      <c r="B355" t="e">
        <f>MATCH(C355,統合マスタ!$C$5:$C$836,0)</f>
        <v>#N/A</v>
      </c>
    </row>
    <row r="356" spans="2:2">
      <c r="B356" t="e">
        <f>MATCH(C356,統合マスタ!$C$5:$C$836,0)</f>
        <v>#N/A</v>
      </c>
    </row>
    <row r="357" spans="2:2">
      <c r="B357" t="e">
        <f>MATCH(C357,統合マスタ!$C$5:$C$836,0)</f>
        <v>#N/A</v>
      </c>
    </row>
    <row r="358" spans="2:2">
      <c r="B358" t="e">
        <f>MATCH(C358,統合マスタ!$C$5:$C$836,0)</f>
        <v>#N/A</v>
      </c>
    </row>
    <row r="359" spans="2:2">
      <c r="B359" t="e">
        <f>MATCH(C359,統合マスタ!$C$5:$C$836,0)</f>
        <v>#N/A</v>
      </c>
    </row>
    <row r="360" spans="2:2">
      <c r="B360" t="e">
        <f>MATCH(C360,統合マスタ!$C$5:$C$836,0)</f>
        <v>#N/A</v>
      </c>
    </row>
    <row r="361" spans="2:2">
      <c r="B361" t="e">
        <f>MATCH(C361,統合マスタ!$C$5:$C$836,0)</f>
        <v>#N/A</v>
      </c>
    </row>
    <row r="362" spans="2:2">
      <c r="B362" t="e">
        <f>MATCH(C362,統合マスタ!$C$5:$C$836,0)</f>
        <v>#N/A</v>
      </c>
    </row>
    <row r="363" spans="2:2">
      <c r="B363" t="e">
        <f>MATCH(C363,統合マスタ!$C$5:$C$836,0)</f>
        <v>#N/A</v>
      </c>
    </row>
    <row r="364" spans="2:2">
      <c r="B364" t="e">
        <f>MATCH(C364,統合マスタ!$C$5:$C$836,0)</f>
        <v>#N/A</v>
      </c>
    </row>
    <row r="365" spans="2:2">
      <c r="B365" t="e">
        <f>MATCH(C365,統合マスタ!$C$5:$C$836,0)</f>
        <v>#N/A</v>
      </c>
    </row>
    <row r="366" spans="2:2">
      <c r="B366" t="e">
        <f>MATCH(C366,統合マスタ!$C$5:$C$836,0)</f>
        <v>#N/A</v>
      </c>
    </row>
    <row r="367" spans="2:2">
      <c r="B367" t="e">
        <f>MATCH(C367,統合マスタ!$C$5:$C$836,0)</f>
        <v>#N/A</v>
      </c>
    </row>
    <row r="368" spans="2:2">
      <c r="B368" t="e">
        <f>MATCH(C368,統合マスタ!$C$5:$C$836,0)</f>
        <v>#N/A</v>
      </c>
    </row>
    <row r="369" spans="2:2">
      <c r="B369" t="e">
        <f>MATCH(C369,統合マスタ!$C$5:$C$836,0)</f>
        <v>#N/A</v>
      </c>
    </row>
    <row r="370" spans="2:2">
      <c r="B370" t="e">
        <f>MATCH(C370,統合マスタ!$C$5:$C$836,0)</f>
        <v>#N/A</v>
      </c>
    </row>
    <row r="371" spans="2:2">
      <c r="B371" t="e">
        <f>MATCH(C371,統合マスタ!$C$5:$C$836,0)</f>
        <v>#N/A</v>
      </c>
    </row>
    <row r="372" spans="2:2">
      <c r="B372" t="e">
        <f>MATCH(C372,統合マスタ!$C$5:$C$836,0)</f>
        <v>#N/A</v>
      </c>
    </row>
    <row r="373" spans="2:2">
      <c r="B373" t="e">
        <f>MATCH(C373,統合マスタ!$C$5:$C$836,0)</f>
        <v>#N/A</v>
      </c>
    </row>
    <row r="374" spans="2:2">
      <c r="B374" t="e">
        <f>MATCH(C374,統合マスタ!$C$5:$C$836,0)</f>
        <v>#N/A</v>
      </c>
    </row>
    <row r="375" spans="2:2">
      <c r="B375" t="e">
        <f>MATCH(C375,統合マスタ!$C$5:$C$836,0)</f>
        <v>#N/A</v>
      </c>
    </row>
    <row r="376" spans="2:2">
      <c r="B376" t="e">
        <f>MATCH(C376,統合マスタ!$C$5:$C$836,0)</f>
        <v>#N/A</v>
      </c>
    </row>
    <row r="377" spans="2:2">
      <c r="B377" t="e">
        <f>MATCH(C377,統合マスタ!$C$5:$C$836,0)</f>
        <v>#N/A</v>
      </c>
    </row>
    <row r="378" spans="2:2">
      <c r="B378" t="e">
        <f>MATCH(C378,統合マスタ!$C$5:$C$836,0)</f>
        <v>#N/A</v>
      </c>
    </row>
    <row r="379" spans="2:2">
      <c r="B379" t="e">
        <f>MATCH(C379,統合マスタ!$C$5:$C$836,0)</f>
        <v>#N/A</v>
      </c>
    </row>
    <row r="380" spans="2:2">
      <c r="B380" t="e">
        <f>MATCH(C380,統合マスタ!$C$5:$C$836,0)</f>
        <v>#N/A</v>
      </c>
    </row>
    <row r="381" spans="2:2">
      <c r="B381" t="e">
        <f>MATCH(C381,統合マスタ!$C$5:$C$836,0)</f>
        <v>#N/A</v>
      </c>
    </row>
    <row r="382" spans="2:2">
      <c r="B382" t="e">
        <f>MATCH(C382,統合マスタ!$C$5:$C$836,0)</f>
        <v>#N/A</v>
      </c>
    </row>
    <row r="383" spans="2:2">
      <c r="B383" t="e">
        <f>MATCH(C383,統合マスタ!$C$5:$C$836,0)</f>
        <v>#N/A</v>
      </c>
    </row>
    <row r="384" spans="2:2">
      <c r="B384" t="e">
        <f>MATCH(C384,統合マスタ!$C$5:$C$836,0)</f>
        <v>#N/A</v>
      </c>
    </row>
    <row r="385" spans="2:2">
      <c r="B385" t="e">
        <f>MATCH(C385,統合マスタ!$C$5:$C$836,0)</f>
        <v>#N/A</v>
      </c>
    </row>
    <row r="386" spans="2:2">
      <c r="B386" t="e">
        <f>MATCH(C386,統合マスタ!$C$5:$C$836,0)</f>
        <v>#N/A</v>
      </c>
    </row>
    <row r="387" spans="2:2">
      <c r="B387" t="e">
        <f>MATCH(C387,統合マスタ!$C$5:$C$836,0)</f>
        <v>#N/A</v>
      </c>
    </row>
    <row r="388" spans="2:2">
      <c r="B388" t="e">
        <f>MATCH(C388,統合マスタ!$C$5:$C$836,0)</f>
        <v>#N/A</v>
      </c>
    </row>
    <row r="389" spans="2:2">
      <c r="B389" t="e">
        <f>MATCH(C389,統合マスタ!$C$5:$C$836,0)</f>
        <v>#N/A</v>
      </c>
    </row>
    <row r="390" spans="2:2">
      <c r="B390" t="e">
        <f>MATCH(C390,統合マスタ!$C$5:$C$836,0)</f>
        <v>#N/A</v>
      </c>
    </row>
    <row r="391" spans="2:2">
      <c r="B391" t="e">
        <f>MATCH(C391,統合マスタ!$C$5:$C$836,0)</f>
        <v>#N/A</v>
      </c>
    </row>
    <row r="392" spans="2:2">
      <c r="B392" t="e">
        <f>MATCH(C392,統合マスタ!$C$5:$C$836,0)</f>
        <v>#N/A</v>
      </c>
    </row>
    <row r="393" spans="2:2">
      <c r="B393" t="e">
        <f>MATCH(C393,統合マスタ!$C$5:$C$836,0)</f>
        <v>#N/A</v>
      </c>
    </row>
    <row r="394" spans="2:2">
      <c r="B394" t="e">
        <f>MATCH(C394,統合マスタ!$C$5:$C$836,0)</f>
        <v>#N/A</v>
      </c>
    </row>
    <row r="395" spans="2:2">
      <c r="B395" t="e">
        <f>MATCH(C395,統合マスタ!$C$5:$C$836,0)</f>
        <v>#N/A</v>
      </c>
    </row>
    <row r="396" spans="2:2">
      <c r="B396" t="e">
        <f>MATCH(C396,統合マスタ!$C$5:$C$836,0)</f>
        <v>#N/A</v>
      </c>
    </row>
    <row r="397" spans="2:2">
      <c r="B397" t="e">
        <f>MATCH(C397,統合マスタ!$C$5:$C$836,0)</f>
        <v>#N/A</v>
      </c>
    </row>
    <row r="398" spans="2:2">
      <c r="B398" t="e">
        <f>MATCH(C398,統合マスタ!$C$5:$C$836,0)</f>
        <v>#N/A</v>
      </c>
    </row>
    <row r="399" spans="2:2">
      <c r="B399" t="e">
        <f>MATCH(C399,統合マスタ!$C$5:$C$836,0)</f>
        <v>#N/A</v>
      </c>
    </row>
    <row r="400" spans="2:2">
      <c r="B400" t="e">
        <f>MATCH(C400,統合マスタ!$C$5:$C$836,0)</f>
        <v>#N/A</v>
      </c>
    </row>
    <row r="401" spans="2:2">
      <c r="B401" t="e">
        <f>MATCH(C401,統合マスタ!$C$5:$C$836,0)</f>
        <v>#N/A</v>
      </c>
    </row>
    <row r="402" spans="2:2">
      <c r="B402" t="e">
        <f>MATCH(C402,統合マスタ!$C$5:$C$836,0)</f>
        <v>#N/A</v>
      </c>
    </row>
    <row r="403" spans="2:2">
      <c r="B403" t="e">
        <f>MATCH(C403,統合マスタ!$C$5:$C$836,0)</f>
        <v>#N/A</v>
      </c>
    </row>
    <row r="404" spans="2:2">
      <c r="B404" t="e">
        <f>MATCH(C404,統合マスタ!$C$5:$C$836,0)</f>
        <v>#N/A</v>
      </c>
    </row>
    <row r="405" spans="2:2">
      <c r="B405" t="e">
        <f>MATCH(C405,統合マスタ!$C$5:$C$836,0)</f>
        <v>#N/A</v>
      </c>
    </row>
    <row r="406" spans="2:2">
      <c r="B406" t="e">
        <f>MATCH(C406,統合マスタ!$C$5:$C$836,0)</f>
        <v>#N/A</v>
      </c>
    </row>
    <row r="407" spans="2:2">
      <c r="B407" t="e">
        <f>MATCH(C407,統合マスタ!$C$5:$C$836,0)</f>
        <v>#N/A</v>
      </c>
    </row>
    <row r="408" spans="2:2">
      <c r="B408" t="e">
        <f>MATCH(C408,統合マスタ!$C$5:$C$836,0)</f>
        <v>#N/A</v>
      </c>
    </row>
    <row r="409" spans="2:2">
      <c r="B409" t="e">
        <f>MATCH(C409,統合マスタ!$C$5:$C$836,0)</f>
        <v>#N/A</v>
      </c>
    </row>
    <row r="410" spans="2:2">
      <c r="B410" t="e">
        <f>MATCH(C410,統合マスタ!$C$5:$C$836,0)</f>
        <v>#N/A</v>
      </c>
    </row>
    <row r="411" spans="2:2">
      <c r="B411" t="e">
        <f>MATCH(C411,統合マスタ!$C$5:$C$836,0)</f>
        <v>#N/A</v>
      </c>
    </row>
    <row r="412" spans="2:2">
      <c r="B412" t="e">
        <f>MATCH(C412,統合マスタ!$C$5:$C$836,0)</f>
        <v>#N/A</v>
      </c>
    </row>
    <row r="413" spans="2:2">
      <c r="B413" t="e">
        <f>MATCH(C413,統合マスタ!$C$5:$C$836,0)</f>
        <v>#N/A</v>
      </c>
    </row>
    <row r="414" spans="2:2">
      <c r="B414" t="e">
        <f>MATCH(C414,統合マスタ!$C$5:$C$836,0)</f>
        <v>#N/A</v>
      </c>
    </row>
    <row r="415" spans="2:2">
      <c r="B415" t="e">
        <f>MATCH(C415,統合マスタ!$C$5:$C$836,0)</f>
        <v>#N/A</v>
      </c>
    </row>
    <row r="416" spans="2:2">
      <c r="B416" t="e">
        <f>MATCH(C416,統合マスタ!$C$5:$C$836,0)</f>
        <v>#N/A</v>
      </c>
    </row>
    <row r="417" spans="2:2">
      <c r="B417" t="e">
        <f>MATCH(C417,統合マスタ!$C$5:$C$836,0)</f>
        <v>#N/A</v>
      </c>
    </row>
    <row r="418" spans="2:2">
      <c r="B418" t="e">
        <f>MATCH(C418,統合マスタ!$C$5:$C$836,0)</f>
        <v>#N/A</v>
      </c>
    </row>
    <row r="419" spans="2:2">
      <c r="B419" t="e">
        <f>MATCH(C419,統合マスタ!$C$5:$C$836,0)</f>
        <v>#N/A</v>
      </c>
    </row>
    <row r="420" spans="2:2">
      <c r="B420" t="e">
        <f>MATCH(C420,統合マスタ!$C$5:$C$836,0)</f>
        <v>#N/A</v>
      </c>
    </row>
    <row r="421" spans="2:2">
      <c r="B421" t="e">
        <f>MATCH(C421,統合マスタ!$C$5:$C$836,0)</f>
        <v>#N/A</v>
      </c>
    </row>
    <row r="422" spans="2:2">
      <c r="B422" t="e">
        <f>MATCH(C422,統合マスタ!$C$5:$C$836,0)</f>
        <v>#N/A</v>
      </c>
    </row>
    <row r="423" spans="2:2">
      <c r="B423" t="e">
        <f>MATCH(C423,統合マスタ!$C$5:$C$836,0)</f>
        <v>#N/A</v>
      </c>
    </row>
    <row r="424" spans="2:2">
      <c r="B424" t="e">
        <f>MATCH(C424,統合マスタ!$C$5:$C$836,0)</f>
        <v>#N/A</v>
      </c>
    </row>
    <row r="425" spans="2:2">
      <c r="B425" t="e">
        <f>MATCH(C425,統合マスタ!$C$5:$C$836,0)</f>
        <v>#N/A</v>
      </c>
    </row>
    <row r="426" spans="2:2">
      <c r="B426" t="e">
        <f>MATCH(C426,統合マスタ!$C$5:$C$836,0)</f>
        <v>#N/A</v>
      </c>
    </row>
    <row r="427" spans="2:2">
      <c r="B427" t="e">
        <f>MATCH(C427,統合マスタ!$C$5:$C$836,0)</f>
        <v>#N/A</v>
      </c>
    </row>
    <row r="428" spans="2:2">
      <c r="B428" t="e">
        <f>MATCH(C428,統合マスタ!$C$5:$C$836,0)</f>
        <v>#N/A</v>
      </c>
    </row>
    <row r="429" spans="2:2">
      <c r="B429" t="e">
        <f>MATCH(C429,統合マスタ!$C$5:$C$836,0)</f>
        <v>#N/A</v>
      </c>
    </row>
    <row r="430" spans="2:2">
      <c r="B430" t="e">
        <f>MATCH(C430,統合マスタ!$C$5:$C$836,0)</f>
        <v>#N/A</v>
      </c>
    </row>
    <row r="431" spans="2:2">
      <c r="B431" t="e">
        <f>MATCH(C431,統合マスタ!$C$5:$C$836,0)</f>
        <v>#N/A</v>
      </c>
    </row>
    <row r="432" spans="2:2">
      <c r="B432" t="e">
        <f>MATCH(C432,統合マスタ!$C$5:$C$836,0)</f>
        <v>#N/A</v>
      </c>
    </row>
    <row r="433" spans="2:2">
      <c r="B433" t="e">
        <f>MATCH(C433,統合マスタ!$C$5:$C$836,0)</f>
        <v>#N/A</v>
      </c>
    </row>
    <row r="434" spans="2:2">
      <c r="B434" t="e">
        <f>MATCH(C434,統合マスタ!$C$5:$C$836,0)</f>
        <v>#N/A</v>
      </c>
    </row>
    <row r="435" spans="2:2">
      <c r="B435" t="e">
        <f>MATCH(C435,統合マスタ!$C$5:$C$836,0)</f>
        <v>#N/A</v>
      </c>
    </row>
    <row r="436" spans="2:2">
      <c r="B436" t="e">
        <f>MATCH(C436,統合マスタ!$C$5:$C$836,0)</f>
        <v>#N/A</v>
      </c>
    </row>
    <row r="437" spans="2:2">
      <c r="B437" t="e">
        <f>MATCH(C437,統合マスタ!$C$5:$C$836,0)</f>
        <v>#N/A</v>
      </c>
    </row>
    <row r="438" spans="2:2">
      <c r="B438" t="e">
        <f>MATCH(C438,統合マスタ!$C$5:$C$836,0)</f>
        <v>#N/A</v>
      </c>
    </row>
    <row r="439" spans="2:2">
      <c r="B439" t="e">
        <f>MATCH(C439,統合マスタ!$C$5:$C$836,0)</f>
        <v>#N/A</v>
      </c>
    </row>
    <row r="440" spans="2:2">
      <c r="B440" t="e">
        <f>MATCH(C440,統合マスタ!$C$5:$C$836,0)</f>
        <v>#N/A</v>
      </c>
    </row>
    <row r="441" spans="2:2">
      <c r="B441" t="e">
        <f>MATCH(C441,統合マスタ!$C$5:$C$836,0)</f>
        <v>#N/A</v>
      </c>
    </row>
    <row r="442" spans="2:2">
      <c r="B442" t="e">
        <f>MATCH(C442,統合マスタ!$C$5:$C$836,0)</f>
        <v>#N/A</v>
      </c>
    </row>
    <row r="443" spans="2:2">
      <c r="B443" t="e">
        <f>MATCH(C443,統合マスタ!$C$5:$C$836,0)</f>
        <v>#N/A</v>
      </c>
    </row>
    <row r="444" spans="2:2">
      <c r="B444" t="e">
        <f>MATCH(C444,統合マスタ!$C$5:$C$836,0)</f>
        <v>#N/A</v>
      </c>
    </row>
    <row r="445" spans="2:2">
      <c r="B445" t="e">
        <f>MATCH(C445,統合マスタ!$C$5:$C$836,0)</f>
        <v>#N/A</v>
      </c>
    </row>
    <row r="446" spans="2:2">
      <c r="B446" t="e">
        <f>MATCH(C446,統合マスタ!$C$5:$C$836,0)</f>
        <v>#N/A</v>
      </c>
    </row>
    <row r="447" spans="2:2">
      <c r="B447" t="e">
        <f>MATCH(C447,統合マスタ!$C$5:$C$836,0)</f>
        <v>#N/A</v>
      </c>
    </row>
    <row r="448" spans="2:2">
      <c r="B448" t="e">
        <f>MATCH(C448,統合マスタ!$C$5:$C$836,0)</f>
        <v>#N/A</v>
      </c>
    </row>
    <row r="449" spans="2:2">
      <c r="B449" t="e">
        <f>MATCH(C449,統合マスタ!$C$5:$C$836,0)</f>
        <v>#N/A</v>
      </c>
    </row>
    <row r="450" spans="2:2">
      <c r="B450" t="e">
        <f>MATCH(C450,統合マスタ!$C$5:$C$836,0)</f>
        <v>#N/A</v>
      </c>
    </row>
    <row r="451" spans="2:2">
      <c r="B451" t="e">
        <f>MATCH(C451,統合マスタ!$C$5:$C$836,0)</f>
        <v>#N/A</v>
      </c>
    </row>
    <row r="452" spans="2:2">
      <c r="B452" t="e">
        <f>MATCH(C452,統合マスタ!$C$5:$C$836,0)</f>
        <v>#N/A</v>
      </c>
    </row>
    <row r="453" spans="2:2">
      <c r="B453" t="e">
        <f>MATCH(C453,統合マスタ!$C$5:$C$836,0)</f>
        <v>#N/A</v>
      </c>
    </row>
    <row r="454" spans="2:2">
      <c r="B454" t="e">
        <f>MATCH(C454,統合マスタ!$C$5:$C$836,0)</f>
        <v>#N/A</v>
      </c>
    </row>
    <row r="455" spans="2:2">
      <c r="B455" t="e">
        <f>MATCH(C455,統合マスタ!$C$5:$C$836,0)</f>
        <v>#N/A</v>
      </c>
    </row>
    <row r="456" spans="2:2">
      <c r="B456" t="e">
        <f>MATCH(C456,統合マスタ!$C$5:$C$836,0)</f>
        <v>#N/A</v>
      </c>
    </row>
    <row r="457" spans="2:2">
      <c r="B457" t="e">
        <f>MATCH(C457,統合マスタ!$C$5:$C$836,0)</f>
        <v>#N/A</v>
      </c>
    </row>
    <row r="458" spans="2:2">
      <c r="B458" t="e">
        <f>MATCH(C458,統合マスタ!$C$5:$C$836,0)</f>
        <v>#N/A</v>
      </c>
    </row>
    <row r="459" spans="2:2">
      <c r="B459" t="e">
        <f>MATCH(C459,統合マスタ!$C$5:$C$836,0)</f>
        <v>#N/A</v>
      </c>
    </row>
    <row r="460" spans="2:2">
      <c r="B460" t="e">
        <f>MATCH(C460,統合マスタ!$C$5:$C$836,0)</f>
        <v>#N/A</v>
      </c>
    </row>
    <row r="461" spans="2:2">
      <c r="B461" t="e">
        <f>MATCH(C461,統合マスタ!$C$5:$C$836,0)</f>
        <v>#N/A</v>
      </c>
    </row>
    <row r="462" spans="2:2">
      <c r="B462" t="e">
        <f>MATCH(C462,統合マスタ!$C$5:$C$836,0)</f>
        <v>#N/A</v>
      </c>
    </row>
    <row r="463" spans="2:2">
      <c r="B463" t="e">
        <f>MATCH(C463,統合マスタ!$C$5:$C$836,0)</f>
        <v>#N/A</v>
      </c>
    </row>
    <row r="464" spans="2:2">
      <c r="B464" t="e">
        <f>MATCH(C464,統合マスタ!$C$5:$C$836,0)</f>
        <v>#N/A</v>
      </c>
    </row>
    <row r="465" spans="2:2">
      <c r="B465" t="e">
        <f>MATCH(C465,統合マスタ!$C$5:$C$836,0)</f>
        <v>#N/A</v>
      </c>
    </row>
    <row r="466" spans="2:2">
      <c r="B466" t="e">
        <f>MATCH(C466,統合マスタ!$C$5:$C$836,0)</f>
        <v>#N/A</v>
      </c>
    </row>
    <row r="467" spans="2:2">
      <c r="B467" t="e">
        <f>MATCH(C467,統合マスタ!$C$5:$C$836,0)</f>
        <v>#N/A</v>
      </c>
    </row>
    <row r="468" spans="2:2">
      <c r="B468" t="e">
        <f>MATCH(C468,統合マスタ!$C$5:$C$836,0)</f>
        <v>#N/A</v>
      </c>
    </row>
    <row r="469" spans="2:2">
      <c r="B469" t="e">
        <f>MATCH(C469,統合マスタ!$C$5:$C$836,0)</f>
        <v>#N/A</v>
      </c>
    </row>
    <row r="470" spans="2:2">
      <c r="B470" t="e">
        <f>MATCH(C470,統合マスタ!$C$5:$C$836,0)</f>
        <v>#N/A</v>
      </c>
    </row>
    <row r="471" spans="2:2">
      <c r="B471" t="e">
        <f>MATCH(C471,統合マスタ!$C$5:$C$836,0)</f>
        <v>#N/A</v>
      </c>
    </row>
    <row r="472" spans="2:2">
      <c r="B472" t="e">
        <f>MATCH(C472,統合マスタ!$C$5:$C$836,0)</f>
        <v>#N/A</v>
      </c>
    </row>
    <row r="473" spans="2:2">
      <c r="B473" t="e">
        <f>MATCH(C473,統合マスタ!$C$5:$C$836,0)</f>
        <v>#N/A</v>
      </c>
    </row>
    <row r="474" spans="2:2">
      <c r="B474" t="e">
        <f>MATCH(C474,統合マスタ!$C$5:$C$836,0)</f>
        <v>#N/A</v>
      </c>
    </row>
    <row r="475" spans="2:2">
      <c r="B475" t="e">
        <f>MATCH(C475,統合マスタ!$C$5:$C$836,0)</f>
        <v>#N/A</v>
      </c>
    </row>
    <row r="476" spans="2:2">
      <c r="B476" t="e">
        <f>MATCH(C476,統合マスタ!$C$5:$C$836,0)</f>
        <v>#N/A</v>
      </c>
    </row>
    <row r="477" spans="2:2">
      <c r="B477" t="e">
        <f>MATCH(C477,統合マスタ!$C$5:$C$836,0)</f>
        <v>#N/A</v>
      </c>
    </row>
    <row r="478" spans="2:2">
      <c r="B478" t="e">
        <f>MATCH(C478,統合マスタ!$C$5:$C$836,0)</f>
        <v>#N/A</v>
      </c>
    </row>
    <row r="479" spans="2:2">
      <c r="B479" t="e">
        <f>MATCH(C479,統合マスタ!$C$5:$C$836,0)</f>
        <v>#N/A</v>
      </c>
    </row>
    <row r="480" spans="2:2">
      <c r="B480" t="e">
        <f>MATCH(C480,統合マスタ!$C$5:$C$836,0)</f>
        <v>#N/A</v>
      </c>
    </row>
    <row r="481" spans="2:2">
      <c r="B481" t="e">
        <f>MATCH(C481,統合マスタ!$C$5:$C$836,0)</f>
        <v>#N/A</v>
      </c>
    </row>
    <row r="482" spans="2:2">
      <c r="B482" t="e">
        <f>MATCH(C482,統合マスタ!$C$5:$C$836,0)</f>
        <v>#N/A</v>
      </c>
    </row>
    <row r="483" spans="2:2">
      <c r="B483" t="e">
        <f>MATCH(C483,統合マスタ!$C$5:$C$836,0)</f>
        <v>#N/A</v>
      </c>
    </row>
    <row r="484" spans="2:2">
      <c r="B484" t="e">
        <f>MATCH(C484,統合マスタ!$C$5:$C$836,0)</f>
        <v>#N/A</v>
      </c>
    </row>
    <row r="485" spans="2:2">
      <c r="B485" t="e">
        <f>MATCH(C485,統合マスタ!$C$5:$C$836,0)</f>
        <v>#N/A</v>
      </c>
    </row>
    <row r="486" spans="2:2">
      <c r="B486" t="e">
        <f>MATCH(C486,統合マスタ!$C$5:$C$836,0)</f>
        <v>#N/A</v>
      </c>
    </row>
    <row r="487" spans="2:2">
      <c r="B487" t="e">
        <f>MATCH(C487,統合マスタ!$C$5:$C$836,0)</f>
        <v>#N/A</v>
      </c>
    </row>
    <row r="488" spans="2:2">
      <c r="B488" t="e">
        <f>MATCH(C488,統合マスタ!$C$5:$C$836,0)</f>
        <v>#N/A</v>
      </c>
    </row>
    <row r="489" spans="2:2">
      <c r="B489" t="e">
        <f>MATCH(C489,統合マスタ!$C$5:$C$836,0)</f>
        <v>#N/A</v>
      </c>
    </row>
    <row r="490" spans="2:2">
      <c r="B490" t="e">
        <f>MATCH(C490,統合マスタ!$C$5:$C$836,0)</f>
        <v>#N/A</v>
      </c>
    </row>
    <row r="491" spans="2:2">
      <c r="B491" t="e">
        <f>MATCH(C491,統合マスタ!$C$5:$C$836,0)</f>
        <v>#N/A</v>
      </c>
    </row>
    <row r="492" spans="2:2">
      <c r="B492" t="e">
        <f>MATCH(C492,統合マスタ!$C$5:$C$836,0)</f>
        <v>#N/A</v>
      </c>
    </row>
    <row r="493" spans="2:2">
      <c r="B493" t="e">
        <f>MATCH(C493,統合マスタ!$C$5:$C$836,0)</f>
        <v>#N/A</v>
      </c>
    </row>
    <row r="494" spans="2:2">
      <c r="B494" t="e">
        <f>MATCH(C494,統合マスタ!$C$5:$C$836,0)</f>
        <v>#N/A</v>
      </c>
    </row>
    <row r="495" spans="2:2">
      <c r="B495" t="e">
        <f>MATCH(C495,統合マスタ!$C$5:$C$836,0)</f>
        <v>#N/A</v>
      </c>
    </row>
    <row r="496" spans="2:2">
      <c r="B496" t="e">
        <f>MATCH(C496,統合マスタ!$C$5:$C$836,0)</f>
        <v>#N/A</v>
      </c>
    </row>
    <row r="497" spans="2:2">
      <c r="B497" t="e">
        <f>MATCH(C497,統合マスタ!$C$5:$C$836,0)</f>
        <v>#N/A</v>
      </c>
    </row>
    <row r="498" spans="2:2">
      <c r="B498" t="e">
        <f>MATCH(C498,統合マスタ!$C$5:$C$836,0)</f>
        <v>#N/A</v>
      </c>
    </row>
    <row r="499" spans="2:2">
      <c r="B499" t="e">
        <f>MATCH(C499,統合マスタ!$C$5:$C$836,0)</f>
        <v>#N/A</v>
      </c>
    </row>
    <row r="500" spans="2:2">
      <c r="B500" t="e">
        <f>MATCH(C500,統合マスタ!$C$5:$C$836,0)</f>
        <v>#N/A</v>
      </c>
    </row>
    <row r="501" spans="2:2">
      <c r="B501" t="e">
        <f>MATCH(C501,統合マスタ!$C$5:$C$836,0)</f>
        <v>#N/A</v>
      </c>
    </row>
    <row r="502" spans="2:2">
      <c r="B502" t="e">
        <f>MATCH(C502,統合マスタ!$C$5:$C$836,0)</f>
        <v>#N/A</v>
      </c>
    </row>
    <row r="503" spans="2:2">
      <c r="B503" t="e">
        <f>MATCH(C503,統合マスタ!$C$5:$C$836,0)</f>
        <v>#N/A</v>
      </c>
    </row>
    <row r="504" spans="2:2">
      <c r="B504" t="e">
        <f>MATCH(C504,統合マスタ!$C$5:$C$836,0)</f>
        <v>#N/A</v>
      </c>
    </row>
    <row r="505" spans="2:2">
      <c r="B505" t="e">
        <f>MATCH(C505,統合マスタ!$C$5:$C$836,0)</f>
        <v>#N/A</v>
      </c>
    </row>
    <row r="506" spans="2:2">
      <c r="B506" t="e">
        <f>MATCH(C506,統合マスタ!$C$5:$C$836,0)</f>
        <v>#N/A</v>
      </c>
    </row>
    <row r="507" spans="2:2">
      <c r="B507" t="e">
        <f>MATCH(C507,統合マスタ!$C$5:$C$836,0)</f>
        <v>#N/A</v>
      </c>
    </row>
    <row r="508" spans="2:2">
      <c r="B508" t="e">
        <f>MATCH(C508,統合マスタ!$C$5:$C$836,0)</f>
        <v>#N/A</v>
      </c>
    </row>
    <row r="509" spans="2:2">
      <c r="B509" t="e">
        <f>MATCH(C509,統合マスタ!$C$5:$C$836,0)</f>
        <v>#N/A</v>
      </c>
    </row>
    <row r="510" spans="2:2">
      <c r="B510" t="e">
        <f>MATCH(C510,統合マスタ!$C$5:$C$836,0)</f>
        <v>#N/A</v>
      </c>
    </row>
    <row r="511" spans="2:2">
      <c r="B511" t="e">
        <f>MATCH(C511,統合マスタ!$C$5:$C$836,0)</f>
        <v>#N/A</v>
      </c>
    </row>
    <row r="512" spans="2:2">
      <c r="B512" t="e">
        <f>MATCH(C512,統合マスタ!$C$5:$C$836,0)</f>
        <v>#N/A</v>
      </c>
    </row>
    <row r="513" spans="2:2">
      <c r="B513" t="e">
        <f>MATCH(C513,統合マスタ!$C$5:$C$836,0)</f>
        <v>#N/A</v>
      </c>
    </row>
    <row r="514" spans="2:2">
      <c r="B514" t="e">
        <f>MATCH(C514,統合マスタ!$C$5:$C$836,0)</f>
        <v>#N/A</v>
      </c>
    </row>
    <row r="515" spans="2:2">
      <c r="B515" t="e">
        <f>MATCH(C515,統合マスタ!$C$5:$C$836,0)</f>
        <v>#N/A</v>
      </c>
    </row>
    <row r="516" spans="2:2">
      <c r="B516" t="e">
        <f>MATCH(C516,統合マスタ!$C$5:$C$836,0)</f>
        <v>#N/A</v>
      </c>
    </row>
    <row r="517" spans="2:2">
      <c r="B517" t="e">
        <f>MATCH(C517,統合マスタ!$C$5:$C$836,0)</f>
        <v>#N/A</v>
      </c>
    </row>
    <row r="518" spans="2:2">
      <c r="B518" t="e">
        <f>MATCH(C518,統合マスタ!$C$5:$C$836,0)</f>
        <v>#N/A</v>
      </c>
    </row>
    <row r="519" spans="2:2">
      <c r="B519" t="e">
        <f>MATCH(C519,統合マスタ!$C$5:$C$836,0)</f>
        <v>#N/A</v>
      </c>
    </row>
    <row r="520" spans="2:2">
      <c r="B520" t="e">
        <f>MATCH(C520,統合マスタ!$C$5:$C$836,0)</f>
        <v>#N/A</v>
      </c>
    </row>
    <row r="521" spans="2:2">
      <c r="B521" t="e">
        <f>MATCH(C521,統合マスタ!$C$5:$C$836,0)</f>
        <v>#N/A</v>
      </c>
    </row>
    <row r="522" spans="2:2">
      <c r="B522" t="e">
        <f>MATCH(C522,統合マスタ!$C$5:$C$836,0)</f>
        <v>#N/A</v>
      </c>
    </row>
    <row r="523" spans="2:2">
      <c r="B523" t="e">
        <f>MATCH(C523,統合マスタ!$C$5:$C$836,0)</f>
        <v>#N/A</v>
      </c>
    </row>
    <row r="524" spans="2:2">
      <c r="B524" t="e">
        <f>MATCH(C524,統合マスタ!$C$5:$C$836,0)</f>
        <v>#N/A</v>
      </c>
    </row>
    <row r="525" spans="2:2">
      <c r="B525" t="e">
        <f>MATCH(C525,統合マスタ!$C$5:$C$836,0)</f>
        <v>#N/A</v>
      </c>
    </row>
    <row r="526" spans="2:2">
      <c r="B526" t="e">
        <f>MATCH(C526,統合マスタ!$C$5:$C$836,0)</f>
        <v>#N/A</v>
      </c>
    </row>
    <row r="527" spans="2:2">
      <c r="B527" t="e">
        <f>MATCH(C527,統合マスタ!$C$5:$C$836,0)</f>
        <v>#N/A</v>
      </c>
    </row>
    <row r="528" spans="2:2">
      <c r="B528" t="e">
        <f>MATCH(C528,統合マスタ!$C$5:$C$836,0)</f>
        <v>#N/A</v>
      </c>
    </row>
    <row r="529" spans="2:2">
      <c r="B529" t="e">
        <f>MATCH(C529,統合マスタ!$C$5:$C$836,0)</f>
        <v>#N/A</v>
      </c>
    </row>
    <row r="530" spans="2:2">
      <c r="B530" t="e">
        <f>MATCH(C530,統合マスタ!$C$5:$C$836,0)</f>
        <v>#N/A</v>
      </c>
    </row>
    <row r="531" spans="2:2">
      <c r="B531" t="e">
        <f>MATCH(C531,統合マスタ!$C$5:$C$836,0)</f>
        <v>#N/A</v>
      </c>
    </row>
    <row r="532" spans="2:2">
      <c r="B532" t="e">
        <f>MATCH(C532,統合マスタ!$C$5:$C$836,0)</f>
        <v>#N/A</v>
      </c>
    </row>
    <row r="533" spans="2:2">
      <c r="B533" t="e">
        <f>MATCH(C533,統合マスタ!$C$5:$C$836,0)</f>
        <v>#N/A</v>
      </c>
    </row>
  </sheetData>
  <autoFilter ref="A1:F533" xr:uid="{38191B72-B299-4C31-8C30-4193D598596C}">
    <filterColumn colId="5">
      <filters blank="1">
        <filter val="0"/>
        <filter val="30"/>
        <filter val="32"/>
        <filter val="33"/>
        <filter val="35"/>
        <filter val="41"/>
        <filter val="44"/>
        <filter val="45"/>
        <filter val="46"/>
        <filter val="48"/>
        <filter val="50"/>
        <filter val="51"/>
        <filter val="53"/>
        <filter val="54"/>
        <filter val="56"/>
        <filter val="59"/>
        <filter val="62"/>
        <filter val="63"/>
        <filter val="64"/>
        <filter val="65"/>
        <filter val="67"/>
        <filter val="70"/>
        <filter val="71"/>
        <filter val="72"/>
        <filter val="73"/>
        <filter val="75"/>
        <filter val="76"/>
        <filter val="79"/>
        <filter val="80"/>
        <filter val="82"/>
        <filter val="83"/>
        <filter val="84"/>
        <filter val="85"/>
        <filter val="86"/>
        <filter val="87"/>
        <filter val="88"/>
        <filter val="89"/>
        <filter val="91"/>
        <filter val="93"/>
        <filter val="94"/>
        <filter val="95"/>
        <filter val="96"/>
        <filter val="97"/>
      </filters>
    </filterColumn>
  </autoFilter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271D-A40A-4F31-A7B0-EF6754D36C67}">
  <sheetPr filterMode="1"/>
  <dimension ref="A1:CE834"/>
  <sheetViews>
    <sheetView topLeftCell="A97" workbookViewId="0">
      <selection activeCell="F830" sqref="F83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3776</v>
      </c>
      <c r="B1" t="s">
        <v>3777</v>
      </c>
      <c r="C1" t="s">
        <v>3778</v>
      </c>
      <c r="D1" t="s">
        <v>3779</v>
      </c>
      <c r="E1" t="s">
        <v>3780</v>
      </c>
      <c r="F1" t="s">
        <v>3781</v>
      </c>
      <c r="G1" t="s">
        <v>3782</v>
      </c>
      <c r="H1" t="s">
        <v>3783</v>
      </c>
      <c r="I1" t="s">
        <v>3784</v>
      </c>
      <c r="J1" t="s">
        <v>3785</v>
      </c>
      <c r="K1" t="s">
        <v>3786</v>
      </c>
      <c r="L1" t="s">
        <v>3787</v>
      </c>
      <c r="M1" t="s">
        <v>3788</v>
      </c>
      <c r="N1" t="s">
        <v>3789</v>
      </c>
      <c r="O1" t="s">
        <v>3790</v>
      </c>
      <c r="P1" t="s">
        <v>3791</v>
      </c>
      <c r="Q1" t="s">
        <v>3792</v>
      </c>
      <c r="R1" t="s">
        <v>3793</v>
      </c>
      <c r="S1" t="s">
        <v>3794</v>
      </c>
      <c r="T1" t="s">
        <v>3795</v>
      </c>
      <c r="U1" t="s">
        <v>3796</v>
      </c>
      <c r="V1" t="s">
        <v>3797</v>
      </c>
      <c r="W1" t="s">
        <v>3798</v>
      </c>
      <c r="X1" t="s">
        <v>3799</v>
      </c>
      <c r="Y1" t="s">
        <v>3800</v>
      </c>
      <c r="Z1" t="s">
        <v>3801</v>
      </c>
      <c r="AA1" t="s">
        <v>3802</v>
      </c>
      <c r="AB1" t="s">
        <v>3803</v>
      </c>
      <c r="AC1" t="s">
        <v>3804</v>
      </c>
      <c r="AD1" t="s">
        <v>3805</v>
      </c>
      <c r="AE1" t="s">
        <v>3806</v>
      </c>
      <c r="AF1" t="s">
        <v>3807</v>
      </c>
      <c r="AG1" t="s">
        <v>3808</v>
      </c>
      <c r="AH1" t="s">
        <v>3809</v>
      </c>
      <c r="AI1" t="s">
        <v>3810</v>
      </c>
      <c r="AJ1" t="s">
        <v>3811</v>
      </c>
      <c r="AK1" t="s">
        <v>3812</v>
      </c>
      <c r="AL1" t="s">
        <v>3813</v>
      </c>
      <c r="AM1" t="s">
        <v>3814</v>
      </c>
      <c r="AN1" t="s">
        <v>3815</v>
      </c>
      <c r="AO1" t="s">
        <v>3816</v>
      </c>
      <c r="AP1" t="s">
        <v>3817</v>
      </c>
      <c r="AQ1" t="s">
        <v>3818</v>
      </c>
      <c r="AR1" t="s">
        <v>3819</v>
      </c>
      <c r="AS1" t="s">
        <v>3820</v>
      </c>
      <c r="AT1" t="s">
        <v>3821</v>
      </c>
      <c r="AU1" t="s">
        <v>3822</v>
      </c>
      <c r="AV1" t="s">
        <v>3823</v>
      </c>
      <c r="AW1" t="s">
        <v>3824</v>
      </c>
      <c r="AX1" t="s">
        <v>3825</v>
      </c>
      <c r="AY1" t="s">
        <v>3826</v>
      </c>
      <c r="AZ1" t="s">
        <v>3827</v>
      </c>
      <c r="BA1" t="s">
        <v>3828</v>
      </c>
      <c r="BB1" t="s">
        <v>3829</v>
      </c>
      <c r="BC1" t="s">
        <v>3830</v>
      </c>
      <c r="BD1" t="s">
        <v>3831</v>
      </c>
      <c r="BE1" t="s">
        <v>3832</v>
      </c>
      <c r="BF1" t="s">
        <v>3833</v>
      </c>
      <c r="BG1" t="s">
        <v>3834</v>
      </c>
      <c r="BH1" t="s">
        <v>3835</v>
      </c>
      <c r="BI1" t="s">
        <v>3836</v>
      </c>
      <c r="BJ1" t="s">
        <v>3837</v>
      </c>
      <c r="BK1" t="s">
        <v>3838</v>
      </c>
      <c r="BL1" t="s">
        <v>3839</v>
      </c>
      <c r="BM1" t="s">
        <v>3840</v>
      </c>
      <c r="BN1" t="s">
        <v>3841</v>
      </c>
      <c r="BO1" t="s">
        <v>3842</v>
      </c>
      <c r="BP1" t="s">
        <v>3843</v>
      </c>
      <c r="BQ1" t="s">
        <v>3844</v>
      </c>
      <c r="BR1" t="s">
        <v>3845</v>
      </c>
      <c r="BS1" t="s">
        <v>3846</v>
      </c>
      <c r="BT1" t="s">
        <v>3847</v>
      </c>
      <c r="BU1" t="s">
        <v>3848</v>
      </c>
      <c r="BV1" t="s">
        <v>3849</v>
      </c>
      <c r="BW1" t="s">
        <v>3850</v>
      </c>
      <c r="BX1" t="s">
        <v>3851</v>
      </c>
      <c r="BY1" t="s">
        <v>3852</v>
      </c>
      <c r="BZ1" t="s">
        <v>3853</v>
      </c>
      <c r="CA1" t="s">
        <v>3854</v>
      </c>
      <c r="CB1" t="s">
        <v>3855</v>
      </c>
      <c r="CC1" t="s">
        <v>3856</v>
      </c>
      <c r="CD1" t="s">
        <v>3857</v>
      </c>
      <c r="CE1" t="s">
        <v>3858</v>
      </c>
    </row>
    <row r="2" spans="1:83">
      <c r="A2">
        <v>1</v>
      </c>
      <c r="B2" t="s">
        <v>3859</v>
      </c>
      <c r="C2" t="s">
        <v>3860</v>
      </c>
      <c r="D2" s="43" t="s">
        <v>1515</v>
      </c>
      <c r="E2">
        <v>295</v>
      </c>
      <c r="F2" t="s">
        <v>1164</v>
      </c>
      <c r="G2">
        <v>675</v>
      </c>
    </row>
    <row r="3" spans="1:83">
      <c r="A3">
        <v>2</v>
      </c>
      <c r="B3" t="s">
        <v>3859</v>
      </c>
      <c r="C3" t="s">
        <v>3860</v>
      </c>
      <c r="D3" s="43" t="s">
        <v>1515</v>
      </c>
      <c r="E3">
        <v>295</v>
      </c>
      <c r="F3" t="s">
        <v>1164</v>
      </c>
      <c r="G3">
        <v>675</v>
      </c>
    </row>
    <row r="4" spans="1:83">
      <c r="A4">
        <v>3</v>
      </c>
      <c r="B4" t="s">
        <v>3861</v>
      </c>
      <c r="C4" t="s">
        <v>3860</v>
      </c>
      <c r="D4" s="43" t="s">
        <v>1516</v>
      </c>
      <c r="E4">
        <v>296</v>
      </c>
    </row>
    <row r="5" spans="1:83">
      <c r="A5">
        <v>4</v>
      </c>
      <c r="B5" t="s">
        <v>3862</v>
      </c>
      <c r="C5" t="s">
        <v>3860</v>
      </c>
      <c r="D5" s="43" t="s">
        <v>1517</v>
      </c>
      <c r="E5">
        <v>297</v>
      </c>
      <c r="F5" t="s">
        <v>1614</v>
      </c>
      <c r="G5">
        <v>405</v>
      </c>
    </row>
    <row r="6" spans="1:83">
      <c r="A6">
        <v>5</v>
      </c>
      <c r="B6" t="s">
        <v>3863</v>
      </c>
      <c r="C6" t="s">
        <v>3860</v>
      </c>
      <c r="D6" s="43" t="s">
        <v>1518</v>
      </c>
      <c r="E6">
        <v>298</v>
      </c>
    </row>
    <row r="7" spans="1:83">
      <c r="A7">
        <v>6</v>
      </c>
      <c r="B7" t="s">
        <v>3864</v>
      </c>
      <c r="C7" t="s">
        <v>3860</v>
      </c>
      <c r="D7" t="s">
        <v>1409</v>
      </c>
      <c r="E7">
        <v>167</v>
      </c>
      <c r="F7" s="43" t="s">
        <v>1519</v>
      </c>
      <c r="G7">
        <v>299</v>
      </c>
      <c r="H7" t="s">
        <v>1577</v>
      </c>
      <c r="I7">
        <v>363</v>
      </c>
    </row>
    <row r="8" spans="1:83">
      <c r="A8">
        <v>7</v>
      </c>
      <c r="B8" t="s">
        <v>3865</v>
      </c>
      <c r="C8" t="s">
        <v>3860</v>
      </c>
      <c r="D8" s="43" t="s">
        <v>1521</v>
      </c>
      <c r="E8">
        <v>301</v>
      </c>
      <c r="F8" t="s">
        <v>1695</v>
      </c>
      <c r="G8">
        <v>493</v>
      </c>
    </row>
    <row r="9" spans="1:83">
      <c r="A9">
        <v>8</v>
      </c>
      <c r="B9" t="s">
        <v>3866</v>
      </c>
      <c r="C9" t="s">
        <v>3860</v>
      </c>
      <c r="D9" s="44" t="s">
        <v>1357</v>
      </c>
      <c r="E9">
        <v>115</v>
      </c>
    </row>
    <row r="10" spans="1:83">
      <c r="A10">
        <v>9</v>
      </c>
      <c r="B10" t="s">
        <v>3867</v>
      </c>
      <c r="C10" t="s">
        <v>3860</v>
      </c>
      <c r="D10" t="s">
        <v>1389</v>
      </c>
      <c r="E10">
        <v>146</v>
      </c>
      <c r="F10" t="s">
        <v>1400</v>
      </c>
      <c r="G10">
        <v>159</v>
      </c>
      <c r="H10" s="43" t="s">
        <v>1522</v>
      </c>
      <c r="I10">
        <v>302</v>
      </c>
    </row>
    <row r="11" spans="1:83">
      <c r="A11">
        <v>10</v>
      </c>
      <c r="B11" t="s">
        <v>3868</v>
      </c>
      <c r="C11" t="s">
        <v>3860</v>
      </c>
      <c r="D11" s="43" t="s">
        <v>1523</v>
      </c>
      <c r="E11">
        <v>303</v>
      </c>
      <c r="F11" t="s">
        <v>1854</v>
      </c>
      <c r="G11">
        <v>664</v>
      </c>
      <c r="H11" t="s">
        <v>1866</v>
      </c>
      <c r="I11">
        <v>677</v>
      </c>
    </row>
    <row r="12" spans="1:83">
      <c r="A12">
        <v>11</v>
      </c>
      <c r="B12" t="s">
        <v>3869</v>
      </c>
      <c r="C12" t="s">
        <v>3860</v>
      </c>
      <c r="D12" t="s">
        <v>1263</v>
      </c>
      <c r="E12">
        <v>19</v>
      </c>
      <c r="F12" t="s">
        <v>1267</v>
      </c>
      <c r="G12">
        <v>22</v>
      </c>
      <c r="H12" t="s">
        <v>1286</v>
      </c>
      <c r="I12">
        <v>40</v>
      </c>
      <c r="J12" t="s">
        <v>1307</v>
      </c>
      <c r="K12">
        <v>64</v>
      </c>
      <c r="L12" t="s">
        <v>1310</v>
      </c>
      <c r="M12">
        <v>69</v>
      </c>
      <c r="N12" t="s">
        <v>1313</v>
      </c>
      <c r="O12">
        <v>72</v>
      </c>
      <c r="P12" t="s">
        <v>1322</v>
      </c>
      <c r="Q12">
        <v>81</v>
      </c>
      <c r="R12" t="s">
        <v>1353</v>
      </c>
      <c r="S12">
        <v>111</v>
      </c>
      <c r="T12" t="s">
        <v>1363</v>
      </c>
      <c r="U12">
        <v>121</v>
      </c>
      <c r="V12" t="s">
        <v>1364</v>
      </c>
      <c r="W12">
        <v>122</v>
      </c>
      <c r="X12" t="s">
        <v>1372</v>
      </c>
      <c r="Y12">
        <v>130</v>
      </c>
      <c r="Z12" t="s">
        <v>1373</v>
      </c>
      <c r="AA12">
        <v>131</v>
      </c>
      <c r="AB12" t="s">
        <v>1395</v>
      </c>
      <c r="AC12">
        <v>154</v>
      </c>
      <c r="AD12" t="s">
        <v>1428</v>
      </c>
      <c r="AE12">
        <v>194</v>
      </c>
      <c r="AF12" t="s">
        <v>1511</v>
      </c>
      <c r="AG12">
        <v>291</v>
      </c>
      <c r="AH12" t="s">
        <v>1512</v>
      </c>
      <c r="AI12">
        <v>292</v>
      </c>
      <c r="AJ12" s="43" t="s">
        <v>1524</v>
      </c>
      <c r="AK12">
        <v>304</v>
      </c>
      <c r="AL12" t="s">
        <v>1548</v>
      </c>
      <c r="AM12">
        <v>332</v>
      </c>
      <c r="AN12" t="s">
        <v>1564</v>
      </c>
      <c r="AO12">
        <v>349</v>
      </c>
      <c r="AP12" t="s">
        <v>739</v>
      </c>
      <c r="AQ12">
        <v>368</v>
      </c>
      <c r="AR12" t="s">
        <v>1594</v>
      </c>
      <c r="AS12">
        <v>382</v>
      </c>
      <c r="AT12" t="s">
        <v>1632</v>
      </c>
      <c r="AU12">
        <v>427</v>
      </c>
      <c r="AV12" t="s">
        <v>1633</v>
      </c>
      <c r="AW12">
        <v>428</v>
      </c>
      <c r="AX12" t="s">
        <v>1653</v>
      </c>
      <c r="AY12">
        <v>447</v>
      </c>
      <c r="AZ12" t="s">
        <v>1660</v>
      </c>
      <c r="BA12">
        <v>454</v>
      </c>
      <c r="BB12" t="s">
        <v>1675</v>
      </c>
      <c r="BC12">
        <v>471</v>
      </c>
      <c r="BD12" t="s">
        <v>1693</v>
      </c>
      <c r="BE12">
        <v>491</v>
      </c>
      <c r="BF12" t="s">
        <v>1708</v>
      </c>
      <c r="BG12">
        <v>508</v>
      </c>
      <c r="BH12" t="s">
        <v>1730</v>
      </c>
      <c r="BI12">
        <v>530</v>
      </c>
      <c r="BJ12" t="s">
        <v>1754</v>
      </c>
      <c r="BK12">
        <v>560</v>
      </c>
      <c r="BL12" t="s">
        <v>1758</v>
      </c>
      <c r="BM12">
        <v>565</v>
      </c>
      <c r="BN12" t="s">
        <v>1765</v>
      </c>
      <c r="BO12">
        <v>573</v>
      </c>
      <c r="BP12" t="s">
        <v>1790</v>
      </c>
      <c r="BQ12">
        <v>598</v>
      </c>
      <c r="BR12" t="s">
        <v>1807</v>
      </c>
      <c r="BS12">
        <v>614</v>
      </c>
      <c r="BT12" t="s">
        <v>1808</v>
      </c>
      <c r="BU12">
        <v>615</v>
      </c>
      <c r="BV12" t="s">
        <v>1809</v>
      </c>
      <c r="BW12">
        <v>616</v>
      </c>
      <c r="BX12" t="s">
        <v>1820</v>
      </c>
      <c r="BY12">
        <v>627</v>
      </c>
      <c r="BZ12" t="s">
        <v>1839</v>
      </c>
      <c r="CA12">
        <v>649</v>
      </c>
      <c r="CB12" t="s">
        <v>1858</v>
      </c>
      <c r="CC12">
        <v>668</v>
      </c>
      <c r="CD12" t="s">
        <v>1168</v>
      </c>
      <c r="CE12">
        <v>681</v>
      </c>
    </row>
    <row r="13" spans="1:83">
      <c r="A13">
        <v>12</v>
      </c>
      <c r="B13" t="s">
        <v>3870</v>
      </c>
      <c r="C13" t="s">
        <v>3860</v>
      </c>
      <c r="D13" t="s">
        <v>1468</v>
      </c>
      <c r="E13">
        <v>239</v>
      </c>
      <c r="F13" s="43" t="s">
        <v>1525</v>
      </c>
      <c r="G13">
        <v>305</v>
      </c>
    </row>
    <row r="14" spans="1:83">
      <c r="A14">
        <v>13</v>
      </c>
      <c r="B14" t="s">
        <v>3871</v>
      </c>
      <c r="C14" t="s">
        <v>3860</v>
      </c>
      <c r="D14" s="43" t="s">
        <v>1526</v>
      </c>
      <c r="E14">
        <v>306</v>
      </c>
    </row>
    <row r="15" spans="1:83">
      <c r="A15">
        <v>14</v>
      </c>
      <c r="B15" t="s">
        <v>3872</v>
      </c>
      <c r="C15" t="s">
        <v>3860</v>
      </c>
      <c r="D15" s="43" t="s">
        <v>1527</v>
      </c>
      <c r="E15">
        <v>307</v>
      </c>
    </row>
    <row r="16" spans="1:83">
      <c r="A16">
        <v>15</v>
      </c>
      <c r="B16" t="s">
        <v>3873</v>
      </c>
      <c r="C16" t="s">
        <v>3860</v>
      </c>
      <c r="D16" s="43" t="s">
        <v>1528</v>
      </c>
      <c r="E16">
        <v>308</v>
      </c>
      <c r="F16" t="s">
        <v>1738</v>
      </c>
      <c r="G16">
        <v>540</v>
      </c>
    </row>
    <row r="17" spans="1:53">
      <c r="A17">
        <v>16</v>
      </c>
      <c r="B17" t="s">
        <v>3874</v>
      </c>
      <c r="C17" t="s">
        <v>3860</v>
      </c>
      <c r="D17" t="s">
        <v>1257</v>
      </c>
      <c r="E17">
        <v>13</v>
      </c>
      <c r="F17" t="s">
        <v>1265</v>
      </c>
      <c r="G17">
        <v>20</v>
      </c>
      <c r="H17" t="s">
        <v>1281</v>
      </c>
      <c r="I17">
        <v>35</v>
      </c>
      <c r="J17" s="43" t="s">
        <v>1289</v>
      </c>
      <c r="K17">
        <v>43</v>
      </c>
      <c r="L17" t="s">
        <v>1294</v>
      </c>
      <c r="M17">
        <v>48</v>
      </c>
      <c r="N17" t="s">
        <v>1297</v>
      </c>
      <c r="O17">
        <v>51</v>
      </c>
      <c r="P17" t="s">
        <v>1303</v>
      </c>
      <c r="Q17">
        <v>59</v>
      </c>
      <c r="R17" t="s">
        <v>1437</v>
      </c>
      <c r="S17">
        <v>203</v>
      </c>
      <c r="T17" t="s">
        <v>1469</v>
      </c>
      <c r="U17">
        <v>240</v>
      </c>
      <c r="V17" t="s">
        <v>1478</v>
      </c>
      <c r="W17">
        <v>253</v>
      </c>
      <c r="X17" t="s">
        <v>1507</v>
      </c>
      <c r="Y17">
        <v>286</v>
      </c>
      <c r="Z17" t="s">
        <v>1532</v>
      </c>
      <c r="AA17">
        <v>313</v>
      </c>
      <c r="AB17" t="s">
        <v>1561</v>
      </c>
      <c r="AC17">
        <v>346</v>
      </c>
      <c r="AD17" t="s">
        <v>1562</v>
      </c>
      <c r="AE17">
        <v>347</v>
      </c>
      <c r="AF17" t="s">
        <v>1566</v>
      </c>
      <c r="AG17">
        <v>351</v>
      </c>
      <c r="AH17" t="s">
        <v>1569</v>
      </c>
      <c r="AI17">
        <v>355</v>
      </c>
      <c r="AJ17" t="s">
        <v>1580</v>
      </c>
      <c r="AK17">
        <v>366</v>
      </c>
      <c r="AL17" t="s">
        <v>1583</v>
      </c>
      <c r="AM17">
        <v>370</v>
      </c>
      <c r="AN17" t="s">
        <v>1591</v>
      </c>
      <c r="AO17">
        <v>379</v>
      </c>
      <c r="AP17" t="s">
        <v>1628</v>
      </c>
      <c r="AQ17">
        <v>421</v>
      </c>
      <c r="AR17" t="s">
        <v>1662</v>
      </c>
      <c r="AS17">
        <v>456</v>
      </c>
      <c r="AT17" t="s">
        <v>1663</v>
      </c>
      <c r="AU17">
        <v>457</v>
      </c>
      <c r="AV17" t="s">
        <v>1683</v>
      </c>
      <c r="AW17">
        <v>481</v>
      </c>
      <c r="AX17" t="s">
        <v>1745</v>
      </c>
      <c r="AY17">
        <v>549</v>
      </c>
      <c r="AZ17" t="s">
        <v>1124</v>
      </c>
      <c r="BA17">
        <v>642</v>
      </c>
    </row>
    <row r="18" spans="1:53">
      <c r="A18">
        <v>17</v>
      </c>
      <c r="B18" t="s">
        <v>41</v>
      </c>
      <c r="C18" t="s">
        <v>3860</v>
      </c>
      <c r="D18" s="43" t="s">
        <v>1381</v>
      </c>
      <c r="E18">
        <v>139</v>
      </c>
      <c r="F18" t="s">
        <v>1860</v>
      </c>
      <c r="G18">
        <v>670</v>
      </c>
    </row>
    <row r="19" spans="1:53">
      <c r="A19">
        <v>18</v>
      </c>
      <c r="B19" t="s">
        <v>3875</v>
      </c>
      <c r="C19" t="s">
        <v>3860</v>
      </c>
      <c r="D19" s="43" t="s">
        <v>1386</v>
      </c>
      <c r="E19">
        <v>144</v>
      </c>
    </row>
    <row r="20" spans="1:53">
      <c r="A20">
        <v>19</v>
      </c>
      <c r="B20" t="s">
        <v>3876</v>
      </c>
      <c r="C20" t="s">
        <v>3860</v>
      </c>
      <c r="D20" s="43" t="s">
        <v>1382</v>
      </c>
      <c r="E20">
        <v>140</v>
      </c>
    </row>
    <row r="21" spans="1:53">
      <c r="A21">
        <v>20</v>
      </c>
      <c r="B21" t="s">
        <v>3877</v>
      </c>
      <c r="C21" t="s">
        <v>3878</v>
      </c>
      <c r="D21" s="44"/>
    </row>
    <row r="22" spans="1:53">
      <c r="A22">
        <v>21</v>
      </c>
      <c r="B22" t="s">
        <v>3879</v>
      </c>
      <c r="C22" t="s">
        <v>3860</v>
      </c>
      <c r="D22" s="43" t="s">
        <v>1383</v>
      </c>
      <c r="E22">
        <v>141</v>
      </c>
      <c r="F22" t="s">
        <v>1542</v>
      </c>
      <c r="G22">
        <v>326</v>
      </c>
      <c r="H22" t="s">
        <v>1685</v>
      </c>
      <c r="I22">
        <v>483</v>
      </c>
    </row>
    <row r="23" spans="1:53">
      <c r="A23">
        <v>22</v>
      </c>
      <c r="B23" t="s">
        <v>3880</v>
      </c>
      <c r="C23" t="s">
        <v>3860</v>
      </c>
      <c r="D23" s="43" t="s">
        <v>1384</v>
      </c>
      <c r="E23">
        <v>142</v>
      </c>
    </row>
    <row r="24" spans="1:53">
      <c r="A24">
        <v>23</v>
      </c>
      <c r="B24" t="s">
        <v>3881</v>
      </c>
      <c r="C24" t="s">
        <v>3860</v>
      </c>
      <c r="D24" s="43" t="s">
        <v>1385</v>
      </c>
      <c r="E24">
        <v>143</v>
      </c>
    </row>
    <row r="25" spans="1:53">
      <c r="A25">
        <v>24</v>
      </c>
      <c r="B25" t="s">
        <v>3882</v>
      </c>
      <c r="C25" t="s">
        <v>3860</v>
      </c>
      <c r="D25" s="44" t="s">
        <v>1257</v>
      </c>
      <c r="E25">
        <v>13</v>
      </c>
      <c r="F25" t="s">
        <v>1265</v>
      </c>
      <c r="G25">
        <v>20</v>
      </c>
      <c r="H25" t="s">
        <v>1281</v>
      </c>
      <c r="I25">
        <v>35</v>
      </c>
      <c r="J25" t="s">
        <v>1289</v>
      </c>
      <c r="K25">
        <v>43</v>
      </c>
      <c r="L25" t="s">
        <v>1294</v>
      </c>
      <c r="M25">
        <v>48</v>
      </c>
      <c r="N25" t="s">
        <v>1297</v>
      </c>
      <c r="O25">
        <v>51</v>
      </c>
      <c r="P25" t="s">
        <v>1303</v>
      </c>
      <c r="Q25">
        <v>59</v>
      </c>
      <c r="R25" t="s">
        <v>1437</v>
      </c>
      <c r="S25">
        <v>203</v>
      </c>
      <c r="T25" t="s">
        <v>1469</v>
      </c>
      <c r="U25">
        <v>240</v>
      </c>
      <c r="V25" t="s">
        <v>1478</v>
      </c>
      <c r="W25">
        <v>253</v>
      </c>
      <c r="X25" t="s">
        <v>1507</v>
      </c>
      <c r="Y25">
        <v>286</v>
      </c>
      <c r="Z25" t="s">
        <v>1532</v>
      </c>
      <c r="AA25">
        <v>313</v>
      </c>
      <c r="AB25" t="s">
        <v>1561</v>
      </c>
      <c r="AC25">
        <v>346</v>
      </c>
      <c r="AD25" t="s">
        <v>1562</v>
      </c>
      <c r="AE25">
        <v>347</v>
      </c>
      <c r="AF25" t="s">
        <v>1566</v>
      </c>
      <c r="AG25">
        <v>351</v>
      </c>
      <c r="AH25" t="s">
        <v>1569</v>
      </c>
      <c r="AI25">
        <v>355</v>
      </c>
      <c r="AJ25" t="s">
        <v>1580</v>
      </c>
      <c r="AK25">
        <v>366</v>
      </c>
      <c r="AL25" t="s">
        <v>1583</v>
      </c>
      <c r="AM25">
        <v>370</v>
      </c>
      <c r="AN25" t="s">
        <v>1591</v>
      </c>
      <c r="AO25">
        <v>379</v>
      </c>
      <c r="AP25" t="s">
        <v>1628</v>
      </c>
      <c r="AQ25">
        <v>421</v>
      </c>
      <c r="AR25" t="s">
        <v>1662</v>
      </c>
      <c r="AS25">
        <v>456</v>
      </c>
      <c r="AT25" t="s">
        <v>1663</v>
      </c>
      <c r="AU25">
        <v>457</v>
      </c>
      <c r="AV25" t="s">
        <v>1683</v>
      </c>
      <c r="AW25">
        <v>481</v>
      </c>
      <c r="AX25" t="s">
        <v>1745</v>
      </c>
      <c r="AY25">
        <v>549</v>
      </c>
      <c r="AZ25" t="s">
        <v>1124</v>
      </c>
      <c r="BA25">
        <v>642</v>
      </c>
    </row>
    <row r="26" spans="1:53" hidden="1">
      <c r="A26">
        <v>25</v>
      </c>
      <c r="B26" t="s">
        <v>1317</v>
      </c>
      <c r="C26" t="s">
        <v>3883</v>
      </c>
      <c r="D26" t="s">
        <v>1317</v>
      </c>
      <c r="E26">
        <v>76</v>
      </c>
    </row>
    <row r="27" spans="1:53">
      <c r="A27">
        <v>26</v>
      </c>
      <c r="B27" t="s">
        <v>3884</v>
      </c>
      <c r="C27" t="s">
        <v>3860</v>
      </c>
      <c r="D27" t="s">
        <v>492</v>
      </c>
      <c r="E27">
        <v>195</v>
      </c>
      <c r="F27" t="s">
        <v>1541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3" t="s">
        <v>1773</v>
      </c>
      <c r="M27">
        <v>581</v>
      </c>
    </row>
    <row r="28" spans="1:53" hidden="1">
      <c r="A28">
        <v>27</v>
      </c>
      <c r="B28" t="s">
        <v>1267</v>
      </c>
      <c r="C28" t="s">
        <v>3883</v>
      </c>
      <c r="D28" t="s">
        <v>1267</v>
      </c>
      <c r="E28">
        <v>22</v>
      </c>
    </row>
    <row r="29" spans="1:53">
      <c r="A29">
        <v>28</v>
      </c>
      <c r="B29" t="s">
        <v>1244</v>
      </c>
      <c r="C29" t="s">
        <v>3878</v>
      </c>
    </row>
    <row r="30" spans="1:53">
      <c r="A30">
        <v>29</v>
      </c>
      <c r="B30" t="s">
        <v>3885</v>
      </c>
      <c r="C30" t="s">
        <v>3878</v>
      </c>
    </row>
    <row r="31" spans="1:53">
      <c r="A31">
        <v>30</v>
      </c>
      <c r="B31" t="s">
        <v>1246</v>
      </c>
      <c r="C31" t="s">
        <v>3878</v>
      </c>
    </row>
    <row r="32" spans="1:53">
      <c r="A32">
        <v>31</v>
      </c>
      <c r="B32" t="s">
        <v>86</v>
      </c>
      <c r="C32" t="s">
        <v>3860</v>
      </c>
      <c r="D32" t="s">
        <v>1247</v>
      </c>
      <c r="E32">
        <v>2</v>
      </c>
      <c r="F32" t="s">
        <v>276</v>
      </c>
      <c r="G32">
        <v>63</v>
      </c>
      <c r="H32" t="s">
        <v>1334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1597</v>
      </c>
      <c r="O32">
        <v>386</v>
      </c>
      <c r="P32" t="s">
        <v>1625</v>
      </c>
      <c r="Q32">
        <v>416</v>
      </c>
      <c r="R32" t="s">
        <v>1667</v>
      </c>
      <c r="S32">
        <v>462</v>
      </c>
      <c r="T32" t="s">
        <v>1679</v>
      </c>
      <c r="U32">
        <v>475</v>
      </c>
    </row>
    <row r="33" spans="1:33" hidden="1">
      <c r="A33">
        <v>32</v>
      </c>
      <c r="B33" t="s">
        <v>1248</v>
      </c>
      <c r="C33" t="s">
        <v>3883</v>
      </c>
      <c r="D33" t="s">
        <v>1248</v>
      </c>
      <c r="E33">
        <v>3</v>
      </c>
    </row>
    <row r="34" spans="1:33">
      <c r="A34">
        <v>33</v>
      </c>
      <c r="B34" t="s">
        <v>94</v>
      </c>
      <c r="C34" t="s">
        <v>3860</v>
      </c>
      <c r="D34" t="s">
        <v>1249</v>
      </c>
      <c r="E34">
        <v>4</v>
      </c>
    </row>
    <row r="35" spans="1:33" hidden="1">
      <c r="A35">
        <v>34</v>
      </c>
      <c r="B35" t="s">
        <v>99</v>
      </c>
      <c r="C35" t="s">
        <v>3883</v>
      </c>
      <c r="D35" t="s">
        <v>99</v>
      </c>
      <c r="E35">
        <v>5</v>
      </c>
    </row>
    <row r="36" spans="1:33" hidden="1">
      <c r="A36">
        <v>35</v>
      </c>
      <c r="B36" t="s">
        <v>1250</v>
      </c>
      <c r="C36" t="s">
        <v>3883</v>
      </c>
      <c r="D36" t="s">
        <v>1250</v>
      </c>
      <c r="E36">
        <v>6</v>
      </c>
    </row>
    <row r="37" spans="1:33" hidden="1">
      <c r="A37">
        <v>36</v>
      </c>
      <c r="B37" t="s">
        <v>1251</v>
      </c>
      <c r="C37" t="s">
        <v>3883</v>
      </c>
      <c r="D37" t="s">
        <v>1251</v>
      </c>
      <c r="E37">
        <v>7</v>
      </c>
    </row>
    <row r="38" spans="1:33" hidden="1">
      <c r="A38">
        <v>37</v>
      </c>
      <c r="B38" t="s">
        <v>1252</v>
      </c>
      <c r="C38" t="s">
        <v>3883</v>
      </c>
      <c r="D38" t="s">
        <v>1252</v>
      </c>
      <c r="E38">
        <v>8</v>
      </c>
    </row>
    <row r="39" spans="1:33" hidden="1">
      <c r="A39">
        <v>38</v>
      </c>
      <c r="B39" t="s">
        <v>1253</v>
      </c>
      <c r="C39" t="s">
        <v>3883</v>
      </c>
      <c r="D39" t="s">
        <v>1253</v>
      </c>
      <c r="E39">
        <v>9</v>
      </c>
    </row>
    <row r="40" spans="1:33" hidden="1">
      <c r="A40">
        <v>39</v>
      </c>
      <c r="B40" t="s">
        <v>1253</v>
      </c>
      <c r="C40" t="s">
        <v>3883</v>
      </c>
      <c r="D40" t="s">
        <v>1253</v>
      </c>
      <c r="E40">
        <v>9</v>
      </c>
    </row>
    <row r="41" spans="1:33">
      <c r="A41">
        <v>40</v>
      </c>
      <c r="B41" t="s">
        <v>3886</v>
      </c>
      <c r="C41" t="s">
        <v>3860</v>
      </c>
      <c r="D41" s="43" t="s">
        <v>1254</v>
      </c>
      <c r="E41">
        <v>10</v>
      </c>
      <c r="F41" t="s">
        <v>1276</v>
      </c>
      <c r="G41">
        <v>31</v>
      </c>
      <c r="H41" t="s">
        <v>1338</v>
      </c>
      <c r="I41">
        <v>98</v>
      </c>
      <c r="J41" t="s">
        <v>1455</v>
      </c>
      <c r="K41">
        <v>223</v>
      </c>
      <c r="L41" t="s">
        <v>1456</v>
      </c>
      <c r="M41">
        <v>225</v>
      </c>
      <c r="N41" t="s">
        <v>578</v>
      </c>
      <c r="O41">
        <v>243</v>
      </c>
      <c r="P41" t="s">
        <v>1509</v>
      </c>
      <c r="Q41">
        <v>289</v>
      </c>
      <c r="R41" t="s">
        <v>1565</v>
      </c>
      <c r="S41">
        <v>350</v>
      </c>
      <c r="T41" t="s">
        <v>1596</v>
      </c>
      <c r="U41">
        <v>385</v>
      </c>
      <c r="V41" t="s">
        <v>1602</v>
      </c>
      <c r="W41">
        <v>391</v>
      </c>
      <c r="X41" t="s">
        <v>1654</v>
      </c>
      <c r="Y41">
        <v>448</v>
      </c>
      <c r="Z41" t="s">
        <v>1669</v>
      </c>
      <c r="AA41">
        <v>464</v>
      </c>
      <c r="AB41" t="s">
        <v>1670</v>
      </c>
      <c r="AC41">
        <v>465</v>
      </c>
      <c r="AD41" t="s">
        <v>1755</v>
      </c>
      <c r="AE41">
        <v>561</v>
      </c>
      <c r="AF41" t="s">
        <v>1867</v>
      </c>
      <c r="AG41">
        <v>678</v>
      </c>
    </row>
    <row r="42" spans="1:33">
      <c r="A42">
        <v>41</v>
      </c>
      <c r="B42" t="s">
        <v>3887</v>
      </c>
      <c r="C42" t="s">
        <v>3860</v>
      </c>
      <c r="D42" t="s">
        <v>1254</v>
      </c>
      <c r="E42">
        <v>10</v>
      </c>
      <c r="F42" t="s">
        <v>1276</v>
      </c>
      <c r="G42">
        <v>31</v>
      </c>
      <c r="H42" t="s">
        <v>1338</v>
      </c>
      <c r="I42">
        <v>98</v>
      </c>
      <c r="J42" t="s">
        <v>1455</v>
      </c>
      <c r="K42">
        <v>223</v>
      </c>
      <c r="L42" t="s">
        <v>1456</v>
      </c>
      <c r="M42">
        <v>225</v>
      </c>
      <c r="N42" t="s">
        <v>578</v>
      </c>
      <c r="O42">
        <v>243</v>
      </c>
      <c r="P42" t="s">
        <v>1509</v>
      </c>
      <c r="Q42">
        <v>289</v>
      </c>
      <c r="R42" t="s">
        <v>1565</v>
      </c>
      <c r="S42">
        <v>350</v>
      </c>
      <c r="T42" t="s">
        <v>1596</v>
      </c>
      <c r="U42">
        <v>385</v>
      </c>
      <c r="V42" t="s">
        <v>1602</v>
      </c>
      <c r="W42">
        <v>391</v>
      </c>
      <c r="X42" t="s">
        <v>1654</v>
      </c>
      <c r="Y42">
        <v>448</v>
      </c>
      <c r="Z42" t="s">
        <v>1669</v>
      </c>
      <c r="AA42">
        <v>464</v>
      </c>
      <c r="AB42" t="s">
        <v>1670</v>
      </c>
      <c r="AC42">
        <v>465</v>
      </c>
      <c r="AD42" t="s">
        <v>1755</v>
      </c>
      <c r="AE42">
        <v>561</v>
      </c>
      <c r="AF42" t="s">
        <v>1867</v>
      </c>
      <c r="AG42">
        <v>678</v>
      </c>
    </row>
    <row r="43" spans="1:33">
      <c r="A43">
        <v>42</v>
      </c>
      <c r="B43" t="s">
        <v>1255</v>
      </c>
      <c r="C43" t="s">
        <v>3878</v>
      </c>
    </row>
    <row r="44" spans="1:33" hidden="1">
      <c r="A44">
        <v>43</v>
      </c>
      <c r="B44" t="s">
        <v>1256</v>
      </c>
      <c r="C44" t="s">
        <v>3883</v>
      </c>
      <c r="D44" t="s">
        <v>1256</v>
      </c>
      <c r="E44">
        <v>12</v>
      </c>
    </row>
    <row r="45" spans="1:33" hidden="1">
      <c r="A45">
        <v>44</v>
      </c>
      <c r="B45" t="s">
        <v>1256</v>
      </c>
      <c r="C45" t="s">
        <v>3883</v>
      </c>
      <c r="D45" t="s">
        <v>1256</v>
      </c>
      <c r="E45">
        <v>12</v>
      </c>
    </row>
    <row r="46" spans="1:33" hidden="1">
      <c r="A46">
        <v>45</v>
      </c>
      <c r="B46" t="s">
        <v>1258</v>
      </c>
      <c r="C46" t="s">
        <v>3883</v>
      </c>
      <c r="D46" t="s">
        <v>1258</v>
      </c>
      <c r="E46">
        <v>14</v>
      </c>
    </row>
    <row r="47" spans="1:33" hidden="1">
      <c r="A47">
        <v>46</v>
      </c>
      <c r="B47" t="s">
        <v>1257</v>
      </c>
      <c r="C47" t="s">
        <v>3883</v>
      </c>
      <c r="D47" t="s">
        <v>1257</v>
      </c>
      <c r="E47">
        <v>13</v>
      </c>
    </row>
    <row r="48" spans="1:33" hidden="1">
      <c r="A48">
        <v>47</v>
      </c>
      <c r="B48" t="s">
        <v>1257</v>
      </c>
      <c r="C48" t="s">
        <v>3883</v>
      </c>
      <c r="D48" t="s">
        <v>1257</v>
      </c>
      <c r="E48">
        <v>13</v>
      </c>
    </row>
    <row r="49" spans="1:23">
      <c r="A49">
        <v>48</v>
      </c>
      <c r="B49" t="s">
        <v>3888</v>
      </c>
      <c r="C49" t="s">
        <v>3860</v>
      </c>
      <c r="D49" s="43" t="s">
        <v>1259</v>
      </c>
      <c r="E49">
        <v>15</v>
      </c>
    </row>
    <row r="50" spans="1:23" hidden="1">
      <c r="A50">
        <v>49</v>
      </c>
      <c r="B50" t="s">
        <v>1260</v>
      </c>
      <c r="C50" t="s">
        <v>3883</v>
      </c>
      <c r="D50" t="s">
        <v>1260</v>
      </c>
      <c r="E50">
        <v>16</v>
      </c>
    </row>
    <row r="51" spans="1:23" ht="13.8" thickBot="1">
      <c r="A51">
        <v>50</v>
      </c>
      <c r="B51" t="s">
        <v>3889</v>
      </c>
      <c r="C51" t="s">
        <v>3860</v>
      </c>
      <c r="D51" s="45" t="s">
        <v>1301</v>
      </c>
      <c r="E51">
        <v>56</v>
      </c>
      <c r="F51" t="s">
        <v>1329</v>
      </c>
      <c r="G51">
        <v>88</v>
      </c>
      <c r="H51" t="s">
        <v>1354</v>
      </c>
      <c r="I51">
        <v>112</v>
      </c>
      <c r="J51" t="s">
        <v>1355</v>
      </c>
      <c r="K51">
        <v>113</v>
      </c>
      <c r="L51" t="s">
        <v>1412</v>
      </c>
      <c r="M51">
        <v>171</v>
      </c>
      <c r="N51" t="s">
        <v>1510</v>
      </c>
      <c r="O51">
        <v>290</v>
      </c>
      <c r="P51" t="s">
        <v>1537</v>
      </c>
      <c r="Q51">
        <v>318</v>
      </c>
      <c r="R51" t="s">
        <v>1673</v>
      </c>
      <c r="S51">
        <v>469</v>
      </c>
      <c r="T51" t="s">
        <v>1674</v>
      </c>
      <c r="U51">
        <v>470</v>
      </c>
      <c r="V51" t="s">
        <v>1735</v>
      </c>
      <c r="W51">
        <v>537</v>
      </c>
    </row>
    <row r="52" spans="1:23" ht="13.8" hidden="1" thickTop="1">
      <c r="A52">
        <v>51</v>
      </c>
      <c r="B52" t="s">
        <v>1261</v>
      </c>
      <c r="C52" t="s">
        <v>3883</v>
      </c>
      <c r="D52" t="s">
        <v>1261</v>
      </c>
      <c r="E52">
        <v>17</v>
      </c>
    </row>
    <row r="53" spans="1:23" ht="13.8" hidden="1" thickTop="1">
      <c r="A53">
        <v>52</v>
      </c>
      <c r="B53" t="s">
        <v>1262</v>
      </c>
      <c r="C53" t="s">
        <v>3883</v>
      </c>
      <c r="D53" t="s">
        <v>1262</v>
      </c>
      <c r="E53">
        <v>18</v>
      </c>
    </row>
    <row r="54" spans="1:23" ht="13.8" hidden="1" thickTop="1">
      <c r="A54">
        <v>53</v>
      </c>
      <c r="B54" t="s">
        <v>1263</v>
      </c>
      <c r="C54" t="s">
        <v>3883</v>
      </c>
      <c r="D54" t="s">
        <v>1263</v>
      </c>
      <c r="E54">
        <v>19</v>
      </c>
    </row>
    <row r="55" spans="1:23" ht="13.8" thickTop="1">
      <c r="A55">
        <v>54</v>
      </c>
      <c r="B55" t="s">
        <v>1264</v>
      </c>
      <c r="C55" t="s">
        <v>3860</v>
      </c>
      <c r="D55" s="44" t="s">
        <v>670</v>
      </c>
      <c r="E55">
        <v>322</v>
      </c>
      <c r="F55" t="s">
        <v>1664</v>
      </c>
      <c r="G55">
        <v>458</v>
      </c>
      <c r="H55" t="s">
        <v>1729</v>
      </c>
      <c r="I55">
        <v>529</v>
      </c>
      <c r="J55" t="s">
        <v>1788</v>
      </c>
      <c r="K55">
        <v>596</v>
      </c>
    </row>
    <row r="56" spans="1:23" hidden="1">
      <c r="A56">
        <v>55</v>
      </c>
      <c r="B56" t="s">
        <v>1266</v>
      </c>
      <c r="C56" t="s">
        <v>3883</v>
      </c>
      <c r="D56" t="s">
        <v>1266</v>
      </c>
      <c r="E56">
        <v>21</v>
      </c>
    </row>
    <row r="57" spans="1:23" hidden="1">
      <c r="A57">
        <v>56</v>
      </c>
      <c r="B57" t="s">
        <v>1265</v>
      </c>
      <c r="C57" t="s">
        <v>3883</v>
      </c>
      <c r="D57" t="s">
        <v>1265</v>
      </c>
      <c r="E57">
        <v>20</v>
      </c>
    </row>
    <row r="58" spans="1:23" ht="26.4">
      <c r="A58">
        <v>57</v>
      </c>
      <c r="B58" s="17" t="s">
        <v>3890</v>
      </c>
      <c r="C58" t="s">
        <v>3860</v>
      </c>
      <c r="D58" s="43" t="s">
        <v>1268</v>
      </c>
      <c r="E58">
        <v>23</v>
      </c>
    </row>
    <row r="59" spans="1:23" hidden="1">
      <c r="A59">
        <v>58</v>
      </c>
      <c r="B59" t="s">
        <v>1271</v>
      </c>
      <c r="C59" t="s">
        <v>3883</v>
      </c>
      <c r="D59" t="s">
        <v>1271</v>
      </c>
      <c r="E59">
        <v>26</v>
      </c>
    </row>
    <row r="60" spans="1:23" hidden="1">
      <c r="A60">
        <v>59</v>
      </c>
      <c r="B60" t="s">
        <v>1269</v>
      </c>
      <c r="C60" t="s">
        <v>3883</v>
      </c>
      <c r="D60" t="s">
        <v>1269</v>
      </c>
      <c r="E60">
        <v>24</v>
      </c>
    </row>
    <row r="61" spans="1:23">
      <c r="A61">
        <v>60</v>
      </c>
      <c r="B61" t="s">
        <v>175</v>
      </c>
      <c r="C61" t="s">
        <v>3860</v>
      </c>
      <c r="D61" s="43" t="s">
        <v>1270</v>
      </c>
      <c r="E61">
        <v>25</v>
      </c>
    </row>
    <row r="62" spans="1:23">
      <c r="A62">
        <v>61</v>
      </c>
      <c r="B62" t="s">
        <v>175</v>
      </c>
      <c r="C62" t="s">
        <v>3860</v>
      </c>
      <c r="D62" s="43" t="s">
        <v>1270</v>
      </c>
      <c r="E62">
        <v>25</v>
      </c>
    </row>
    <row r="63" spans="1:23" hidden="1">
      <c r="A63">
        <v>62</v>
      </c>
      <c r="B63" t="s">
        <v>1272</v>
      </c>
      <c r="C63" t="s">
        <v>3883</v>
      </c>
      <c r="D63" t="s">
        <v>1272</v>
      </c>
      <c r="E63">
        <v>27</v>
      </c>
    </row>
    <row r="64" spans="1:23">
      <c r="A64">
        <v>63</v>
      </c>
      <c r="B64" t="s">
        <v>3891</v>
      </c>
      <c r="C64" t="s">
        <v>3860</v>
      </c>
      <c r="D64" t="s">
        <v>1273</v>
      </c>
      <c r="E64">
        <v>28</v>
      </c>
    </row>
    <row r="65" spans="1:7">
      <c r="A65">
        <v>64</v>
      </c>
      <c r="B65" t="s">
        <v>3892</v>
      </c>
      <c r="C65" t="s">
        <v>3860</v>
      </c>
      <c r="D65" s="43" t="s">
        <v>1273</v>
      </c>
      <c r="E65">
        <v>28</v>
      </c>
    </row>
    <row r="66" spans="1:7">
      <c r="A66">
        <v>65</v>
      </c>
      <c r="B66" t="s">
        <v>3893</v>
      </c>
      <c r="C66" t="s">
        <v>3860</v>
      </c>
      <c r="D66" s="43" t="s">
        <v>1274</v>
      </c>
      <c r="E66">
        <v>29</v>
      </c>
    </row>
    <row r="67" spans="1:7">
      <c r="A67">
        <v>66</v>
      </c>
      <c r="B67" t="s">
        <v>3894</v>
      </c>
      <c r="C67" t="s">
        <v>3860</v>
      </c>
      <c r="D67" t="s">
        <v>1274</v>
      </c>
      <c r="E67">
        <v>29</v>
      </c>
    </row>
    <row r="68" spans="1:7" hidden="1">
      <c r="A68">
        <v>67</v>
      </c>
      <c r="B68" t="s">
        <v>1275</v>
      </c>
      <c r="C68" t="s">
        <v>3883</v>
      </c>
      <c r="D68" t="s">
        <v>1275</v>
      </c>
      <c r="E68">
        <v>30</v>
      </c>
    </row>
    <row r="69" spans="1:7" hidden="1">
      <c r="A69">
        <v>68</v>
      </c>
      <c r="B69" t="s">
        <v>1275</v>
      </c>
      <c r="C69" t="s">
        <v>3883</v>
      </c>
      <c r="D69" t="s">
        <v>1275</v>
      </c>
      <c r="E69">
        <v>30</v>
      </c>
    </row>
    <row r="70" spans="1:7" hidden="1">
      <c r="A70">
        <v>69</v>
      </c>
      <c r="B70" t="s">
        <v>1276</v>
      </c>
      <c r="C70" t="s">
        <v>3883</v>
      </c>
      <c r="D70" t="s">
        <v>1276</v>
      </c>
      <c r="E70">
        <v>31</v>
      </c>
    </row>
    <row r="71" spans="1:7" hidden="1">
      <c r="A71">
        <v>70</v>
      </c>
      <c r="B71" t="s">
        <v>1277</v>
      </c>
      <c r="C71" t="s">
        <v>3883</v>
      </c>
      <c r="D71" t="s">
        <v>1277</v>
      </c>
      <c r="E71">
        <v>32</v>
      </c>
    </row>
    <row r="72" spans="1:7">
      <c r="A72">
        <v>71</v>
      </c>
      <c r="B72" t="s">
        <v>198</v>
      </c>
      <c r="C72" t="s">
        <v>3860</v>
      </c>
      <c r="D72" s="44" t="s">
        <v>1822</v>
      </c>
      <c r="E72">
        <v>629</v>
      </c>
    </row>
    <row r="73" spans="1:7">
      <c r="A73">
        <v>72</v>
      </c>
      <c r="B73" t="s">
        <v>3895</v>
      </c>
      <c r="C73" t="s">
        <v>3860</v>
      </c>
      <c r="D73" t="s">
        <v>1279</v>
      </c>
      <c r="E73">
        <v>34</v>
      </c>
    </row>
    <row r="74" spans="1:7">
      <c r="A74">
        <v>73</v>
      </c>
      <c r="B74" t="s">
        <v>1280</v>
      </c>
      <c r="C74" t="s">
        <v>3878</v>
      </c>
    </row>
    <row r="75" spans="1:7" hidden="1">
      <c r="A75">
        <v>74</v>
      </c>
      <c r="B75" t="s">
        <v>1281</v>
      </c>
      <c r="C75" t="s">
        <v>3883</v>
      </c>
      <c r="D75" t="s">
        <v>1281</v>
      </c>
      <c r="E75">
        <v>35</v>
      </c>
    </row>
    <row r="76" spans="1:7" hidden="1">
      <c r="A76">
        <v>75</v>
      </c>
      <c r="B76" t="s">
        <v>1283</v>
      </c>
      <c r="C76" t="s">
        <v>3883</v>
      </c>
      <c r="D76" t="s">
        <v>1283</v>
      </c>
      <c r="E76">
        <v>37</v>
      </c>
    </row>
    <row r="77" spans="1:7">
      <c r="A77">
        <v>76</v>
      </c>
      <c r="B77" t="s">
        <v>3896</v>
      </c>
      <c r="C77" t="s">
        <v>3878</v>
      </c>
    </row>
    <row r="78" spans="1:7">
      <c r="A78">
        <v>77</v>
      </c>
      <c r="B78" t="s">
        <v>217</v>
      </c>
      <c r="C78" t="s">
        <v>3860</v>
      </c>
      <c r="D78" t="s">
        <v>1285</v>
      </c>
      <c r="E78">
        <v>39</v>
      </c>
      <c r="F78" t="s">
        <v>1666</v>
      </c>
      <c r="G78">
        <v>461</v>
      </c>
    </row>
    <row r="79" spans="1:7" hidden="1">
      <c r="A79">
        <v>78</v>
      </c>
      <c r="B79" t="s">
        <v>1286</v>
      </c>
      <c r="C79" t="s">
        <v>3883</v>
      </c>
      <c r="D79" t="s">
        <v>1286</v>
      </c>
      <c r="E79">
        <v>40</v>
      </c>
    </row>
    <row r="80" spans="1:7" hidden="1">
      <c r="A80">
        <v>79</v>
      </c>
      <c r="B80" t="s">
        <v>1286</v>
      </c>
      <c r="C80" t="s">
        <v>3883</v>
      </c>
      <c r="D80" t="s">
        <v>1286</v>
      </c>
      <c r="E80">
        <v>40</v>
      </c>
    </row>
    <row r="81" spans="1:5" hidden="1">
      <c r="A81">
        <v>80</v>
      </c>
      <c r="B81" t="s">
        <v>1287</v>
      </c>
      <c r="C81" t="s">
        <v>3883</v>
      </c>
      <c r="D81" t="s">
        <v>1287</v>
      </c>
      <c r="E81">
        <v>41</v>
      </c>
    </row>
    <row r="82" spans="1:5" hidden="1">
      <c r="A82">
        <v>81</v>
      </c>
      <c r="B82" t="s">
        <v>1288</v>
      </c>
      <c r="C82" t="s">
        <v>3883</v>
      </c>
      <c r="D82" t="s">
        <v>1288</v>
      </c>
      <c r="E82">
        <v>42</v>
      </c>
    </row>
    <row r="83" spans="1:5" hidden="1">
      <c r="A83">
        <v>82</v>
      </c>
      <c r="B83" t="s">
        <v>1291</v>
      </c>
      <c r="C83" t="s">
        <v>3883</v>
      </c>
      <c r="D83" t="s">
        <v>1291</v>
      </c>
      <c r="E83">
        <v>45</v>
      </c>
    </row>
    <row r="84" spans="1:5" hidden="1">
      <c r="A84">
        <v>83</v>
      </c>
      <c r="B84" t="s">
        <v>1291</v>
      </c>
      <c r="C84" t="s">
        <v>3883</v>
      </c>
      <c r="D84" t="s">
        <v>1291</v>
      </c>
      <c r="E84">
        <v>45</v>
      </c>
    </row>
    <row r="85" spans="1:5" hidden="1">
      <c r="A85">
        <v>84</v>
      </c>
      <c r="B85" t="s">
        <v>1290</v>
      </c>
      <c r="C85" t="s">
        <v>3883</v>
      </c>
      <c r="D85" t="s">
        <v>1290</v>
      </c>
      <c r="E85">
        <v>44</v>
      </c>
    </row>
    <row r="86" spans="1:5" hidden="1">
      <c r="A86">
        <v>85</v>
      </c>
      <c r="B86" t="s">
        <v>1290</v>
      </c>
      <c r="C86" t="s">
        <v>3883</v>
      </c>
      <c r="D86" t="s">
        <v>1290</v>
      </c>
      <c r="E86">
        <v>44</v>
      </c>
    </row>
    <row r="87" spans="1:5" hidden="1">
      <c r="A87">
        <v>86</v>
      </c>
      <c r="B87" t="s">
        <v>1292</v>
      </c>
      <c r="C87" t="s">
        <v>3883</v>
      </c>
      <c r="D87" t="s">
        <v>1292</v>
      </c>
      <c r="E87">
        <v>46</v>
      </c>
    </row>
    <row r="88" spans="1:5" hidden="1">
      <c r="A88">
        <v>87</v>
      </c>
      <c r="B88" t="s">
        <v>1292</v>
      </c>
      <c r="C88" t="s">
        <v>3883</v>
      </c>
      <c r="D88" t="s">
        <v>1292</v>
      </c>
      <c r="E88">
        <v>46</v>
      </c>
    </row>
    <row r="89" spans="1:5" hidden="1">
      <c r="A89">
        <v>88</v>
      </c>
      <c r="B89" t="s">
        <v>1293</v>
      </c>
      <c r="C89" t="s">
        <v>3883</v>
      </c>
      <c r="D89" t="s">
        <v>1293</v>
      </c>
      <c r="E89">
        <v>47</v>
      </c>
    </row>
    <row r="90" spans="1:5" hidden="1">
      <c r="A90">
        <v>89</v>
      </c>
      <c r="B90" t="s">
        <v>1294</v>
      </c>
      <c r="C90" t="s">
        <v>3883</v>
      </c>
      <c r="D90" t="s">
        <v>1294</v>
      </c>
      <c r="E90">
        <v>48</v>
      </c>
    </row>
    <row r="91" spans="1:5" hidden="1">
      <c r="A91">
        <v>90</v>
      </c>
      <c r="B91" t="s">
        <v>1295</v>
      </c>
      <c r="C91" t="s">
        <v>3883</v>
      </c>
      <c r="D91" t="s">
        <v>1295</v>
      </c>
      <c r="E91">
        <v>49</v>
      </c>
    </row>
    <row r="92" spans="1:5" hidden="1">
      <c r="A92">
        <v>91</v>
      </c>
      <c r="B92" t="s">
        <v>1297</v>
      </c>
      <c r="C92" t="s">
        <v>3883</v>
      </c>
      <c r="D92" t="s">
        <v>1297</v>
      </c>
      <c r="E92">
        <v>51</v>
      </c>
    </row>
    <row r="93" spans="1:5">
      <c r="A93">
        <v>92</v>
      </c>
      <c r="B93" t="s">
        <v>3897</v>
      </c>
      <c r="C93" t="s">
        <v>3860</v>
      </c>
      <c r="D93" s="43" t="s">
        <v>1296</v>
      </c>
      <c r="E93">
        <v>50</v>
      </c>
    </row>
    <row r="94" spans="1:5">
      <c r="A94">
        <v>93</v>
      </c>
      <c r="B94" t="s">
        <v>239</v>
      </c>
      <c r="C94" t="s">
        <v>3878</v>
      </c>
    </row>
    <row r="95" spans="1:5">
      <c r="A95">
        <v>94</v>
      </c>
      <c r="B95" t="s">
        <v>3898</v>
      </c>
      <c r="C95" t="s">
        <v>3878</v>
      </c>
    </row>
    <row r="96" spans="1:5" hidden="1">
      <c r="A96">
        <v>95</v>
      </c>
      <c r="B96" t="s">
        <v>245</v>
      </c>
      <c r="C96" t="s">
        <v>3883</v>
      </c>
      <c r="D96" t="s">
        <v>245</v>
      </c>
      <c r="E96">
        <v>52</v>
      </c>
    </row>
    <row r="97" spans="1:9">
      <c r="A97">
        <v>96</v>
      </c>
      <c r="B97" t="s">
        <v>3899</v>
      </c>
      <c r="C97" t="s">
        <v>3878</v>
      </c>
      <c r="D97" s="44"/>
    </row>
    <row r="98" spans="1:9" hidden="1">
      <c r="A98">
        <v>97</v>
      </c>
      <c r="B98" t="s">
        <v>248</v>
      </c>
      <c r="C98" t="s">
        <v>3883</v>
      </c>
      <c r="D98" t="s">
        <v>248</v>
      </c>
      <c r="E98">
        <v>53</v>
      </c>
    </row>
    <row r="99" spans="1:9" hidden="1">
      <c r="A99">
        <v>98</v>
      </c>
      <c r="B99" t="s">
        <v>1298</v>
      </c>
      <c r="C99" t="s">
        <v>3883</v>
      </c>
      <c r="D99" t="s">
        <v>1298</v>
      </c>
      <c r="E99">
        <v>54</v>
      </c>
    </row>
    <row r="100" spans="1:9" hidden="1">
      <c r="A100">
        <v>99</v>
      </c>
      <c r="B100" t="s">
        <v>1298</v>
      </c>
      <c r="C100" t="s">
        <v>3883</v>
      </c>
      <c r="D100" t="s">
        <v>1298</v>
      </c>
      <c r="E100">
        <v>54</v>
      </c>
    </row>
    <row r="101" spans="1:9">
      <c r="A101">
        <v>100</v>
      </c>
      <c r="B101" t="s">
        <v>1299</v>
      </c>
      <c r="C101" t="s">
        <v>3860</v>
      </c>
      <c r="D101" s="44" t="s">
        <v>1785</v>
      </c>
      <c r="E101">
        <v>593</v>
      </c>
      <c r="F101" t="s">
        <v>1861</v>
      </c>
      <c r="G101">
        <v>671</v>
      </c>
    </row>
    <row r="102" spans="1:9">
      <c r="A102">
        <v>101</v>
      </c>
      <c r="B102" t="s">
        <v>255</v>
      </c>
      <c r="C102" t="s">
        <v>3860</v>
      </c>
      <c r="D102" t="s">
        <v>1300</v>
      </c>
      <c r="E102">
        <v>55</v>
      </c>
      <c r="F102" t="s">
        <v>1388</v>
      </c>
      <c r="G102">
        <v>145</v>
      </c>
      <c r="H102" t="s">
        <v>1635</v>
      </c>
      <c r="I102">
        <v>430</v>
      </c>
    </row>
    <row r="103" spans="1:9" s="46" customFormat="1" ht="13.8" thickBot="1">
      <c r="A103" s="46">
        <v>102</v>
      </c>
      <c r="B103" s="46" t="s">
        <v>3900</v>
      </c>
      <c r="C103" s="46" t="s">
        <v>3860</v>
      </c>
      <c r="D103" s="47" t="s">
        <v>1709</v>
      </c>
      <c r="E103" s="46">
        <v>509</v>
      </c>
      <c r="F103" s="46" t="s">
        <v>1768</v>
      </c>
      <c r="G103" s="46">
        <v>577</v>
      </c>
    </row>
    <row r="104" spans="1:9" ht="13.8" thickTop="1">
      <c r="A104">
        <v>103</v>
      </c>
      <c r="B104" t="s">
        <v>263</v>
      </c>
      <c r="C104" t="s">
        <v>3860</v>
      </c>
      <c r="D104" s="44" t="s">
        <v>1468</v>
      </c>
      <c r="E104">
        <v>239</v>
      </c>
      <c r="F104" t="s">
        <v>1525</v>
      </c>
      <c r="G104">
        <v>305</v>
      </c>
    </row>
    <row r="105" spans="1:9">
      <c r="A105">
        <v>104</v>
      </c>
      <c r="B105" t="s">
        <v>265</v>
      </c>
      <c r="C105" t="s">
        <v>3878</v>
      </c>
    </row>
    <row r="106" spans="1:9" hidden="1">
      <c r="A106">
        <v>105</v>
      </c>
      <c r="B106" t="s">
        <v>1302</v>
      </c>
      <c r="C106" t="s">
        <v>3883</v>
      </c>
      <c r="D106" t="s">
        <v>1302</v>
      </c>
      <c r="E106">
        <v>58</v>
      </c>
    </row>
    <row r="107" spans="1:9" hidden="1">
      <c r="A107">
        <v>106</v>
      </c>
      <c r="B107" t="s">
        <v>1302</v>
      </c>
      <c r="C107" t="s">
        <v>3883</v>
      </c>
      <c r="D107" t="s">
        <v>1302</v>
      </c>
      <c r="E107">
        <v>58</v>
      </c>
    </row>
    <row r="108" spans="1:9" hidden="1">
      <c r="A108">
        <v>107</v>
      </c>
      <c r="B108" t="s">
        <v>1304</v>
      </c>
      <c r="C108" t="s">
        <v>3883</v>
      </c>
      <c r="D108" t="s">
        <v>1304</v>
      </c>
      <c r="E108">
        <v>60</v>
      </c>
    </row>
    <row r="109" spans="1:9" hidden="1">
      <c r="A109">
        <v>108</v>
      </c>
      <c r="B109" t="s">
        <v>1305</v>
      </c>
      <c r="C109" t="s">
        <v>3883</v>
      </c>
      <c r="D109" t="s">
        <v>1305</v>
      </c>
      <c r="E109">
        <v>61</v>
      </c>
    </row>
    <row r="110" spans="1:9" hidden="1">
      <c r="A110">
        <v>109</v>
      </c>
      <c r="B110" t="s">
        <v>1306</v>
      </c>
      <c r="C110" t="s">
        <v>3883</v>
      </c>
      <c r="D110" t="s">
        <v>1306</v>
      </c>
      <c r="E110">
        <v>62</v>
      </c>
    </row>
    <row r="111" spans="1:9" hidden="1">
      <c r="A111">
        <v>110</v>
      </c>
      <c r="B111" t="s">
        <v>276</v>
      </c>
      <c r="C111" t="s">
        <v>3883</v>
      </c>
      <c r="D111" t="s">
        <v>276</v>
      </c>
      <c r="E111">
        <v>63</v>
      </c>
    </row>
    <row r="112" spans="1:9" hidden="1">
      <c r="A112">
        <v>111</v>
      </c>
      <c r="B112" t="s">
        <v>1307</v>
      </c>
      <c r="C112" t="s">
        <v>3883</v>
      </c>
      <c r="D112" t="s">
        <v>1307</v>
      </c>
      <c r="E112">
        <v>64</v>
      </c>
    </row>
    <row r="113" spans="1:9" hidden="1">
      <c r="A113">
        <v>112</v>
      </c>
      <c r="B113" t="s">
        <v>1307</v>
      </c>
      <c r="C113" t="s">
        <v>3883</v>
      </c>
      <c r="D113" t="s">
        <v>1307</v>
      </c>
      <c r="E113">
        <v>64</v>
      </c>
    </row>
    <row r="114" spans="1:9" hidden="1">
      <c r="A114">
        <v>113</v>
      </c>
      <c r="B114" t="s">
        <v>278</v>
      </c>
      <c r="C114" t="s">
        <v>3883</v>
      </c>
      <c r="D114" t="s">
        <v>278</v>
      </c>
      <c r="E114">
        <v>65</v>
      </c>
    </row>
    <row r="115" spans="1:9" hidden="1">
      <c r="A115">
        <v>114</v>
      </c>
      <c r="B115" t="s">
        <v>280</v>
      </c>
      <c r="C115" t="s">
        <v>3883</v>
      </c>
      <c r="D115" t="s">
        <v>280</v>
      </c>
      <c r="E115">
        <v>66</v>
      </c>
    </row>
    <row r="116" spans="1:9" hidden="1">
      <c r="A116">
        <v>115</v>
      </c>
      <c r="B116" t="s">
        <v>1308</v>
      </c>
      <c r="C116" t="s">
        <v>3883</v>
      </c>
      <c r="D116" t="s">
        <v>1308</v>
      </c>
      <c r="E116">
        <v>67</v>
      </c>
    </row>
    <row r="117" spans="1:9">
      <c r="A117">
        <v>116</v>
      </c>
      <c r="B117" t="s">
        <v>282</v>
      </c>
      <c r="C117" t="s">
        <v>3860</v>
      </c>
      <c r="D117" t="s">
        <v>1245</v>
      </c>
      <c r="E117">
        <v>1</v>
      </c>
      <c r="F117" t="s">
        <v>1309</v>
      </c>
      <c r="G117">
        <v>68</v>
      </c>
      <c r="H117" s="43" t="s">
        <v>1311</v>
      </c>
      <c r="I117">
        <v>70</v>
      </c>
    </row>
    <row r="118" spans="1:9">
      <c r="A118">
        <v>117</v>
      </c>
      <c r="B118" t="s">
        <v>285</v>
      </c>
      <c r="C118" t="s">
        <v>3860</v>
      </c>
      <c r="D118" t="s">
        <v>1245</v>
      </c>
      <c r="E118">
        <v>1</v>
      </c>
      <c r="F118" s="43" t="s">
        <v>1309</v>
      </c>
      <c r="G118">
        <v>68</v>
      </c>
      <c r="H118" t="s">
        <v>1311</v>
      </c>
      <c r="I118">
        <v>70</v>
      </c>
    </row>
    <row r="119" spans="1:9" hidden="1">
      <c r="A119">
        <v>118</v>
      </c>
      <c r="B119" t="s">
        <v>1310</v>
      </c>
      <c r="C119" t="s">
        <v>3883</v>
      </c>
      <c r="D119" t="s">
        <v>1310</v>
      </c>
      <c r="E119">
        <v>69</v>
      </c>
    </row>
    <row r="120" spans="1:9">
      <c r="A120">
        <v>119</v>
      </c>
      <c r="B120" t="s">
        <v>3901</v>
      </c>
      <c r="C120" t="s">
        <v>3860</v>
      </c>
      <c r="D120" s="43" t="s">
        <v>1312</v>
      </c>
      <c r="E120">
        <v>71</v>
      </c>
    </row>
    <row r="121" spans="1:9">
      <c r="A121">
        <v>120</v>
      </c>
      <c r="B121" t="s">
        <v>3902</v>
      </c>
      <c r="C121" t="s">
        <v>3860</v>
      </c>
      <c r="D121" s="44" t="s">
        <v>1515</v>
      </c>
      <c r="E121">
        <v>295</v>
      </c>
      <c r="F121" t="s">
        <v>1164</v>
      </c>
      <c r="G121">
        <v>675</v>
      </c>
    </row>
    <row r="122" spans="1:9" hidden="1">
      <c r="A122">
        <v>121</v>
      </c>
      <c r="B122" t="s">
        <v>1313</v>
      </c>
      <c r="C122" t="s">
        <v>3883</v>
      </c>
      <c r="D122" t="s">
        <v>1313</v>
      </c>
      <c r="E122">
        <v>72</v>
      </c>
    </row>
    <row r="123" spans="1:9" hidden="1">
      <c r="A123">
        <v>122</v>
      </c>
      <c r="B123" t="s">
        <v>1314</v>
      </c>
      <c r="C123" t="s">
        <v>3883</v>
      </c>
      <c r="D123" t="s">
        <v>1314</v>
      </c>
      <c r="E123">
        <v>73</v>
      </c>
    </row>
    <row r="124" spans="1:9" hidden="1">
      <c r="A124">
        <v>123</v>
      </c>
      <c r="B124" t="s">
        <v>1315</v>
      </c>
      <c r="C124" t="s">
        <v>3883</v>
      </c>
      <c r="D124" t="s">
        <v>1315</v>
      </c>
      <c r="E124">
        <v>74</v>
      </c>
    </row>
    <row r="125" spans="1:9" hidden="1">
      <c r="A125">
        <v>124</v>
      </c>
      <c r="B125" t="s">
        <v>1315</v>
      </c>
      <c r="C125" t="s">
        <v>3883</v>
      </c>
      <c r="D125" t="s">
        <v>1315</v>
      </c>
      <c r="E125">
        <v>74</v>
      </c>
    </row>
    <row r="126" spans="1:9" hidden="1">
      <c r="A126">
        <v>125</v>
      </c>
      <c r="B126" t="s">
        <v>1316</v>
      </c>
      <c r="C126" t="s">
        <v>3883</v>
      </c>
      <c r="D126" t="s">
        <v>1316</v>
      </c>
      <c r="E126">
        <v>75</v>
      </c>
    </row>
    <row r="127" spans="1:9" hidden="1">
      <c r="A127">
        <v>126</v>
      </c>
      <c r="B127" t="s">
        <v>1316</v>
      </c>
      <c r="C127" t="s">
        <v>3883</v>
      </c>
      <c r="D127" t="s">
        <v>1316</v>
      </c>
      <c r="E127">
        <v>75</v>
      </c>
    </row>
    <row r="128" spans="1:9" hidden="1">
      <c r="A128">
        <v>127</v>
      </c>
      <c r="B128" t="s">
        <v>1318</v>
      </c>
      <c r="C128" t="s">
        <v>3883</v>
      </c>
      <c r="D128" t="s">
        <v>1318</v>
      </c>
      <c r="E128">
        <v>77</v>
      </c>
    </row>
    <row r="129" spans="1:83" hidden="1">
      <c r="A129">
        <v>128</v>
      </c>
      <c r="B129" t="s">
        <v>1319</v>
      </c>
      <c r="C129" t="s">
        <v>3883</v>
      </c>
      <c r="D129" t="s">
        <v>1319</v>
      </c>
      <c r="E129">
        <v>78</v>
      </c>
    </row>
    <row r="130" spans="1:83" hidden="1">
      <c r="A130">
        <v>129</v>
      </c>
      <c r="B130" t="s">
        <v>1319</v>
      </c>
      <c r="C130" t="s">
        <v>3883</v>
      </c>
      <c r="D130" t="s">
        <v>1319</v>
      </c>
      <c r="E130">
        <v>78</v>
      </c>
    </row>
    <row r="131" spans="1:83" hidden="1">
      <c r="A131">
        <v>130</v>
      </c>
      <c r="B131" t="s">
        <v>1320</v>
      </c>
      <c r="C131" t="s">
        <v>3883</v>
      </c>
      <c r="D131" t="s">
        <v>1320</v>
      </c>
      <c r="E131">
        <v>79</v>
      </c>
    </row>
    <row r="132" spans="1:83" hidden="1">
      <c r="A132">
        <v>131</v>
      </c>
      <c r="B132" t="s">
        <v>1320</v>
      </c>
      <c r="C132" t="s">
        <v>3883</v>
      </c>
      <c r="D132" t="s">
        <v>1320</v>
      </c>
      <c r="E132">
        <v>79</v>
      </c>
    </row>
    <row r="133" spans="1:83" hidden="1">
      <c r="A133">
        <v>132</v>
      </c>
      <c r="B133" t="s">
        <v>1321</v>
      </c>
      <c r="C133" t="s">
        <v>3883</v>
      </c>
      <c r="D133" t="s">
        <v>1321</v>
      </c>
      <c r="E133">
        <v>80</v>
      </c>
    </row>
    <row r="134" spans="1:83" hidden="1">
      <c r="A134">
        <v>133</v>
      </c>
      <c r="B134" t="s">
        <v>1321</v>
      </c>
      <c r="C134" t="s">
        <v>3883</v>
      </c>
      <c r="D134" t="s">
        <v>1321</v>
      </c>
      <c r="E134">
        <v>80</v>
      </c>
    </row>
    <row r="135" spans="1:83">
      <c r="A135">
        <v>134</v>
      </c>
      <c r="B135" t="s">
        <v>310</v>
      </c>
      <c r="C135" t="s">
        <v>3860</v>
      </c>
      <c r="D135" t="s">
        <v>1263</v>
      </c>
      <c r="E135">
        <v>19</v>
      </c>
      <c r="F135" t="s">
        <v>1267</v>
      </c>
      <c r="G135">
        <v>22</v>
      </c>
      <c r="H135" t="s">
        <v>1286</v>
      </c>
      <c r="I135">
        <v>40</v>
      </c>
      <c r="J135" t="s">
        <v>1307</v>
      </c>
      <c r="K135">
        <v>64</v>
      </c>
      <c r="L135" t="s">
        <v>1310</v>
      </c>
      <c r="M135">
        <v>69</v>
      </c>
      <c r="N135" t="s">
        <v>1313</v>
      </c>
      <c r="O135">
        <v>72</v>
      </c>
      <c r="P135" s="43" t="s">
        <v>1322</v>
      </c>
      <c r="Q135">
        <v>81</v>
      </c>
      <c r="R135" t="s">
        <v>1353</v>
      </c>
      <c r="S135">
        <v>111</v>
      </c>
      <c r="T135" t="s">
        <v>1363</v>
      </c>
      <c r="U135">
        <v>121</v>
      </c>
      <c r="V135" t="s">
        <v>1364</v>
      </c>
      <c r="W135">
        <v>122</v>
      </c>
      <c r="X135" t="s">
        <v>1372</v>
      </c>
      <c r="Y135">
        <v>130</v>
      </c>
      <c r="Z135" t="s">
        <v>1373</v>
      </c>
      <c r="AA135">
        <v>131</v>
      </c>
      <c r="AB135" t="s">
        <v>1395</v>
      </c>
      <c r="AC135">
        <v>154</v>
      </c>
      <c r="AD135" t="s">
        <v>1428</v>
      </c>
      <c r="AE135">
        <v>194</v>
      </c>
      <c r="AF135" t="s">
        <v>1511</v>
      </c>
      <c r="AG135">
        <v>291</v>
      </c>
      <c r="AH135" t="s">
        <v>1512</v>
      </c>
      <c r="AI135">
        <v>292</v>
      </c>
      <c r="AJ135" t="s">
        <v>1524</v>
      </c>
      <c r="AK135">
        <v>304</v>
      </c>
      <c r="AL135" t="s">
        <v>1548</v>
      </c>
      <c r="AM135">
        <v>332</v>
      </c>
      <c r="AN135" t="s">
        <v>1564</v>
      </c>
      <c r="AO135">
        <v>349</v>
      </c>
      <c r="AP135" t="s">
        <v>739</v>
      </c>
      <c r="AQ135">
        <v>368</v>
      </c>
      <c r="AR135" t="s">
        <v>1594</v>
      </c>
      <c r="AS135">
        <v>382</v>
      </c>
      <c r="AT135" t="s">
        <v>1632</v>
      </c>
      <c r="AU135">
        <v>427</v>
      </c>
      <c r="AV135" t="s">
        <v>1633</v>
      </c>
      <c r="AW135">
        <v>428</v>
      </c>
      <c r="AX135" t="s">
        <v>1653</v>
      </c>
      <c r="AY135">
        <v>447</v>
      </c>
      <c r="AZ135" t="s">
        <v>1660</v>
      </c>
      <c r="BA135">
        <v>454</v>
      </c>
      <c r="BB135" t="s">
        <v>1675</v>
      </c>
      <c r="BC135">
        <v>471</v>
      </c>
      <c r="BD135" t="s">
        <v>1693</v>
      </c>
      <c r="BE135">
        <v>491</v>
      </c>
      <c r="BF135" t="s">
        <v>1708</v>
      </c>
      <c r="BG135">
        <v>508</v>
      </c>
      <c r="BH135" t="s">
        <v>1730</v>
      </c>
      <c r="BI135">
        <v>530</v>
      </c>
      <c r="BJ135" t="s">
        <v>1754</v>
      </c>
      <c r="BK135">
        <v>560</v>
      </c>
      <c r="BL135" t="s">
        <v>1758</v>
      </c>
      <c r="BM135">
        <v>565</v>
      </c>
      <c r="BN135" t="s">
        <v>1765</v>
      </c>
      <c r="BO135">
        <v>573</v>
      </c>
      <c r="BP135" t="s">
        <v>1790</v>
      </c>
      <c r="BQ135">
        <v>598</v>
      </c>
      <c r="BR135" t="s">
        <v>1807</v>
      </c>
      <c r="BS135">
        <v>614</v>
      </c>
      <c r="BT135" t="s">
        <v>1808</v>
      </c>
      <c r="BU135">
        <v>615</v>
      </c>
      <c r="BV135" t="s">
        <v>1809</v>
      </c>
      <c r="BW135">
        <v>616</v>
      </c>
      <c r="BX135" t="s">
        <v>1820</v>
      </c>
      <c r="BY135">
        <v>627</v>
      </c>
      <c r="BZ135" t="s">
        <v>1839</v>
      </c>
      <c r="CA135">
        <v>649</v>
      </c>
      <c r="CB135" t="s">
        <v>1858</v>
      </c>
      <c r="CC135">
        <v>668</v>
      </c>
      <c r="CD135" t="s">
        <v>1168</v>
      </c>
      <c r="CE135">
        <v>681</v>
      </c>
    </row>
    <row r="136" spans="1:83" hidden="1">
      <c r="A136">
        <v>135</v>
      </c>
      <c r="B136" t="s">
        <v>1323</v>
      </c>
      <c r="C136" t="s">
        <v>3883</v>
      </c>
      <c r="D136" t="s">
        <v>1323</v>
      </c>
      <c r="E136">
        <v>82</v>
      </c>
    </row>
    <row r="137" spans="1:83" hidden="1">
      <c r="A137">
        <v>136</v>
      </c>
      <c r="B137" t="s">
        <v>1324</v>
      </c>
      <c r="C137" t="s">
        <v>3883</v>
      </c>
      <c r="D137" s="48" t="s">
        <v>1324</v>
      </c>
      <c r="E137">
        <v>83</v>
      </c>
    </row>
    <row r="138" spans="1:83" hidden="1">
      <c r="A138">
        <v>137</v>
      </c>
      <c r="B138" t="s">
        <v>1325</v>
      </c>
      <c r="C138" t="s">
        <v>3883</v>
      </c>
      <c r="D138" s="48" t="s">
        <v>1325</v>
      </c>
      <c r="E138">
        <v>84</v>
      </c>
    </row>
    <row r="139" spans="1:83">
      <c r="A139">
        <v>138</v>
      </c>
      <c r="B139" t="s">
        <v>3903</v>
      </c>
      <c r="C139" t="s">
        <v>3878</v>
      </c>
    </row>
    <row r="140" spans="1:83">
      <c r="A140">
        <v>139</v>
      </c>
      <c r="B140" t="s">
        <v>3904</v>
      </c>
      <c r="C140" t="s">
        <v>3860</v>
      </c>
      <c r="D140" t="s">
        <v>1326</v>
      </c>
      <c r="E140">
        <v>85</v>
      </c>
    </row>
    <row r="141" spans="1:83">
      <c r="A141">
        <v>140</v>
      </c>
      <c r="B141" t="s">
        <v>3905</v>
      </c>
      <c r="C141" t="s">
        <v>3860</v>
      </c>
      <c r="D141" s="43" t="s">
        <v>1327</v>
      </c>
      <c r="E141">
        <v>86</v>
      </c>
    </row>
    <row r="142" spans="1:83">
      <c r="A142">
        <v>141</v>
      </c>
      <c r="B142" t="s">
        <v>3906</v>
      </c>
      <c r="C142" t="s">
        <v>3860</v>
      </c>
      <c r="D142" s="43" t="s">
        <v>1328</v>
      </c>
      <c r="E142">
        <v>87</v>
      </c>
      <c r="F142" t="s">
        <v>1480</v>
      </c>
      <c r="G142">
        <v>255</v>
      </c>
    </row>
    <row r="143" spans="1:83">
      <c r="A143">
        <v>142</v>
      </c>
      <c r="B143" t="s">
        <v>3907</v>
      </c>
      <c r="C143" t="s">
        <v>3860</v>
      </c>
      <c r="D143" s="43" t="s">
        <v>1328</v>
      </c>
      <c r="E143">
        <v>87</v>
      </c>
      <c r="F143" t="s">
        <v>1480</v>
      </c>
      <c r="G143">
        <v>255</v>
      </c>
    </row>
    <row r="144" spans="1:83" hidden="1">
      <c r="A144">
        <v>143</v>
      </c>
      <c r="B144" t="s">
        <v>1330</v>
      </c>
      <c r="C144" t="s">
        <v>3883</v>
      </c>
      <c r="D144" t="s">
        <v>1330</v>
      </c>
      <c r="E144">
        <v>89</v>
      </c>
    </row>
    <row r="145" spans="1:53">
      <c r="A145">
        <v>144</v>
      </c>
      <c r="B145" t="s">
        <v>3908</v>
      </c>
      <c r="C145" t="s">
        <v>3860</v>
      </c>
      <c r="D145" s="43" t="s">
        <v>1331</v>
      </c>
      <c r="E145">
        <v>90</v>
      </c>
    </row>
    <row r="146" spans="1:53">
      <c r="A146">
        <v>145</v>
      </c>
      <c r="B146" t="s">
        <v>3909</v>
      </c>
      <c r="C146" t="s">
        <v>3860</v>
      </c>
      <c r="D146" s="43" t="s">
        <v>1332</v>
      </c>
      <c r="E146">
        <v>91</v>
      </c>
    </row>
    <row r="147" spans="1:53">
      <c r="A147">
        <v>146</v>
      </c>
      <c r="B147" t="s">
        <v>1333</v>
      </c>
      <c r="C147" t="s">
        <v>3860</v>
      </c>
      <c r="D147" s="43" t="s">
        <v>1257</v>
      </c>
      <c r="E147">
        <v>13</v>
      </c>
      <c r="F147" t="s">
        <v>1265</v>
      </c>
      <c r="G147">
        <v>20</v>
      </c>
      <c r="H147" t="s">
        <v>1281</v>
      </c>
      <c r="I147">
        <v>35</v>
      </c>
      <c r="J147" t="s">
        <v>1289</v>
      </c>
      <c r="K147">
        <v>43</v>
      </c>
      <c r="L147" t="s">
        <v>1294</v>
      </c>
      <c r="M147">
        <v>48</v>
      </c>
      <c r="N147" t="s">
        <v>1297</v>
      </c>
      <c r="O147">
        <v>51</v>
      </c>
      <c r="P147" t="s">
        <v>1303</v>
      </c>
      <c r="Q147">
        <v>59</v>
      </c>
      <c r="R147" t="s">
        <v>1437</v>
      </c>
      <c r="S147">
        <v>203</v>
      </c>
      <c r="T147" t="s">
        <v>1469</v>
      </c>
      <c r="U147">
        <v>240</v>
      </c>
      <c r="V147" t="s">
        <v>1478</v>
      </c>
      <c r="W147">
        <v>253</v>
      </c>
      <c r="X147" t="s">
        <v>1507</v>
      </c>
      <c r="Y147">
        <v>286</v>
      </c>
      <c r="Z147" t="s">
        <v>1532</v>
      </c>
      <c r="AA147">
        <v>313</v>
      </c>
      <c r="AB147" t="s">
        <v>1561</v>
      </c>
      <c r="AC147">
        <v>346</v>
      </c>
      <c r="AD147" t="s">
        <v>1562</v>
      </c>
      <c r="AE147">
        <v>347</v>
      </c>
      <c r="AF147" t="s">
        <v>1566</v>
      </c>
      <c r="AG147">
        <v>351</v>
      </c>
      <c r="AH147" t="s">
        <v>1569</v>
      </c>
      <c r="AI147">
        <v>355</v>
      </c>
      <c r="AJ147" t="s">
        <v>1580</v>
      </c>
      <c r="AK147">
        <v>366</v>
      </c>
      <c r="AL147" t="s">
        <v>1583</v>
      </c>
      <c r="AM147">
        <v>370</v>
      </c>
      <c r="AN147" t="s">
        <v>1591</v>
      </c>
      <c r="AO147">
        <v>379</v>
      </c>
      <c r="AP147" t="s">
        <v>1628</v>
      </c>
      <c r="AQ147">
        <v>421</v>
      </c>
      <c r="AR147" t="s">
        <v>1662</v>
      </c>
      <c r="AS147">
        <v>456</v>
      </c>
      <c r="AT147" t="s">
        <v>1663</v>
      </c>
      <c r="AU147">
        <v>457</v>
      </c>
      <c r="AV147" t="s">
        <v>1683</v>
      </c>
      <c r="AW147">
        <v>481</v>
      </c>
      <c r="AX147" t="s">
        <v>1745</v>
      </c>
      <c r="AY147">
        <v>549</v>
      </c>
      <c r="AZ147" t="s">
        <v>1124</v>
      </c>
      <c r="BA147">
        <v>642</v>
      </c>
    </row>
    <row r="148" spans="1:53" hidden="1">
      <c r="A148">
        <v>147</v>
      </c>
      <c r="B148" t="s">
        <v>1334</v>
      </c>
      <c r="C148" t="s">
        <v>3883</v>
      </c>
      <c r="D148" s="48" t="s">
        <v>1334</v>
      </c>
      <c r="E148">
        <v>92</v>
      </c>
    </row>
    <row r="149" spans="1:53" hidden="1">
      <c r="A149">
        <v>148</v>
      </c>
      <c r="B149" t="s">
        <v>1335</v>
      </c>
      <c r="C149" t="s">
        <v>3883</v>
      </c>
      <c r="D149" t="s">
        <v>1335</v>
      </c>
      <c r="E149">
        <v>93</v>
      </c>
    </row>
    <row r="150" spans="1:53" hidden="1">
      <c r="A150">
        <v>149</v>
      </c>
      <c r="B150" t="s">
        <v>1336</v>
      </c>
      <c r="C150" t="s">
        <v>3883</v>
      </c>
      <c r="D150" t="s">
        <v>1336</v>
      </c>
      <c r="E150">
        <v>94</v>
      </c>
    </row>
    <row r="151" spans="1:53">
      <c r="A151">
        <v>150</v>
      </c>
      <c r="B151" t="s">
        <v>1340</v>
      </c>
      <c r="C151" t="s">
        <v>3878</v>
      </c>
      <c r="D151" s="44"/>
    </row>
    <row r="152" spans="1:53" hidden="1">
      <c r="A152">
        <v>151</v>
      </c>
      <c r="B152" t="s">
        <v>1341</v>
      </c>
      <c r="C152" t="s">
        <v>3883</v>
      </c>
      <c r="D152" t="s">
        <v>1341</v>
      </c>
      <c r="E152">
        <v>99</v>
      </c>
    </row>
    <row r="153" spans="1:53">
      <c r="A153">
        <v>152</v>
      </c>
      <c r="B153" t="s">
        <v>1342</v>
      </c>
      <c r="C153" t="s">
        <v>3878</v>
      </c>
      <c r="D153" s="44"/>
    </row>
    <row r="154" spans="1:53">
      <c r="A154">
        <v>153</v>
      </c>
      <c r="B154" t="s">
        <v>3910</v>
      </c>
      <c r="C154" t="s">
        <v>3860</v>
      </c>
      <c r="D154" s="43" t="s">
        <v>1344</v>
      </c>
      <c r="E154">
        <v>102</v>
      </c>
    </row>
    <row r="155" spans="1:53">
      <c r="A155">
        <v>154</v>
      </c>
      <c r="B155" t="s">
        <v>3911</v>
      </c>
      <c r="C155" t="s">
        <v>3860</v>
      </c>
      <c r="D155" s="43" t="s">
        <v>1343</v>
      </c>
      <c r="E155">
        <v>101</v>
      </c>
    </row>
    <row r="156" spans="1:53" hidden="1">
      <c r="A156">
        <v>155</v>
      </c>
      <c r="B156" t="s">
        <v>1345</v>
      </c>
      <c r="C156" t="s">
        <v>3883</v>
      </c>
      <c r="D156" t="s">
        <v>1345</v>
      </c>
      <c r="E156">
        <v>103</v>
      </c>
    </row>
    <row r="157" spans="1:53" hidden="1">
      <c r="A157">
        <v>156</v>
      </c>
      <c r="B157" t="s">
        <v>1347</v>
      </c>
      <c r="C157" t="s">
        <v>3883</v>
      </c>
      <c r="D157" t="s">
        <v>1347</v>
      </c>
      <c r="E157">
        <v>105</v>
      </c>
    </row>
    <row r="158" spans="1:53" hidden="1">
      <c r="A158">
        <v>157</v>
      </c>
      <c r="B158" t="s">
        <v>1349</v>
      </c>
      <c r="C158" t="s">
        <v>3883</v>
      </c>
      <c r="D158" t="s">
        <v>1349</v>
      </c>
      <c r="E158">
        <v>107</v>
      </c>
    </row>
    <row r="159" spans="1:53" hidden="1">
      <c r="A159">
        <v>158</v>
      </c>
      <c r="B159" t="s">
        <v>1349</v>
      </c>
      <c r="C159" t="s">
        <v>3883</v>
      </c>
      <c r="D159" t="s">
        <v>1349</v>
      </c>
      <c r="E159">
        <v>107</v>
      </c>
    </row>
    <row r="160" spans="1:53" hidden="1">
      <c r="A160">
        <v>159</v>
      </c>
      <c r="B160" t="s">
        <v>1348</v>
      </c>
      <c r="C160" t="s">
        <v>3883</v>
      </c>
      <c r="D160" t="s">
        <v>1348</v>
      </c>
      <c r="E160">
        <v>106</v>
      </c>
    </row>
    <row r="161" spans="1:7" hidden="1">
      <c r="A161">
        <v>160</v>
      </c>
      <c r="B161" t="s">
        <v>1348</v>
      </c>
      <c r="C161" t="s">
        <v>3883</v>
      </c>
      <c r="D161" t="s">
        <v>1348</v>
      </c>
      <c r="E161">
        <v>106</v>
      </c>
    </row>
    <row r="162" spans="1:7" hidden="1">
      <c r="A162">
        <v>161</v>
      </c>
      <c r="B162" t="s">
        <v>1350</v>
      </c>
      <c r="C162" t="s">
        <v>3883</v>
      </c>
      <c r="D162" t="s">
        <v>1350</v>
      </c>
      <c r="E162">
        <v>108</v>
      </c>
    </row>
    <row r="163" spans="1:7">
      <c r="A163">
        <v>162</v>
      </c>
      <c r="B163" t="s">
        <v>3912</v>
      </c>
      <c r="C163" t="s">
        <v>3860</v>
      </c>
      <c r="D163" s="43" t="s">
        <v>1351</v>
      </c>
      <c r="E163">
        <v>109</v>
      </c>
      <c r="F163" t="s">
        <v>1393</v>
      </c>
      <c r="G163">
        <v>150</v>
      </c>
    </row>
    <row r="164" spans="1:7">
      <c r="A164">
        <v>163</v>
      </c>
      <c r="B164" t="s">
        <v>3912</v>
      </c>
      <c r="C164" t="s">
        <v>3860</v>
      </c>
      <c r="D164" s="43" t="s">
        <v>1351</v>
      </c>
      <c r="E164">
        <v>109</v>
      </c>
      <c r="F164" t="s">
        <v>1393</v>
      </c>
      <c r="G164">
        <v>150</v>
      </c>
    </row>
    <row r="165" spans="1:7">
      <c r="A165">
        <v>164</v>
      </c>
      <c r="B165" t="s">
        <v>365</v>
      </c>
      <c r="C165" t="s">
        <v>3878</v>
      </c>
    </row>
    <row r="166" spans="1:7" hidden="1">
      <c r="A166">
        <v>165</v>
      </c>
      <c r="B166" t="s">
        <v>1352</v>
      </c>
      <c r="C166" t="s">
        <v>3883</v>
      </c>
      <c r="D166" t="s">
        <v>1352</v>
      </c>
      <c r="E166">
        <v>110</v>
      </c>
    </row>
    <row r="167" spans="1:7" hidden="1">
      <c r="A167">
        <v>166</v>
      </c>
      <c r="B167" t="s">
        <v>1353</v>
      </c>
      <c r="C167" t="s">
        <v>3883</v>
      </c>
      <c r="D167" t="s">
        <v>1353</v>
      </c>
      <c r="E167">
        <v>111</v>
      </c>
    </row>
    <row r="168" spans="1:7" hidden="1">
      <c r="A168">
        <v>167</v>
      </c>
      <c r="B168" t="s">
        <v>1353</v>
      </c>
      <c r="C168" t="s">
        <v>3883</v>
      </c>
      <c r="D168" t="s">
        <v>1353</v>
      </c>
      <c r="E168">
        <v>111</v>
      </c>
    </row>
    <row r="169" spans="1:7" hidden="1">
      <c r="A169">
        <v>168</v>
      </c>
      <c r="B169" t="s">
        <v>1356</v>
      </c>
      <c r="C169" t="s">
        <v>3883</v>
      </c>
      <c r="D169" t="s">
        <v>1356</v>
      </c>
      <c r="E169">
        <v>114</v>
      </c>
    </row>
    <row r="170" spans="1:7" hidden="1">
      <c r="A170">
        <v>169</v>
      </c>
      <c r="B170" t="s">
        <v>1358</v>
      </c>
      <c r="C170" t="s">
        <v>3883</v>
      </c>
      <c r="D170" t="s">
        <v>1358</v>
      </c>
      <c r="E170">
        <v>116</v>
      </c>
    </row>
    <row r="171" spans="1:7" hidden="1">
      <c r="A171">
        <v>170</v>
      </c>
      <c r="B171" t="s">
        <v>1357</v>
      </c>
      <c r="C171" t="s">
        <v>3883</v>
      </c>
      <c r="D171" t="s">
        <v>1357</v>
      </c>
      <c r="E171">
        <v>115</v>
      </c>
    </row>
    <row r="172" spans="1:7" hidden="1">
      <c r="A172">
        <v>171</v>
      </c>
      <c r="B172" t="s">
        <v>1359</v>
      </c>
      <c r="C172" t="s">
        <v>3883</v>
      </c>
      <c r="D172" t="s">
        <v>1359</v>
      </c>
      <c r="E172">
        <v>117</v>
      </c>
    </row>
    <row r="173" spans="1:7">
      <c r="A173">
        <v>172</v>
      </c>
      <c r="B173" t="s">
        <v>376</v>
      </c>
      <c r="C173" t="s">
        <v>3860</v>
      </c>
      <c r="D173" s="43" t="s">
        <v>1362</v>
      </c>
      <c r="E173">
        <v>120</v>
      </c>
    </row>
    <row r="174" spans="1:7" hidden="1">
      <c r="A174">
        <v>173</v>
      </c>
      <c r="B174" t="s">
        <v>1360</v>
      </c>
      <c r="C174" t="s">
        <v>3883</v>
      </c>
      <c r="D174" t="s">
        <v>1360</v>
      </c>
      <c r="E174">
        <v>118</v>
      </c>
    </row>
    <row r="175" spans="1:7" hidden="1">
      <c r="A175">
        <v>174</v>
      </c>
      <c r="B175" t="s">
        <v>1361</v>
      </c>
      <c r="C175" t="s">
        <v>3883</v>
      </c>
      <c r="D175" t="s">
        <v>1361</v>
      </c>
      <c r="E175">
        <v>119</v>
      </c>
    </row>
    <row r="176" spans="1:7" hidden="1">
      <c r="A176">
        <v>175</v>
      </c>
      <c r="B176" t="s">
        <v>1361</v>
      </c>
      <c r="C176" t="s">
        <v>3883</v>
      </c>
      <c r="D176" t="s">
        <v>1361</v>
      </c>
      <c r="E176">
        <v>119</v>
      </c>
    </row>
    <row r="177" spans="1:21" hidden="1">
      <c r="A177">
        <v>176</v>
      </c>
      <c r="B177" t="s">
        <v>1363</v>
      </c>
      <c r="C177" t="s">
        <v>3883</v>
      </c>
      <c r="D177" t="s">
        <v>1363</v>
      </c>
      <c r="E177">
        <v>121</v>
      </c>
    </row>
    <row r="178" spans="1:21" hidden="1">
      <c r="A178">
        <v>177</v>
      </c>
      <c r="B178" t="s">
        <v>1364</v>
      </c>
      <c r="C178" t="s">
        <v>3883</v>
      </c>
      <c r="D178" t="s">
        <v>1364</v>
      </c>
      <c r="E178">
        <v>122</v>
      </c>
    </row>
    <row r="179" spans="1:21" hidden="1">
      <c r="A179">
        <v>178</v>
      </c>
      <c r="B179" t="s">
        <v>1367</v>
      </c>
      <c r="C179" t="s">
        <v>3883</v>
      </c>
      <c r="D179" t="s">
        <v>1367</v>
      </c>
      <c r="E179">
        <v>125</v>
      </c>
    </row>
    <row r="180" spans="1:21" hidden="1">
      <c r="A180">
        <v>179</v>
      </c>
      <c r="B180" t="s">
        <v>1366</v>
      </c>
      <c r="C180" t="s">
        <v>3883</v>
      </c>
      <c r="D180" t="s">
        <v>1366</v>
      </c>
      <c r="E180">
        <v>124</v>
      </c>
    </row>
    <row r="181" spans="1:21" hidden="1">
      <c r="A181">
        <v>180</v>
      </c>
      <c r="B181" t="s">
        <v>1366</v>
      </c>
      <c r="C181" t="s">
        <v>3883</v>
      </c>
      <c r="D181" t="s">
        <v>1366</v>
      </c>
      <c r="E181">
        <v>124</v>
      </c>
    </row>
    <row r="182" spans="1:21">
      <c r="A182">
        <v>181</v>
      </c>
      <c r="B182" t="s">
        <v>3913</v>
      </c>
      <c r="C182" t="s">
        <v>3860</v>
      </c>
      <c r="D182" s="43" t="s">
        <v>1368</v>
      </c>
      <c r="E182">
        <v>126</v>
      </c>
    </row>
    <row r="183" spans="1:21">
      <c r="A183">
        <v>182</v>
      </c>
      <c r="B183" t="s">
        <v>3914</v>
      </c>
      <c r="C183" t="s">
        <v>3860</v>
      </c>
      <c r="D183" s="44" t="s">
        <v>1247</v>
      </c>
      <c r="E183">
        <v>2</v>
      </c>
      <c r="F183" t="s">
        <v>276</v>
      </c>
      <c r="G183">
        <v>63</v>
      </c>
      <c r="H183" t="s">
        <v>1334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1597</v>
      </c>
      <c r="O183">
        <v>386</v>
      </c>
      <c r="P183" t="s">
        <v>1625</v>
      </c>
      <c r="Q183">
        <v>416</v>
      </c>
      <c r="R183" t="s">
        <v>1667</v>
      </c>
      <c r="S183">
        <v>462</v>
      </c>
      <c r="T183" t="s">
        <v>1679</v>
      </c>
      <c r="U183">
        <v>475</v>
      </c>
    </row>
    <row r="184" spans="1:21">
      <c r="A184">
        <v>183</v>
      </c>
      <c r="B184" t="s">
        <v>3915</v>
      </c>
      <c r="C184" t="s">
        <v>3860</v>
      </c>
      <c r="D184" t="s">
        <v>1370</v>
      </c>
      <c r="E184">
        <v>128</v>
      </c>
    </row>
    <row r="185" spans="1:21" hidden="1">
      <c r="A185">
        <v>184</v>
      </c>
      <c r="B185" t="s">
        <v>1371</v>
      </c>
      <c r="C185" t="s">
        <v>3883</v>
      </c>
      <c r="D185" t="s">
        <v>1371</v>
      </c>
      <c r="E185">
        <v>129</v>
      </c>
    </row>
    <row r="186" spans="1:21" hidden="1">
      <c r="A186">
        <v>185</v>
      </c>
      <c r="B186" t="s">
        <v>1371</v>
      </c>
      <c r="C186" t="s">
        <v>3883</v>
      </c>
      <c r="D186" t="s">
        <v>1371</v>
      </c>
      <c r="E186">
        <v>129</v>
      </c>
    </row>
    <row r="187" spans="1:21" hidden="1">
      <c r="A187">
        <v>186</v>
      </c>
      <c r="B187" t="s">
        <v>1378</v>
      </c>
      <c r="C187" t="s">
        <v>3883</v>
      </c>
      <c r="D187" t="s">
        <v>1378</v>
      </c>
      <c r="E187">
        <v>135</v>
      </c>
    </row>
    <row r="188" spans="1:21">
      <c r="A188">
        <v>187</v>
      </c>
      <c r="B188" t="s">
        <v>1377</v>
      </c>
      <c r="C188" t="s">
        <v>3860</v>
      </c>
      <c r="D188" s="44" t="s">
        <v>1721</v>
      </c>
      <c r="E188">
        <v>521</v>
      </c>
    </row>
    <row r="189" spans="1:21" hidden="1">
      <c r="A189">
        <v>188</v>
      </c>
      <c r="B189" t="s">
        <v>1379</v>
      </c>
      <c r="C189" t="s">
        <v>3883</v>
      </c>
      <c r="D189" t="s">
        <v>1379</v>
      </c>
      <c r="E189">
        <v>136</v>
      </c>
    </row>
    <row r="190" spans="1:21" hidden="1">
      <c r="A190">
        <v>189</v>
      </c>
      <c r="B190" t="s">
        <v>1376</v>
      </c>
      <c r="C190" t="s">
        <v>3883</v>
      </c>
      <c r="D190" t="s">
        <v>1376</v>
      </c>
      <c r="E190">
        <v>134</v>
      </c>
    </row>
    <row r="191" spans="1:21" hidden="1">
      <c r="A191">
        <v>190</v>
      </c>
      <c r="B191" t="s">
        <v>1374</v>
      </c>
      <c r="C191" t="s">
        <v>3883</v>
      </c>
      <c r="D191" t="s">
        <v>1374</v>
      </c>
      <c r="E191">
        <v>132</v>
      </c>
    </row>
    <row r="192" spans="1:21" hidden="1">
      <c r="A192">
        <v>191</v>
      </c>
      <c r="B192" t="s">
        <v>1374</v>
      </c>
      <c r="C192" t="s">
        <v>3883</v>
      </c>
      <c r="D192" t="s">
        <v>1374</v>
      </c>
      <c r="E192">
        <v>132</v>
      </c>
    </row>
    <row r="193" spans="1:5" hidden="1">
      <c r="A193">
        <v>192</v>
      </c>
      <c r="B193" t="s">
        <v>1372</v>
      </c>
      <c r="C193" t="s">
        <v>3883</v>
      </c>
      <c r="D193" t="s">
        <v>1372</v>
      </c>
      <c r="E193">
        <v>130</v>
      </c>
    </row>
    <row r="194" spans="1:5" hidden="1">
      <c r="A194">
        <v>193</v>
      </c>
      <c r="B194" t="s">
        <v>1372</v>
      </c>
      <c r="C194" t="s">
        <v>3883</v>
      </c>
      <c r="D194" t="s">
        <v>1372</v>
      </c>
      <c r="E194">
        <v>130</v>
      </c>
    </row>
    <row r="195" spans="1:5" hidden="1">
      <c r="A195">
        <v>194</v>
      </c>
      <c r="B195" t="s">
        <v>1375</v>
      </c>
      <c r="C195" t="s">
        <v>3883</v>
      </c>
      <c r="D195" t="s">
        <v>1375</v>
      </c>
      <c r="E195">
        <v>133</v>
      </c>
    </row>
    <row r="196" spans="1:5" hidden="1">
      <c r="A196">
        <v>195</v>
      </c>
      <c r="B196" t="s">
        <v>1375</v>
      </c>
      <c r="C196" t="s">
        <v>3883</v>
      </c>
      <c r="D196" t="s">
        <v>1375</v>
      </c>
      <c r="E196">
        <v>133</v>
      </c>
    </row>
    <row r="197" spans="1:5" hidden="1">
      <c r="A197">
        <v>196</v>
      </c>
      <c r="B197" t="s">
        <v>1373</v>
      </c>
      <c r="C197" t="s">
        <v>3883</v>
      </c>
      <c r="D197" t="s">
        <v>1373</v>
      </c>
      <c r="E197">
        <v>131</v>
      </c>
    </row>
    <row r="198" spans="1:5" hidden="1">
      <c r="A198">
        <v>197</v>
      </c>
      <c r="B198" t="s">
        <v>1373</v>
      </c>
      <c r="C198" t="s">
        <v>3883</v>
      </c>
      <c r="D198" t="s">
        <v>1373</v>
      </c>
      <c r="E198">
        <v>131</v>
      </c>
    </row>
    <row r="199" spans="1:5" hidden="1">
      <c r="A199">
        <v>198</v>
      </c>
      <c r="B199" t="s">
        <v>404</v>
      </c>
      <c r="C199" t="s">
        <v>3883</v>
      </c>
      <c r="D199" t="s">
        <v>404</v>
      </c>
      <c r="E199">
        <v>137</v>
      </c>
    </row>
    <row r="200" spans="1:5" hidden="1">
      <c r="A200">
        <v>199</v>
      </c>
      <c r="B200" t="s">
        <v>1380</v>
      </c>
      <c r="C200" t="s">
        <v>3883</v>
      </c>
      <c r="D200" t="s">
        <v>1380</v>
      </c>
      <c r="E200">
        <v>138</v>
      </c>
    </row>
    <row r="201" spans="1:5">
      <c r="A201">
        <v>200</v>
      </c>
      <c r="B201" t="s">
        <v>1387</v>
      </c>
      <c r="C201" t="s">
        <v>3878</v>
      </c>
      <c r="D201" s="44"/>
    </row>
    <row r="202" spans="1:5" hidden="1">
      <c r="A202">
        <v>201</v>
      </c>
      <c r="B202" t="s">
        <v>1390</v>
      </c>
      <c r="C202" t="s">
        <v>3883</v>
      </c>
      <c r="D202" t="s">
        <v>1390</v>
      </c>
      <c r="E202">
        <v>147</v>
      </c>
    </row>
    <row r="203" spans="1:5" hidden="1">
      <c r="A203">
        <v>202</v>
      </c>
      <c r="B203" t="s">
        <v>1388</v>
      </c>
      <c r="C203" t="s">
        <v>3883</v>
      </c>
      <c r="D203" t="s">
        <v>1388</v>
      </c>
      <c r="E203">
        <v>145</v>
      </c>
    </row>
    <row r="204" spans="1:5" hidden="1">
      <c r="A204">
        <v>203</v>
      </c>
      <c r="B204" t="s">
        <v>1389</v>
      </c>
      <c r="C204" t="s">
        <v>3883</v>
      </c>
      <c r="D204" t="s">
        <v>1389</v>
      </c>
      <c r="E204">
        <v>146</v>
      </c>
    </row>
    <row r="205" spans="1:5" hidden="1">
      <c r="A205">
        <v>204</v>
      </c>
      <c r="B205" t="s">
        <v>1392</v>
      </c>
      <c r="C205" t="s">
        <v>3883</v>
      </c>
      <c r="D205" t="s">
        <v>1392</v>
      </c>
      <c r="E205">
        <v>149</v>
      </c>
    </row>
    <row r="206" spans="1:5" hidden="1">
      <c r="A206">
        <v>205</v>
      </c>
      <c r="B206" t="s">
        <v>1391</v>
      </c>
      <c r="C206" t="s">
        <v>3883</v>
      </c>
      <c r="D206" t="s">
        <v>1391</v>
      </c>
      <c r="E206">
        <v>148</v>
      </c>
    </row>
    <row r="207" spans="1:5" hidden="1">
      <c r="A207">
        <v>206</v>
      </c>
      <c r="B207" t="s">
        <v>1393</v>
      </c>
      <c r="C207" t="s">
        <v>3883</v>
      </c>
      <c r="D207" t="s">
        <v>1393</v>
      </c>
      <c r="E207">
        <v>150</v>
      </c>
    </row>
    <row r="208" spans="1:5" hidden="1">
      <c r="A208">
        <v>207</v>
      </c>
      <c r="B208" t="s">
        <v>416</v>
      </c>
      <c r="C208" t="s">
        <v>3883</v>
      </c>
      <c r="D208" t="s">
        <v>416</v>
      </c>
      <c r="E208">
        <v>151</v>
      </c>
    </row>
    <row r="209" spans="1:9">
      <c r="A209">
        <v>208</v>
      </c>
      <c r="B209" t="s">
        <v>3916</v>
      </c>
      <c r="C209" t="s">
        <v>3860</v>
      </c>
      <c r="D209" s="43" t="s">
        <v>1394</v>
      </c>
      <c r="E209">
        <v>152</v>
      </c>
    </row>
    <row r="210" spans="1:9" hidden="1">
      <c r="A210">
        <v>209</v>
      </c>
      <c r="B210" t="s">
        <v>421</v>
      </c>
      <c r="C210" t="s">
        <v>3883</v>
      </c>
      <c r="D210" t="s">
        <v>421</v>
      </c>
      <c r="E210">
        <v>153</v>
      </c>
    </row>
    <row r="211" spans="1:9" hidden="1">
      <c r="A211">
        <v>210</v>
      </c>
      <c r="B211" t="s">
        <v>1395</v>
      </c>
      <c r="C211" t="s">
        <v>3883</v>
      </c>
      <c r="D211" t="s">
        <v>1395</v>
      </c>
      <c r="E211">
        <v>154</v>
      </c>
    </row>
    <row r="212" spans="1:9" s="46" customFormat="1">
      <c r="A212" s="46">
        <v>211</v>
      </c>
      <c r="B212" s="46" t="s">
        <v>3917</v>
      </c>
      <c r="C212" s="46" t="s">
        <v>3878</v>
      </c>
    </row>
    <row r="213" spans="1:9" hidden="1">
      <c r="A213">
        <v>212</v>
      </c>
      <c r="B213" t="s">
        <v>1397</v>
      </c>
      <c r="C213" t="s">
        <v>3883</v>
      </c>
      <c r="D213" t="s">
        <v>1397</v>
      </c>
      <c r="E213">
        <v>156</v>
      </c>
    </row>
    <row r="214" spans="1:9" hidden="1">
      <c r="A214">
        <v>213</v>
      </c>
      <c r="B214" t="s">
        <v>1398</v>
      </c>
      <c r="C214" t="s">
        <v>3883</v>
      </c>
      <c r="D214" t="s">
        <v>1398</v>
      </c>
      <c r="E214">
        <v>157</v>
      </c>
    </row>
    <row r="215" spans="1:9" hidden="1">
      <c r="A215">
        <v>214</v>
      </c>
      <c r="B215" t="s">
        <v>1399</v>
      </c>
      <c r="C215" t="s">
        <v>3883</v>
      </c>
      <c r="D215" t="s">
        <v>1399</v>
      </c>
      <c r="E215">
        <v>158</v>
      </c>
    </row>
    <row r="216" spans="1:9" hidden="1">
      <c r="A216">
        <v>215</v>
      </c>
      <c r="B216" t="s">
        <v>1399</v>
      </c>
      <c r="C216" t="s">
        <v>3883</v>
      </c>
      <c r="D216" t="s">
        <v>1399</v>
      </c>
      <c r="E216">
        <v>158</v>
      </c>
    </row>
    <row r="217" spans="1:9" hidden="1">
      <c r="A217">
        <v>216</v>
      </c>
      <c r="B217" t="s">
        <v>1400</v>
      </c>
      <c r="C217" t="s">
        <v>3883</v>
      </c>
      <c r="D217" t="s">
        <v>1400</v>
      </c>
      <c r="E217">
        <v>159</v>
      </c>
    </row>
    <row r="218" spans="1:9" hidden="1">
      <c r="A218">
        <v>217</v>
      </c>
      <c r="B218" t="s">
        <v>1401</v>
      </c>
      <c r="C218" t="s">
        <v>3883</v>
      </c>
      <c r="D218" t="s">
        <v>1401</v>
      </c>
      <c r="E218">
        <v>160</v>
      </c>
    </row>
    <row r="219" spans="1:9" hidden="1">
      <c r="A219">
        <v>218</v>
      </c>
      <c r="B219" t="s">
        <v>1402</v>
      </c>
      <c r="C219" t="s">
        <v>3883</v>
      </c>
      <c r="D219" t="s">
        <v>1402</v>
      </c>
      <c r="E219">
        <v>161</v>
      </c>
    </row>
    <row r="220" spans="1:9">
      <c r="A220">
        <v>219</v>
      </c>
      <c r="B220" t="s">
        <v>3918</v>
      </c>
      <c r="C220" t="s">
        <v>3860</v>
      </c>
      <c r="D220" s="43" t="s">
        <v>1403</v>
      </c>
      <c r="E220">
        <v>162</v>
      </c>
    </row>
    <row r="221" spans="1:9">
      <c r="A221">
        <v>220</v>
      </c>
      <c r="B221" t="s">
        <v>3918</v>
      </c>
      <c r="C221" t="s">
        <v>3860</v>
      </c>
      <c r="D221" s="43" t="s">
        <v>1403</v>
      </c>
      <c r="E221">
        <v>162</v>
      </c>
    </row>
    <row r="222" spans="1:9" hidden="1">
      <c r="A222">
        <v>221</v>
      </c>
      <c r="B222" t="s">
        <v>445</v>
      </c>
      <c r="C222" t="s">
        <v>3883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3860</v>
      </c>
      <c r="D223" s="43" t="s">
        <v>1409</v>
      </c>
      <c r="E223">
        <v>167</v>
      </c>
      <c r="F223" t="s">
        <v>1519</v>
      </c>
      <c r="G223">
        <v>299</v>
      </c>
      <c r="H223" t="s">
        <v>1577</v>
      </c>
      <c r="I223">
        <v>363</v>
      </c>
    </row>
    <row r="224" spans="1:9" hidden="1">
      <c r="A224">
        <v>223</v>
      </c>
      <c r="B224" t="s">
        <v>1405</v>
      </c>
      <c r="C224" t="s">
        <v>3883</v>
      </c>
      <c r="D224" t="s">
        <v>1405</v>
      </c>
      <c r="E224">
        <v>164</v>
      </c>
    </row>
    <row r="225" spans="1:23">
      <c r="A225">
        <v>224</v>
      </c>
      <c r="B225" t="s">
        <v>3919</v>
      </c>
      <c r="C225" t="s">
        <v>3860</v>
      </c>
      <c r="D225" s="43" t="s">
        <v>1406</v>
      </c>
      <c r="E225">
        <v>165</v>
      </c>
      <c r="F225" t="s">
        <v>1603</v>
      </c>
      <c r="G225">
        <v>392</v>
      </c>
    </row>
    <row r="226" spans="1:23" hidden="1">
      <c r="A226">
        <v>225</v>
      </c>
      <c r="B226" t="s">
        <v>1407</v>
      </c>
      <c r="C226" t="s">
        <v>3883</v>
      </c>
      <c r="D226" t="s">
        <v>1407</v>
      </c>
      <c r="E226">
        <v>166</v>
      </c>
    </row>
    <row r="227" spans="1:23">
      <c r="A227">
        <v>226</v>
      </c>
      <c r="B227" t="s">
        <v>1408</v>
      </c>
      <c r="C227" t="s">
        <v>3860</v>
      </c>
      <c r="D227" s="44" t="s">
        <v>1795</v>
      </c>
      <c r="E227">
        <v>603</v>
      </c>
      <c r="F227" t="s">
        <v>1796</v>
      </c>
      <c r="G227">
        <v>604</v>
      </c>
      <c r="H227" t="s">
        <v>1797</v>
      </c>
      <c r="I227">
        <v>605</v>
      </c>
    </row>
    <row r="228" spans="1:23" hidden="1">
      <c r="A228">
        <v>227</v>
      </c>
      <c r="B228" t="s">
        <v>459</v>
      </c>
      <c r="C228" t="s">
        <v>3883</v>
      </c>
      <c r="D228" t="s">
        <v>459</v>
      </c>
      <c r="E228">
        <v>168</v>
      </c>
    </row>
    <row r="229" spans="1:23" hidden="1">
      <c r="A229">
        <v>228</v>
      </c>
      <c r="B229" t="s">
        <v>1410</v>
      </c>
      <c r="C229" t="s">
        <v>3883</v>
      </c>
      <c r="D229" t="s">
        <v>1410</v>
      </c>
      <c r="E229">
        <v>169</v>
      </c>
    </row>
    <row r="230" spans="1:23">
      <c r="A230">
        <v>229</v>
      </c>
      <c r="B230" t="s">
        <v>1413</v>
      </c>
      <c r="C230" t="s">
        <v>3860</v>
      </c>
      <c r="D230" s="44" t="s">
        <v>1715</v>
      </c>
      <c r="E230">
        <v>514</v>
      </c>
      <c r="F230" t="s">
        <v>1716</v>
      </c>
      <c r="G230">
        <v>515</v>
      </c>
      <c r="H230" t="s">
        <v>1869</v>
      </c>
      <c r="I230">
        <v>680</v>
      </c>
    </row>
    <row r="231" spans="1:23" hidden="1">
      <c r="A231">
        <v>230</v>
      </c>
      <c r="B231" t="s">
        <v>464</v>
      </c>
      <c r="C231" t="s">
        <v>3883</v>
      </c>
      <c r="D231" t="s">
        <v>464</v>
      </c>
      <c r="E231">
        <v>173</v>
      </c>
    </row>
    <row r="232" spans="1:23" hidden="1">
      <c r="A232">
        <v>231</v>
      </c>
      <c r="B232" t="s">
        <v>467</v>
      </c>
      <c r="C232" t="s">
        <v>3883</v>
      </c>
      <c r="D232" t="s">
        <v>467</v>
      </c>
      <c r="E232">
        <v>172</v>
      </c>
    </row>
    <row r="233" spans="1:23">
      <c r="A233">
        <v>232</v>
      </c>
      <c r="B233" t="s">
        <v>3920</v>
      </c>
      <c r="C233" t="s">
        <v>3860</v>
      </c>
      <c r="D233" s="44" t="s">
        <v>1711</v>
      </c>
      <c r="E233">
        <v>510</v>
      </c>
    </row>
    <row r="234" spans="1:23" s="46" customFormat="1" ht="13.8" thickBot="1">
      <c r="A234" s="46">
        <v>233</v>
      </c>
      <c r="B234" s="46" t="s">
        <v>470</v>
      </c>
      <c r="C234" s="46" t="s">
        <v>3860</v>
      </c>
      <c r="D234" s="47" t="s">
        <v>1301</v>
      </c>
      <c r="E234" s="46">
        <v>56</v>
      </c>
      <c r="F234" s="46" t="s">
        <v>1329</v>
      </c>
      <c r="G234" s="46">
        <v>88</v>
      </c>
      <c r="H234" s="46" t="s">
        <v>1354</v>
      </c>
      <c r="I234" s="46">
        <v>112</v>
      </c>
      <c r="J234" s="46" t="s">
        <v>1355</v>
      </c>
      <c r="K234" s="46">
        <v>113</v>
      </c>
      <c r="L234" s="46" t="s">
        <v>1412</v>
      </c>
      <c r="M234" s="46">
        <v>171</v>
      </c>
      <c r="N234" s="46" t="s">
        <v>1510</v>
      </c>
      <c r="O234" s="46">
        <v>290</v>
      </c>
      <c r="P234" s="46" t="s">
        <v>1537</v>
      </c>
      <c r="Q234" s="46">
        <v>318</v>
      </c>
      <c r="R234" s="46" t="s">
        <v>1673</v>
      </c>
      <c r="S234" s="46">
        <v>469</v>
      </c>
      <c r="T234" s="46" t="s">
        <v>1674</v>
      </c>
      <c r="U234" s="46">
        <v>470</v>
      </c>
      <c r="V234" s="46" t="s">
        <v>1735</v>
      </c>
      <c r="W234" s="46">
        <v>537</v>
      </c>
    </row>
    <row r="235" spans="1:23" ht="13.8" hidden="1" thickTop="1">
      <c r="A235">
        <v>234</v>
      </c>
      <c r="B235" t="s">
        <v>1414</v>
      </c>
      <c r="C235" t="s">
        <v>3883</v>
      </c>
      <c r="D235" t="s">
        <v>1414</v>
      </c>
      <c r="E235">
        <v>174</v>
      </c>
    </row>
    <row r="236" spans="1:23" ht="13.8" hidden="1" thickTop="1">
      <c r="A236">
        <v>235</v>
      </c>
      <c r="B236" t="s">
        <v>473</v>
      </c>
      <c r="C236" t="s">
        <v>3883</v>
      </c>
      <c r="D236" t="s">
        <v>473</v>
      </c>
      <c r="E236">
        <v>177</v>
      </c>
    </row>
    <row r="237" spans="1:23" ht="13.8" hidden="1" thickTop="1">
      <c r="A237">
        <v>236</v>
      </c>
      <c r="B237" t="s">
        <v>474</v>
      </c>
      <c r="C237" t="s">
        <v>3883</v>
      </c>
      <c r="D237" t="s">
        <v>474</v>
      </c>
      <c r="E237">
        <v>175</v>
      </c>
    </row>
    <row r="238" spans="1:23" ht="13.8" hidden="1" thickTop="1">
      <c r="A238">
        <v>237</v>
      </c>
      <c r="B238" t="s">
        <v>474</v>
      </c>
      <c r="C238" t="s">
        <v>3883</v>
      </c>
      <c r="D238" t="s">
        <v>474</v>
      </c>
      <c r="E238">
        <v>175</v>
      </c>
    </row>
    <row r="239" spans="1:23" ht="13.8" hidden="1" thickTop="1">
      <c r="A239">
        <v>238</v>
      </c>
      <c r="B239" t="s">
        <v>474</v>
      </c>
      <c r="C239" t="s">
        <v>3883</v>
      </c>
      <c r="D239" t="s">
        <v>474</v>
      </c>
      <c r="E239">
        <v>175</v>
      </c>
    </row>
    <row r="240" spans="1:23" ht="13.8" hidden="1" thickTop="1">
      <c r="A240">
        <v>239</v>
      </c>
      <c r="B240" t="s">
        <v>475</v>
      </c>
      <c r="C240" t="s">
        <v>3883</v>
      </c>
      <c r="D240" t="s">
        <v>475</v>
      </c>
      <c r="E240">
        <v>176</v>
      </c>
    </row>
    <row r="241" spans="1:5" ht="13.8" hidden="1" thickTop="1">
      <c r="A241">
        <v>240</v>
      </c>
      <c r="B241" t="s">
        <v>475</v>
      </c>
      <c r="C241" t="s">
        <v>3883</v>
      </c>
      <c r="D241" t="s">
        <v>475</v>
      </c>
      <c r="E241">
        <v>176</v>
      </c>
    </row>
    <row r="242" spans="1:5" ht="13.8" thickTop="1">
      <c r="A242">
        <v>241</v>
      </c>
      <c r="B242" t="s">
        <v>476</v>
      </c>
      <c r="C242" t="s">
        <v>3878</v>
      </c>
    </row>
    <row r="243" spans="1:5" hidden="1">
      <c r="A243">
        <v>242</v>
      </c>
      <c r="B243" t="s">
        <v>479</v>
      </c>
      <c r="C243" t="s">
        <v>3883</v>
      </c>
      <c r="D243" t="s">
        <v>479</v>
      </c>
      <c r="E243">
        <v>179</v>
      </c>
    </row>
    <row r="244" spans="1:5" hidden="1">
      <c r="A244">
        <v>243</v>
      </c>
      <c r="B244" t="s">
        <v>1417</v>
      </c>
      <c r="C244" t="s">
        <v>3883</v>
      </c>
      <c r="D244" t="s">
        <v>1417</v>
      </c>
      <c r="E244">
        <v>181</v>
      </c>
    </row>
    <row r="245" spans="1:5" hidden="1">
      <c r="A245">
        <v>244</v>
      </c>
      <c r="B245" t="s">
        <v>483</v>
      </c>
      <c r="C245" t="s">
        <v>3883</v>
      </c>
      <c r="D245" t="s">
        <v>483</v>
      </c>
      <c r="E245">
        <v>182</v>
      </c>
    </row>
    <row r="246" spans="1:5" hidden="1">
      <c r="A246">
        <v>245</v>
      </c>
      <c r="B246" t="s">
        <v>484</v>
      </c>
      <c r="C246" t="s">
        <v>3883</v>
      </c>
      <c r="D246" t="s">
        <v>484</v>
      </c>
      <c r="E246">
        <v>183</v>
      </c>
    </row>
    <row r="247" spans="1:5" hidden="1">
      <c r="A247">
        <v>246</v>
      </c>
      <c r="B247" t="s">
        <v>1418</v>
      </c>
      <c r="C247" t="s">
        <v>3883</v>
      </c>
      <c r="D247" t="s">
        <v>1418</v>
      </c>
      <c r="E247">
        <v>184</v>
      </c>
    </row>
    <row r="248" spans="1:5" hidden="1">
      <c r="A248">
        <v>247</v>
      </c>
      <c r="B248" t="s">
        <v>1419</v>
      </c>
      <c r="C248" t="s">
        <v>3883</v>
      </c>
      <c r="D248" t="s">
        <v>1419</v>
      </c>
      <c r="E248">
        <v>185</v>
      </c>
    </row>
    <row r="249" spans="1:5" hidden="1">
      <c r="A249">
        <v>248</v>
      </c>
      <c r="B249" t="s">
        <v>1420</v>
      </c>
      <c r="C249" t="s">
        <v>3883</v>
      </c>
      <c r="D249" t="s">
        <v>1420</v>
      </c>
      <c r="E249">
        <v>186</v>
      </c>
    </row>
    <row r="250" spans="1:5" hidden="1">
      <c r="A250">
        <v>249</v>
      </c>
      <c r="B250" t="s">
        <v>492</v>
      </c>
      <c r="C250" t="s">
        <v>3883</v>
      </c>
      <c r="D250" t="s">
        <v>492</v>
      </c>
      <c r="E250">
        <v>195</v>
      </c>
    </row>
    <row r="251" spans="1:5">
      <c r="A251">
        <v>250</v>
      </c>
      <c r="B251" t="s">
        <v>3921</v>
      </c>
      <c r="C251" t="s">
        <v>3860</v>
      </c>
      <c r="D251" s="43" t="s">
        <v>1421</v>
      </c>
      <c r="E251">
        <v>187</v>
      </c>
    </row>
    <row r="252" spans="1:5">
      <c r="A252">
        <v>251</v>
      </c>
      <c r="B252" t="s">
        <v>3922</v>
      </c>
      <c r="C252" t="s">
        <v>3860</v>
      </c>
      <c r="D252" s="43" t="s">
        <v>1422</v>
      </c>
      <c r="E252">
        <v>188</v>
      </c>
    </row>
    <row r="253" spans="1:5">
      <c r="A253">
        <v>252</v>
      </c>
      <c r="B253" t="s">
        <v>1423</v>
      </c>
      <c r="C253" t="s">
        <v>3878</v>
      </c>
      <c r="D253" s="44"/>
    </row>
    <row r="254" spans="1:5" hidden="1">
      <c r="A254">
        <v>253</v>
      </c>
      <c r="B254" t="s">
        <v>1425</v>
      </c>
      <c r="C254" t="s">
        <v>3883</v>
      </c>
      <c r="D254" t="s">
        <v>1425</v>
      </c>
      <c r="E254">
        <v>191</v>
      </c>
    </row>
    <row r="255" spans="1:5" hidden="1">
      <c r="A255">
        <v>254</v>
      </c>
      <c r="B255" t="s">
        <v>1424</v>
      </c>
      <c r="C255" t="s">
        <v>3883</v>
      </c>
      <c r="D255" t="s">
        <v>1424</v>
      </c>
      <c r="E255">
        <v>190</v>
      </c>
    </row>
    <row r="256" spans="1:5" hidden="1">
      <c r="A256">
        <v>255</v>
      </c>
      <c r="B256" t="s">
        <v>1427</v>
      </c>
      <c r="C256" t="s">
        <v>3883</v>
      </c>
      <c r="D256" t="s">
        <v>1427</v>
      </c>
      <c r="E256">
        <v>193</v>
      </c>
    </row>
    <row r="257" spans="1:5" hidden="1">
      <c r="A257">
        <v>256</v>
      </c>
      <c r="B257" t="s">
        <v>1426</v>
      </c>
      <c r="C257" t="s">
        <v>3883</v>
      </c>
      <c r="D257" t="s">
        <v>1426</v>
      </c>
      <c r="E257">
        <v>192</v>
      </c>
    </row>
    <row r="258" spans="1:5" hidden="1">
      <c r="A258">
        <v>257</v>
      </c>
      <c r="B258" t="s">
        <v>1428</v>
      </c>
      <c r="C258" t="s">
        <v>3883</v>
      </c>
      <c r="D258" t="s">
        <v>1428</v>
      </c>
      <c r="E258">
        <v>194</v>
      </c>
    </row>
    <row r="259" spans="1:5">
      <c r="A259">
        <v>258</v>
      </c>
      <c r="B259" t="s">
        <v>1429</v>
      </c>
      <c r="C259" t="s">
        <v>3878</v>
      </c>
      <c r="D259" s="44"/>
    </row>
    <row r="260" spans="1:5" hidden="1">
      <c r="A260">
        <v>259</v>
      </c>
      <c r="B260" t="s">
        <v>1430</v>
      </c>
      <c r="C260" t="s">
        <v>3883</v>
      </c>
      <c r="D260" s="43" t="s">
        <v>1430</v>
      </c>
      <c r="E260">
        <v>196</v>
      </c>
    </row>
    <row r="261" spans="1:5">
      <c r="A261">
        <v>260</v>
      </c>
      <c r="B261" t="s">
        <v>3923</v>
      </c>
      <c r="C261" t="s">
        <v>3860</v>
      </c>
      <c r="D261" s="43" t="s">
        <v>1433</v>
      </c>
      <c r="E261">
        <v>199</v>
      </c>
    </row>
    <row r="262" spans="1:5">
      <c r="A262">
        <v>261</v>
      </c>
      <c r="B262" t="s">
        <v>3924</v>
      </c>
      <c r="C262" t="s">
        <v>3860</v>
      </c>
      <c r="D262" s="43" t="s">
        <v>1431</v>
      </c>
      <c r="E262">
        <v>197</v>
      </c>
    </row>
    <row r="263" spans="1:5">
      <c r="A263">
        <v>262</v>
      </c>
      <c r="B263" t="s">
        <v>3925</v>
      </c>
      <c r="C263" t="s">
        <v>3860</v>
      </c>
      <c r="D263" s="43" t="s">
        <v>1432</v>
      </c>
      <c r="E263">
        <v>198</v>
      </c>
    </row>
    <row r="264" spans="1:5" hidden="1">
      <c r="A264">
        <v>263</v>
      </c>
      <c r="B264" t="s">
        <v>1435</v>
      </c>
      <c r="C264" t="s">
        <v>3883</v>
      </c>
      <c r="D264" t="s">
        <v>1435</v>
      </c>
      <c r="E264">
        <v>201</v>
      </c>
    </row>
    <row r="265" spans="1:5" hidden="1">
      <c r="A265">
        <v>264</v>
      </c>
      <c r="B265" t="s">
        <v>1436</v>
      </c>
      <c r="C265" t="s">
        <v>3883</v>
      </c>
      <c r="D265" t="s">
        <v>1436</v>
      </c>
      <c r="E265">
        <v>202</v>
      </c>
    </row>
    <row r="266" spans="1:5" hidden="1">
      <c r="A266">
        <v>265</v>
      </c>
      <c r="B266" t="s">
        <v>1436</v>
      </c>
      <c r="C266" t="s">
        <v>3883</v>
      </c>
      <c r="D266" t="s">
        <v>1436</v>
      </c>
      <c r="E266">
        <v>202</v>
      </c>
    </row>
    <row r="267" spans="1:5" hidden="1">
      <c r="A267">
        <v>266</v>
      </c>
      <c r="B267" t="s">
        <v>1439</v>
      </c>
      <c r="C267" t="s">
        <v>3883</v>
      </c>
      <c r="D267" t="s">
        <v>1439</v>
      </c>
      <c r="E267">
        <v>205</v>
      </c>
    </row>
    <row r="268" spans="1:5">
      <c r="A268">
        <v>267</v>
      </c>
      <c r="B268" t="s">
        <v>3926</v>
      </c>
      <c r="C268" t="s">
        <v>3860</v>
      </c>
      <c r="D268" s="43" t="s">
        <v>1439</v>
      </c>
      <c r="E268">
        <v>205</v>
      </c>
    </row>
    <row r="269" spans="1:5" hidden="1">
      <c r="A269">
        <v>268</v>
      </c>
      <c r="B269" t="s">
        <v>1440</v>
      </c>
      <c r="C269" t="s">
        <v>3883</v>
      </c>
      <c r="D269" t="s">
        <v>1440</v>
      </c>
      <c r="E269">
        <v>206</v>
      </c>
    </row>
    <row r="270" spans="1:5" hidden="1">
      <c r="A270">
        <v>269</v>
      </c>
      <c r="B270" t="s">
        <v>526</v>
      </c>
      <c r="C270" t="s">
        <v>3883</v>
      </c>
      <c r="D270" t="s">
        <v>526</v>
      </c>
      <c r="E270">
        <v>207</v>
      </c>
    </row>
    <row r="271" spans="1:5" hidden="1">
      <c r="A271">
        <v>270</v>
      </c>
      <c r="B271" t="s">
        <v>528</v>
      </c>
      <c r="C271" t="s">
        <v>3883</v>
      </c>
      <c r="D271" t="s">
        <v>528</v>
      </c>
      <c r="E271">
        <v>210</v>
      </c>
    </row>
    <row r="272" spans="1:5" hidden="1">
      <c r="A272">
        <v>271</v>
      </c>
      <c r="B272" t="s">
        <v>1443</v>
      </c>
      <c r="C272" t="s">
        <v>3883</v>
      </c>
      <c r="D272" t="s">
        <v>1443</v>
      </c>
      <c r="E272">
        <v>211</v>
      </c>
    </row>
    <row r="273" spans="1:23" hidden="1">
      <c r="A273">
        <v>272</v>
      </c>
      <c r="B273" t="s">
        <v>1444</v>
      </c>
      <c r="C273" t="s">
        <v>3883</v>
      </c>
      <c r="D273" t="s">
        <v>1444</v>
      </c>
      <c r="E273">
        <v>212</v>
      </c>
    </row>
    <row r="274" spans="1:23">
      <c r="A274">
        <v>273</v>
      </c>
      <c r="B274" t="s">
        <v>534</v>
      </c>
      <c r="C274" t="s">
        <v>3860</v>
      </c>
      <c r="D274" s="43" t="s">
        <v>1446</v>
      </c>
      <c r="E274">
        <v>213</v>
      </c>
    </row>
    <row r="275" spans="1:23">
      <c r="A275">
        <v>274</v>
      </c>
      <c r="B275" t="s">
        <v>1445</v>
      </c>
      <c r="C275" t="s">
        <v>3878</v>
      </c>
      <c r="D275" s="44"/>
    </row>
    <row r="276" spans="1:23" hidden="1">
      <c r="A276">
        <v>275</v>
      </c>
      <c r="B276" t="s">
        <v>1447</v>
      </c>
      <c r="C276" t="s">
        <v>3883</v>
      </c>
      <c r="D276" t="s">
        <v>1447</v>
      </c>
      <c r="E276">
        <v>214</v>
      </c>
    </row>
    <row r="277" spans="1:23">
      <c r="A277">
        <v>276</v>
      </c>
      <c r="B277" t="s">
        <v>1448</v>
      </c>
      <c r="C277" t="s">
        <v>3860</v>
      </c>
      <c r="D277" s="44" t="s">
        <v>1446</v>
      </c>
      <c r="E277">
        <v>213</v>
      </c>
    </row>
    <row r="278" spans="1:23" hidden="1">
      <c r="A278">
        <v>277</v>
      </c>
      <c r="B278" t="s">
        <v>1449</v>
      </c>
      <c r="C278" t="s">
        <v>3883</v>
      </c>
      <c r="D278" t="s">
        <v>1449</v>
      </c>
      <c r="E278">
        <v>216</v>
      </c>
    </row>
    <row r="279" spans="1:23" hidden="1">
      <c r="A279">
        <v>278</v>
      </c>
      <c r="B279" t="s">
        <v>1450</v>
      </c>
      <c r="C279" t="s">
        <v>3883</v>
      </c>
      <c r="D279" t="s">
        <v>1450</v>
      </c>
      <c r="E279">
        <v>217</v>
      </c>
    </row>
    <row r="280" spans="1:23" hidden="1">
      <c r="A280">
        <v>279</v>
      </c>
      <c r="B280" t="s">
        <v>1451</v>
      </c>
      <c r="C280" t="s">
        <v>3883</v>
      </c>
      <c r="D280" t="s">
        <v>1451</v>
      </c>
      <c r="E280">
        <v>218</v>
      </c>
    </row>
    <row r="281" spans="1:23" hidden="1">
      <c r="A281">
        <v>280</v>
      </c>
      <c r="B281" t="s">
        <v>1452</v>
      </c>
      <c r="C281" t="s">
        <v>3883</v>
      </c>
      <c r="D281" t="s">
        <v>1452</v>
      </c>
      <c r="E281">
        <v>219</v>
      </c>
    </row>
    <row r="282" spans="1:23" hidden="1">
      <c r="A282">
        <v>281</v>
      </c>
      <c r="B282" t="s">
        <v>1452</v>
      </c>
      <c r="C282" t="s">
        <v>3883</v>
      </c>
      <c r="D282" t="s">
        <v>1452</v>
      </c>
      <c r="E282">
        <v>219</v>
      </c>
    </row>
    <row r="283" spans="1:23" s="46" customFormat="1" ht="13.8" thickBot="1">
      <c r="A283" s="46">
        <v>282</v>
      </c>
      <c r="B283" s="46" t="s">
        <v>3927</v>
      </c>
      <c r="C283" s="46" t="s">
        <v>3860</v>
      </c>
      <c r="D283" s="47" t="s">
        <v>1301</v>
      </c>
      <c r="E283" s="46">
        <v>56</v>
      </c>
      <c r="F283" s="46" t="s">
        <v>1329</v>
      </c>
      <c r="G283" s="46">
        <v>88</v>
      </c>
      <c r="H283" s="46" t="s">
        <v>1354</v>
      </c>
      <c r="I283" s="46">
        <v>112</v>
      </c>
      <c r="J283" s="46" t="s">
        <v>1355</v>
      </c>
      <c r="K283" s="46">
        <v>113</v>
      </c>
      <c r="L283" s="46" t="s">
        <v>1412</v>
      </c>
      <c r="M283" s="46">
        <v>171</v>
      </c>
      <c r="N283" s="46" t="s">
        <v>1510</v>
      </c>
      <c r="O283" s="46">
        <v>290</v>
      </c>
      <c r="P283" s="46" t="s">
        <v>1537</v>
      </c>
      <c r="Q283" s="46">
        <v>318</v>
      </c>
      <c r="R283" s="46" t="s">
        <v>1673</v>
      </c>
      <c r="S283" s="46">
        <v>469</v>
      </c>
      <c r="T283" s="46" t="s">
        <v>1674</v>
      </c>
      <c r="U283" s="46">
        <v>470</v>
      </c>
      <c r="V283" s="46" t="s">
        <v>1735</v>
      </c>
      <c r="W283" s="46">
        <v>537</v>
      </c>
    </row>
    <row r="284" spans="1:23" s="46" customFormat="1" ht="14.4" thickTop="1" thickBot="1">
      <c r="A284" s="46">
        <v>283</v>
      </c>
      <c r="B284" s="46" t="s">
        <v>3928</v>
      </c>
      <c r="C284" s="46" t="s">
        <v>3860</v>
      </c>
      <c r="D284" s="47" t="s">
        <v>1301</v>
      </c>
      <c r="E284" s="46">
        <v>56</v>
      </c>
      <c r="F284" s="46" t="s">
        <v>1329</v>
      </c>
      <c r="G284" s="46">
        <v>88</v>
      </c>
      <c r="H284" s="46" t="s">
        <v>1354</v>
      </c>
      <c r="I284" s="46">
        <v>112</v>
      </c>
      <c r="J284" s="46" t="s">
        <v>1355</v>
      </c>
      <c r="K284" s="46">
        <v>113</v>
      </c>
      <c r="L284" s="46" t="s">
        <v>1412</v>
      </c>
      <c r="M284" s="46">
        <v>171</v>
      </c>
      <c r="N284" s="46" t="s">
        <v>1510</v>
      </c>
      <c r="O284" s="46">
        <v>290</v>
      </c>
      <c r="P284" s="46" t="s">
        <v>1537</v>
      </c>
      <c r="Q284" s="46">
        <v>318</v>
      </c>
      <c r="R284" s="46" t="s">
        <v>1673</v>
      </c>
      <c r="S284" s="46">
        <v>469</v>
      </c>
      <c r="T284" s="46" t="s">
        <v>1674</v>
      </c>
      <c r="U284" s="46">
        <v>470</v>
      </c>
      <c r="V284" s="46" t="s">
        <v>1735</v>
      </c>
      <c r="W284" s="46">
        <v>537</v>
      </c>
    </row>
    <row r="285" spans="1:23" ht="13.8" thickTop="1">
      <c r="A285">
        <v>284</v>
      </c>
      <c r="B285" t="s">
        <v>555</v>
      </c>
      <c r="C285" t="s">
        <v>3860</v>
      </c>
      <c r="D285" s="43" t="s">
        <v>1457</v>
      </c>
      <c r="E285">
        <v>226</v>
      </c>
    </row>
    <row r="286" spans="1:23">
      <c r="A286">
        <v>285</v>
      </c>
      <c r="B286" t="s">
        <v>555</v>
      </c>
      <c r="C286" t="s">
        <v>3860</v>
      </c>
      <c r="D286" s="43" t="s">
        <v>1457</v>
      </c>
      <c r="E286">
        <v>226</v>
      </c>
    </row>
    <row r="287" spans="1:23" hidden="1">
      <c r="A287">
        <v>286</v>
      </c>
      <c r="B287" t="s">
        <v>557</v>
      </c>
      <c r="C287" t="s">
        <v>3883</v>
      </c>
      <c r="D287" t="s">
        <v>557</v>
      </c>
      <c r="E287">
        <v>227</v>
      </c>
    </row>
    <row r="288" spans="1:23" hidden="1">
      <c r="A288">
        <v>287</v>
      </c>
      <c r="B288" t="s">
        <v>557</v>
      </c>
      <c r="C288" t="s">
        <v>3883</v>
      </c>
      <c r="D288" t="s">
        <v>557</v>
      </c>
      <c r="E288">
        <v>227</v>
      </c>
    </row>
    <row r="289" spans="1:5" hidden="1">
      <c r="A289">
        <v>288</v>
      </c>
      <c r="B289" t="s">
        <v>558</v>
      </c>
      <c r="C289" t="s">
        <v>3883</v>
      </c>
      <c r="D289" t="s">
        <v>558</v>
      </c>
      <c r="E289">
        <v>228</v>
      </c>
    </row>
    <row r="290" spans="1:5" hidden="1">
      <c r="A290">
        <v>289</v>
      </c>
      <c r="B290" t="s">
        <v>1458</v>
      </c>
      <c r="C290" t="s">
        <v>3883</v>
      </c>
      <c r="D290" t="s">
        <v>1458</v>
      </c>
      <c r="E290">
        <v>229</v>
      </c>
    </row>
    <row r="291" spans="1:5" hidden="1">
      <c r="A291">
        <v>290</v>
      </c>
      <c r="B291" t="s">
        <v>1459</v>
      </c>
      <c r="C291" t="s">
        <v>3883</v>
      </c>
      <c r="D291" t="s">
        <v>1459</v>
      </c>
      <c r="E291">
        <v>230</v>
      </c>
    </row>
    <row r="292" spans="1:5" hidden="1">
      <c r="A292">
        <v>291</v>
      </c>
      <c r="B292" t="s">
        <v>1460</v>
      </c>
      <c r="C292" t="s">
        <v>3883</v>
      </c>
      <c r="D292" t="s">
        <v>1460</v>
      </c>
      <c r="E292">
        <v>231</v>
      </c>
    </row>
    <row r="293" spans="1:5">
      <c r="A293">
        <v>292</v>
      </c>
      <c r="B293" t="s">
        <v>3929</v>
      </c>
      <c r="C293" t="s">
        <v>3860</v>
      </c>
      <c r="D293" s="43" t="s">
        <v>1461</v>
      </c>
      <c r="E293">
        <v>232</v>
      </c>
    </row>
    <row r="294" spans="1:5">
      <c r="A294">
        <v>293</v>
      </c>
      <c r="B294" t="s">
        <v>3930</v>
      </c>
      <c r="C294" t="s">
        <v>3860</v>
      </c>
      <c r="D294" s="43" t="s">
        <v>1465</v>
      </c>
      <c r="E294">
        <v>236</v>
      </c>
    </row>
    <row r="295" spans="1:5">
      <c r="A295">
        <v>294</v>
      </c>
      <c r="B295" t="s">
        <v>3931</v>
      </c>
      <c r="C295" t="s">
        <v>3860</v>
      </c>
      <c r="D295" s="43" t="s">
        <v>1466</v>
      </c>
      <c r="E295">
        <v>237</v>
      </c>
    </row>
    <row r="296" spans="1:5" hidden="1">
      <c r="A296">
        <v>295</v>
      </c>
      <c r="B296" t="s">
        <v>1463</v>
      </c>
      <c r="C296" t="s">
        <v>3883</v>
      </c>
      <c r="D296" t="s">
        <v>1463</v>
      </c>
      <c r="E296">
        <v>234</v>
      </c>
    </row>
    <row r="297" spans="1:5" hidden="1">
      <c r="A297">
        <v>296</v>
      </c>
      <c r="B297" t="s">
        <v>1464</v>
      </c>
      <c r="C297" t="s">
        <v>3883</v>
      </c>
      <c r="D297" t="s">
        <v>1464</v>
      </c>
      <c r="E297">
        <v>235</v>
      </c>
    </row>
    <row r="298" spans="1:5" hidden="1">
      <c r="A298">
        <v>297</v>
      </c>
      <c r="B298" t="s">
        <v>1467</v>
      </c>
      <c r="C298" t="s">
        <v>3883</v>
      </c>
      <c r="D298" t="s">
        <v>1467</v>
      </c>
      <c r="E298">
        <v>238</v>
      </c>
    </row>
    <row r="299" spans="1:5" hidden="1">
      <c r="A299">
        <v>298</v>
      </c>
      <c r="B299" t="s">
        <v>1468</v>
      </c>
      <c r="C299" t="s">
        <v>3883</v>
      </c>
      <c r="D299" t="s">
        <v>1468</v>
      </c>
      <c r="E299">
        <v>239</v>
      </c>
    </row>
    <row r="300" spans="1:5" hidden="1">
      <c r="A300">
        <v>299</v>
      </c>
      <c r="B300" t="s">
        <v>1468</v>
      </c>
      <c r="C300" t="s">
        <v>3883</v>
      </c>
      <c r="D300" t="s">
        <v>1468</v>
      </c>
      <c r="E300">
        <v>239</v>
      </c>
    </row>
    <row r="301" spans="1:5" hidden="1">
      <c r="A301">
        <v>300</v>
      </c>
      <c r="B301" t="s">
        <v>1469</v>
      </c>
      <c r="C301" t="s">
        <v>3883</v>
      </c>
      <c r="D301" t="s">
        <v>1469</v>
      </c>
      <c r="E301">
        <v>240</v>
      </c>
    </row>
    <row r="302" spans="1:5" hidden="1">
      <c r="A302">
        <v>301</v>
      </c>
      <c r="B302" t="s">
        <v>1469</v>
      </c>
      <c r="C302" t="s">
        <v>3883</v>
      </c>
      <c r="D302" t="s">
        <v>1469</v>
      </c>
      <c r="E302">
        <v>240</v>
      </c>
    </row>
    <row r="303" spans="1:5" hidden="1">
      <c r="A303">
        <v>302</v>
      </c>
      <c r="B303" t="s">
        <v>575</v>
      </c>
      <c r="C303" t="s">
        <v>3883</v>
      </c>
      <c r="D303" t="s">
        <v>575</v>
      </c>
      <c r="E303">
        <v>241</v>
      </c>
    </row>
    <row r="304" spans="1:5" hidden="1">
      <c r="A304">
        <v>303</v>
      </c>
      <c r="B304" t="s">
        <v>1470</v>
      </c>
      <c r="C304" t="s">
        <v>3883</v>
      </c>
      <c r="D304" t="s">
        <v>1470</v>
      </c>
      <c r="E304">
        <v>242</v>
      </c>
    </row>
    <row r="305" spans="1:9" hidden="1">
      <c r="A305">
        <v>304</v>
      </c>
      <c r="B305" t="s">
        <v>578</v>
      </c>
      <c r="C305" t="s">
        <v>3883</v>
      </c>
      <c r="D305" t="s">
        <v>578</v>
      </c>
      <c r="E305">
        <v>243</v>
      </c>
    </row>
    <row r="306" spans="1:9" hidden="1">
      <c r="A306">
        <v>305</v>
      </c>
      <c r="B306" t="s">
        <v>580</v>
      </c>
      <c r="C306" t="s">
        <v>3883</v>
      </c>
      <c r="D306" t="s">
        <v>580</v>
      </c>
      <c r="E306">
        <v>244</v>
      </c>
    </row>
    <row r="307" spans="1:9" hidden="1">
      <c r="A307">
        <v>306</v>
      </c>
      <c r="B307" t="s">
        <v>1471</v>
      </c>
      <c r="C307" t="s">
        <v>3883</v>
      </c>
      <c r="D307" t="s">
        <v>1471</v>
      </c>
      <c r="E307">
        <v>245</v>
      </c>
    </row>
    <row r="308" spans="1:9" hidden="1">
      <c r="A308">
        <v>307</v>
      </c>
      <c r="B308" t="s">
        <v>1471</v>
      </c>
      <c r="C308" t="s">
        <v>3883</v>
      </c>
      <c r="D308" t="s">
        <v>1471</v>
      </c>
      <c r="E308">
        <v>245</v>
      </c>
    </row>
    <row r="309" spans="1:9">
      <c r="A309">
        <v>308</v>
      </c>
      <c r="B309" t="s">
        <v>584</v>
      </c>
      <c r="C309" t="s">
        <v>3860</v>
      </c>
      <c r="D309" s="48" t="s">
        <v>1269</v>
      </c>
      <c r="E309">
        <v>24</v>
      </c>
      <c r="F309" t="s">
        <v>1316</v>
      </c>
      <c r="G309">
        <v>75</v>
      </c>
      <c r="H309" s="43" t="s">
        <v>1472</v>
      </c>
      <c r="I309">
        <v>246</v>
      </c>
    </row>
    <row r="310" spans="1:9" hidden="1">
      <c r="A310">
        <v>309</v>
      </c>
      <c r="B310" t="s">
        <v>1473</v>
      </c>
      <c r="C310" t="s">
        <v>3883</v>
      </c>
      <c r="D310" t="s">
        <v>1473</v>
      </c>
      <c r="E310">
        <v>247</v>
      </c>
    </row>
    <row r="311" spans="1:9" hidden="1">
      <c r="A311">
        <v>310</v>
      </c>
      <c r="B311" t="s">
        <v>1474</v>
      </c>
      <c r="C311" t="s">
        <v>3883</v>
      </c>
      <c r="D311" t="s">
        <v>1474</v>
      </c>
      <c r="E311">
        <v>248</v>
      </c>
    </row>
    <row r="312" spans="1:9" hidden="1">
      <c r="A312">
        <v>311</v>
      </c>
      <c r="B312" t="s">
        <v>1476</v>
      </c>
      <c r="C312" t="s">
        <v>3883</v>
      </c>
      <c r="D312" t="s">
        <v>1476</v>
      </c>
      <c r="E312">
        <v>250</v>
      </c>
    </row>
    <row r="313" spans="1:9">
      <c r="A313">
        <v>312</v>
      </c>
      <c r="B313" t="s">
        <v>3932</v>
      </c>
      <c r="C313" t="s">
        <v>3860</v>
      </c>
      <c r="D313" t="s">
        <v>1401</v>
      </c>
      <c r="E313">
        <v>160</v>
      </c>
      <c r="F313" s="43" t="s">
        <v>1475</v>
      </c>
      <c r="G313">
        <v>249</v>
      </c>
      <c r="H313" t="s">
        <v>1786</v>
      </c>
      <c r="I313">
        <v>594</v>
      </c>
    </row>
    <row r="314" spans="1:9" hidden="1">
      <c r="A314">
        <v>313</v>
      </c>
      <c r="B314" t="s">
        <v>594</v>
      </c>
      <c r="C314" t="s">
        <v>3883</v>
      </c>
      <c r="D314" t="s">
        <v>594</v>
      </c>
      <c r="E314">
        <v>251</v>
      </c>
    </row>
    <row r="315" spans="1:9" hidden="1">
      <c r="A315">
        <v>314</v>
      </c>
      <c r="B315" t="s">
        <v>594</v>
      </c>
      <c r="C315" t="s">
        <v>3883</v>
      </c>
      <c r="D315" t="s">
        <v>594</v>
      </c>
      <c r="E315">
        <v>251</v>
      </c>
    </row>
    <row r="316" spans="1:9" hidden="1">
      <c r="A316">
        <v>315</v>
      </c>
      <c r="B316" t="s">
        <v>1477</v>
      </c>
      <c r="C316" t="s">
        <v>3883</v>
      </c>
      <c r="D316" t="s">
        <v>1477</v>
      </c>
      <c r="E316">
        <v>252</v>
      </c>
    </row>
    <row r="317" spans="1:9" hidden="1">
      <c r="A317">
        <v>316</v>
      </c>
      <c r="B317" t="s">
        <v>1478</v>
      </c>
      <c r="C317" t="s">
        <v>3883</v>
      </c>
      <c r="D317" t="s">
        <v>1478</v>
      </c>
      <c r="E317">
        <v>253</v>
      </c>
    </row>
    <row r="318" spans="1:9" hidden="1">
      <c r="A318">
        <v>317</v>
      </c>
      <c r="B318" t="s">
        <v>1478</v>
      </c>
      <c r="C318" t="s">
        <v>3883</v>
      </c>
      <c r="D318" t="s">
        <v>1478</v>
      </c>
      <c r="E318">
        <v>253</v>
      </c>
    </row>
    <row r="319" spans="1:9" hidden="1">
      <c r="A319">
        <v>318</v>
      </c>
      <c r="B319" t="s">
        <v>1479</v>
      </c>
      <c r="C319" t="s">
        <v>3883</v>
      </c>
      <c r="D319" t="s">
        <v>1479</v>
      </c>
      <c r="E319">
        <v>254</v>
      </c>
    </row>
    <row r="320" spans="1:9" hidden="1">
      <c r="A320">
        <v>319</v>
      </c>
      <c r="B320" t="s">
        <v>1479</v>
      </c>
      <c r="C320" t="s">
        <v>3883</v>
      </c>
      <c r="D320" t="s">
        <v>1479</v>
      </c>
      <c r="E320">
        <v>254</v>
      </c>
    </row>
    <row r="321" spans="1:5" hidden="1">
      <c r="A321">
        <v>320</v>
      </c>
      <c r="B321" t="s">
        <v>1480</v>
      </c>
      <c r="C321" t="s">
        <v>3883</v>
      </c>
      <c r="D321" t="s">
        <v>1480</v>
      </c>
      <c r="E321">
        <v>255</v>
      </c>
    </row>
    <row r="322" spans="1:5" hidden="1">
      <c r="A322">
        <v>321</v>
      </c>
      <c r="B322" t="s">
        <v>1480</v>
      </c>
      <c r="C322" t="s">
        <v>3883</v>
      </c>
      <c r="D322" t="s">
        <v>1480</v>
      </c>
      <c r="E322">
        <v>255</v>
      </c>
    </row>
    <row r="323" spans="1:5" hidden="1">
      <c r="A323">
        <v>322</v>
      </c>
      <c r="B323" t="s">
        <v>1481</v>
      </c>
      <c r="C323" t="s">
        <v>3883</v>
      </c>
      <c r="D323" t="s">
        <v>1481</v>
      </c>
      <c r="E323">
        <v>256</v>
      </c>
    </row>
    <row r="324" spans="1:5" ht="13.8" thickBot="1">
      <c r="A324">
        <v>323</v>
      </c>
      <c r="B324" t="s">
        <v>3933</v>
      </c>
      <c r="C324" t="s">
        <v>3860</v>
      </c>
      <c r="D324" s="43" t="s">
        <v>1482</v>
      </c>
      <c r="E324">
        <v>258</v>
      </c>
    </row>
    <row r="325" spans="1:5" ht="14.4" thickTop="1" thickBot="1">
      <c r="A325">
        <v>324</v>
      </c>
      <c r="B325" t="s">
        <v>3934</v>
      </c>
      <c r="C325" t="s">
        <v>3860</v>
      </c>
      <c r="D325" s="49" t="s">
        <v>1482</v>
      </c>
      <c r="E325">
        <v>257</v>
      </c>
    </row>
    <row r="326" spans="1:5" ht="13.8" hidden="1" thickTop="1">
      <c r="A326">
        <v>325</v>
      </c>
      <c r="B326" t="s">
        <v>1489</v>
      </c>
      <c r="C326" t="s">
        <v>3883</v>
      </c>
      <c r="D326" t="s">
        <v>1489</v>
      </c>
      <c r="E326">
        <v>268</v>
      </c>
    </row>
    <row r="327" spans="1:5" ht="13.8" hidden="1" thickTop="1">
      <c r="A327">
        <v>326</v>
      </c>
      <c r="B327" t="s">
        <v>607</v>
      </c>
      <c r="C327" t="s">
        <v>3883</v>
      </c>
      <c r="D327" t="s">
        <v>607</v>
      </c>
      <c r="E327">
        <v>259</v>
      </c>
    </row>
    <row r="328" spans="1:5" ht="13.8" hidden="1" thickTop="1">
      <c r="A328">
        <v>327</v>
      </c>
      <c r="B328" t="s">
        <v>609</v>
      </c>
      <c r="C328" t="s">
        <v>3883</v>
      </c>
      <c r="D328" t="s">
        <v>609</v>
      </c>
      <c r="E328">
        <v>260</v>
      </c>
    </row>
    <row r="329" spans="1:5" ht="13.8" hidden="1" thickTop="1">
      <c r="A329">
        <v>328</v>
      </c>
      <c r="B329" t="s">
        <v>612</v>
      </c>
      <c r="C329" t="s">
        <v>3883</v>
      </c>
      <c r="D329" t="s">
        <v>612</v>
      </c>
      <c r="E329">
        <v>261</v>
      </c>
    </row>
    <row r="330" spans="1:5" ht="13.8" hidden="1" thickTop="1">
      <c r="A330">
        <v>329</v>
      </c>
      <c r="B330" t="s">
        <v>1483</v>
      </c>
      <c r="C330" t="s">
        <v>3883</v>
      </c>
      <c r="D330" t="s">
        <v>1483</v>
      </c>
      <c r="E330">
        <v>262</v>
      </c>
    </row>
    <row r="331" spans="1:5" ht="13.8" hidden="1" thickTop="1">
      <c r="A331">
        <v>330</v>
      </c>
      <c r="B331" t="s">
        <v>1484</v>
      </c>
      <c r="C331" t="s">
        <v>3883</v>
      </c>
      <c r="D331" t="s">
        <v>1484</v>
      </c>
      <c r="E331">
        <v>263</v>
      </c>
    </row>
    <row r="332" spans="1:5" ht="13.8" hidden="1" thickTop="1">
      <c r="A332">
        <v>331</v>
      </c>
      <c r="B332" t="s">
        <v>1484</v>
      </c>
      <c r="C332" t="s">
        <v>3883</v>
      </c>
      <c r="D332" t="s">
        <v>1484</v>
      </c>
      <c r="E332">
        <v>263</v>
      </c>
    </row>
    <row r="333" spans="1:5" ht="13.8" hidden="1" thickTop="1">
      <c r="A333">
        <v>332</v>
      </c>
      <c r="B333" t="s">
        <v>1485</v>
      </c>
      <c r="C333" t="s">
        <v>3883</v>
      </c>
      <c r="D333" t="s">
        <v>1485</v>
      </c>
      <c r="E333">
        <v>264</v>
      </c>
    </row>
    <row r="334" spans="1:5" ht="13.8" hidden="1" thickTop="1">
      <c r="A334">
        <v>333</v>
      </c>
      <c r="B334" t="s">
        <v>1486</v>
      </c>
      <c r="C334" t="s">
        <v>3883</v>
      </c>
      <c r="D334" t="s">
        <v>1486</v>
      </c>
      <c r="E334">
        <v>265</v>
      </c>
    </row>
    <row r="335" spans="1:5" ht="13.8" hidden="1" thickTop="1">
      <c r="A335">
        <v>334</v>
      </c>
      <c r="B335" t="s">
        <v>1487</v>
      </c>
      <c r="C335" t="s">
        <v>3883</v>
      </c>
      <c r="D335" t="s">
        <v>1487</v>
      </c>
      <c r="E335">
        <v>266</v>
      </c>
    </row>
    <row r="336" spans="1:5" ht="13.8" hidden="1" thickTop="1">
      <c r="A336">
        <v>335</v>
      </c>
      <c r="B336" t="s">
        <v>1490</v>
      </c>
      <c r="C336" t="s">
        <v>3883</v>
      </c>
      <c r="D336" t="s">
        <v>1490</v>
      </c>
      <c r="E336">
        <v>269</v>
      </c>
    </row>
    <row r="337" spans="1:53" ht="13.8" hidden="1" thickTop="1">
      <c r="A337">
        <v>336</v>
      </c>
      <c r="B337" t="s">
        <v>1490</v>
      </c>
      <c r="C337" t="s">
        <v>3883</v>
      </c>
      <c r="D337" t="s">
        <v>1490</v>
      </c>
      <c r="E337">
        <v>269</v>
      </c>
    </row>
    <row r="338" spans="1:53" ht="13.8" hidden="1" thickTop="1">
      <c r="A338">
        <v>337</v>
      </c>
      <c r="B338" t="s">
        <v>1491</v>
      </c>
      <c r="C338" t="s">
        <v>3883</v>
      </c>
      <c r="D338" t="s">
        <v>1491</v>
      </c>
      <c r="E338">
        <v>270</v>
      </c>
    </row>
    <row r="339" spans="1:53" ht="13.8" hidden="1" thickTop="1">
      <c r="A339">
        <v>338</v>
      </c>
      <c r="B339" t="s">
        <v>1492</v>
      </c>
      <c r="C339" t="s">
        <v>3883</v>
      </c>
      <c r="D339" t="s">
        <v>1492</v>
      </c>
      <c r="E339">
        <v>271</v>
      </c>
    </row>
    <row r="340" spans="1:53" ht="13.8" hidden="1" thickTop="1">
      <c r="A340">
        <v>339</v>
      </c>
      <c r="B340" t="s">
        <v>1493</v>
      </c>
      <c r="C340" t="s">
        <v>3883</v>
      </c>
      <c r="D340" t="s">
        <v>1493</v>
      </c>
      <c r="E340">
        <v>272</v>
      </c>
    </row>
    <row r="341" spans="1:53" ht="13.8" hidden="1" thickTop="1">
      <c r="A341">
        <v>340</v>
      </c>
      <c r="B341" t="s">
        <v>1494</v>
      </c>
      <c r="C341" t="s">
        <v>3883</v>
      </c>
      <c r="D341" t="s">
        <v>1494</v>
      </c>
      <c r="E341">
        <v>273</v>
      </c>
    </row>
    <row r="342" spans="1:53" ht="13.8" thickTop="1">
      <c r="A342">
        <v>341</v>
      </c>
      <c r="B342" t="s">
        <v>3935</v>
      </c>
      <c r="C342" t="s">
        <v>3860</v>
      </c>
      <c r="D342" s="43" t="s">
        <v>1495</v>
      </c>
      <c r="E342">
        <v>274</v>
      </c>
    </row>
    <row r="343" spans="1:53">
      <c r="A343">
        <v>342</v>
      </c>
      <c r="B343" t="s">
        <v>3936</v>
      </c>
      <c r="C343" t="s">
        <v>3860</v>
      </c>
      <c r="D343" s="43" t="s">
        <v>1496</v>
      </c>
      <c r="E343">
        <v>275</v>
      </c>
    </row>
    <row r="344" spans="1:53">
      <c r="A344">
        <v>343</v>
      </c>
      <c r="B344" t="s">
        <v>3937</v>
      </c>
      <c r="C344" t="s">
        <v>3860</v>
      </c>
      <c r="D344" s="43" t="s">
        <v>1497</v>
      </c>
      <c r="E344">
        <v>276</v>
      </c>
    </row>
    <row r="345" spans="1:53">
      <c r="A345">
        <v>344</v>
      </c>
      <c r="B345" t="s">
        <v>3938</v>
      </c>
      <c r="C345" t="s">
        <v>3860</v>
      </c>
      <c r="D345" t="s">
        <v>1272</v>
      </c>
      <c r="E345">
        <v>27</v>
      </c>
      <c r="F345" s="43" t="s">
        <v>1502</v>
      </c>
      <c r="G345">
        <v>281</v>
      </c>
      <c r="H345" t="s">
        <v>1855</v>
      </c>
      <c r="I345">
        <v>665</v>
      </c>
    </row>
    <row r="346" spans="1:53">
      <c r="A346">
        <v>345</v>
      </c>
      <c r="B346" t="s">
        <v>3939</v>
      </c>
      <c r="C346" t="s">
        <v>3860</v>
      </c>
      <c r="D346" t="s">
        <v>1503</v>
      </c>
      <c r="E346">
        <v>282</v>
      </c>
    </row>
    <row r="347" spans="1:53">
      <c r="A347">
        <v>346</v>
      </c>
      <c r="B347" t="s">
        <v>3940</v>
      </c>
      <c r="C347" t="s">
        <v>3860</v>
      </c>
      <c r="D347" t="s">
        <v>1487</v>
      </c>
      <c r="E347">
        <v>266</v>
      </c>
      <c r="F347" s="43" t="s">
        <v>1504</v>
      </c>
      <c r="G347">
        <v>283</v>
      </c>
      <c r="H347" t="s">
        <v>690</v>
      </c>
      <c r="I347">
        <v>334</v>
      </c>
    </row>
    <row r="348" spans="1:53" hidden="1">
      <c r="A348">
        <v>347</v>
      </c>
      <c r="B348" t="s">
        <v>1505</v>
      </c>
      <c r="C348" t="s">
        <v>3883</v>
      </c>
      <c r="D348" t="s">
        <v>1505</v>
      </c>
      <c r="E348">
        <v>284</v>
      </c>
    </row>
    <row r="349" spans="1:53" hidden="1">
      <c r="A349">
        <v>348</v>
      </c>
      <c r="B349" t="s">
        <v>1506</v>
      </c>
      <c r="C349" t="s">
        <v>3883</v>
      </c>
      <c r="D349" t="s">
        <v>1506</v>
      </c>
      <c r="E349">
        <v>285</v>
      </c>
    </row>
    <row r="350" spans="1:53">
      <c r="A350">
        <v>349</v>
      </c>
      <c r="B350" t="s">
        <v>3941</v>
      </c>
      <c r="C350" t="s">
        <v>3860</v>
      </c>
      <c r="D350" t="s">
        <v>1257</v>
      </c>
      <c r="E350">
        <v>13</v>
      </c>
      <c r="F350" t="s">
        <v>1265</v>
      </c>
      <c r="G350">
        <v>20</v>
      </c>
      <c r="H350" t="s">
        <v>1281</v>
      </c>
      <c r="I350">
        <v>35</v>
      </c>
      <c r="J350" t="s">
        <v>1289</v>
      </c>
      <c r="K350">
        <v>43</v>
      </c>
      <c r="L350" t="s">
        <v>1294</v>
      </c>
      <c r="M350">
        <v>48</v>
      </c>
      <c r="N350" t="s">
        <v>1297</v>
      </c>
      <c r="O350">
        <v>51</v>
      </c>
      <c r="P350" t="s">
        <v>1303</v>
      </c>
      <c r="Q350">
        <v>59</v>
      </c>
      <c r="R350" t="s">
        <v>1437</v>
      </c>
      <c r="S350">
        <v>203</v>
      </c>
      <c r="T350" t="s">
        <v>1469</v>
      </c>
      <c r="U350">
        <v>240</v>
      </c>
      <c r="V350" t="s">
        <v>1478</v>
      </c>
      <c r="W350">
        <v>253</v>
      </c>
      <c r="X350" s="43" t="s">
        <v>1507</v>
      </c>
      <c r="Y350">
        <v>286</v>
      </c>
      <c r="Z350" t="s">
        <v>1532</v>
      </c>
      <c r="AA350">
        <v>313</v>
      </c>
      <c r="AB350" t="s">
        <v>1561</v>
      </c>
      <c r="AC350">
        <v>346</v>
      </c>
      <c r="AD350" t="s">
        <v>1562</v>
      </c>
      <c r="AE350">
        <v>347</v>
      </c>
      <c r="AF350" t="s">
        <v>1566</v>
      </c>
      <c r="AG350">
        <v>351</v>
      </c>
      <c r="AH350" t="s">
        <v>1569</v>
      </c>
      <c r="AI350">
        <v>355</v>
      </c>
      <c r="AJ350" t="s">
        <v>1580</v>
      </c>
      <c r="AK350">
        <v>366</v>
      </c>
      <c r="AL350" t="s">
        <v>1583</v>
      </c>
      <c r="AM350">
        <v>370</v>
      </c>
      <c r="AN350" t="s">
        <v>1591</v>
      </c>
      <c r="AO350">
        <v>379</v>
      </c>
      <c r="AP350" t="s">
        <v>1628</v>
      </c>
      <c r="AQ350">
        <v>421</v>
      </c>
      <c r="AR350" t="s">
        <v>1662</v>
      </c>
      <c r="AS350">
        <v>456</v>
      </c>
      <c r="AT350" t="s">
        <v>1663</v>
      </c>
      <c r="AU350">
        <v>457</v>
      </c>
      <c r="AV350" t="s">
        <v>1683</v>
      </c>
      <c r="AW350">
        <v>481</v>
      </c>
      <c r="AX350" t="s">
        <v>1745</v>
      </c>
      <c r="AY350">
        <v>549</v>
      </c>
      <c r="AZ350" t="s">
        <v>1124</v>
      </c>
      <c r="BA350">
        <v>642</v>
      </c>
    </row>
    <row r="351" spans="1:53">
      <c r="A351">
        <v>350</v>
      </c>
      <c r="B351" t="s">
        <v>3941</v>
      </c>
      <c r="C351" t="s">
        <v>3860</v>
      </c>
      <c r="D351" t="s">
        <v>1257</v>
      </c>
      <c r="E351">
        <v>13</v>
      </c>
      <c r="F351" t="s">
        <v>1265</v>
      </c>
      <c r="G351">
        <v>20</v>
      </c>
      <c r="H351" t="s">
        <v>1281</v>
      </c>
      <c r="I351">
        <v>35</v>
      </c>
      <c r="J351" t="s">
        <v>1289</v>
      </c>
      <c r="K351">
        <v>43</v>
      </c>
      <c r="L351" t="s">
        <v>1294</v>
      </c>
      <c r="M351">
        <v>48</v>
      </c>
      <c r="N351" t="s">
        <v>1297</v>
      </c>
      <c r="O351">
        <v>51</v>
      </c>
      <c r="P351" t="s">
        <v>1303</v>
      </c>
      <c r="Q351">
        <v>59</v>
      </c>
      <c r="R351" t="s">
        <v>1437</v>
      </c>
      <c r="S351">
        <v>203</v>
      </c>
      <c r="T351" t="s">
        <v>1469</v>
      </c>
      <c r="U351">
        <v>240</v>
      </c>
      <c r="V351" t="s">
        <v>1478</v>
      </c>
      <c r="W351">
        <v>253</v>
      </c>
      <c r="X351" s="43" t="s">
        <v>1507</v>
      </c>
      <c r="Y351">
        <v>286</v>
      </c>
      <c r="Z351" t="s">
        <v>1532</v>
      </c>
      <c r="AA351">
        <v>313</v>
      </c>
      <c r="AB351" t="s">
        <v>1561</v>
      </c>
      <c r="AC351">
        <v>346</v>
      </c>
      <c r="AD351" t="s">
        <v>1562</v>
      </c>
      <c r="AE351">
        <v>347</v>
      </c>
      <c r="AF351" t="s">
        <v>1566</v>
      </c>
      <c r="AG351">
        <v>351</v>
      </c>
      <c r="AH351" t="s">
        <v>1569</v>
      </c>
      <c r="AI351">
        <v>355</v>
      </c>
      <c r="AJ351" t="s">
        <v>1580</v>
      </c>
      <c r="AK351">
        <v>366</v>
      </c>
      <c r="AL351" t="s">
        <v>1583</v>
      </c>
      <c r="AM351">
        <v>370</v>
      </c>
      <c r="AN351" t="s">
        <v>1591</v>
      </c>
      <c r="AO351">
        <v>379</v>
      </c>
      <c r="AP351" t="s">
        <v>1628</v>
      </c>
      <c r="AQ351">
        <v>421</v>
      </c>
      <c r="AR351" t="s">
        <v>1662</v>
      </c>
      <c r="AS351">
        <v>456</v>
      </c>
      <c r="AT351" t="s">
        <v>1663</v>
      </c>
      <c r="AU351">
        <v>457</v>
      </c>
      <c r="AV351" t="s">
        <v>1683</v>
      </c>
      <c r="AW351">
        <v>481</v>
      </c>
      <c r="AX351" t="s">
        <v>1745</v>
      </c>
      <c r="AY351">
        <v>549</v>
      </c>
      <c r="AZ351" t="s">
        <v>1124</v>
      </c>
      <c r="BA351">
        <v>642</v>
      </c>
    </row>
    <row r="352" spans="1:53" hidden="1">
      <c r="A352">
        <v>351</v>
      </c>
      <c r="B352" t="s">
        <v>1508</v>
      </c>
      <c r="C352" t="s">
        <v>3883</v>
      </c>
      <c r="D352" t="s">
        <v>1508</v>
      </c>
      <c r="E352">
        <v>287</v>
      </c>
    </row>
    <row r="353" spans="1:53" hidden="1">
      <c r="A353">
        <v>352</v>
      </c>
      <c r="B353" t="s">
        <v>1511</v>
      </c>
      <c r="C353" t="s">
        <v>3883</v>
      </c>
      <c r="D353" t="s">
        <v>1511</v>
      </c>
      <c r="E353">
        <v>291</v>
      </c>
    </row>
    <row r="354" spans="1:53" hidden="1">
      <c r="A354">
        <v>353</v>
      </c>
      <c r="B354" t="s">
        <v>1512</v>
      </c>
      <c r="C354" t="s">
        <v>3883</v>
      </c>
      <c r="D354" t="s">
        <v>1512</v>
      </c>
      <c r="E354">
        <v>292</v>
      </c>
    </row>
    <row r="355" spans="1:53" hidden="1">
      <c r="A355">
        <v>354</v>
      </c>
      <c r="B355" t="s">
        <v>1513</v>
      </c>
      <c r="C355" t="s">
        <v>3883</v>
      </c>
      <c r="D355" t="s">
        <v>1513</v>
      </c>
      <c r="E355">
        <v>293</v>
      </c>
    </row>
    <row r="356" spans="1:53" hidden="1">
      <c r="A356">
        <v>355</v>
      </c>
      <c r="B356" t="s">
        <v>1514</v>
      </c>
      <c r="C356" t="s">
        <v>3883</v>
      </c>
      <c r="D356" t="s">
        <v>1514</v>
      </c>
      <c r="E356">
        <v>294</v>
      </c>
    </row>
    <row r="357" spans="1:53" hidden="1">
      <c r="A357">
        <v>356</v>
      </c>
      <c r="B357" t="s">
        <v>1529</v>
      </c>
      <c r="C357" t="s">
        <v>3883</v>
      </c>
      <c r="D357" t="s">
        <v>1529</v>
      </c>
      <c r="E357">
        <v>309</v>
      </c>
    </row>
    <row r="358" spans="1:53" hidden="1">
      <c r="A358">
        <v>357</v>
      </c>
      <c r="B358" t="s">
        <v>1530</v>
      </c>
      <c r="C358" t="s">
        <v>3883</v>
      </c>
      <c r="D358" t="s">
        <v>1530</v>
      </c>
      <c r="E358">
        <v>311</v>
      </c>
    </row>
    <row r="359" spans="1:53" hidden="1">
      <c r="A359">
        <v>358</v>
      </c>
      <c r="B359" t="s">
        <v>1530</v>
      </c>
      <c r="C359" t="s">
        <v>3883</v>
      </c>
      <c r="D359" t="s">
        <v>1530</v>
      </c>
      <c r="E359">
        <v>311</v>
      </c>
    </row>
    <row r="360" spans="1:53" hidden="1">
      <c r="A360">
        <v>359</v>
      </c>
      <c r="B360" t="s">
        <v>1531</v>
      </c>
      <c r="C360" t="s">
        <v>3883</v>
      </c>
      <c r="D360" t="s">
        <v>1531</v>
      </c>
      <c r="E360">
        <v>312</v>
      </c>
    </row>
    <row r="361" spans="1:53" hidden="1">
      <c r="A361">
        <v>360</v>
      </c>
      <c r="B361" t="s">
        <v>1531</v>
      </c>
      <c r="C361" t="s">
        <v>3883</v>
      </c>
      <c r="D361" t="s">
        <v>1531</v>
      </c>
      <c r="E361">
        <v>312</v>
      </c>
    </row>
    <row r="362" spans="1:53" hidden="1">
      <c r="A362">
        <v>361</v>
      </c>
      <c r="B362" t="s">
        <v>1532</v>
      </c>
      <c r="C362" t="s">
        <v>3883</v>
      </c>
      <c r="D362" t="s">
        <v>1532</v>
      </c>
      <c r="E362">
        <v>313</v>
      </c>
    </row>
    <row r="363" spans="1:53">
      <c r="A363">
        <v>362</v>
      </c>
      <c r="B363" t="s">
        <v>3942</v>
      </c>
      <c r="C363" t="s">
        <v>3860</v>
      </c>
      <c r="D363" s="44" t="s">
        <v>1257</v>
      </c>
      <c r="E363">
        <v>13</v>
      </c>
      <c r="F363" t="s">
        <v>1265</v>
      </c>
      <c r="G363">
        <v>20</v>
      </c>
      <c r="H363" t="s">
        <v>1281</v>
      </c>
      <c r="I363">
        <v>35</v>
      </c>
      <c r="J363" t="s">
        <v>1289</v>
      </c>
      <c r="K363">
        <v>43</v>
      </c>
      <c r="L363" t="s">
        <v>1294</v>
      </c>
      <c r="M363">
        <v>48</v>
      </c>
      <c r="N363" t="s">
        <v>1297</v>
      </c>
      <c r="O363">
        <v>51</v>
      </c>
      <c r="P363" t="s">
        <v>1303</v>
      </c>
      <c r="Q363">
        <v>59</v>
      </c>
      <c r="R363" t="s">
        <v>1437</v>
      </c>
      <c r="S363">
        <v>203</v>
      </c>
      <c r="T363" t="s">
        <v>1469</v>
      </c>
      <c r="U363">
        <v>240</v>
      </c>
      <c r="V363" t="s">
        <v>1478</v>
      </c>
      <c r="W363">
        <v>253</v>
      </c>
      <c r="X363" t="s">
        <v>1507</v>
      </c>
      <c r="Y363">
        <v>286</v>
      </c>
      <c r="Z363" t="s">
        <v>1532</v>
      </c>
      <c r="AA363">
        <v>313</v>
      </c>
      <c r="AB363" t="s">
        <v>1561</v>
      </c>
      <c r="AC363">
        <v>346</v>
      </c>
      <c r="AD363" t="s">
        <v>1562</v>
      </c>
      <c r="AE363">
        <v>347</v>
      </c>
      <c r="AF363" t="s">
        <v>1566</v>
      </c>
      <c r="AG363">
        <v>351</v>
      </c>
      <c r="AH363" t="s">
        <v>1569</v>
      </c>
      <c r="AI363">
        <v>355</v>
      </c>
      <c r="AJ363" t="s">
        <v>1580</v>
      </c>
      <c r="AK363">
        <v>366</v>
      </c>
      <c r="AL363" t="s">
        <v>1583</v>
      </c>
      <c r="AM363">
        <v>370</v>
      </c>
      <c r="AN363" t="s">
        <v>1591</v>
      </c>
      <c r="AO363">
        <v>379</v>
      </c>
      <c r="AP363" t="s">
        <v>1628</v>
      </c>
      <c r="AQ363">
        <v>421</v>
      </c>
      <c r="AR363" t="s">
        <v>1662</v>
      </c>
      <c r="AS363">
        <v>456</v>
      </c>
      <c r="AT363" t="s">
        <v>1663</v>
      </c>
      <c r="AU363">
        <v>457</v>
      </c>
      <c r="AV363" t="s">
        <v>1683</v>
      </c>
      <c r="AW363">
        <v>481</v>
      </c>
      <c r="AX363" t="s">
        <v>1745</v>
      </c>
      <c r="AY363">
        <v>549</v>
      </c>
      <c r="AZ363" t="s">
        <v>1124</v>
      </c>
      <c r="BA363">
        <v>642</v>
      </c>
    </row>
    <row r="364" spans="1:53" hidden="1">
      <c r="A364">
        <v>363</v>
      </c>
      <c r="B364" t="s">
        <v>1533</v>
      </c>
      <c r="C364" t="s">
        <v>3883</v>
      </c>
      <c r="D364" t="s">
        <v>1533</v>
      </c>
      <c r="E364">
        <v>314</v>
      </c>
    </row>
    <row r="365" spans="1:53">
      <c r="A365">
        <v>364</v>
      </c>
      <c r="B365" t="s">
        <v>3943</v>
      </c>
      <c r="C365" t="s">
        <v>3878</v>
      </c>
    </row>
    <row r="366" spans="1:53" hidden="1">
      <c r="A366">
        <v>365</v>
      </c>
      <c r="B366" t="s">
        <v>1534</v>
      </c>
      <c r="C366" t="s">
        <v>3883</v>
      </c>
      <c r="D366" t="s">
        <v>1534</v>
      </c>
      <c r="E366">
        <v>315</v>
      </c>
    </row>
    <row r="367" spans="1:53" hidden="1">
      <c r="A367">
        <v>366</v>
      </c>
      <c r="B367" t="s">
        <v>1535</v>
      </c>
      <c r="C367" t="s">
        <v>3883</v>
      </c>
      <c r="D367" t="s">
        <v>1535</v>
      </c>
      <c r="E367">
        <v>316</v>
      </c>
    </row>
    <row r="368" spans="1:53">
      <c r="A368">
        <v>367</v>
      </c>
      <c r="B368" t="s">
        <v>3944</v>
      </c>
      <c r="C368" t="s">
        <v>3860</v>
      </c>
      <c r="D368" s="43" t="s">
        <v>1536</v>
      </c>
      <c r="E368">
        <v>317</v>
      </c>
    </row>
    <row r="369" spans="1:11" hidden="1">
      <c r="A369">
        <v>368</v>
      </c>
      <c r="B369" t="s">
        <v>665</v>
      </c>
      <c r="C369" t="s">
        <v>3883</v>
      </c>
      <c r="D369" t="s">
        <v>665</v>
      </c>
      <c r="E369">
        <v>320</v>
      </c>
    </row>
    <row r="370" spans="1:11" hidden="1">
      <c r="A370">
        <v>369</v>
      </c>
      <c r="B370" t="s">
        <v>1538</v>
      </c>
      <c r="C370" t="s">
        <v>3883</v>
      </c>
      <c r="D370" t="s">
        <v>1538</v>
      </c>
      <c r="E370">
        <v>321</v>
      </c>
    </row>
    <row r="371" spans="1:11">
      <c r="A371">
        <v>370</v>
      </c>
      <c r="B371" t="s">
        <v>668</v>
      </c>
      <c r="C371" t="s">
        <v>3860</v>
      </c>
      <c r="D371" s="44" t="s">
        <v>670</v>
      </c>
      <c r="E371">
        <v>322</v>
      </c>
      <c r="F371" t="s">
        <v>1664</v>
      </c>
      <c r="G371">
        <v>458</v>
      </c>
      <c r="H371" t="s">
        <v>1729</v>
      </c>
      <c r="I371">
        <v>529</v>
      </c>
      <c r="J371" t="s">
        <v>1788</v>
      </c>
      <c r="K371">
        <v>596</v>
      </c>
    </row>
    <row r="372" spans="1:11" hidden="1">
      <c r="A372">
        <v>371</v>
      </c>
      <c r="B372" t="s">
        <v>670</v>
      </c>
      <c r="C372" t="s">
        <v>3883</v>
      </c>
      <c r="D372" t="s">
        <v>670</v>
      </c>
      <c r="E372">
        <v>322</v>
      </c>
    </row>
    <row r="373" spans="1:11" hidden="1">
      <c r="A373">
        <v>372</v>
      </c>
      <c r="B373" t="s">
        <v>670</v>
      </c>
      <c r="C373" t="s">
        <v>3883</v>
      </c>
      <c r="D373" t="s">
        <v>670</v>
      </c>
      <c r="E373">
        <v>322</v>
      </c>
    </row>
    <row r="374" spans="1:11" hidden="1">
      <c r="A374">
        <v>373</v>
      </c>
      <c r="B374" t="s">
        <v>1539</v>
      </c>
      <c r="C374" t="s">
        <v>3883</v>
      </c>
      <c r="D374" t="s">
        <v>1539</v>
      </c>
      <c r="E374">
        <v>323</v>
      </c>
    </row>
    <row r="375" spans="1:11" hidden="1">
      <c r="A375">
        <v>374</v>
      </c>
      <c r="B375" t="s">
        <v>1541</v>
      </c>
      <c r="C375" t="s">
        <v>3883</v>
      </c>
      <c r="D375" t="s">
        <v>1541</v>
      </c>
      <c r="E375">
        <v>325</v>
      </c>
    </row>
    <row r="376" spans="1:11" hidden="1">
      <c r="A376">
        <v>375</v>
      </c>
      <c r="B376" t="s">
        <v>1540</v>
      </c>
      <c r="C376" t="s">
        <v>3883</v>
      </c>
      <c r="D376" t="s">
        <v>1540</v>
      </c>
      <c r="E376">
        <v>324</v>
      </c>
    </row>
    <row r="377" spans="1:11" hidden="1">
      <c r="A377">
        <v>376</v>
      </c>
      <c r="B377" t="s">
        <v>1542</v>
      </c>
      <c r="C377" t="s">
        <v>3883</v>
      </c>
      <c r="D377" t="s">
        <v>1542</v>
      </c>
      <c r="E377">
        <v>326</v>
      </c>
    </row>
    <row r="378" spans="1:11" hidden="1">
      <c r="A378">
        <v>377</v>
      </c>
      <c r="B378" t="s">
        <v>1542</v>
      </c>
      <c r="C378" t="s">
        <v>3883</v>
      </c>
      <c r="D378" t="s">
        <v>1542</v>
      </c>
      <c r="E378">
        <v>326</v>
      </c>
    </row>
    <row r="379" spans="1:11" hidden="1">
      <c r="A379">
        <v>378</v>
      </c>
      <c r="B379" t="s">
        <v>1543</v>
      </c>
      <c r="C379" t="s">
        <v>3883</v>
      </c>
      <c r="D379" t="s">
        <v>1543</v>
      </c>
      <c r="E379">
        <v>327</v>
      </c>
    </row>
    <row r="380" spans="1:11" hidden="1">
      <c r="A380">
        <v>379</v>
      </c>
      <c r="B380" t="s">
        <v>1544</v>
      </c>
      <c r="C380" t="s">
        <v>3883</v>
      </c>
      <c r="D380" t="s">
        <v>1544</v>
      </c>
      <c r="E380">
        <v>328</v>
      </c>
    </row>
    <row r="381" spans="1:11" hidden="1">
      <c r="A381">
        <v>380</v>
      </c>
      <c r="B381" t="s">
        <v>1544</v>
      </c>
      <c r="C381" t="s">
        <v>3883</v>
      </c>
      <c r="D381" t="s">
        <v>1544</v>
      </c>
      <c r="E381">
        <v>328</v>
      </c>
    </row>
    <row r="382" spans="1:11">
      <c r="A382">
        <v>381</v>
      </c>
      <c r="B382" t="s">
        <v>3945</v>
      </c>
      <c r="C382" t="s">
        <v>3860</v>
      </c>
      <c r="D382" s="43" t="s">
        <v>1545</v>
      </c>
      <c r="E382">
        <v>329</v>
      </c>
    </row>
    <row r="383" spans="1:11">
      <c r="A383">
        <v>382</v>
      </c>
      <c r="B383" t="s">
        <v>3946</v>
      </c>
      <c r="C383" t="s">
        <v>3860</v>
      </c>
      <c r="D383" s="43" t="s">
        <v>1546</v>
      </c>
      <c r="E383">
        <v>330</v>
      </c>
      <c r="F383" t="s">
        <v>1547</v>
      </c>
      <c r="G383">
        <v>331</v>
      </c>
    </row>
    <row r="384" spans="1:11" hidden="1">
      <c r="A384">
        <v>383</v>
      </c>
      <c r="B384" t="s">
        <v>1547</v>
      </c>
      <c r="C384" t="s">
        <v>3883</v>
      </c>
      <c r="D384" t="s">
        <v>1547</v>
      </c>
      <c r="E384">
        <v>331</v>
      </c>
    </row>
    <row r="385" spans="1:7" hidden="1">
      <c r="A385">
        <v>384</v>
      </c>
      <c r="B385" t="s">
        <v>1548</v>
      </c>
      <c r="C385" t="s">
        <v>3883</v>
      </c>
      <c r="D385" t="s">
        <v>1548</v>
      </c>
      <c r="E385">
        <v>332</v>
      </c>
    </row>
    <row r="386" spans="1:7" hidden="1">
      <c r="A386">
        <v>385</v>
      </c>
      <c r="B386" t="s">
        <v>1548</v>
      </c>
      <c r="C386" t="s">
        <v>3883</v>
      </c>
      <c r="D386" t="s">
        <v>1548</v>
      </c>
      <c r="E386">
        <v>332</v>
      </c>
    </row>
    <row r="387" spans="1:7" hidden="1">
      <c r="A387">
        <v>386</v>
      </c>
      <c r="B387" t="s">
        <v>1550</v>
      </c>
      <c r="C387" t="s">
        <v>3883</v>
      </c>
      <c r="D387" t="s">
        <v>1550</v>
      </c>
      <c r="E387">
        <v>333</v>
      </c>
    </row>
    <row r="388" spans="1:7" hidden="1">
      <c r="A388">
        <v>387</v>
      </c>
      <c r="B388" t="s">
        <v>1550</v>
      </c>
      <c r="C388" t="s">
        <v>3883</v>
      </c>
      <c r="D388" t="s">
        <v>1550</v>
      </c>
      <c r="E388">
        <v>333</v>
      </c>
    </row>
    <row r="389" spans="1:7">
      <c r="A389">
        <v>388</v>
      </c>
      <c r="B389" t="s">
        <v>1549</v>
      </c>
      <c r="C389" t="s">
        <v>3860</v>
      </c>
      <c r="D389" s="44" t="s">
        <v>1517</v>
      </c>
      <c r="E389">
        <v>297</v>
      </c>
      <c r="F389" t="s">
        <v>1614</v>
      </c>
      <c r="G389">
        <v>405</v>
      </c>
    </row>
    <row r="390" spans="1:7" hidden="1">
      <c r="A390">
        <v>389</v>
      </c>
      <c r="B390" t="s">
        <v>690</v>
      </c>
      <c r="C390" t="s">
        <v>3883</v>
      </c>
      <c r="D390" s="48" t="s">
        <v>690</v>
      </c>
      <c r="E390">
        <v>334</v>
      </c>
    </row>
    <row r="391" spans="1:7" hidden="1">
      <c r="A391">
        <v>390</v>
      </c>
      <c r="B391" t="s">
        <v>692</v>
      </c>
      <c r="C391" t="s">
        <v>3883</v>
      </c>
      <c r="D391" t="s">
        <v>692</v>
      </c>
      <c r="E391">
        <v>365</v>
      </c>
    </row>
    <row r="392" spans="1:7" hidden="1">
      <c r="A392">
        <v>391</v>
      </c>
      <c r="B392" t="s">
        <v>1555</v>
      </c>
      <c r="C392" t="s">
        <v>3883</v>
      </c>
      <c r="D392" t="s">
        <v>1555</v>
      </c>
      <c r="E392">
        <v>339</v>
      </c>
    </row>
    <row r="393" spans="1:7" hidden="1">
      <c r="A393">
        <v>392</v>
      </c>
      <c r="B393" t="s">
        <v>1555</v>
      </c>
      <c r="C393" t="s">
        <v>3883</v>
      </c>
      <c r="D393" t="s">
        <v>1555</v>
      </c>
      <c r="E393">
        <v>339</v>
      </c>
    </row>
    <row r="394" spans="1:7" hidden="1">
      <c r="A394">
        <v>393</v>
      </c>
      <c r="B394" t="s">
        <v>1553</v>
      </c>
      <c r="C394" t="s">
        <v>3883</v>
      </c>
      <c r="D394" t="s">
        <v>1553</v>
      </c>
      <c r="E394">
        <v>337</v>
      </c>
    </row>
    <row r="395" spans="1:7" hidden="1">
      <c r="A395">
        <v>394</v>
      </c>
      <c r="B395" t="s">
        <v>1553</v>
      </c>
      <c r="C395" t="s">
        <v>3883</v>
      </c>
      <c r="D395" t="s">
        <v>1553</v>
      </c>
      <c r="E395">
        <v>337</v>
      </c>
    </row>
    <row r="396" spans="1:7" hidden="1">
      <c r="A396">
        <v>395</v>
      </c>
      <c r="B396" t="s">
        <v>1554</v>
      </c>
      <c r="C396" t="s">
        <v>3883</v>
      </c>
      <c r="D396" t="s">
        <v>1554</v>
      </c>
      <c r="E396">
        <v>338</v>
      </c>
    </row>
    <row r="397" spans="1:7" hidden="1">
      <c r="A397">
        <v>396</v>
      </c>
      <c r="B397" t="s">
        <v>1554</v>
      </c>
      <c r="C397" t="s">
        <v>3883</v>
      </c>
      <c r="D397" t="s">
        <v>1554</v>
      </c>
      <c r="E397">
        <v>338</v>
      </c>
    </row>
    <row r="398" spans="1:7" hidden="1">
      <c r="A398">
        <v>397</v>
      </c>
      <c r="B398" t="s">
        <v>1556</v>
      </c>
      <c r="C398" t="s">
        <v>3883</v>
      </c>
      <c r="D398" t="s">
        <v>1556</v>
      </c>
      <c r="E398">
        <v>340</v>
      </c>
    </row>
    <row r="399" spans="1:7" hidden="1">
      <c r="A399">
        <v>398</v>
      </c>
      <c r="B399" t="s">
        <v>1557</v>
      </c>
      <c r="C399" t="s">
        <v>3883</v>
      </c>
      <c r="D399" t="s">
        <v>1557</v>
      </c>
      <c r="E399">
        <v>341</v>
      </c>
    </row>
    <row r="400" spans="1:7" hidden="1">
      <c r="A400">
        <v>399</v>
      </c>
      <c r="B400" t="s">
        <v>1558</v>
      </c>
      <c r="C400" t="s">
        <v>3883</v>
      </c>
      <c r="D400" t="s">
        <v>1558</v>
      </c>
      <c r="E400">
        <v>342</v>
      </c>
    </row>
    <row r="401" spans="1:83" hidden="1">
      <c r="A401">
        <v>400</v>
      </c>
      <c r="B401" t="s">
        <v>1559</v>
      </c>
      <c r="C401" t="s">
        <v>3883</v>
      </c>
      <c r="D401" t="s">
        <v>1559</v>
      </c>
      <c r="E401">
        <v>343</v>
      </c>
    </row>
    <row r="402" spans="1:83" hidden="1">
      <c r="A402">
        <v>401</v>
      </c>
      <c r="B402" t="s">
        <v>707</v>
      </c>
      <c r="C402" t="s">
        <v>3883</v>
      </c>
      <c r="D402" t="s">
        <v>707</v>
      </c>
      <c r="E402">
        <v>344</v>
      </c>
    </row>
    <row r="403" spans="1:83" hidden="1">
      <c r="A403">
        <v>402</v>
      </c>
      <c r="B403" t="s">
        <v>1561</v>
      </c>
      <c r="C403" t="s">
        <v>3883</v>
      </c>
      <c r="D403" t="s">
        <v>1561</v>
      </c>
      <c r="E403">
        <v>346</v>
      </c>
    </row>
    <row r="404" spans="1:83" hidden="1">
      <c r="A404">
        <v>403</v>
      </c>
      <c r="B404" t="s">
        <v>1560</v>
      </c>
      <c r="C404" t="s">
        <v>3883</v>
      </c>
      <c r="D404" t="s">
        <v>1560</v>
      </c>
      <c r="E404">
        <v>345</v>
      </c>
    </row>
    <row r="405" spans="1:83" hidden="1">
      <c r="A405">
        <v>404</v>
      </c>
      <c r="B405" t="s">
        <v>1562</v>
      </c>
      <c r="C405" t="s">
        <v>3883</v>
      </c>
      <c r="D405" t="s">
        <v>1562</v>
      </c>
      <c r="E405">
        <v>347</v>
      </c>
    </row>
    <row r="406" spans="1:83" hidden="1">
      <c r="A406">
        <v>405</v>
      </c>
      <c r="B406" t="s">
        <v>1562</v>
      </c>
      <c r="C406" t="s">
        <v>3883</v>
      </c>
      <c r="D406" t="s">
        <v>1562</v>
      </c>
      <c r="E406">
        <v>347</v>
      </c>
    </row>
    <row r="407" spans="1:83" hidden="1">
      <c r="A407">
        <v>406</v>
      </c>
      <c r="B407" t="s">
        <v>1563</v>
      </c>
      <c r="C407" t="s">
        <v>3883</v>
      </c>
      <c r="D407" t="s">
        <v>1563</v>
      </c>
      <c r="E407">
        <v>348</v>
      </c>
    </row>
    <row r="408" spans="1:83">
      <c r="A408">
        <v>407</v>
      </c>
      <c r="B408" t="s">
        <v>3947</v>
      </c>
      <c r="C408" t="s">
        <v>3860</v>
      </c>
      <c r="D408" t="s">
        <v>1263</v>
      </c>
      <c r="E408">
        <v>19</v>
      </c>
      <c r="F408" t="s">
        <v>1267</v>
      </c>
      <c r="G408">
        <v>22</v>
      </c>
      <c r="H408" t="s">
        <v>1286</v>
      </c>
      <c r="I408">
        <v>40</v>
      </c>
      <c r="J408" t="s">
        <v>1307</v>
      </c>
      <c r="K408">
        <v>64</v>
      </c>
      <c r="L408" t="s">
        <v>1310</v>
      </c>
      <c r="M408">
        <v>69</v>
      </c>
      <c r="N408" t="s">
        <v>1313</v>
      </c>
      <c r="O408">
        <v>72</v>
      </c>
      <c r="P408" t="s">
        <v>1322</v>
      </c>
      <c r="Q408">
        <v>81</v>
      </c>
      <c r="R408" t="s">
        <v>1353</v>
      </c>
      <c r="S408">
        <v>111</v>
      </c>
      <c r="T408" t="s">
        <v>1363</v>
      </c>
      <c r="U408">
        <v>121</v>
      </c>
      <c r="V408" t="s">
        <v>1364</v>
      </c>
      <c r="W408">
        <v>122</v>
      </c>
      <c r="X408" t="s">
        <v>1372</v>
      </c>
      <c r="Y408">
        <v>130</v>
      </c>
      <c r="Z408" t="s">
        <v>1373</v>
      </c>
      <c r="AA408">
        <v>131</v>
      </c>
      <c r="AB408" t="s">
        <v>1395</v>
      </c>
      <c r="AC408">
        <v>154</v>
      </c>
      <c r="AD408" t="s">
        <v>1428</v>
      </c>
      <c r="AE408">
        <v>194</v>
      </c>
      <c r="AF408" t="s">
        <v>1511</v>
      </c>
      <c r="AG408">
        <v>291</v>
      </c>
      <c r="AH408" t="s">
        <v>1512</v>
      </c>
      <c r="AI408">
        <v>292</v>
      </c>
      <c r="AJ408" t="s">
        <v>1524</v>
      </c>
      <c r="AK408">
        <v>304</v>
      </c>
      <c r="AL408" t="s">
        <v>1548</v>
      </c>
      <c r="AM408">
        <v>332</v>
      </c>
      <c r="AN408" s="43" t="s">
        <v>1564</v>
      </c>
      <c r="AO408">
        <v>349</v>
      </c>
      <c r="AP408" t="s">
        <v>739</v>
      </c>
      <c r="AQ408">
        <v>368</v>
      </c>
      <c r="AR408" t="s">
        <v>1594</v>
      </c>
      <c r="AS408">
        <v>382</v>
      </c>
      <c r="AT408" t="s">
        <v>1632</v>
      </c>
      <c r="AU408">
        <v>427</v>
      </c>
      <c r="AV408" t="s">
        <v>1633</v>
      </c>
      <c r="AW408">
        <v>428</v>
      </c>
      <c r="AX408" t="s">
        <v>1653</v>
      </c>
      <c r="AY408">
        <v>447</v>
      </c>
      <c r="AZ408" t="s">
        <v>1660</v>
      </c>
      <c r="BA408">
        <v>454</v>
      </c>
      <c r="BB408" t="s">
        <v>1675</v>
      </c>
      <c r="BC408">
        <v>471</v>
      </c>
      <c r="BD408" t="s">
        <v>1693</v>
      </c>
      <c r="BE408">
        <v>491</v>
      </c>
      <c r="BF408" t="s">
        <v>1708</v>
      </c>
      <c r="BG408">
        <v>508</v>
      </c>
      <c r="BH408" t="s">
        <v>1730</v>
      </c>
      <c r="BI408">
        <v>530</v>
      </c>
      <c r="BJ408" t="s">
        <v>1754</v>
      </c>
      <c r="BK408">
        <v>560</v>
      </c>
      <c r="BL408" t="s">
        <v>1758</v>
      </c>
      <c r="BM408">
        <v>565</v>
      </c>
      <c r="BN408" t="s">
        <v>1765</v>
      </c>
      <c r="BO408">
        <v>573</v>
      </c>
      <c r="BP408" t="s">
        <v>1790</v>
      </c>
      <c r="BQ408">
        <v>598</v>
      </c>
      <c r="BR408" t="s">
        <v>1807</v>
      </c>
      <c r="BS408">
        <v>614</v>
      </c>
      <c r="BT408" t="s">
        <v>1808</v>
      </c>
      <c r="BU408">
        <v>615</v>
      </c>
      <c r="BV408" t="s">
        <v>1809</v>
      </c>
      <c r="BW408">
        <v>616</v>
      </c>
      <c r="BX408" t="s">
        <v>1820</v>
      </c>
      <c r="BY408">
        <v>627</v>
      </c>
      <c r="BZ408" t="s">
        <v>1839</v>
      </c>
      <c r="CA408">
        <v>649</v>
      </c>
      <c r="CB408" t="s">
        <v>1858</v>
      </c>
      <c r="CC408">
        <v>668</v>
      </c>
      <c r="CD408" t="s">
        <v>1168</v>
      </c>
      <c r="CE408">
        <v>681</v>
      </c>
    </row>
    <row r="409" spans="1:83">
      <c r="A409">
        <v>408</v>
      </c>
      <c r="B409" t="s">
        <v>715</v>
      </c>
      <c r="C409" t="s">
        <v>3860</v>
      </c>
      <c r="D409" t="s">
        <v>1254</v>
      </c>
      <c r="E409">
        <v>10</v>
      </c>
      <c r="F409" t="s">
        <v>1276</v>
      </c>
      <c r="G409">
        <v>31</v>
      </c>
      <c r="H409" t="s">
        <v>1338</v>
      </c>
      <c r="I409">
        <v>98</v>
      </c>
      <c r="J409" t="s">
        <v>1455</v>
      </c>
      <c r="K409">
        <v>223</v>
      </c>
      <c r="L409" t="s">
        <v>1456</v>
      </c>
      <c r="M409">
        <v>225</v>
      </c>
      <c r="N409" t="s">
        <v>578</v>
      </c>
      <c r="O409">
        <v>243</v>
      </c>
      <c r="P409" t="s">
        <v>1509</v>
      </c>
      <c r="Q409">
        <v>289</v>
      </c>
      <c r="R409" s="43" t="s">
        <v>1565</v>
      </c>
      <c r="S409">
        <v>350</v>
      </c>
      <c r="T409" t="s">
        <v>1596</v>
      </c>
      <c r="U409">
        <v>385</v>
      </c>
      <c r="V409" t="s">
        <v>1602</v>
      </c>
      <c r="W409">
        <v>391</v>
      </c>
      <c r="X409" t="s">
        <v>1654</v>
      </c>
      <c r="Y409">
        <v>448</v>
      </c>
      <c r="Z409" t="s">
        <v>1669</v>
      </c>
      <c r="AA409">
        <v>464</v>
      </c>
      <c r="AB409" t="s">
        <v>1670</v>
      </c>
      <c r="AC409">
        <v>465</v>
      </c>
      <c r="AD409" t="s">
        <v>1755</v>
      </c>
      <c r="AE409">
        <v>561</v>
      </c>
      <c r="AF409" t="s">
        <v>1867</v>
      </c>
      <c r="AG409">
        <v>678</v>
      </c>
    </row>
    <row r="410" spans="1:83" s="46" customFormat="1" ht="13.8" thickBot="1">
      <c r="A410" s="46">
        <v>409</v>
      </c>
      <c r="B410" s="46" t="s">
        <v>3948</v>
      </c>
      <c r="C410" s="46" t="s">
        <v>3860</v>
      </c>
      <c r="D410" s="47" t="s">
        <v>1256</v>
      </c>
      <c r="E410" s="46">
        <v>12</v>
      </c>
      <c r="F410" s="46" t="s">
        <v>1317</v>
      </c>
      <c r="G410" s="46">
        <v>76</v>
      </c>
      <c r="H410" s="46" t="s">
        <v>1360</v>
      </c>
      <c r="I410" s="46">
        <v>118</v>
      </c>
      <c r="J410" s="46" t="s">
        <v>421</v>
      </c>
      <c r="K410" s="46">
        <v>153</v>
      </c>
      <c r="L410" s="46" t="s">
        <v>483</v>
      </c>
      <c r="M410" s="46">
        <v>182</v>
      </c>
      <c r="N410" s="46" t="s">
        <v>1430</v>
      </c>
      <c r="O410" s="46">
        <v>196</v>
      </c>
      <c r="P410" s="46" t="s">
        <v>1436</v>
      </c>
      <c r="Q410" s="46">
        <v>202</v>
      </c>
      <c r="R410" s="46" t="s">
        <v>557</v>
      </c>
      <c r="S410" s="46">
        <v>227</v>
      </c>
      <c r="T410" s="46" t="s">
        <v>1535</v>
      </c>
      <c r="U410" s="46">
        <v>316</v>
      </c>
      <c r="V410" s="46" t="s">
        <v>1608</v>
      </c>
      <c r="W410" s="46">
        <v>397</v>
      </c>
      <c r="X410" s="46" t="s">
        <v>806</v>
      </c>
      <c r="Y410" s="46">
        <v>419</v>
      </c>
      <c r="Z410" s="46" t="s">
        <v>1638</v>
      </c>
      <c r="AA410" s="46">
        <v>433</v>
      </c>
      <c r="AB410" s="46" t="s">
        <v>831</v>
      </c>
      <c r="AC410" s="46">
        <v>435</v>
      </c>
      <c r="AD410" s="46" t="s">
        <v>1648</v>
      </c>
      <c r="AE410" s="46">
        <v>442</v>
      </c>
      <c r="AF410" s="46" t="s">
        <v>1649</v>
      </c>
      <c r="AG410" s="46">
        <v>443</v>
      </c>
      <c r="AH410" s="46" t="s">
        <v>1682</v>
      </c>
      <c r="AI410" s="46">
        <v>480</v>
      </c>
      <c r="AJ410" s="46" t="s">
        <v>1742</v>
      </c>
      <c r="AK410" s="46">
        <v>546</v>
      </c>
      <c r="AL410" s="46" t="s">
        <v>1743</v>
      </c>
      <c r="AM410" s="46">
        <v>547</v>
      </c>
      <c r="AN410" s="46" t="s">
        <v>1014</v>
      </c>
      <c r="AO410" s="46">
        <v>563</v>
      </c>
      <c r="AP410" s="46" t="s">
        <v>1772</v>
      </c>
      <c r="AQ410" s="46">
        <v>580</v>
      </c>
    </row>
    <row r="411" spans="1:83" s="46" customFormat="1" ht="14.4" thickTop="1" thickBot="1">
      <c r="A411" s="46">
        <v>410</v>
      </c>
      <c r="B411" s="46" t="s">
        <v>3949</v>
      </c>
      <c r="C411" s="46" t="s">
        <v>3860</v>
      </c>
      <c r="D411" s="47" t="s">
        <v>1257</v>
      </c>
      <c r="E411" s="46">
        <v>13</v>
      </c>
      <c r="F411" s="46" t="s">
        <v>1265</v>
      </c>
      <c r="G411" s="46">
        <v>20</v>
      </c>
      <c r="H411" s="46" t="s">
        <v>1281</v>
      </c>
      <c r="I411" s="46">
        <v>35</v>
      </c>
      <c r="J411" s="46" t="s">
        <v>1289</v>
      </c>
      <c r="K411" s="46">
        <v>43</v>
      </c>
      <c r="L411" s="46" t="s">
        <v>1294</v>
      </c>
      <c r="M411" s="46">
        <v>48</v>
      </c>
      <c r="N411" s="46" t="s">
        <v>1297</v>
      </c>
      <c r="O411" s="46">
        <v>51</v>
      </c>
      <c r="P411" s="46" t="s">
        <v>1303</v>
      </c>
      <c r="Q411" s="46">
        <v>59</v>
      </c>
      <c r="R411" s="46" t="s">
        <v>1437</v>
      </c>
      <c r="S411" s="46">
        <v>203</v>
      </c>
      <c r="T411" s="46" t="s">
        <v>1469</v>
      </c>
      <c r="U411" s="46">
        <v>240</v>
      </c>
      <c r="V411" s="46" t="s">
        <v>1478</v>
      </c>
      <c r="W411" s="46">
        <v>253</v>
      </c>
      <c r="X411" s="46" t="s">
        <v>1507</v>
      </c>
      <c r="Y411" s="46">
        <v>286</v>
      </c>
      <c r="Z411" s="46" t="s">
        <v>1532</v>
      </c>
      <c r="AA411" s="46">
        <v>313</v>
      </c>
      <c r="AB411" s="46" t="s">
        <v>1561</v>
      </c>
      <c r="AC411" s="46">
        <v>346</v>
      </c>
      <c r="AD411" s="46" t="s">
        <v>1562</v>
      </c>
      <c r="AE411" s="46">
        <v>347</v>
      </c>
      <c r="AF411" s="46" t="s">
        <v>1566</v>
      </c>
      <c r="AG411" s="46">
        <v>351</v>
      </c>
      <c r="AH411" s="46" t="s">
        <v>1569</v>
      </c>
      <c r="AI411" s="46">
        <v>355</v>
      </c>
      <c r="AJ411" s="46" t="s">
        <v>1580</v>
      </c>
      <c r="AK411" s="46">
        <v>366</v>
      </c>
      <c r="AL411" s="46" t="s">
        <v>1583</v>
      </c>
      <c r="AM411" s="46">
        <v>370</v>
      </c>
      <c r="AN411" s="46" t="s">
        <v>1591</v>
      </c>
      <c r="AO411" s="46">
        <v>379</v>
      </c>
      <c r="AP411" s="46" t="s">
        <v>1628</v>
      </c>
      <c r="AQ411" s="46">
        <v>421</v>
      </c>
      <c r="AR411" s="46" t="s">
        <v>1662</v>
      </c>
      <c r="AS411" s="46">
        <v>456</v>
      </c>
      <c r="AT411" s="46" t="s">
        <v>1663</v>
      </c>
      <c r="AU411" s="46">
        <v>457</v>
      </c>
      <c r="AV411" s="46" t="s">
        <v>1683</v>
      </c>
      <c r="AW411" s="46">
        <v>481</v>
      </c>
      <c r="AX411" s="46" t="s">
        <v>1745</v>
      </c>
      <c r="AY411" s="46">
        <v>549</v>
      </c>
      <c r="AZ411" s="46" t="s">
        <v>1124</v>
      </c>
      <c r="BA411" s="46">
        <v>642</v>
      </c>
    </row>
    <row r="412" spans="1:83" ht="13.8" thickTop="1">
      <c r="A412">
        <v>411</v>
      </c>
      <c r="B412" t="s">
        <v>3950</v>
      </c>
      <c r="C412" t="s">
        <v>3860</v>
      </c>
      <c r="D412" s="48" t="s">
        <v>1257</v>
      </c>
      <c r="E412">
        <v>13</v>
      </c>
      <c r="F412" t="s">
        <v>1265</v>
      </c>
      <c r="G412">
        <v>20</v>
      </c>
      <c r="H412" t="s">
        <v>1281</v>
      </c>
      <c r="I412">
        <v>35</v>
      </c>
      <c r="J412" t="s">
        <v>1289</v>
      </c>
      <c r="K412">
        <v>43</v>
      </c>
      <c r="L412" t="s">
        <v>1294</v>
      </c>
      <c r="M412">
        <v>48</v>
      </c>
      <c r="N412" t="s">
        <v>1297</v>
      </c>
      <c r="O412">
        <v>51</v>
      </c>
      <c r="P412" t="s">
        <v>1303</v>
      </c>
      <c r="Q412">
        <v>59</v>
      </c>
      <c r="R412" t="s">
        <v>1437</v>
      </c>
      <c r="S412">
        <v>203</v>
      </c>
      <c r="T412" t="s">
        <v>1469</v>
      </c>
      <c r="U412">
        <v>240</v>
      </c>
      <c r="V412" t="s">
        <v>1478</v>
      </c>
      <c r="W412">
        <v>253</v>
      </c>
      <c r="X412" t="s">
        <v>1507</v>
      </c>
      <c r="Y412">
        <v>286</v>
      </c>
      <c r="Z412" t="s">
        <v>1532</v>
      </c>
      <c r="AA412">
        <v>313</v>
      </c>
      <c r="AB412" t="s">
        <v>1561</v>
      </c>
      <c r="AC412">
        <v>346</v>
      </c>
      <c r="AD412" t="s">
        <v>1562</v>
      </c>
      <c r="AE412">
        <v>347</v>
      </c>
      <c r="AF412" s="43" t="s">
        <v>1566</v>
      </c>
      <c r="AG412">
        <v>351</v>
      </c>
      <c r="AH412" t="s">
        <v>1569</v>
      </c>
      <c r="AI412">
        <v>355</v>
      </c>
      <c r="AJ412" t="s">
        <v>1580</v>
      </c>
      <c r="AK412">
        <v>366</v>
      </c>
      <c r="AL412" t="s">
        <v>1583</v>
      </c>
      <c r="AM412">
        <v>370</v>
      </c>
      <c r="AN412" t="s">
        <v>1591</v>
      </c>
      <c r="AO412">
        <v>379</v>
      </c>
      <c r="AP412" t="s">
        <v>1628</v>
      </c>
      <c r="AQ412">
        <v>421</v>
      </c>
      <c r="AR412" t="s">
        <v>1662</v>
      </c>
      <c r="AS412">
        <v>456</v>
      </c>
      <c r="AT412" t="s">
        <v>1663</v>
      </c>
      <c r="AU412">
        <v>457</v>
      </c>
      <c r="AV412" t="s">
        <v>1683</v>
      </c>
      <c r="AW412">
        <v>481</v>
      </c>
      <c r="AX412" t="s">
        <v>1745</v>
      </c>
      <c r="AY412">
        <v>549</v>
      </c>
      <c r="AZ412" t="s">
        <v>1124</v>
      </c>
      <c r="BA412">
        <v>642</v>
      </c>
    </row>
    <row r="413" spans="1:83" hidden="1">
      <c r="A413">
        <v>412</v>
      </c>
      <c r="B413" t="s">
        <v>719</v>
      </c>
      <c r="C413" t="s">
        <v>3883</v>
      </c>
      <c r="D413" t="s">
        <v>719</v>
      </c>
      <c r="E413">
        <v>352</v>
      </c>
    </row>
    <row r="414" spans="1:83">
      <c r="A414">
        <v>413</v>
      </c>
      <c r="B414" t="s">
        <v>1238</v>
      </c>
      <c r="C414" t="s">
        <v>3860</v>
      </c>
      <c r="D414" s="43" t="s">
        <v>1567</v>
      </c>
      <c r="E414">
        <v>353</v>
      </c>
    </row>
    <row r="415" spans="1:83">
      <c r="A415">
        <v>414</v>
      </c>
      <c r="B415" t="s">
        <v>3951</v>
      </c>
      <c r="C415" t="s">
        <v>3860</v>
      </c>
      <c r="D415" s="43" t="s">
        <v>1568</v>
      </c>
      <c r="E415">
        <v>354</v>
      </c>
      <c r="F415" t="s">
        <v>1762</v>
      </c>
      <c r="G415">
        <v>569</v>
      </c>
    </row>
    <row r="416" spans="1:83">
      <c r="A416">
        <v>415</v>
      </c>
      <c r="B416" t="s">
        <v>3951</v>
      </c>
      <c r="C416" t="s">
        <v>3860</v>
      </c>
      <c r="D416" s="43" t="s">
        <v>1568</v>
      </c>
      <c r="E416">
        <v>354</v>
      </c>
      <c r="F416" t="s">
        <v>1762</v>
      </c>
      <c r="G416">
        <v>569</v>
      </c>
    </row>
    <row r="417" spans="1:53" hidden="1">
      <c r="A417">
        <v>416</v>
      </c>
      <c r="B417" t="s">
        <v>1569</v>
      </c>
      <c r="C417" t="s">
        <v>3883</v>
      </c>
      <c r="D417" t="s">
        <v>1569</v>
      </c>
      <c r="E417">
        <v>355</v>
      </c>
    </row>
    <row r="418" spans="1:53" hidden="1">
      <c r="A418">
        <v>417</v>
      </c>
      <c r="B418" t="s">
        <v>1570</v>
      </c>
      <c r="C418" t="s">
        <v>3883</v>
      </c>
      <c r="D418" t="s">
        <v>1570</v>
      </c>
      <c r="E418">
        <v>356</v>
      </c>
    </row>
    <row r="419" spans="1:53" hidden="1">
      <c r="A419">
        <v>418</v>
      </c>
      <c r="B419" t="s">
        <v>1572</v>
      </c>
      <c r="C419" t="s">
        <v>3883</v>
      </c>
      <c r="D419" t="s">
        <v>1572</v>
      </c>
      <c r="E419">
        <v>358</v>
      </c>
    </row>
    <row r="420" spans="1:53" hidden="1">
      <c r="A420">
        <v>419</v>
      </c>
      <c r="B420" t="s">
        <v>1573</v>
      </c>
      <c r="C420" t="s">
        <v>3883</v>
      </c>
      <c r="D420" t="s">
        <v>1573</v>
      </c>
      <c r="E420">
        <v>359</v>
      </c>
    </row>
    <row r="421" spans="1:53" hidden="1">
      <c r="A421">
        <v>420</v>
      </c>
      <c r="B421" t="s">
        <v>1574</v>
      </c>
      <c r="C421" t="s">
        <v>3883</v>
      </c>
      <c r="D421" t="s">
        <v>1574</v>
      </c>
      <c r="E421">
        <v>360</v>
      </c>
    </row>
    <row r="422" spans="1:53">
      <c r="A422">
        <v>421</v>
      </c>
      <c r="B422" t="s">
        <v>731</v>
      </c>
      <c r="C422" t="s">
        <v>3860</v>
      </c>
      <c r="D422" s="43" t="s">
        <v>1575</v>
      </c>
      <c r="E422">
        <v>361</v>
      </c>
    </row>
    <row r="423" spans="1:53">
      <c r="A423">
        <v>422</v>
      </c>
      <c r="B423" t="s">
        <v>3952</v>
      </c>
      <c r="C423" t="s">
        <v>3860</v>
      </c>
      <c r="D423" s="43" t="s">
        <v>1576</v>
      </c>
      <c r="E423">
        <v>362</v>
      </c>
    </row>
    <row r="424" spans="1:53">
      <c r="A424">
        <v>423</v>
      </c>
      <c r="B424" t="s">
        <v>3953</v>
      </c>
      <c r="C424" t="s">
        <v>3860</v>
      </c>
      <c r="D424" t="s">
        <v>1409</v>
      </c>
      <c r="E424">
        <v>167</v>
      </c>
      <c r="F424" t="s">
        <v>1519</v>
      </c>
      <c r="G424">
        <v>299</v>
      </c>
      <c r="H424" s="43" t="s">
        <v>1577</v>
      </c>
      <c r="I424">
        <v>363</v>
      </c>
    </row>
    <row r="425" spans="1:53" ht="13.8" thickBot="1">
      <c r="A425">
        <v>424</v>
      </c>
      <c r="B425" t="s">
        <v>1578</v>
      </c>
      <c r="C425" t="s">
        <v>3878</v>
      </c>
      <c r="D425" s="45"/>
    </row>
    <row r="426" spans="1:53" ht="13.8" hidden="1" thickTop="1">
      <c r="A426">
        <v>425</v>
      </c>
      <c r="B426" t="s">
        <v>1580</v>
      </c>
      <c r="C426" t="s">
        <v>3883</v>
      </c>
      <c r="D426" t="s">
        <v>1580</v>
      </c>
      <c r="E426">
        <v>366</v>
      </c>
    </row>
    <row r="427" spans="1:53" ht="13.8" hidden="1" thickTop="1">
      <c r="A427">
        <v>426</v>
      </c>
      <c r="B427" t="s">
        <v>1581</v>
      </c>
      <c r="C427" t="s">
        <v>3883</v>
      </c>
      <c r="D427" t="s">
        <v>1581</v>
      </c>
      <c r="E427">
        <v>367</v>
      </c>
    </row>
    <row r="428" spans="1:53" ht="13.8" hidden="1" thickTop="1">
      <c r="A428">
        <v>427</v>
      </c>
      <c r="B428" t="s">
        <v>739</v>
      </c>
      <c r="C428" t="s">
        <v>3883</v>
      </c>
      <c r="D428" t="s">
        <v>739</v>
      </c>
      <c r="E428">
        <v>368</v>
      </c>
    </row>
    <row r="429" spans="1:53" ht="13.8" thickTop="1">
      <c r="A429">
        <v>428</v>
      </c>
      <c r="B429" t="s">
        <v>3954</v>
      </c>
      <c r="C429" t="s">
        <v>3860</v>
      </c>
      <c r="D429" t="s">
        <v>1257</v>
      </c>
      <c r="E429">
        <v>13</v>
      </c>
      <c r="F429" t="s">
        <v>1265</v>
      </c>
      <c r="G429">
        <v>20</v>
      </c>
      <c r="H429" t="s">
        <v>1281</v>
      </c>
      <c r="I429">
        <v>35</v>
      </c>
      <c r="J429" t="s">
        <v>1289</v>
      </c>
      <c r="K429">
        <v>43</v>
      </c>
      <c r="L429" t="s">
        <v>1294</v>
      </c>
      <c r="M429">
        <v>48</v>
      </c>
      <c r="N429" t="s">
        <v>1297</v>
      </c>
      <c r="O429">
        <v>51</v>
      </c>
      <c r="P429" t="s">
        <v>1303</v>
      </c>
      <c r="Q429">
        <v>59</v>
      </c>
      <c r="R429" t="s">
        <v>1437</v>
      </c>
      <c r="S429">
        <v>203</v>
      </c>
      <c r="T429" t="s">
        <v>1469</v>
      </c>
      <c r="U429">
        <v>240</v>
      </c>
      <c r="V429" t="s">
        <v>1478</v>
      </c>
      <c r="W429">
        <v>253</v>
      </c>
      <c r="X429" t="s">
        <v>1507</v>
      </c>
      <c r="Y429">
        <v>286</v>
      </c>
      <c r="Z429" t="s">
        <v>1532</v>
      </c>
      <c r="AA429">
        <v>313</v>
      </c>
      <c r="AB429" t="s">
        <v>1561</v>
      </c>
      <c r="AC429">
        <v>346</v>
      </c>
      <c r="AD429" t="s">
        <v>1562</v>
      </c>
      <c r="AE429">
        <v>347</v>
      </c>
      <c r="AF429" t="s">
        <v>1566</v>
      </c>
      <c r="AG429">
        <v>351</v>
      </c>
      <c r="AH429" t="s">
        <v>1569</v>
      </c>
      <c r="AI429">
        <v>355</v>
      </c>
      <c r="AJ429" t="s">
        <v>1580</v>
      </c>
      <c r="AK429">
        <v>366</v>
      </c>
      <c r="AL429" s="43" t="s">
        <v>1583</v>
      </c>
      <c r="AM429">
        <v>370</v>
      </c>
      <c r="AN429" t="s">
        <v>1591</v>
      </c>
      <c r="AO429">
        <v>379</v>
      </c>
      <c r="AP429" t="s">
        <v>1628</v>
      </c>
      <c r="AQ429">
        <v>421</v>
      </c>
      <c r="AR429" t="s">
        <v>1662</v>
      </c>
      <c r="AS429">
        <v>456</v>
      </c>
      <c r="AT429" t="s">
        <v>1663</v>
      </c>
      <c r="AU429">
        <v>457</v>
      </c>
      <c r="AV429" t="s">
        <v>1683</v>
      </c>
      <c r="AW429">
        <v>481</v>
      </c>
      <c r="AX429" t="s">
        <v>1745</v>
      </c>
      <c r="AY429">
        <v>549</v>
      </c>
      <c r="AZ429" t="s">
        <v>1124</v>
      </c>
      <c r="BA429">
        <v>642</v>
      </c>
    </row>
    <row r="430" spans="1:53" hidden="1">
      <c r="A430">
        <v>429</v>
      </c>
      <c r="B430" t="s">
        <v>1584</v>
      </c>
      <c r="C430" t="s">
        <v>3883</v>
      </c>
      <c r="D430" t="s">
        <v>1584</v>
      </c>
      <c r="E430">
        <v>371</v>
      </c>
    </row>
    <row r="431" spans="1:53">
      <c r="A431">
        <v>430</v>
      </c>
      <c r="B431" t="s">
        <v>742</v>
      </c>
      <c r="C431" t="s">
        <v>3860</v>
      </c>
      <c r="D431" s="43" t="s">
        <v>1585</v>
      </c>
      <c r="E431">
        <v>372</v>
      </c>
    </row>
    <row r="432" spans="1:53" hidden="1">
      <c r="A432">
        <v>431</v>
      </c>
      <c r="B432" t="s">
        <v>744</v>
      </c>
      <c r="C432" t="s">
        <v>3883</v>
      </c>
      <c r="D432" t="s">
        <v>744</v>
      </c>
      <c r="E432">
        <v>373</v>
      </c>
    </row>
    <row r="433" spans="1:29" hidden="1">
      <c r="A433">
        <v>432</v>
      </c>
      <c r="B433" t="s">
        <v>1586</v>
      </c>
      <c r="C433" t="s">
        <v>3883</v>
      </c>
      <c r="D433" t="s">
        <v>1586</v>
      </c>
      <c r="E433">
        <v>374</v>
      </c>
    </row>
    <row r="434" spans="1:29" hidden="1">
      <c r="A434">
        <v>433</v>
      </c>
      <c r="B434" t="s">
        <v>1587</v>
      </c>
      <c r="C434" t="s">
        <v>3883</v>
      </c>
      <c r="D434" t="s">
        <v>1587</v>
      </c>
      <c r="E434">
        <v>375</v>
      </c>
    </row>
    <row r="435" spans="1:29" hidden="1">
      <c r="A435">
        <v>434</v>
      </c>
      <c r="B435" t="s">
        <v>1589</v>
      </c>
      <c r="C435" t="s">
        <v>3883</v>
      </c>
      <c r="D435" t="s">
        <v>1589</v>
      </c>
      <c r="E435">
        <v>377</v>
      </c>
    </row>
    <row r="436" spans="1:29">
      <c r="A436">
        <v>435</v>
      </c>
      <c r="B436" t="s">
        <v>3955</v>
      </c>
      <c r="C436" t="s">
        <v>3860</v>
      </c>
      <c r="D436" t="s">
        <v>1590</v>
      </c>
      <c r="E436">
        <v>378</v>
      </c>
    </row>
    <row r="437" spans="1:29" hidden="1">
      <c r="A437">
        <v>436</v>
      </c>
      <c r="B437" t="s">
        <v>1592</v>
      </c>
      <c r="C437" t="s">
        <v>3883</v>
      </c>
      <c r="D437" t="s">
        <v>1592</v>
      </c>
      <c r="E437">
        <v>380</v>
      </c>
    </row>
    <row r="438" spans="1:29" hidden="1">
      <c r="A438">
        <v>437</v>
      </c>
      <c r="B438" t="s">
        <v>1591</v>
      </c>
      <c r="C438" t="s">
        <v>3883</v>
      </c>
      <c r="D438" t="s">
        <v>1591</v>
      </c>
      <c r="E438">
        <v>379</v>
      </c>
    </row>
    <row r="439" spans="1:29">
      <c r="A439">
        <v>438</v>
      </c>
      <c r="B439" t="s">
        <v>753</v>
      </c>
      <c r="C439" t="s">
        <v>3860</v>
      </c>
      <c r="D439" s="44" t="s">
        <v>1321</v>
      </c>
      <c r="E439">
        <v>80</v>
      </c>
      <c r="F439" t="s">
        <v>1411</v>
      </c>
      <c r="G439">
        <v>170</v>
      </c>
      <c r="H439" t="s">
        <v>1411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1584</v>
      </c>
      <c r="O439">
        <v>371</v>
      </c>
      <c r="P439" t="s">
        <v>1610</v>
      </c>
      <c r="Q439">
        <v>399</v>
      </c>
      <c r="R439" t="s">
        <v>1619</v>
      </c>
      <c r="S439">
        <v>410</v>
      </c>
      <c r="T439" t="s">
        <v>1665</v>
      </c>
      <c r="U439">
        <v>460</v>
      </c>
      <c r="V439" t="s">
        <v>890</v>
      </c>
      <c r="W439">
        <v>476</v>
      </c>
      <c r="X439" t="s">
        <v>1687</v>
      </c>
      <c r="Y439">
        <v>485</v>
      </c>
      <c r="Z439" t="s">
        <v>1022</v>
      </c>
      <c r="AA439">
        <v>570</v>
      </c>
      <c r="AB439" t="s">
        <v>1853</v>
      </c>
      <c r="AC439">
        <v>663</v>
      </c>
    </row>
    <row r="440" spans="1:29" hidden="1">
      <c r="A440">
        <v>439</v>
      </c>
      <c r="B440" t="s">
        <v>1594</v>
      </c>
      <c r="C440" t="s">
        <v>3883</v>
      </c>
      <c r="D440" t="s">
        <v>1594</v>
      </c>
      <c r="E440">
        <v>382</v>
      </c>
    </row>
    <row r="441" spans="1:29">
      <c r="A441">
        <v>440</v>
      </c>
      <c r="B441" t="s">
        <v>3956</v>
      </c>
      <c r="C441" t="s">
        <v>3860</v>
      </c>
      <c r="D441" t="s">
        <v>1595</v>
      </c>
      <c r="E441">
        <v>383</v>
      </c>
    </row>
    <row r="442" spans="1:29" hidden="1">
      <c r="A442">
        <v>441</v>
      </c>
      <c r="B442" t="s">
        <v>757</v>
      </c>
      <c r="C442" t="s">
        <v>3883</v>
      </c>
      <c r="D442" t="s">
        <v>757</v>
      </c>
      <c r="E442">
        <v>384</v>
      </c>
    </row>
    <row r="443" spans="1:29">
      <c r="A443">
        <v>442</v>
      </c>
      <c r="B443" t="s">
        <v>3957</v>
      </c>
      <c r="C443" t="s">
        <v>3860</v>
      </c>
      <c r="D443" t="s">
        <v>1247</v>
      </c>
      <c r="E443">
        <v>2</v>
      </c>
      <c r="F443" t="s">
        <v>276</v>
      </c>
      <c r="G443">
        <v>63</v>
      </c>
      <c r="H443" t="s">
        <v>1334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3" t="s">
        <v>1597</v>
      </c>
      <c r="O443">
        <v>386</v>
      </c>
      <c r="P443" t="s">
        <v>1625</v>
      </c>
      <c r="Q443">
        <v>416</v>
      </c>
      <c r="R443" t="s">
        <v>1667</v>
      </c>
      <c r="S443">
        <v>462</v>
      </c>
      <c r="T443" t="s">
        <v>1679</v>
      </c>
      <c r="U443">
        <v>475</v>
      </c>
    </row>
    <row r="444" spans="1:29" hidden="1">
      <c r="A444">
        <v>443</v>
      </c>
      <c r="B444" t="s">
        <v>1596</v>
      </c>
      <c r="C444" t="s">
        <v>3883</v>
      </c>
      <c r="D444" t="s">
        <v>1596</v>
      </c>
      <c r="E444">
        <v>385</v>
      </c>
    </row>
    <row r="445" spans="1:29">
      <c r="A445">
        <v>444</v>
      </c>
      <c r="B445" t="s">
        <v>1598</v>
      </c>
      <c r="C445" t="s">
        <v>3878</v>
      </c>
      <c r="D445" s="44"/>
    </row>
    <row r="446" spans="1:29" hidden="1">
      <c r="A446">
        <v>445</v>
      </c>
      <c r="B446" t="s">
        <v>1599</v>
      </c>
      <c r="C446" t="s">
        <v>3883</v>
      </c>
      <c r="D446" t="s">
        <v>1599</v>
      </c>
      <c r="E446">
        <v>388</v>
      </c>
    </row>
    <row r="447" spans="1:29" hidden="1">
      <c r="A447">
        <v>446</v>
      </c>
      <c r="B447" t="s">
        <v>765</v>
      </c>
      <c r="C447" t="s">
        <v>3883</v>
      </c>
      <c r="D447" t="s">
        <v>765</v>
      </c>
      <c r="E447">
        <v>389</v>
      </c>
    </row>
    <row r="448" spans="1:29" hidden="1">
      <c r="A448">
        <v>447</v>
      </c>
      <c r="B448" t="s">
        <v>765</v>
      </c>
      <c r="C448" t="s">
        <v>3883</v>
      </c>
      <c r="D448" t="s">
        <v>765</v>
      </c>
      <c r="E448">
        <v>389</v>
      </c>
    </row>
    <row r="449" spans="1:33">
      <c r="A449">
        <v>448</v>
      </c>
      <c r="B449" t="s">
        <v>1600</v>
      </c>
      <c r="C449" t="s">
        <v>3878</v>
      </c>
      <c r="D449" s="44"/>
    </row>
    <row r="450" spans="1:33" hidden="1">
      <c r="A450">
        <v>449</v>
      </c>
      <c r="B450" t="s">
        <v>1601</v>
      </c>
      <c r="C450" t="s">
        <v>3883</v>
      </c>
      <c r="D450" t="s">
        <v>1601</v>
      </c>
      <c r="E450">
        <v>390</v>
      </c>
    </row>
    <row r="451" spans="1:33">
      <c r="A451">
        <v>450</v>
      </c>
      <c r="B451" t="s">
        <v>3958</v>
      </c>
      <c r="C451" t="s">
        <v>3860</v>
      </c>
      <c r="D451" t="s">
        <v>1254</v>
      </c>
      <c r="E451">
        <v>10</v>
      </c>
      <c r="F451" t="s">
        <v>1276</v>
      </c>
      <c r="G451">
        <v>31</v>
      </c>
      <c r="H451" t="s">
        <v>1338</v>
      </c>
      <c r="I451">
        <v>98</v>
      </c>
      <c r="J451" t="s">
        <v>1455</v>
      </c>
      <c r="K451">
        <v>223</v>
      </c>
      <c r="L451" t="s">
        <v>1456</v>
      </c>
      <c r="M451">
        <v>225</v>
      </c>
      <c r="N451" t="s">
        <v>578</v>
      </c>
      <c r="O451">
        <v>243</v>
      </c>
      <c r="P451" t="s">
        <v>1509</v>
      </c>
      <c r="Q451">
        <v>289</v>
      </c>
      <c r="R451" t="s">
        <v>1565</v>
      </c>
      <c r="S451">
        <v>350</v>
      </c>
      <c r="T451" t="s">
        <v>1596</v>
      </c>
      <c r="U451">
        <v>385</v>
      </c>
      <c r="V451" s="43" t="s">
        <v>1602</v>
      </c>
      <c r="W451">
        <v>391</v>
      </c>
      <c r="X451" t="s">
        <v>1654</v>
      </c>
      <c r="Y451">
        <v>448</v>
      </c>
      <c r="Z451" t="s">
        <v>1669</v>
      </c>
      <c r="AA451">
        <v>464</v>
      </c>
      <c r="AB451" t="s">
        <v>1670</v>
      </c>
      <c r="AC451">
        <v>465</v>
      </c>
      <c r="AD451" t="s">
        <v>1755</v>
      </c>
      <c r="AE451">
        <v>561</v>
      </c>
      <c r="AF451" t="s">
        <v>1867</v>
      </c>
      <c r="AG451">
        <v>678</v>
      </c>
    </row>
    <row r="452" spans="1:33" hidden="1">
      <c r="A452">
        <v>451</v>
      </c>
      <c r="B452" t="s">
        <v>1610</v>
      </c>
      <c r="C452" t="s">
        <v>3883</v>
      </c>
      <c r="D452" t="s">
        <v>1610</v>
      </c>
      <c r="E452">
        <v>399</v>
      </c>
    </row>
    <row r="453" spans="1:33" hidden="1">
      <c r="A453">
        <v>452</v>
      </c>
      <c r="B453" t="s">
        <v>1603</v>
      </c>
      <c r="C453" t="s">
        <v>3883</v>
      </c>
      <c r="D453" t="s">
        <v>1603</v>
      </c>
      <c r="E453">
        <v>392</v>
      </c>
    </row>
    <row r="454" spans="1:33" hidden="1">
      <c r="A454">
        <v>453</v>
      </c>
      <c r="B454" t="s">
        <v>1604</v>
      </c>
      <c r="C454" t="s">
        <v>3883</v>
      </c>
      <c r="D454" t="s">
        <v>1604</v>
      </c>
      <c r="E454">
        <v>393</v>
      </c>
    </row>
    <row r="455" spans="1:33" hidden="1">
      <c r="A455">
        <v>454</v>
      </c>
      <c r="B455" t="s">
        <v>1604</v>
      </c>
      <c r="C455" t="s">
        <v>3883</v>
      </c>
      <c r="D455" t="s">
        <v>1604</v>
      </c>
      <c r="E455">
        <v>393</v>
      </c>
    </row>
    <row r="456" spans="1:33" hidden="1">
      <c r="A456">
        <v>455</v>
      </c>
      <c r="B456" t="s">
        <v>1608</v>
      </c>
      <c r="C456" t="s">
        <v>3883</v>
      </c>
      <c r="D456" t="s">
        <v>1608</v>
      </c>
      <c r="E456">
        <v>397</v>
      </c>
    </row>
    <row r="457" spans="1:33">
      <c r="A457">
        <v>456</v>
      </c>
      <c r="B457" t="s">
        <v>3959</v>
      </c>
      <c r="C457" t="s">
        <v>3860</v>
      </c>
      <c r="D457" t="s">
        <v>1609</v>
      </c>
      <c r="E457">
        <v>398</v>
      </c>
    </row>
    <row r="458" spans="1:33" hidden="1">
      <c r="A458">
        <v>457</v>
      </c>
      <c r="B458" t="s">
        <v>1611</v>
      </c>
      <c r="C458" t="s">
        <v>3883</v>
      </c>
      <c r="D458" t="s">
        <v>1611</v>
      </c>
      <c r="E458">
        <v>400</v>
      </c>
    </row>
    <row r="459" spans="1:33" hidden="1">
      <c r="A459">
        <v>458</v>
      </c>
      <c r="B459" t="s">
        <v>1612</v>
      </c>
      <c r="C459" t="s">
        <v>3883</v>
      </c>
      <c r="D459" t="s">
        <v>1612</v>
      </c>
      <c r="E459">
        <v>401</v>
      </c>
    </row>
    <row r="460" spans="1:33">
      <c r="A460">
        <v>459</v>
      </c>
      <c r="B460" t="s">
        <v>3960</v>
      </c>
      <c r="C460" t="s">
        <v>3860</v>
      </c>
      <c r="D460" t="s">
        <v>1764</v>
      </c>
      <c r="E460">
        <v>572</v>
      </c>
    </row>
    <row r="461" spans="1:33" hidden="1">
      <c r="A461">
        <v>460</v>
      </c>
      <c r="B461" t="s">
        <v>782</v>
      </c>
      <c r="C461" t="s">
        <v>3883</v>
      </c>
      <c r="D461" t="s">
        <v>782</v>
      </c>
      <c r="E461">
        <v>403</v>
      </c>
    </row>
    <row r="462" spans="1:33" hidden="1">
      <c r="A462">
        <v>461</v>
      </c>
      <c r="B462" t="s">
        <v>1613</v>
      </c>
      <c r="C462" t="s">
        <v>3883</v>
      </c>
      <c r="D462" t="s">
        <v>1613</v>
      </c>
      <c r="E462">
        <v>402</v>
      </c>
    </row>
    <row r="463" spans="1:33" hidden="1">
      <c r="A463">
        <v>462</v>
      </c>
      <c r="B463" t="s">
        <v>785</v>
      </c>
      <c r="C463" t="s">
        <v>3883</v>
      </c>
      <c r="D463" t="s">
        <v>785</v>
      </c>
      <c r="E463">
        <v>404</v>
      </c>
    </row>
    <row r="464" spans="1:33" hidden="1">
      <c r="A464">
        <v>463</v>
      </c>
      <c r="B464" t="s">
        <v>1614</v>
      </c>
      <c r="C464" t="s">
        <v>3883</v>
      </c>
      <c r="D464" t="s">
        <v>1614</v>
      </c>
      <c r="E464">
        <v>405</v>
      </c>
    </row>
    <row r="465" spans="1:29" hidden="1">
      <c r="A465">
        <v>464</v>
      </c>
      <c r="B465" t="s">
        <v>1614</v>
      </c>
      <c r="C465" t="s">
        <v>3883</v>
      </c>
      <c r="D465" t="s">
        <v>1614</v>
      </c>
      <c r="E465">
        <v>405</v>
      </c>
    </row>
    <row r="466" spans="1:29">
      <c r="A466">
        <v>465</v>
      </c>
      <c r="B466" t="s">
        <v>3961</v>
      </c>
      <c r="C466" t="s">
        <v>3860</v>
      </c>
      <c r="D466" t="s">
        <v>1321</v>
      </c>
      <c r="E466">
        <v>80</v>
      </c>
      <c r="F466" t="s">
        <v>1411</v>
      </c>
      <c r="G466">
        <v>170</v>
      </c>
      <c r="H466" t="s">
        <v>1411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1584</v>
      </c>
      <c r="O466">
        <v>371</v>
      </c>
      <c r="P466" t="s">
        <v>1610</v>
      </c>
      <c r="Q466">
        <v>399</v>
      </c>
      <c r="R466" s="43" t="s">
        <v>1619</v>
      </c>
      <c r="S466">
        <v>410</v>
      </c>
      <c r="T466" t="s">
        <v>1665</v>
      </c>
      <c r="U466">
        <v>460</v>
      </c>
      <c r="V466" t="s">
        <v>890</v>
      </c>
      <c r="W466">
        <v>476</v>
      </c>
      <c r="X466" t="s">
        <v>1687</v>
      </c>
      <c r="Y466">
        <v>485</v>
      </c>
      <c r="Z466" t="s">
        <v>1022</v>
      </c>
      <c r="AA466">
        <v>570</v>
      </c>
      <c r="AB466" t="s">
        <v>1853</v>
      </c>
      <c r="AC466">
        <v>663</v>
      </c>
    </row>
    <row r="467" spans="1:29">
      <c r="A467">
        <v>466</v>
      </c>
      <c r="B467" t="s">
        <v>3962</v>
      </c>
      <c r="C467" t="s">
        <v>3860</v>
      </c>
      <c r="D467" s="43" t="s">
        <v>1615</v>
      </c>
      <c r="E467">
        <v>406</v>
      </c>
    </row>
    <row r="468" spans="1:29">
      <c r="A468">
        <v>467</v>
      </c>
      <c r="B468" t="s">
        <v>3963</v>
      </c>
      <c r="C468" t="s">
        <v>3860</v>
      </c>
      <c r="D468" t="s">
        <v>1616</v>
      </c>
      <c r="E468">
        <v>407</v>
      </c>
      <c r="F468" s="43" t="s">
        <v>1617</v>
      </c>
      <c r="G468">
        <v>408</v>
      </c>
      <c r="H468" t="s">
        <v>1690</v>
      </c>
      <c r="I468">
        <v>488</v>
      </c>
    </row>
    <row r="469" spans="1:29" hidden="1">
      <c r="A469">
        <v>468</v>
      </c>
      <c r="B469" t="s">
        <v>1616</v>
      </c>
      <c r="C469" t="s">
        <v>3883</v>
      </c>
      <c r="D469" t="s">
        <v>1616</v>
      </c>
      <c r="E469">
        <v>407</v>
      </c>
    </row>
    <row r="470" spans="1:29" hidden="1">
      <c r="A470">
        <v>469</v>
      </c>
      <c r="B470" t="s">
        <v>1616</v>
      </c>
      <c r="C470" t="s">
        <v>3883</v>
      </c>
      <c r="D470" t="s">
        <v>1616</v>
      </c>
      <c r="E470">
        <v>407</v>
      </c>
    </row>
    <row r="471" spans="1:29" hidden="1">
      <c r="A471">
        <v>470</v>
      </c>
      <c r="B471" t="s">
        <v>1618</v>
      </c>
      <c r="C471" t="s">
        <v>3883</v>
      </c>
      <c r="D471" t="s">
        <v>1618</v>
      </c>
      <c r="E471">
        <v>409</v>
      </c>
    </row>
    <row r="472" spans="1:29" hidden="1">
      <c r="A472">
        <v>471</v>
      </c>
      <c r="B472" t="s">
        <v>1621</v>
      </c>
      <c r="C472" t="s">
        <v>3883</v>
      </c>
      <c r="D472" t="s">
        <v>1621</v>
      </c>
      <c r="E472">
        <v>412</v>
      </c>
    </row>
    <row r="473" spans="1:29" hidden="1">
      <c r="A473">
        <v>472</v>
      </c>
      <c r="B473" t="s">
        <v>1620</v>
      </c>
      <c r="C473" t="s">
        <v>3883</v>
      </c>
      <c r="D473" t="s">
        <v>1620</v>
      </c>
      <c r="E473">
        <v>411</v>
      </c>
    </row>
    <row r="474" spans="1:29" hidden="1">
      <c r="A474">
        <v>473</v>
      </c>
      <c r="B474" t="s">
        <v>1622</v>
      </c>
      <c r="C474" t="s">
        <v>3883</v>
      </c>
      <c r="D474" t="s">
        <v>1622</v>
      </c>
      <c r="E474">
        <v>413</v>
      </c>
    </row>
    <row r="475" spans="1:29">
      <c r="A475">
        <v>474</v>
      </c>
      <c r="B475" t="s">
        <v>3964</v>
      </c>
      <c r="C475" t="s">
        <v>3860</v>
      </c>
      <c r="D475" t="s">
        <v>1247</v>
      </c>
      <c r="E475">
        <v>2</v>
      </c>
      <c r="F475" t="s">
        <v>276</v>
      </c>
      <c r="G475">
        <v>63</v>
      </c>
      <c r="H475" t="s">
        <v>1334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1597</v>
      </c>
      <c r="O475">
        <v>386</v>
      </c>
      <c r="P475" s="43" t="s">
        <v>1625</v>
      </c>
      <c r="Q475">
        <v>416</v>
      </c>
      <c r="R475" t="s">
        <v>1667</v>
      </c>
      <c r="S475">
        <v>462</v>
      </c>
      <c r="T475" t="s">
        <v>1679</v>
      </c>
      <c r="U475">
        <v>475</v>
      </c>
    </row>
    <row r="476" spans="1:29" hidden="1">
      <c r="A476">
        <v>475</v>
      </c>
      <c r="B476" t="s">
        <v>1623</v>
      </c>
      <c r="C476" t="s">
        <v>3883</v>
      </c>
      <c r="D476" t="s">
        <v>1623</v>
      </c>
      <c r="E476">
        <v>414</v>
      </c>
    </row>
    <row r="477" spans="1:29" hidden="1">
      <c r="A477">
        <v>476</v>
      </c>
      <c r="B477" t="s">
        <v>1624</v>
      </c>
      <c r="C477" t="s">
        <v>3883</v>
      </c>
      <c r="D477" t="s">
        <v>1624</v>
      </c>
      <c r="E477">
        <v>415</v>
      </c>
    </row>
    <row r="478" spans="1:29" hidden="1">
      <c r="A478">
        <v>477</v>
      </c>
      <c r="B478" t="s">
        <v>1624</v>
      </c>
      <c r="C478" t="s">
        <v>3883</v>
      </c>
      <c r="D478" t="s">
        <v>1624</v>
      </c>
      <c r="E478">
        <v>415</v>
      </c>
    </row>
    <row r="479" spans="1:29" hidden="1">
      <c r="A479">
        <v>478</v>
      </c>
      <c r="B479" t="s">
        <v>1630</v>
      </c>
      <c r="C479" t="s">
        <v>3883</v>
      </c>
      <c r="D479" t="s">
        <v>1630</v>
      </c>
      <c r="E479">
        <v>423</v>
      </c>
    </row>
    <row r="480" spans="1:29">
      <c r="A480">
        <v>479</v>
      </c>
      <c r="B480" t="s">
        <v>1626</v>
      </c>
      <c r="C480" t="s">
        <v>3878</v>
      </c>
      <c r="D480" s="44"/>
    </row>
    <row r="481" spans="1:9" hidden="1">
      <c r="A481">
        <v>480</v>
      </c>
      <c r="B481" t="s">
        <v>804</v>
      </c>
      <c r="C481" t="s">
        <v>3883</v>
      </c>
      <c r="D481" t="s">
        <v>804</v>
      </c>
      <c r="E481">
        <v>424</v>
      </c>
    </row>
    <row r="482" spans="1:9">
      <c r="A482">
        <v>481</v>
      </c>
      <c r="B482" t="s">
        <v>3965</v>
      </c>
      <c r="C482" t="s">
        <v>3860</v>
      </c>
      <c r="D482" s="44" t="s">
        <v>1401</v>
      </c>
      <c r="E482">
        <v>160</v>
      </c>
      <c r="F482" t="s">
        <v>1475</v>
      </c>
      <c r="G482">
        <v>249</v>
      </c>
      <c r="H482" t="s">
        <v>1786</v>
      </c>
      <c r="I482">
        <v>594</v>
      </c>
    </row>
    <row r="483" spans="1:9" hidden="1">
      <c r="A483">
        <v>482</v>
      </c>
      <c r="B483" t="s">
        <v>806</v>
      </c>
      <c r="C483" t="s">
        <v>3883</v>
      </c>
      <c r="D483" t="s">
        <v>806</v>
      </c>
      <c r="E483">
        <v>419</v>
      </c>
    </row>
    <row r="484" spans="1:9" hidden="1">
      <c r="A484">
        <v>483</v>
      </c>
      <c r="B484" t="s">
        <v>806</v>
      </c>
      <c r="C484" t="s">
        <v>3883</v>
      </c>
      <c r="D484" t="s">
        <v>806</v>
      </c>
      <c r="E484">
        <v>419</v>
      </c>
    </row>
    <row r="485" spans="1:9" hidden="1">
      <c r="A485">
        <v>484</v>
      </c>
      <c r="B485" t="s">
        <v>809</v>
      </c>
      <c r="C485" t="s">
        <v>3883</v>
      </c>
      <c r="D485" t="s">
        <v>809</v>
      </c>
      <c r="E485">
        <v>418</v>
      </c>
    </row>
    <row r="486" spans="1:9" hidden="1">
      <c r="A486">
        <v>485</v>
      </c>
      <c r="B486" t="s">
        <v>809</v>
      </c>
      <c r="C486" t="s">
        <v>3883</v>
      </c>
      <c r="D486" t="s">
        <v>809</v>
      </c>
      <c r="E486">
        <v>418</v>
      </c>
    </row>
    <row r="487" spans="1:9" hidden="1">
      <c r="A487">
        <v>486</v>
      </c>
      <c r="B487" t="s">
        <v>809</v>
      </c>
      <c r="C487" t="s">
        <v>3883</v>
      </c>
      <c r="D487" t="s">
        <v>809</v>
      </c>
      <c r="E487">
        <v>418</v>
      </c>
    </row>
    <row r="488" spans="1:9" hidden="1">
      <c r="A488">
        <v>487</v>
      </c>
      <c r="B488" t="s">
        <v>1627</v>
      </c>
      <c r="C488" t="s">
        <v>3883</v>
      </c>
      <c r="D488" t="s">
        <v>1627</v>
      </c>
      <c r="E488">
        <v>420</v>
      </c>
    </row>
    <row r="489" spans="1:9" hidden="1">
      <c r="A489">
        <v>488</v>
      </c>
      <c r="B489" t="s">
        <v>1628</v>
      </c>
      <c r="C489" t="s">
        <v>3883</v>
      </c>
      <c r="D489" t="s">
        <v>1628</v>
      </c>
      <c r="E489">
        <v>421</v>
      </c>
    </row>
    <row r="490" spans="1:9" hidden="1">
      <c r="A490">
        <v>489</v>
      </c>
      <c r="B490" t="s">
        <v>1628</v>
      </c>
      <c r="C490" t="s">
        <v>3883</v>
      </c>
      <c r="D490" t="s">
        <v>1628</v>
      </c>
      <c r="E490">
        <v>421</v>
      </c>
    </row>
    <row r="491" spans="1:9" hidden="1">
      <c r="A491">
        <v>490</v>
      </c>
      <c r="B491" t="s">
        <v>1629</v>
      </c>
      <c r="C491" t="s">
        <v>3883</v>
      </c>
      <c r="D491" t="s">
        <v>1629</v>
      </c>
      <c r="E491">
        <v>422</v>
      </c>
    </row>
    <row r="492" spans="1:9" hidden="1">
      <c r="A492">
        <v>491</v>
      </c>
      <c r="B492" t="s">
        <v>817</v>
      </c>
      <c r="C492" t="s">
        <v>3883</v>
      </c>
      <c r="D492" t="s">
        <v>817</v>
      </c>
      <c r="E492">
        <v>426</v>
      </c>
    </row>
    <row r="493" spans="1:9" hidden="1">
      <c r="A493">
        <v>492</v>
      </c>
      <c r="B493" t="s">
        <v>1631</v>
      </c>
      <c r="C493" t="s">
        <v>3883</v>
      </c>
      <c r="D493" t="s">
        <v>1631</v>
      </c>
      <c r="E493">
        <v>425</v>
      </c>
    </row>
    <row r="494" spans="1:9" hidden="1">
      <c r="A494">
        <v>493</v>
      </c>
      <c r="B494" t="s">
        <v>1633</v>
      </c>
      <c r="C494" t="s">
        <v>3883</v>
      </c>
      <c r="D494" t="s">
        <v>1633</v>
      </c>
      <c r="E494">
        <v>428</v>
      </c>
    </row>
    <row r="495" spans="1:9" hidden="1">
      <c r="A495">
        <v>494</v>
      </c>
      <c r="B495" t="s">
        <v>1632</v>
      </c>
      <c r="C495" t="s">
        <v>3883</v>
      </c>
      <c r="D495" t="s">
        <v>1632</v>
      </c>
      <c r="E495">
        <v>427</v>
      </c>
    </row>
    <row r="496" spans="1:9" hidden="1">
      <c r="A496">
        <v>495</v>
      </c>
      <c r="B496" t="s">
        <v>1634</v>
      </c>
      <c r="C496" t="s">
        <v>3883</v>
      </c>
      <c r="D496" t="s">
        <v>1634</v>
      </c>
      <c r="E496">
        <v>429</v>
      </c>
    </row>
    <row r="497" spans="1:21" hidden="1">
      <c r="A497">
        <v>496</v>
      </c>
      <c r="B497" t="s">
        <v>1635</v>
      </c>
      <c r="C497" t="s">
        <v>3883</v>
      </c>
      <c r="D497" t="s">
        <v>1635</v>
      </c>
      <c r="E497">
        <v>430</v>
      </c>
    </row>
    <row r="498" spans="1:21" hidden="1">
      <c r="A498">
        <v>497</v>
      </c>
      <c r="B498" t="s">
        <v>1637</v>
      </c>
      <c r="C498" t="s">
        <v>3883</v>
      </c>
      <c r="D498" t="s">
        <v>1637</v>
      </c>
      <c r="E498">
        <v>432</v>
      </c>
    </row>
    <row r="499" spans="1:21" hidden="1">
      <c r="A499">
        <v>498</v>
      </c>
      <c r="B499" t="s">
        <v>1637</v>
      </c>
      <c r="C499" t="s">
        <v>3883</v>
      </c>
      <c r="D499" t="s">
        <v>1637</v>
      </c>
      <c r="E499">
        <v>432</v>
      </c>
    </row>
    <row r="500" spans="1:21" hidden="1">
      <c r="A500">
        <v>499</v>
      </c>
      <c r="B500" t="s">
        <v>1636</v>
      </c>
      <c r="C500" t="s">
        <v>3883</v>
      </c>
      <c r="D500" t="s">
        <v>1636</v>
      </c>
      <c r="E500">
        <v>431</v>
      </c>
    </row>
    <row r="501" spans="1:21" hidden="1">
      <c r="A501">
        <v>500</v>
      </c>
      <c r="B501" t="s">
        <v>1636</v>
      </c>
      <c r="C501" t="s">
        <v>3883</v>
      </c>
      <c r="D501" t="s">
        <v>1636</v>
      </c>
      <c r="E501">
        <v>431</v>
      </c>
    </row>
    <row r="502" spans="1:21" hidden="1">
      <c r="A502">
        <v>501</v>
      </c>
      <c r="B502" t="s">
        <v>1638</v>
      </c>
      <c r="C502" t="s">
        <v>3883</v>
      </c>
      <c r="D502" t="s">
        <v>1638</v>
      </c>
      <c r="E502">
        <v>433</v>
      </c>
    </row>
    <row r="503" spans="1:21" hidden="1">
      <c r="A503">
        <v>502</v>
      </c>
      <c r="B503" t="s">
        <v>1638</v>
      </c>
      <c r="C503" t="s">
        <v>3883</v>
      </c>
      <c r="D503" t="s">
        <v>1638</v>
      </c>
      <c r="E503">
        <v>433</v>
      </c>
    </row>
    <row r="504" spans="1:21">
      <c r="A504">
        <v>503</v>
      </c>
      <c r="B504" t="s">
        <v>1640</v>
      </c>
      <c r="C504" t="s">
        <v>3860</v>
      </c>
      <c r="D504" s="44" t="s">
        <v>1247</v>
      </c>
      <c r="E504">
        <v>2</v>
      </c>
      <c r="F504" t="s">
        <v>276</v>
      </c>
      <c r="G504">
        <v>63</v>
      </c>
      <c r="H504" t="s">
        <v>1334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1597</v>
      </c>
      <c r="O504">
        <v>386</v>
      </c>
      <c r="P504" t="s">
        <v>1625</v>
      </c>
      <c r="Q504">
        <v>416</v>
      </c>
      <c r="R504" t="s">
        <v>1667</v>
      </c>
      <c r="S504">
        <v>462</v>
      </c>
      <c r="T504" t="s">
        <v>1679</v>
      </c>
      <c r="U504">
        <v>475</v>
      </c>
    </row>
    <row r="505" spans="1:21" hidden="1">
      <c r="A505">
        <v>504</v>
      </c>
      <c r="B505" t="s">
        <v>831</v>
      </c>
      <c r="C505" t="s">
        <v>3883</v>
      </c>
      <c r="D505" t="s">
        <v>831</v>
      </c>
      <c r="E505">
        <v>435</v>
      </c>
    </row>
    <row r="506" spans="1:21" hidden="1">
      <c r="A506">
        <v>505</v>
      </c>
      <c r="B506" t="s">
        <v>831</v>
      </c>
      <c r="C506" t="s">
        <v>3883</v>
      </c>
      <c r="D506" t="s">
        <v>831</v>
      </c>
      <c r="E506">
        <v>435</v>
      </c>
    </row>
    <row r="507" spans="1:21" s="46" customFormat="1" ht="13.8" thickBot="1">
      <c r="A507" s="46">
        <v>506</v>
      </c>
      <c r="B507" s="46" t="s">
        <v>1641</v>
      </c>
      <c r="C507" s="46" t="s">
        <v>3878</v>
      </c>
      <c r="D507" s="47"/>
    </row>
    <row r="508" spans="1:21" s="46" customFormat="1" ht="14.4" thickTop="1" thickBot="1">
      <c r="A508" s="46">
        <v>507</v>
      </c>
      <c r="B508" s="46" t="s">
        <v>3966</v>
      </c>
      <c r="C508" s="46" t="s">
        <v>3878</v>
      </c>
      <c r="D508" s="47"/>
    </row>
    <row r="509" spans="1:21" ht="13.8" hidden="1" thickTop="1">
      <c r="A509">
        <v>508</v>
      </c>
      <c r="B509" t="s">
        <v>1642</v>
      </c>
      <c r="C509" t="s">
        <v>3883</v>
      </c>
      <c r="D509" t="s">
        <v>1642</v>
      </c>
      <c r="E509">
        <v>436</v>
      </c>
    </row>
    <row r="510" spans="1:21" ht="13.8" hidden="1" thickTop="1">
      <c r="A510">
        <v>509</v>
      </c>
      <c r="B510" t="s">
        <v>1643</v>
      </c>
      <c r="C510" t="s">
        <v>3883</v>
      </c>
      <c r="D510" t="s">
        <v>1643</v>
      </c>
      <c r="E510">
        <v>437</v>
      </c>
    </row>
    <row r="511" spans="1:21" ht="13.8" thickTop="1">
      <c r="A511">
        <v>510</v>
      </c>
      <c r="B511" t="s">
        <v>3967</v>
      </c>
      <c r="C511" t="s">
        <v>3860</v>
      </c>
      <c r="D511" s="43" t="s">
        <v>1644</v>
      </c>
      <c r="E511">
        <v>438</v>
      </c>
    </row>
    <row r="512" spans="1:21" s="46" customFormat="1">
      <c r="A512" s="46">
        <v>511</v>
      </c>
      <c r="B512" s="46" t="s">
        <v>3968</v>
      </c>
      <c r="C512" s="46" t="s">
        <v>3878</v>
      </c>
    </row>
    <row r="513" spans="1:23">
      <c r="A513">
        <v>512</v>
      </c>
      <c r="B513" t="s">
        <v>3969</v>
      </c>
      <c r="C513" t="s">
        <v>3860</v>
      </c>
      <c r="D513" t="s">
        <v>1645</v>
      </c>
      <c r="E513">
        <v>439</v>
      </c>
    </row>
    <row r="514" spans="1:23" s="46" customFormat="1">
      <c r="A514" s="46">
        <v>513</v>
      </c>
      <c r="B514" s="46" t="s">
        <v>3970</v>
      </c>
      <c r="C514" s="46" t="s">
        <v>3860</v>
      </c>
      <c r="D514" s="46" t="s">
        <v>1301</v>
      </c>
      <c r="E514" s="46">
        <v>56</v>
      </c>
      <c r="F514" s="46" t="s">
        <v>1329</v>
      </c>
      <c r="G514" s="46">
        <v>88</v>
      </c>
      <c r="H514" s="46" t="s">
        <v>1354</v>
      </c>
      <c r="I514" s="46">
        <v>112</v>
      </c>
      <c r="J514" s="46" t="s">
        <v>1355</v>
      </c>
      <c r="K514" s="46">
        <v>113</v>
      </c>
      <c r="L514" s="46" t="s">
        <v>1412</v>
      </c>
      <c r="M514" s="46">
        <v>171</v>
      </c>
      <c r="N514" s="46" t="s">
        <v>1510</v>
      </c>
      <c r="O514" s="46">
        <v>290</v>
      </c>
      <c r="P514" s="46" t="s">
        <v>1537</v>
      </c>
      <c r="Q514" s="46">
        <v>318</v>
      </c>
      <c r="R514" s="46" t="s">
        <v>1673</v>
      </c>
      <c r="S514" s="46">
        <v>469</v>
      </c>
      <c r="T514" s="46" t="s">
        <v>1674</v>
      </c>
      <c r="U514" s="46">
        <v>470</v>
      </c>
      <c r="V514" s="46" t="s">
        <v>1735</v>
      </c>
      <c r="W514" s="46">
        <v>537</v>
      </c>
    </row>
    <row r="515" spans="1:23" hidden="1">
      <c r="A515">
        <v>514</v>
      </c>
      <c r="B515" t="s">
        <v>1646</v>
      </c>
      <c r="C515" t="s">
        <v>3883</v>
      </c>
      <c r="D515" t="s">
        <v>1646</v>
      </c>
      <c r="E515">
        <v>440</v>
      </c>
    </row>
    <row r="516" spans="1:23" hidden="1">
      <c r="A516">
        <v>515</v>
      </c>
      <c r="B516" t="s">
        <v>1646</v>
      </c>
      <c r="C516" t="s">
        <v>3883</v>
      </c>
      <c r="D516" t="s">
        <v>1646</v>
      </c>
      <c r="E516">
        <v>440</v>
      </c>
    </row>
    <row r="517" spans="1:23">
      <c r="A517">
        <v>516</v>
      </c>
      <c r="B517" t="s">
        <v>3971</v>
      </c>
      <c r="C517" t="s">
        <v>3860</v>
      </c>
      <c r="D517" t="s">
        <v>1325</v>
      </c>
      <c r="E517">
        <v>84</v>
      </c>
      <c r="F517" s="43" t="s">
        <v>1647</v>
      </c>
      <c r="G517">
        <v>441</v>
      </c>
    </row>
    <row r="518" spans="1:23" hidden="1">
      <c r="A518">
        <v>517</v>
      </c>
      <c r="B518" t="s">
        <v>1651</v>
      </c>
      <c r="C518" t="s">
        <v>3883</v>
      </c>
      <c r="D518" t="s">
        <v>1651</v>
      </c>
      <c r="E518">
        <v>445</v>
      </c>
    </row>
    <row r="519" spans="1:23" hidden="1">
      <c r="A519">
        <v>518</v>
      </c>
      <c r="B519" t="s">
        <v>1649</v>
      </c>
      <c r="C519" t="s">
        <v>3883</v>
      </c>
      <c r="D519" t="s">
        <v>1649</v>
      </c>
      <c r="E519">
        <v>443</v>
      </c>
    </row>
    <row r="520" spans="1:23" hidden="1">
      <c r="A520">
        <v>519</v>
      </c>
      <c r="B520" t="s">
        <v>1649</v>
      </c>
      <c r="C520" t="s">
        <v>3883</v>
      </c>
      <c r="D520" t="s">
        <v>1649</v>
      </c>
      <c r="E520">
        <v>443</v>
      </c>
    </row>
    <row r="521" spans="1:23" hidden="1">
      <c r="A521">
        <v>520</v>
      </c>
      <c r="B521" t="s">
        <v>1650</v>
      </c>
      <c r="C521" t="s">
        <v>3883</v>
      </c>
      <c r="D521" t="s">
        <v>1650</v>
      </c>
      <c r="E521">
        <v>444</v>
      </c>
    </row>
    <row r="522" spans="1:23" hidden="1">
      <c r="A522">
        <v>521</v>
      </c>
      <c r="B522" t="s">
        <v>1648</v>
      </c>
      <c r="C522" t="s">
        <v>3883</v>
      </c>
      <c r="D522" t="s">
        <v>1648</v>
      </c>
      <c r="E522">
        <v>442</v>
      </c>
    </row>
    <row r="523" spans="1:23" hidden="1">
      <c r="A523">
        <v>522</v>
      </c>
      <c r="B523" t="s">
        <v>1648</v>
      </c>
      <c r="C523" t="s">
        <v>3883</v>
      </c>
      <c r="D523" t="s">
        <v>1648</v>
      </c>
      <c r="E523">
        <v>442</v>
      </c>
    </row>
    <row r="524" spans="1:23" hidden="1">
      <c r="A524">
        <v>523</v>
      </c>
      <c r="B524" t="s">
        <v>1652</v>
      </c>
      <c r="C524" t="s">
        <v>3883</v>
      </c>
      <c r="D524" t="s">
        <v>1652</v>
      </c>
      <c r="E524">
        <v>446</v>
      </c>
    </row>
    <row r="525" spans="1:23" hidden="1">
      <c r="A525">
        <v>524</v>
      </c>
      <c r="B525" t="s">
        <v>1653</v>
      </c>
      <c r="C525" t="s">
        <v>3883</v>
      </c>
      <c r="D525" t="s">
        <v>1653</v>
      </c>
      <c r="E525">
        <v>447</v>
      </c>
    </row>
    <row r="526" spans="1:23" hidden="1">
      <c r="A526">
        <v>525</v>
      </c>
      <c r="B526" t="s">
        <v>1653</v>
      </c>
      <c r="C526" t="s">
        <v>3883</v>
      </c>
      <c r="D526" t="s">
        <v>1653</v>
      </c>
      <c r="E526">
        <v>447</v>
      </c>
    </row>
    <row r="527" spans="1:23" hidden="1">
      <c r="A527">
        <v>526</v>
      </c>
      <c r="B527" t="s">
        <v>1654</v>
      </c>
      <c r="C527" t="s">
        <v>3883</v>
      </c>
      <c r="D527" t="s">
        <v>1654</v>
      </c>
      <c r="E527">
        <v>448</v>
      </c>
    </row>
    <row r="528" spans="1:23" hidden="1">
      <c r="A528">
        <v>527</v>
      </c>
      <c r="B528" t="s">
        <v>1655</v>
      </c>
      <c r="C528" t="s">
        <v>3883</v>
      </c>
      <c r="D528" t="s">
        <v>1655</v>
      </c>
      <c r="E528">
        <v>449</v>
      </c>
    </row>
    <row r="529" spans="1:53" hidden="1">
      <c r="A529">
        <v>528</v>
      </c>
      <c r="B529" t="s">
        <v>1657</v>
      </c>
      <c r="C529" t="s">
        <v>3883</v>
      </c>
      <c r="D529" t="s">
        <v>1657</v>
      </c>
      <c r="E529">
        <v>451</v>
      </c>
    </row>
    <row r="530" spans="1:53" hidden="1">
      <c r="A530">
        <v>529</v>
      </c>
      <c r="B530" t="s">
        <v>1658</v>
      </c>
      <c r="C530" t="s">
        <v>3883</v>
      </c>
      <c r="D530" t="s">
        <v>1658</v>
      </c>
      <c r="E530">
        <v>452</v>
      </c>
    </row>
    <row r="531" spans="1:53" hidden="1">
      <c r="A531">
        <v>530</v>
      </c>
      <c r="B531" t="s">
        <v>1660</v>
      </c>
      <c r="C531" t="s">
        <v>3883</v>
      </c>
      <c r="D531" t="s">
        <v>1660</v>
      </c>
      <c r="E531">
        <v>454</v>
      </c>
    </row>
    <row r="532" spans="1:53" hidden="1">
      <c r="A532">
        <v>531</v>
      </c>
      <c r="B532" t="s">
        <v>1661</v>
      </c>
      <c r="C532" t="s">
        <v>3883</v>
      </c>
      <c r="D532" t="s">
        <v>1661</v>
      </c>
      <c r="E532">
        <v>455</v>
      </c>
    </row>
    <row r="533" spans="1:53" ht="26.4">
      <c r="A533">
        <v>532</v>
      </c>
      <c r="B533" s="17" t="s">
        <v>3972</v>
      </c>
      <c r="C533" t="s">
        <v>3860</v>
      </c>
      <c r="D533" t="s">
        <v>464</v>
      </c>
      <c r="E533">
        <v>173</v>
      </c>
      <c r="F533" t="s">
        <v>1629</v>
      </c>
      <c r="G533">
        <v>422</v>
      </c>
      <c r="H533" s="43" t="s">
        <v>1659</v>
      </c>
      <c r="I533">
        <v>453</v>
      </c>
    </row>
    <row r="534" spans="1:53">
      <c r="A534">
        <v>533</v>
      </c>
      <c r="B534" t="s">
        <v>863</v>
      </c>
      <c r="C534" t="s">
        <v>3860</v>
      </c>
      <c r="D534" t="s">
        <v>1257</v>
      </c>
      <c r="E534">
        <v>13</v>
      </c>
      <c r="F534" t="s">
        <v>1265</v>
      </c>
      <c r="G534">
        <v>20</v>
      </c>
      <c r="H534" t="s">
        <v>1281</v>
      </c>
      <c r="I534">
        <v>35</v>
      </c>
      <c r="J534" t="s">
        <v>1289</v>
      </c>
      <c r="K534">
        <v>43</v>
      </c>
      <c r="L534" t="s">
        <v>1294</v>
      </c>
      <c r="M534">
        <v>48</v>
      </c>
      <c r="N534" t="s">
        <v>1297</v>
      </c>
      <c r="O534">
        <v>51</v>
      </c>
      <c r="P534" t="s">
        <v>1303</v>
      </c>
      <c r="Q534">
        <v>59</v>
      </c>
      <c r="R534" t="s">
        <v>1437</v>
      </c>
      <c r="S534">
        <v>203</v>
      </c>
      <c r="T534" t="s">
        <v>1469</v>
      </c>
      <c r="U534">
        <v>240</v>
      </c>
      <c r="V534" t="s">
        <v>1478</v>
      </c>
      <c r="W534">
        <v>253</v>
      </c>
      <c r="X534" t="s">
        <v>1507</v>
      </c>
      <c r="Y534">
        <v>286</v>
      </c>
      <c r="Z534" t="s">
        <v>1532</v>
      </c>
      <c r="AA534">
        <v>313</v>
      </c>
      <c r="AB534" t="s">
        <v>1561</v>
      </c>
      <c r="AC534">
        <v>346</v>
      </c>
      <c r="AD534" t="s">
        <v>1562</v>
      </c>
      <c r="AE534">
        <v>347</v>
      </c>
      <c r="AF534" t="s">
        <v>1566</v>
      </c>
      <c r="AG534">
        <v>351</v>
      </c>
      <c r="AH534" t="s">
        <v>1569</v>
      </c>
      <c r="AI534">
        <v>355</v>
      </c>
      <c r="AJ534" t="s">
        <v>1580</v>
      </c>
      <c r="AK534">
        <v>366</v>
      </c>
      <c r="AL534" t="s">
        <v>1583</v>
      </c>
      <c r="AM534">
        <v>370</v>
      </c>
      <c r="AN534" t="s">
        <v>1591</v>
      </c>
      <c r="AO534">
        <v>379</v>
      </c>
      <c r="AP534" t="s">
        <v>1628</v>
      </c>
      <c r="AQ534">
        <v>421</v>
      </c>
      <c r="AR534" s="43" t="s">
        <v>1662</v>
      </c>
      <c r="AS534">
        <v>456</v>
      </c>
      <c r="AT534" t="s">
        <v>1663</v>
      </c>
      <c r="AU534">
        <v>457</v>
      </c>
      <c r="AV534" t="s">
        <v>1683</v>
      </c>
      <c r="AW534">
        <v>481</v>
      </c>
      <c r="AX534" t="s">
        <v>1745</v>
      </c>
      <c r="AY534">
        <v>549</v>
      </c>
      <c r="AZ534" t="s">
        <v>1124</v>
      </c>
      <c r="BA534">
        <v>642</v>
      </c>
    </row>
    <row r="535" spans="1:53" hidden="1">
      <c r="A535">
        <v>534</v>
      </c>
      <c r="B535" t="s">
        <v>1664</v>
      </c>
      <c r="C535" t="s">
        <v>3883</v>
      </c>
      <c r="D535" t="s">
        <v>1664</v>
      </c>
      <c r="E535">
        <v>458</v>
      </c>
    </row>
    <row r="536" spans="1:53" hidden="1">
      <c r="A536">
        <v>535</v>
      </c>
      <c r="B536" t="s">
        <v>1663</v>
      </c>
      <c r="C536" t="s">
        <v>3883</v>
      </c>
      <c r="D536" t="s">
        <v>1663</v>
      </c>
      <c r="E536">
        <v>457</v>
      </c>
    </row>
    <row r="537" spans="1:53" hidden="1">
      <c r="A537">
        <v>536</v>
      </c>
      <c r="B537" t="s">
        <v>1663</v>
      </c>
      <c r="C537" t="s">
        <v>3883</v>
      </c>
      <c r="D537" t="s">
        <v>1663</v>
      </c>
      <c r="E537">
        <v>457</v>
      </c>
    </row>
    <row r="538" spans="1:53">
      <c r="A538">
        <v>537</v>
      </c>
      <c r="B538" t="s">
        <v>866</v>
      </c>
      <c r="C538" t="s">
        <v>3860</v>
      </c>
      <c r="D538" s="44" t="s">
        <v>1540</v>
      </c>
      <c r="E538">
        <v>324</v>
      </c>
    </row>
    <row r="539" spans="1:53" hidden="1">
      <c r="A539">
        <v>538</v>
      </c>
      <c r="B539" t="s">
        <v>867</v>
      </c>
      <c r="C539" t="s">
        <v>3883</v>
      </c>
      <c r="D539" t="s">
        <v>867</v>
      </c>
      <c r="E539">
        <v>459</v>
      </c>
    </row>
    <row r="540" spans="1:53">
      <c r="A540">
        <v>539</v>
      </c>
      <c r="B540" t="s">
        <v>868</v>
      </c>
      <c r="C540" t="s">
        <v>3860</v>
      </c>
      <c r="D540" t="s">
        <v>1321</v>
      </c>
      <c r="E540">
        <v>80</v>
      </c>
      <c r="F540" t="s">
        <v>1411</v>
      </c>
      <c r="G540">
        <v>170</v>
      </c>
      <c r="H540" t="s">
        <v>1411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1584</v>
      </c>
      <c r="O540">
        <v>371</v>
      </c>
      <c r="P540" t="s">
        <v>1610</v>
      </c>
      <c r="Q540">
        <v>399</v>
      </c>
      <c r="R540" t="s">
        <v>1619</v>
      </c>
      <c r="S540">
        <v>410</v>
      </c>
      <c r="T540" s="43" t="s">
        <v>1665</v>
      </c>
      <c r="U540">
        <v>460</v>
      </c>
      <c r="V540" t="s">
        <v>890</v>
      </c>
      <c r="W540">
        <v>476</v>
      </c>
      <c r="X540" t="s">
        <v>1687</v>
      </c>
      <c r="Y540">
        <v>485</v>
      </c>
      <c r="Z540" t="s">
        <v>1022</v>
      </c>
      <c r="AA540">
        <v>570</v>
      </c>
      <c r="AB540" t="s">
        <v>1853</v>
      </c>
      <c r="AC540">
        <v>663</v>
      </c>
    </row>
    <row r="541" spans="1:53">
      <c r="A541">
        <v>540</v>
      </c>
      <c r="B541" t="s">
        <v>3973</v>
      </c>
      <c r="C541" t="s">
        <v>3860</v>
      </c>
      <c r="D541" t="s">
        <v>1247</v>
      </c>
      <c r="E541">
        <v>2</v>
      </c>
      <c r="F541" t="s">
        <v>276</v>
      </c>
      <c r="G541">
        <v>63</v>
      </c>
      <c r="H541" t="s">
        <v>1334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1597</v>
      </c>
      <c r="O541">
        <v>386</v>
      </c>
      <c r="P541" t="s">
        <v>1625</v>
      </c>
      <c r="Q541">
        <v>416</v>
      </c>
      <c r="R541" s="43" t="s">
        <v>1667</v>
      </c>
      <c r="S541">
        <v>462</v>
      </c>
      <c r="T541" t="s">
        <v>1679</v>
      </c>
      <c r="U541">
        <v>475</v>
      </c>
    </row>
    <row r="542" spans="1:53" s="46" customFormat="1">
      <c r="A542" s="46">
        <v>541</v>
      </c>
      <c r="B542" s="46" t="s">
        <v>870</v>
      </c>
      <c r="C542" s="46" t="s">
        <v>3860</v>
      </c>
      <c r="D542" s="46" t="s">
        <v>1269</v>
      </c>
      <c r="E542" s="46">
        <v>24</v>
      </c>
      <c r="F542" s="46" t="s">
        <v>1316</v>
      </c>
      <c r="G542" s="46">
        <v>75</v>
      </c>
      <c r="H542" s="46" t="s">
        <v>1472</v>
      </c>
      <c r="I542" s="46">
        <v>246</v>
      </c>
    </row>
    <row r="543" spans="1:53">
      <c r="A543">
        <v>542</v>
      </c>
      <c r="B543" t="s">
        <v>3974</v>
      </c>
      <c r="C543" t="s">
        <v>3860</v>
      </c>
      <c r="D543" s="44" t="s">
        <v>1254</v>
      </c>
      <c r="E543">
        <v>10</v>
      </c>
      <c r="F543" t="s">
        <v>1276</v>
      </c>
      <c r="G543">
        <v>31</v>
      </c>
      <c r="H543" t="s">
        <v>1338</v>
      </c>
      <c r="I543">
        <v>98</v>
      </c>
      <c r="J543" t="s">
        <v>1455</v>
      </c>
      <c r="K543">
        <v>223</v>
      </c>
      <c r="L543" t="s">
        <v>1456</v>
      </c>
      <c r="M543">
        <v>225</v>
      </c>
      <c r="N543" t="s">
        <v>578</v>
      </c>
      <c r="O543">
        <v>243</v>
      </c>
      <c r="P543" t="s">
        <v>1509</v>
      </c>
      <c r="Q543">
        <v>289</v>
      </c>
      <c r="R543" t="s">
        <v>1565</v>
      </c>
      <c r="S543">
        <v>350</v>
      </c>
      <c r="T543" t="s">
        <v>1596</v>
      </c>
      <c r="U543">
        <v>385</v>
      </c>
      <c r="V543" t="s">
        <v>1602</v>
      </c>
      <c r="W543">
        <v>391</v>
      </c>
      <c r="X543" t="s">
        <v>1654</v>
      </c>
      <c r="Y543">
        <v>448</v>
      </c>
      <c r="Z543" t="s">
        <v>1669</v>
      </c>
      <c r="AA543">
        <v>464</v>
      </c>
      <c r="AB543" t="s">
        <v>1670</v>
      </c>
      <c r="AC543">
        <v>465</v>
      </c>
      <c r="AD543" t="s">
        <v>1755</v>
      </c>
      <c r="AE543">
        <v>561</v>
      </c>
      <c r="AF543" t="s">
        <v>1867</v>
      </c>
      <c r="AG543">
        <v>678</v>
      </c>
    </row>
    <row r="544" spans="1:53">
      <c r="A544">
        <v>543</v>
      </c>
      <c r="B544" t="s">
        <v>875</v>
      </c>
      <c r="C544" t="s">
        <v>3860</v>
      </c>
      <c r="D544" s="43" t="s">
        <v>1669</v>
      </c>
      <c r="E544">
        <v>466</v>
      </c>
      <c r="F544" t="s">
        <v>1781</v>
      </c>
      <c r="G544">
        <v>589</v>
      </c>
    </row>
    <row r="545" spans="1:33">
      <c r="A545">
        <v>544</v>
      </c>
      <c r="B545" t="s">
        <v>3975</v>
      </c>
      <c r="C545" t="s">
        <v>3860</v>
      </c>
      <c r="D545" t="s">
        <v>1254</v>
      </c>
      <c r="E545">
        <v>10</v>
      </c>
      <c r="F545" t="s">
        <v>1276</v>
      </c>
      <c r="G545">
        <v>31</v>
      </c>
      <c r="H545" t="s">
        <v>1338</v>
      </c>
      <c r="I545">
        <v>98</v>
      </c>
      <c r="J545" t="s">
        <v>1455</v>
      </c>
      <c r="K545">
        <v>223</v>
      </c>
      <c r="L545" t="s">
        <v>1456</v>
      </c>
      <c r="M545">
        <v>225</v>
      </c>
      <c r="N545" t="s">
        <v>578</v>
      </c>
      <c r="O545">
        <v>243</v>
      </c>
      <c r="P545" t="s">
        <v>1509</v>
      </c>
      <c r="Q545">
        <v>289</v>
      </c>
      <c r="R545" t="s">
        <v>1565</v>
      </c>
      <c r="S545">
        <v>350</v>
      </c>
      <c r="T545" t="s">
        <v>1596</v>
      </c>
      <c r="U545">
        <v>385</v>
      </c>
      <c r="V545" t="s">
        <v>1602</v>
      </c>
      <c r="W545">
        <v>391</v>
      </c>
      <c r="X545" t="s">
        <v>1654</v>
      </c>
      <c r="Y545">
        <v>448</v>
      </c>
      <c r="Z545" s="43" t="s">
        <v>1669</v>
      </c>
      <c r="AA545">
        <v>464</v>
      </c>
      <c r="AB545" t="s">
        <v>1670</v>
      </c>
      <c r="AC545">
        <v>465</v>
      </c>
      <c r="AD545" t="s">
        <v>1755</v>
      </c>
      <c r="AE545">
        <v>561</v>
      </c>
      <c r="AF545" t="s">
        <v>1867</v>
      </c>
      <c r="AG545">
        <v>678</v>
      </c>
    </row>
    <row r="546" spans="1:33" hidden="1">
      <c r="A546">
        <v>545</v>
      </c>
      <c r="B546" t="s">
        <v>1672</v>
      </c>
      <c r="C546" t="s">
        <v>3883</v>
      </c>
      <c r="D546" t="s">
        <v>1672</v>
      </c>
      <c r="E546">
        <v>468</v>
      </c>
    </row>
    <row r="547" spans="1:33" hidden="1">
      <c r="A547">
        <v>546</v>
      </c>
      <c r="B547" t="s">
        <v>1671</v>
      </c>
      <c r="C547" t="s">
        <v>3883</v>
      </c>
      <c r="D547" t="s">
        <v>1671</v>
      </c>
      <c r="E547">
        <v>467</v>
      </c>
    </row>
    <row r="548" spans="1:33" hidden="1">
      <c r="A548">
        <v>547</v>
      </c>
      <c r="B548" t="s">
        <v>1675</v>
      </c>
      <c r="C548" t="s">
        <v>3883</v>
      </c>
      <c r="D548" t="s">
        <v>1675</v>
      </c>
      <c r="E548">
        <v>471</v>
      </c>
    </row>
    <row r="549" spans="1:33" hidden="1">
      <c r="A549">
        <v>548</v>
      </c>
      <c r="B549" t="s">
        <v>1675</v>
      </c>
      <c r="C549" t="s">
        <v>3883</v>
      </c>
      <c r="D549" t="s">
        <v>1675</v>
      </c>
      <c r="E549">
        <v>471</v>
      </c>
    </row>
    <row r="550" spans="1:33">
      <c r="A550">
        <v>549</v>
      </c>
      <c r="B550" t="s">
        <v>3976</v>
      </c>
      <c r="C550" t="s">
        <v>3860</v>
      </c>
      <c r="D550" s="43" t="s">
        <v>1676</v>
      </c>
      <c r="E550">
        <v>472</v>
      </c>
    </row>
    <row r="551" spans="1:33" hidden="1">
      <c r="A551">
        <v>550</v>
      </c>
      <c r="B551" t="s">
        <v>1677</v>
      </c>
      <c r="C551" t="s">
        <v>3883</v>
      </c>
      <c r="D551" t="s">
        <v>1677</v>
      </c>
      <c r="E551">
        <v>473</v>
      </c>
    </row>
    <row r="552" spans="1:33" hidden="1">
      <c r="A552">
        <v>551</v>
      </c>
      <c r="B552" t="s">
        <v>1679</v>
      </c>
      <c r="C552" t="s">
        <v>3883</v>
      </c>
      <c r="D552" t="s">
        <v>1679</v>
      </c>
      <c r="E552">
        <v>475</v>
      </c>
    </row>
    <row r="553" spans="1:33" hidden="1">
      <c r="A553">
        <v>552</v>
      </c>
      <c r="B553" t="s">
        <v>890</v>
      </c>
      <c r="C553" t="s">
        <v>3883</v>
      </c>
      <c r="D553" t="s">
        <v>890</v>
      </c>
      <c r="E553">
        <v>476</v>
      </c>
    </row>
    <row r="554" spans="1:33">
      <c r="A554">
        <v>553</v>
      </c>
      <c r="B554" t="s">
        <v>1680</v>
      </c>
      <c r="C554" t="s">
        <v>3860</v>
      </c>
      <c r="D554" s="44" t="s">
        <v>1490</v>
      </c>
      <c r="E554">
        <v>269</v>
      </c>
    </row>
    <row r="555" spans="1:33" hidden="1">
      <c r="A555">
        <v>554</v>
      </c>
      <c r="B555" t="s">
        <v>892</v>
      </c>
      <c r="C555" t="s">
        <v>3883</v>
      </c>
      <c r="D555" t="s">
        <v>892</v>
      </c>
      <c r="E555">
        <v>479</v>
      </c>
    </row>
    <row r="556" spans="1:33" hidden="1">
      <c r="A556">
        <v>555</v>
      </c>
      <c r="B556" t="s">
        <v>1682</v>
      </c>
      <c r="C556" t="s">
        <v>3883</v>
      </c>
      <c r="D556" t="s">
        <v>1682</v>
      </c>
      <c r="E556">
        <v>480</v>
      </c>
    </row>
    <row r="557" spans="1:33" hidden="1">
      <c r="A557">
        <v>556</v>
      </c>
      <c r="B557" t="s">
        <v>1682</v>
      </c>
      <c r="C557" t="s">
        <v>3883</v>
      </c>
      <c r="D557" t="s">
        <v>1682</v>
      </c>
      <c r="E557">
        <v>480</v>
      </c>
    </row>
    <row r="558" spans="1:33" hidden="1">
      <c r="A558">
        <v>557</v>
      </c>
      <c r="B558" t="s">
        <v>1683</v>
      </c>
      <c r="C558" t="s">
        <v>3883</v>
      </c>
      <c r="D558" t="s">
        <v>1683</v>
      </c>
      <c r="E558">
        <v>481</v>
      </c>
    </row>
    <row r="559" spans="1:33" hidden="1">
      <c r="A559">
        <v>558</v>
      </c>
      <c r="B559" t="s">
        <v>1683</v>
      </c>
      <c r="C559" t="s">
        <v>3883</v>
      </c>
      <c r="D559" t="s">
        <v>1683</v>
      </c>
      <c r="E559">
        <v>481</v>
      </c>
    </row>
    <row r="560" spans="1:33" hidden="1">
      <c r="A560">
        <v>559</v>
      </c>
      <c r="B560" t="s">
        <v>1684</v>
      </c>
      <c r="C560" t="s">
        <v>3883</v>
      </c>
      <c r="D560" t="s">
        <v>1684</v>
      </c>
      <c r="E560">
        <v>482</v>
      </c>
    </row>
    <row r="561" spans="1:29" hidden="1">
      <c r="A561">
        <v>560</v>
      </c>
      <c r="B561" t="s">
        <v>1685</v>
      </c>
      <c r="C561" t="s">
        <v>3883</v>
      </c>
      <c r="D561" t="s">
        <v>1685</v>
      </c>
      <c r="E561">
        <v>483</v>
      </c>
    </row>
    <row r="562" spans="1:29" hidden="1">
      <c r="A562">
        <v>561</v>
      </c>
      <c r="B562" t="s">
        <v>1686</v>
      </c>
      <c r="C562" t="s">
        <v>3883</v>
      </c>
      <c r="D562" t="s">
        <v>1686</v>
      </c>
      <c r="E562">
        <v>484</v>
      </c>
    </row>
    <row r="563" spans="1:29">
      <c r="A563">
        <v>562</v>
      </c>
      <c r="B563" t="s">
        <v>3977</v>
      </c>
      <c r="C563" t="s">
        <v>3860</v>
      </c>
      <c r="D563" t="s">
        <v>1321</v>
      </c>
      <c r="E563">
        <v>80</v>
      </c>
      <c r="F563" t="s">
        <v>1411</v>
      </c>
      <c r="G563">
        <v>170</v>
      </c>
      <c r="H563" t="s">
        <v>1411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1584</v>
      </c>
      <c r="O563">
        <v>371</v>
      </c>
      <c r="P563" t="s">
        <v>1610</v>
      </c>
      <c r="Q563">
        <v>399</v>
      </c>
      <c r="R563" t="s">
        <v>1619</v>
      </c>
      <c r="S563">
        <v>410</v>
      </c>
      <c r="T563" t="s">
        <v>1665</v>
      </c>
      <c r="U563">
        <v>460</v>
      </c>
      <c r="V563" t="s">
        <v>890</v>
      </c>
      <c r="W563">
        <v>476</v>
      </c>
      <c r="X563" s="43" t="s">
        <v>1687</v>
      </c>
      <c r="Y563">
        <v>485</v>
      </c>
      <c r="Z563" t="s">
        <v>1022</v>
      </c>
      <c r="AA563">
        <v>570</v>
      </c>
      <c r="AB563" t="s">
        <v>1853</v>
      </c>
      <c r="AC563">
        <v>663</v>
      </c>
    </row>
    <row r="564" spans="1:29" hidden="1">
      <c r="A564">
        <v>563</v>
      </c>
      <c r="B564" t="s">
        <v>1689</v>
      </c>
      <c r="C564" t="s">
        <v>3883</v>
      </c>
      <c r="D564" t="s">
        <v>1689</v>
      </c>
      <c r="E564">
        <v>487</v>
      </c>
    </row>
    <row r="565" spans="1:29" hidden="1">
      <c r="A565">
        <v>564</v>
      </c>
      <c r="B565" t="s">
        <v>1691</v>
      </c>
      <c r="C565" t="s">
        <v>3883</v>
      </c>
      <c r="D565" t="s">
        <v>1691</v>
      </c>
      <c r="E565">
        <v>489</v>
      </c>
    </row>
    <row r="566" spans="1:29" hidden="1">
      <c r="A566">
        <v>565</v>
      </c>
      <c r="B566" t="s">
        <v>1690</v>
      </c>
      <c r="C566" t="s">
        <v>3883</v>
      </c>
      <c r="D566" t="s">
        <v>1690</v>
      </c>
      <c r="E566">
        <v>488</v>
      </c>
    </row>
    <row r="567" spans="1:29">
      <c r="A567">
        <v>566</v>
      </c>
      <c r="B567" t="s">
        <v>3978</v>
      </c>
      <c r="C567" t="s">
        <v>3860</v>
      </c>
      <c r="D567" t="s">
        <v>1692</v>
      </c>
      <c r="E567">
        <v>490</v>
      </c>
    </row>
    <row r="568" spans="1:29" hidden="1">
      <c r="A568">
        <v>567</v>
      </c>
      <c r="B568" t="s">
        <v>1692</v>
      </c>
      <c r="C568" t="s">
        <v>3883</v>
      </c>
      <c r="D568" t="s">
        <v>1692</v>
      </c>
      <c r="E568">
        <v>490</v>
      </c>
    </row>
    <row r="569" spans="1:29" hidden="1">
      <c r="A569">
        <v>568</v>
      </c>
      <c r="B569" t="s">
        <v>1693</v>
      </c>
      <c r="C569" t="s">
        <v>3883</v>
      </c>
      <c r="D569" t="s">
        <v>1693</v>
      </c>
      <c r="E569">
        <v>491</v>
      </c>
    </row>
    <row r="570" spans="1:29" hidden="1">
      <c r="A570">
        <v>569</v>
      </c>
      <c r="B570" t="s">
        <v>1693</v>
      </c>
      <c r="C570" t="s">
        <v>3883</v>
      </c>
      <c r="D570" t="s">
        <v>1693</v>
      </c>
      <c r="E570">
        <v>491</v>
      </c>
    </row>
    <row r="571" spans="1:29" hidden="1">
      <c r="A571">
        <v>570</v>
      </c>
      <c r="B571" t="s">
        <v>1698</v>
      </c>
      <c r="C571" t="s">
        <v>3883</v>
      </c>
      <c r="D571" t="s">
        <v>1698</v>
      </c>
      <c r="E571">
        <v>496</v>
      </c>
    </row>
    <row r="572" spans="1:29" hidden="1">
      <c r="A572">
        <v>571</v>
      </c>
      <c r="B572" t="s">
        <v>1697</v>
      </c>
      <c r="C572" t="s">
        <v>3883</v>
      </c>
      <c r="D572" t="s">
        <v>1697</v>
      </c>
      <c r="E572">
        <v>495</v>
      </c>
    </row>
    <row r="573" spans="1:29" hidden="1">
      <c r="A573">
        <v>572</v>
      </c>
      <c r="B573" t="s">
        <v>1694</v>
      </c>
      <c r="C573" t="s">
        <v>3883</v>
      </c>
      <c r="D573" t="s">
        <v>1694</v>
      </c>
      <c r="E573">
        <v>492</v>
      </c>
    </row>
    <row r="574" spans="1:29" hidden="1">
      <c r="A574">
        <v>573</v>
      </c>
      <c r="B574" t="s">
        <v>1695</v>
      </c>
      <c r="C574" t="s">
        <v>3883</v>
      </c>
      <c r="D574" t="s">
        <v>1695</v>
      </c>
      <c r="E574">
        <v>493</v>
      </c>
    </row>
    <row r="575" spans="1:29" hidden="1">
      <c r="A575">
        <v>574</v>
      </c>
      <c r="B575" t="s">
        <v>1695</v>
      </c>
      <c r="C575" t="s">
        <v>3883</v>
      </c>
      <c r="D575" t="s">
        <v>1695</v>
      </c>
      <c r="E575">
        <v>493</v>
      </c>
    </row>
    <row r="576" spans="1:29" hidden="1">
      <c r="A576">
        <v>575</v>
      </c>
      <c r="B576" t="s">
        <v>1696</v>
      </c>
      <c r="C576" t="s">
        <v>3883</v>
      </c>
      <c r="D576" t="s">
        <v>1696</v>
      </c>
      <c r="E576">
        <v>494</v>
      </c>
    </row>
    <row r="577" spans="1:83" hidden="1">
      <c r="A577">
        <v>576</v>
      </c>
      <c r="B577" t="s">
        <v>1696</v>
      </c>
      <c r="C577" t="s">
        <v>3883</v>
      </c>
      <c r="D577" t="s">
        <v>1696</v>
      </c>
      <c r="E577">
        <v>494</v>
      </c>
    </row>
    <row r="578" spans="1:83">
      <c r="A578">
        <v>577</v>
      </c>
      <c r="B578" t="s">
        <v>3979</v>
      </c>
      <c r="C578" t="s">
        <v>3860</v>
      </c>
      <c r="D578" s="43" t="s">
        <v>1699</v>
      </c>
      <c r="E578">
        <v>497</v>
      </c>
      <c r="F578" t="s">
        <v>1741</v>
      </c>
      <c r="G578">
        <v>543</v>
      </c>
    </row>
    <row r="579" spans="1:83">
      <c r="A579">
        <v>578</v>
      </c>
      <c r="B579" t="s">
        <v>3979</v>
      </c>
      <c r="C579" t="s">
        <v>3860</v>
      </c>
      <c r="D579" s="43" t="s">
        <v>1699</v>
      </c>
      <c r="E579">
        <v>497</v>
      </c>
      <c r="F579" t="s">
        <v>1741</v>
      </c>
      <c r="G579">
        <v>543</v>
      </c>
    </row>
    <row r="580" spans="1:83" hidden="1">
      <c r="A580">
        <v>579</v>
      </c>
      <c r="B580" t="s">
        <v>1700</v>
      </c>
      <c r="C580" t="s">
        <v>3883</v>
      </c>
      <c r="D580" t="s">
        <v>1700</v>
      </c>
      <c r="E580">
        <v>498</v>
      </c>
    </row>
    <row r="581" spans="1:83">
      <c r="A581">
        <v>580</v>
      </c>
      <c r="B581" t="s">
        <v>3980</v>
      </c>
      <c r="C581" t="s">
        <v>3860</v>
      </c>
      <c r="D581" t="s">
        <v>1703</v>
      </c>
      <c r="E581">
        <v>502</v>
      </c>
    </row>
    <row r="582" spans="1:83" hidden="1">
      <c r="A582">
        <v>581</v>
      </c>
      <c r="B582" t="s">
        <v>1239</v>
      </c>
      <c r="C582" t="s">
        <v>3883</v>
      </c>
      <c r="D582" t="s">
        <v>1239</v>
      </c>
      <c r="E582">
        <v>500</v>
      </c>
    </row>
    <row r="583" spans="1:83" hidden="1">
      <c r="A583">
        <v>582</v>
      </c>
      <c r="B583" t="s">
        <v>1704</v>
      </c>
      <c r="C583" t="s">
        <v>3883</v>
      </c>
      <c r="D583" t="s">
        <v>1704</v>
      </c>
      <c r="E583">
        <v>503</v>
      </c>
    </row>
    <row r="584" spans="1:83" hidden="1">
      <c r="A584">
        <v>583</v>
      </c>
      <c r="B584" t="s">
        <v>1701</v>
      </c>
      <c r="C584" t="s">
        <v>3883</v>
      </c>
      <c r="D584" t="s">
        <v>1701</v>
      </c>
      <c r="E584">
        <v>499</v>
      </c>
    </row>
    <row r="585" spans="1:83">
      <c r="A585">
        <v>584</v>
      </c>
      <c r="B585" t="s">
        <v>3981</v>
      </c>
      <c r="C585" t="s">
        <v>3860</v>
      </c>
      <c r="D585" t="s">
        <v>1706</v>
      </c>
      <c r="E585">
        <v>505</v>
      </c>
    </row>
    <row r="586" spans="1:83" hidden="1">
      <c r="A586">
        <v>585</v>
      </c>
      <c r="B586" t="s">
        <v>1707</v>
      </c>
      <c r="C586" t="s">
        <v>3883</v>
      </c>
      <c r="D586" t="s">
        <v>1707</v>
      </c>
      <c r="E586">
        <v>506</v>
      </c>
    </row>
    <row r="587" spans="1:83" hidden="1">
      <c r="A587">
        <v>586</v>
      </c>
      <c r="B587" t="s">
        <v>926</v>
      </c>
      <c r="C587" t="s">
        <v>3883</v>
      </c>
      <c r="D587" t="s">
        <v>926</v>
      </c>
      <c r="E587">
        <v>507</v>
      </c>
    </row>
    <row r="588" spans="1:83">
      <c r="A588">
        <v>587</v>
      </c>
      <c r="B588" t="s">
        <v>927</v>
      </c>
      <c r="C588" t="s">
        <v>3860</v>
      </c>
      <c r="D588" t="s">
        <v>1263</v>
      </c>
      <c r="E588">
        <v>19</v>
      </c>
      <c r="F588" t="s">
        <v>1267</v>
      </c>
      <c r="G588">
        <v>22</v>
      </c>
      <c r="H588" t="s">
        <v>1286</v>
      </c>
      <c r="I588">
        <v>40</v>
      </c>
      <c r="J588" t="s">
        <v>1307</v>
      </c>
      <c r="K588">
        <v>64</v>
      </c>
      <c r="L588" t="s">
        <v>1310</v>
      </c>
      <c r="M588">
        <v>69</v>
      </c>
      <c r="N588" t="s">
        <v>1313</v>
      </c>
      <c r="O588">
        <v>72</v>
      </c>
      <c r="P588" t="s">
        <v>1322</v>
      </c>
      <c r="Q588">
        <v>81</v>
      </c>
      <c r="R588" t="s">
        <v>1353</v>
      </c>
      <c r="S588">
        <v>111</v>
      </c>
      <c r="T588" t="s">
        <v>1363</v>
      </c>
      <c r="U588">
        <v>121</v>
      </c>
      <c r="V588" t="s">
        <v>1364</v>
      </c>
      <c r="W588">
        <v>122</v>
      </c>
      <c r="X588" t="s">
        <v>1372</v>
      </c>
      <c r="Y588">
        <v>130</v>
      </c>
      <c r="Z588" t="s">
        <v>1373</v>
      </c>
      <c r="AA588">
        <v>131</v>
      </c>
      <c r="AB588" t="s">
        <v>1395</v>
      </c>
      <c r="AC588">
        <v>154</v>
      </c>
      <c r="AD588" t="s">
        <v>1428</v>
      </c>
      <c r="AE588">
        <v>194</v>
      </c>
      <c r="AF588" t="s">
        <v>1511</v>
      </c>
      <c r="AG588">
        <v>291</v>
      </c>
      <c r="AH588" t="s">
        <v>1512</v>
      </c>
      <c r="AI588">
        <v>292</v>
      </c>
      <c r="AJ588" t="s">
        <v>1524</v>
      </c>
      <c r="AK588">
        <v>304</v>
      </c>
      <c r="AL588" t="s">
        <v>1548</v>
      </c>
      <c r="AM588">
        <v>332</v>
      </c>
      <c r="AN588" t="s">
        <v>1564</v>
      </c>
      <c r="AO588">
        <v>349</v>
      </c>
      <c r="AP588" t="s">
        <v>739</v>
      </c>
      <c r="AQ588">
        <v>368</v>
      </c>
      <c r="AR588" t="s">
        <v>1594</v>
      </c>
      <c r="AS588">
        <v>382</v>
      </c>
      <c r="AT588" t="s">
        <v>1632</v>
      </c>
      <c r="AU588">
        <v>427</v>
      </c>
      <c r="AV588" t="s">
        <v>1633</v>
      </c>
      <c r="AW588">
        <v>428</v>
      </c>
      <c r="AX588" t="s">
        <v>1653</v>
      </c>
      <c r="AY588">
        <v>447</v>
      </c>
      <c r="AZ588" t="s">
        <v>1660</v>
      </c>
      <c r="BA588">
        <v>454</v>
      </c>
      <c r="BB588" t="s">
        <v>1675</v>
      </c>
      <c r="BC588">
        <v>471</v>
      </c>
      <c r="BD588" t="s">
        <v>1693</v>
      </c>
      <c r="BE588">
        <v>491</v>
      </c>
      <c r="BF588" s="43" t="s">
        <v>1708</v>
      </c>
      <c r="BG588">
        <v>508</v>
      </c>
      <c r="BH588" t="s">
        <v>1730</v>
      </c>
      <c r="BI588">
        <v>530</v>
      </c>
      <c r="BJ588" t="s">
        <v>1754</v>
      </c>
      <c r="BK588">
        <v>560</v>
      </c>
      <c r="BL588" t="s">
        <v>1758</v>
      </c>
      <c r="BM588">
        <v>565</v>
      </c>
      <c r="BN588" t="s">
        <v>1765</v>
      </c>
      <c r="BO588">
        <v>573</v>
      </c>
      <c r="BP588" t="s">
        <v>1790</v>
      </c>
      <c r="BQ588">
        <v>598</v>
      </c>
      <c r="BR588" t="s">
        <v>1807</v>
      </c>
      <c r="BS588">
        <v>614</v>
      </c>
      <c r="BT588" t="s">
        <v>1808</v>
      </c>
      <c r="BU588">
        <v>615</v>
      </c>
      <c r="BV588" t="s">
        <v>1809</v>
      </c>
      <c r="BW588">
        <v>616</v>
      </c>
      <c r="BX588" t="s">
        <v>1820</v>
      </c>
      <c r="BY588">
        <v>627</v>
      </c>
      <c r="BZ588" t="s">
        <v>1839</v>
      </c>
      <c r="CA588">
        <v>649</v>
      </c>
      <c r="CB588" t="s">
        <v>1858</v>
      </c>
      <c r="CC588">
        <v>668</v>
      </c>
      <c r="CD588" t="s">
        <v>1168</v>
      </c>
      <c r="CE588">
        <v>681</v>
      </c>
    </row>
    <row r="589" spans="1:83" hidden="1">
      <c r="A589">
        <v>588</v>
      </c>
      <c r="B589" t="s">
        <v>1709</v>
      </c>
      <c r="C589" t="s">
        <v>3883</v>
      </c>
      <c r="D589" t="s">
        <v>1709</v>
      </c>
      <c r="E589">
        <v>509</v>
      </c>
    </row>
    <row r="590" spans="1:83">
      <c r="A590">
        <v>589</v>
      </c>
      <c r="B590" t="s">
        <v>1710</v>
      </c>
      <c r="C590" t="s">
        <v>3878</v>
      </c>
      <c r="D590" s="46"/>
    </row>
    <row r="591" spans="1:83">
      <c r="A591">
        <v>590</v>
      </c>
      <c r="B591" t="s">
        <v>3982</v>
      </c>
      <c r="C591" t="s">
        <v>3860</v>
      </c>
      <c r="D591" s="43" t="s">
        <v>1711</v>
      </c>
      <c r="E591">
        <v>510</v>
      </c>
    </row>
    <row r="592" spans="1:83">
      <c r="A592">
        <v>591</v>
      </c>
      <c r="B592" t="s">
        <v>3983</v>
      </c>
      <c r="C592" t="s">
        <v>3860</v>
      </c>
      <c r="D592" s="43" t="s">
        <v>1714</v>
      </c>
      <c r="E592">
        <v>513</v>
      </c>
    </row>
    <row r="593" spans="1:9">
      <c r="A593">
        <v>592</v>
      </c>
      <c r="B593" t="s">
        <v>3984</v>
      </c>
      <c r="C593" t="s">
        <v>3860</v>
      </c>
      <c r="D593" s="43" t="s">
        <v>1713</v>
      </c>
      <c r="E593">
        <v>512</v>
      </c>
    </row>
    <row r="594" spans="1:9" hidden="1">
      <c r="A594">
        <v>593</v>
      </c>
      <c r="B594" t="s">
        <v>1716</v>
      </c>
      <c r="C594" t="s">
        <v>3883</v>
      </c>
      <c r="D594" t="s">
        <v>1716</v>
      </c>
      <c r="E594">
        <v>515</v>
      </c>
    </row>
    <row r="595" spans="1:9">
      <c r="A595">
        <v>594</v>
      </c>
      <c r="B595" t="s">
        <v>3985</v>
      </c>
      <c r="C595" t="s">
        <v>3860</v>
      </c>
      <c r="D595" s="43" t="s">
        <v>1715</v>
      </c>
      <c r="E595">
        <v>514</v>
      </c>
      <c r="F595" t="s">
        <v>1716</v>
      </c>
      <c r="G595">
        <v>515</v>
      </c>
      <c r="H595" t="s">
        <v>1869</v>
      </c>
      <c r="I595">
        <v>680</v>
      </c>
    </row>
    <row r="596" spans="1:9">
      <c r="A596">
        <v>595</v>
      </c>
      <c r="B596" t="s">
        <v>3986</v>
      </c>
      <c r="C596" t="s">
        <v>3860</v>
      </c>
      <c r="D596" s="43" t="s">
        <v>1717</v>
      </c>
      <c r="E596">
        <v>516</v>
      </c>
    </row>
    <row r="597" spans="1:9" hidden="1">
      <c r="A597">
        <v>596</v>
      </c>
      <c r="B597" t="s">
        <v>1718</v>
      </c>
      <c r="C597" t="s">
        <v>3883</v>
      </c>
      <c r="D597" t="s">
        <v>1718</v>
      </c>
      <c r="E597">
        <v>517</v>
      </c>
    </row>
    <row r="598" spans="1:9" hidden="1">
      <c r="A598">
        <v>597</v>
      </c>
      <c r="B598" t="s">
        <v>1719</v>
      </c>
      <c r="C598" t="s">
        <v>3883</v>
      </c>
      <c r="D598" t="s">
        <v>1719</v>
      </c>
      <c r="E598">
        <v>518</v>
      </c>
    </row>
    <row r="599" spans="1:9" hidden="1">
      <c r="A599">
        <v>598</v>
      </c>
      <c r="B599" t="s">
        <v>1720</v>
      </c>
      <c r="C599" t="s">
        <v>3883</v>
      </c>
      <c r="D599" t="s">
        <v>1720</v>
      </c>
      <c r="E599">
        <v>519</v>
      </c>
    </row>
    <row r="600" spans="1:9" hidden="1">
      <c r="A600">
        <v>599</v>
      </c>
      <c r="B600" t="s">
        <v>945</v>
      </c>
      <c r="C600" t="s">
        <v>3883</v>
      </c>
      <c r="D600" t="s">
        <v>945</v>
      </c>
      <c r="E600">
        <v>520</v>
      </c>
    </row>
    <row r="601" spans="1:9" hidden="1">
      <c r="A601">
        <v>600</v>
      </c>
      <c r="B601" t="s">
        <v>1721</v>
      </c>
      <c r="C601" t="s">
        <v>3883</v>
      </c>
      <c r="D601" t="s">
        <v>1721</v>
      </c>
      <c r="E601">
        <v>521</v>
      </c>
    </row>
    <row r="602" spans="1:9" hidden="1">
      <c r="A602">
        <v>601</v>
      </c>
      <c r="B602" t="s">
        <v>1722</v>
      </c>
      <c r="C602" t="s">
        <v>3883</v>
      </c>
      <c r="D602" t="s">
        <v>1722</v>
      </c>
      <c r="E602">
        <v>522</v>
      </c>
    </row>
    <row r="603" spans="1:9">
      <c r="A603">
        <v>602</v>
      </c>
      <c r="B603" t="s">
        <v>3987</v>
      </c>
      <c r="C603" t="s">
        <v>3860</v>
      </c>
      <c r="D603" t="s">
        <v>1447</v>
      </c>
      <c r="E603">
        <v>214</v>
      </c>
      <c r="F603" s="43" t="s">
        <v>1723</v>
      </c>
      <c r="G603">
        <v>523</v>
      </c>
      <c r="H603" t="s">
        <v>1740</v>
      </c>
      <c r="I603">
        <v>542</v>
      </c>
    </row>
    <row r="604" spans="1:9" hidden="1">
      <c r="A604">
        <v>603</v>
      </c>
      <c r="B604" t="s">
        <v>1724</v>
      </c>
      <c r="C604" t="s">
        <v>3883</v>
      </c>
      <c r="D604" t="s">
        <v>1724</v>
      </c>
      <c r="E604">
        <v>524</v>
      </c>
    </row>
    <row r="605" spans="1:9" hidden="1">
      <c r="A605">
        <v>604</v>
      </c>
      <c r="B605" t="s">
        <v>1726</v>
      </c>
      <c r="C605" t="s">
        <v>3883</v>
      </c>
      <c r="D605" t="s">
        <v>1726</v>
      </c>
      <c r="E605">
        <v>526</v>
      </c>
    </row>
    <row r="606" spans="1:9" hidden="1">
      <c r="A606">
        <v>605</v>
      </c>
      <c r="B606" t="s">
        <v>1725</v>
      </c>
      <c r="C606" t="s">
        <v>3883</v>
      </c>
      <c r="D606" t="s">
        <v>1725</v>
      </c>
      <c r="E606">
        <v>525</v>
      </c>
    </row>
    <row r="607" spans="1:9" hidden="1">
      <c r="A607">
        <v>606</v>
      </c>
      <c r="B607" t="s">
        <v>1725</v>
      </c>
      <c r="C607" t="s">
        <v>3883</v>
      </c>
      <c r="D607" t="s">
        <v>1725</v>
      </c>
      <c r="E607">
        <v>525</v>
      </c>
    </row>
    <row r="608" spans="1:9">
      <c r="A608">
        <v>607</v>
      </c>
      <c r="B608" t="s">
        <v>3988</v>
      </c>
      <c r="C608" t="s">
        <v>3860</v>
      </c>
      <c r="D608" s="43" t="s">
        <v>1727</v>
      </c>
      <c r="E608">
        <v>527</v>
      </c>
    </row>
    <row r="609" spans="1:83">
      <c r="A609">
        <v>608</v>
      </c>
      <c r="B609" t="s">
        <v>958</v>
      </c>
      <c r="C609" t="s">
        <v>3860</v>
      </c>
      <c r="D609" s="43" t="s">
        <v>1728</v>
      </c>
      <c r="E609">
        <v>528</v>
      </c>
    </row>
    <row r="610" spans="1:83" hidden="1">
      <c r="A610">
        <v>609</v>
      </c>
      <c r="B610" t="s">
        <v>1729</v>
      </c>
      <c r="C610" t="s">
        <v>3883</v>
      </c>
      <c r="D610" t="s">
        <v>1729</v>
      </c>
      <c r="E610">
        <v>529</v>
      </c>
    </row>
    <row r="611" spans="1:83">
      <c r="A611">
        <v>610</v>
      </c>
      <c r="B611" t="s">
        <v>3989</v>
      </c>
      <c r="C611" t="s">
        <v>3860</v>
      </c>
      <c r="D611" t="s">
        <v>1528</v>
      </c>
      <c r="E611">
        <v>308</v>
      </c>
      <c r="F611" s="43" t="s">
        <v>1738</v>
      </c>
      <c r="G611">
        <v>540</v>
      </c>
    </row>
    <row r="612" spans="1:83">
      <c r="A612">
        <v>611</v>
      </c>
      <c r="B612" t="s">
        <v>3990</v>
      </c>
      <c r="C612" t="s">
        <v>3860</v>
      </c>
      <c r="D612" t="s">
        <v>1263</v>
      </c>
      <c r="E612">
        <v>19</v>
      </c>
      <c r="F612" t="s">
        <v>1267</v>
      </c>
      <c r="G612">
        <v>22</v>
      </c>
      <c r="H612" t="s">
        <v>1286</v>
      </c>
      <c r="I612">
        <v>40</v>
      </c>
      <c r="J612" t="s">
        <v>1307</v>
      </c>
      <c r="K612">
        <v>64</v>
      </c>
      <c r="L612" t="s">
        <v>1310</v>
      </c>
      <c r="M612">
        <v>69</v>
      </c>
      <c r="N612" t="s">
        <v>1313</v>
      </c>
      <c r="O612">
        <v>72</v>
      </c>
      <c r="P612" t="s">
        <v>1322</v>
      </c>
      <c r="Q612">
        <v>81</v>
      </c>
      <c r="R612" t="s">
        <v>1353</v>
      </c>
      <c r="S612">
        <v>111</v>
      </c>
      <c r="T612" t="s">
        <v>1363</v>
      </c>
      <c r="U612">
        <v>121</v>
      </c>
      <c r="V612" t="s">
        <v>1364</v>
      </c>
      <c r="W612">
        <v>122</v>
      </c>
      <c r="X612" t="s">
        <v>1372</v>
      </c>
      <c r="Y612">
        <v>130</v>
      </c>
      <c r="Z612" t="s">
        <v>1373</v>
      </c>
      <c r="AA612">
        <v>131</v>
      </c>
      <c r="AB612" t="s">
        <v>1395</v>
      </c>
      <c r="AC612">
        <v>154</v>
      </c>
      <c r="AD612" t="s">
        <v>1428</v>
      </c>
      <c r="AE612">
        <v>194</v>
      </c>
      <c r="AF612" t="s">
        <v>1511</v>
      </c>
      <c r="AG612">
        <v>291</v>
      </c>
      <c r="AH612" t="s">
        <v>1512</v>
      </c>
      <c r="AI612">
        <v>292</v>
      </c>
      <c r="AJ612" t="s">
        <v>1524</v>
      </c>
      <c r="AK612">
        <v>304</v>
      </c>
      <c r="AL612" t="s">
        <v>1548</v>
      </c>
      <c r="AM612">
        <v>332</v>
      </c>
      <c r="AN612" t="s">
        <v>1564</v>
      </c>
      <c r="AO612">
        <v>349</v>
      </c>
      <c r="AP612" t="s">
        <v>739</v>
      </c>
      <c r="AQ612">
        <v>368</v>
      </c>
      <c r="AR612" t="s">
        <v>1594</v>
      </c>
      <c r="AS612">
        <v>382</v>
      </c>
      <c r="AT612" t="s">
        <v>1632</v>
      </c>
      <c r="AU612">
        <v>427</v>
      </c>
      <c r="AV612" t="s">
        <v>1633</v>
      </c>
      <c r="AW612">
        <v>428</v>
      </c>
      <c r="AX612" t="s">
        <v>1653</v>
      </c>
      <c r="AY612">
        <v>447</v>
      </c>
      <c r="AZ612" t="s">
        <v>1660</v>
      </c>
      <c r="BA612">
        <v>454</v>
      </c>
      <c r="BB612" t="s">
        <v>1675</v>
      </c>
      <c r="BC612">
        <v>471</v>
      </c>
      <c r="BD612" t="s">
        <v>1693</v>
      </c>
      <c r="BE612">
        <v>491</v>
      </c>
      <c r="BF612" t="s">
        <v>1708</v>
      </c>
      <c r="BG612">
        <v>508</v>
      </c>
      <c r="BH612" s="43" t="s">
        <v>1730</v>
      </c>
      <c r="BI612">
        <v>530</v>
      </c>
      <c r="BJ612" t="s">
        <v>1754</v>
      </c>
      <c r="BK612">
        <v>560</v>
      </c>
      <c r="BL612" t="s">
        <v>1758</v>
      </c>
      <c r="BM612">
        <v>565</v>
      </c>
      <c r="BN612" t="s">
        <v>1765</v>
      </c>
      <c r="BO612">
        <v>573</v>
      </c>
      <c r="BP612" t="s">
        <v>1790</v>
      </c>
      <c r="BQ612">
        <v>598</v>
      </c>
      <c r="BR612" t="s">
        <v>1807</v>
      </c>
      <c r="BS612">
        <v>614</v>
      </c>
      <c r="BT612" t="s">
        <v>1808</v>
      </c>
      <c r="BU612">
        <v>615</v>
      </c>
      <c r="BV612" t="s">
        <v>1809</v>
      </c>
      <c r="BW612">
        <v>616</v>
      </c>
      <c r="BX612" t="s">
        <v>1820</v>
      </c>
      <c r="BY612">
        <v>627</v>
      </c>
      <c r="BZ612" t="s">
        <v>1839</v>
      </c>
      <c r="CA612">
        <v>649</v>
      </c>
      <c r="CB612" t="s">
        <v>1858</v>
      </c>
      <c r="CC612">
        <v>668</v>
      </c>
      <c r="CD612" t="s">
        <v>1168</v>
      </c>
      <c r="CE612">
        <v>681</v>
      </c>
    </row>
    <row r="613" spans="1:83">
      <c r="A613">
        <v>612</v>
      </c>
      <c r="B613" t="s">
        <v>3991</v>
      </c>
      <c r="C613" t="s">
        <v>3860</v>
      </c>
      <c r="D613" t="s">
        <v>1263</v>
      </c>
      <c r="E613">
        <v>19</v>
      </c>
      <c r="F613" t="s">
        <v>1267</v>
      </c>
      <c r="G613">
        <v>22</v>
      </c>
      <c r="H613" t="s">
        <v>1286</v>
      </c>
      <c r="I613">
        <v>40</v>
      </c>
      <c r="J613" t="s">
        <v>1307</v>
      </c>
      <c r="K613">
        <v>64</v>
      </c>
      <c r="L613" t="s">
        <v>1310</v>
      </c>
      <c r="M613">
        <v>69</v>
      </c>
      <c r="N613" t="s">
        <v>1313</v>
      </c>
      <c r="O613">
        <v>72</v>
      </c>
      <c r="P613" t="s">
        <v>1322</v>
      </c>
      <c r="Q613">
        <v>81</v>
      </c>
      <c r="R613" t="s">
        <v>1353</v>
      </c>
      <c r="S613">
        <v>111</v>
      </c>
      <c r="T613" t="s">
        <v>1363</v>
      </c>
      <c r="U613">
        <v>121</v>
      </c>
      <c r="V613" t="s">
        <v>1364</v>
      </c>
      <c r="W613">
        <v>122</v>
      </c>
      <c r="X613" t="s">
        <v>1372</v>
      </c>
      <c r="Y613">
        <v>130</v>
      </c>
      <c r="Z613" t="s">
        <v>1373</v>
      </c>
      <c r="AA613">
        <v>131</v>
      </c>
      <c r="AB613" t="s">
        <v>1395</v>
      </c>
      <c r="AC613">
        <v>154</v>
      </c>
      <c r="AD613" t="s">
        <v>1428</v>
      </c>
      <c r="AE613">
        <v>194</v>
      </c>
      <c r="AF613" t="s">
        <v>1511</v>
      </c>
      <c r="AG613">
        <v>291</v>
      </c>
      <c r="AH613" t="s">
        <v>1512</v>
      </c>
      <c r="AI613">
        <v>292</v>
      </c>
      <c r="AJ613" t="s">
        <v>1524</v>
      </c>
      <c r="AK613">
        <v>304</v>
      </c>
      <c r="AL613" t="s">
        <v>1548</v>
      </c>
      <c r="AM613">
        <v>332</v>
      </c>
      <c r="AN613" t="s">
        <v>1564</v>
      </c>
      <c r="AO613">
        <v>349</v>
      </c>
      <c r="AP613" t="s">
        <v>739</v>
      </c>
      <c r="AQ613">
        <v>368</v>
      </c>
      <c r="AR613" t="s">
        <v>1594</v>
      </c>
      <c r="AS613">
        <v>382</v>
      </c>
      <c r="AT613" t="s">
        <v>1632</v>
      </c>
      <c r="AU613">
        <v>427</v>
      </c>
      <c r="AV613" t="s">
        <v>1633</v>
      </c>
      <c r="AW613">
        <v>428</v>
      </c>
      <c r="AX613" t="s">
        <v>1653</v>
      </c>
      <c r="AY613">
        <v>447</v>
      </c>
      <c r="AZ613" t="s">
        <v>1660</v>
      </c>
      <c r="BA613">
        <v>454</v>
      </c>
      <c r="BB613" t="s">
        <v>1675</v>
      </c>
      <c r="BC613">
        <v>471</v>
      </c>
      <c r="BD613" t="s">
        <v>1693</v>
      </c>
      <c r="BE613">
        <v>491</v>
      </c>
      <c r="BF613" t="s">
        <v>1708</v>
      </c>
      <c r="BG613">
        <v>508</v>
      </c>
      <c r="BH613" s="43" t="s">
        <v>1730</v>
      </c>
      <c r="BI613">
        <v>530</v>
      </c>
      <c r="BJ613" t="s">
        <v>1754</v>
      </c>
      <c r="BK613">
        <v>560</v>
      </c>
      <c r="BL613" t="s">
        <v>1758</v>
      </c>
      <c r="BM613">
        <v>565</v>
      </c>
      <c r="BN613" t="s">
        <v>1765</v>
      </c>
      <c r="BO613">
        <v>573</v>
      </c>
      <c r="BP613" t="s">
        <v>1790</v>
      </c>
      <c r="BQ613">
        <v>598</v>
      </c>
      <c r="BR613" t="s">
        <v>1807</v>
      </c>
      <c r="BS613">
        <v>614</v>
      </c>
      <c r="BT613" t="s">
        <v>1808</v>
      </c>
      <c r="BU613">
        <v>615</v>
      </c>
      <c r="BV613" t="s">
        <v>1809</v>
      </c>
      <c r="BW613">
        <v>616</v>
      </c>
      <c r="BX613" t="s">
        <v>1820</v>
      </c>
      <c r="BY613">
        <v>627</v>
      </c>
      <c r="BZ613" t="s">
        <v>1839</v>
      </c>
      <c r="CA613">
        <v>649</v>
      </c>
      <c r="CB613" t="s">
        <v>1858</v>
      </c>
      <c r="CC613">
        <v>668</v>
      </c>
      <c r="CD613" t="s">
        <v>1168</v>
      </c>
      <c r="CE613">
        <v>681</v>
      </c>
    </row>
    <row r="614" spans="1:83" hidden="1">
      <c r="A614">
        <v>613</v>
      </c>
      <c r="B614" t="s">
        <v>966</v>
      </c>
      <c r="C614" t="s">
        <v>3883</v>
      </c>
      <c r="D614" t="s">
        <v>966</v>
      </c>
      <c r="E614">
        <v>531</v>
      </c>
    </row>
    <row r="615" spans="1:83">
      <c r="A615">
        <v>614</v>
      </c>
      <c r="B615" t="s">
        <v>3992</v>
      </c>
      <c r="C615" t="s">
        <v>3860</v>
      </c>
      <c r="D615" s="43" t="s">
        <v>1731</v>
      </c>
      <c r="E615">
        <v>532</v>
      </c>
    </row>
    <row r="616" spans="1:83" hidden="1">
      <c r="A616">
        <v>615</v>
      </c>
      <c r="B616" t="s">
        <v>970</v>
      </c>
      <c r="C616" t="s">
        <v>3883</v>
      </c>
      <c r="D616" t="s">
        <v>970</v>
      </c>
      <c r="E616">
        <v>533</v>
      </c>
    </row>
    <row r="617" spans="1:83">
      <c r="A617">
        <v>616</v>
      </c>
      <c r="B617" t="s">
        <v>3993</v>
      </c>
      <c r="C617" t="s">
        <v>3860</v>
      </c>
      <c r="D617" s="43" t="s">
        <v>1732</v>
      </c>
      <c r="E617">
        <v>534</v>
      </c>
    </row>
    <row r="618" spans="1:83">
      <c r="A618">
        <v>617</v>
      </c>
      <c r="B618" t="s">
        <v>3994</v>
      </c>
      <c r="C618" t="s">
        <v>3860</v>
      </c>
      <c r="D618" s="43" t="s">
        <v>1733</v>
      </c>
      <c r="E618">
        <v>535</v>
      </c>
    </row>
    <row r="619" spans="1:83">
      <c r="A619">
        <v>618</v>
      </c>
      <c r="B619" t="s">
        <v>1240</v>
      </c>
      <c r="C619" t="s">
        <v>3860</v>
      </c>
      <c r="D619" s="43" t="s">
        <v>1734</v>
      </c>
      <c r="E619">
        <v>536</v>
      </c>
    </row>
    <row r="620" spans="1:83" s="46" customFormat="1">
      <c r="A620" s="46">
        <v>619</v>
      </c>
      <c r="B620" s="46" t="s">
        <v>3995</v>
      </c>
      <c r="C620" s="46" t="s">
        <v>3860</v>
      </c>
      <c r="D620" s="46" t="s">
        <v>1301</v>
      </c>
      <c r="E620" s="46">
        <v>56</v>
      </c>
      <c r="F620" s="46" t="s">
        <v>1329</v>
      </c>
      <c r="G620" s="46">
        <v>88</v>
      </c>
      <c r="H620" s="46" t="s">
        <v>1354</v>
      </c>
      <c r="I620" s="46">
        <v>112</v>
      </c>
      <c r="J620" s="46" t="s">
        <v>1355</v>
      </c>
      <c r="K620" s="46">
        <v>113</v>
      </c>
      <c r="L620" s="46" t="s">
        <v>1412</v>
      </c>
      <c r="M620" s="46">
        <v>171</v>
      </c>
      <c r="N620" s="46" t="s">
        <v>1510</v>
      </c>
      <c r="O620" s="46">
        <v>290</v>
      </c>
      <c r="P620" s="46" t="s">
        <v>1537</v>
      </c>
      <c r="Q620" s="46">
        <v>318</v>
      </c>
      <c r="R620" s="46" t="s">
        <v>1673</v>
      </c>
      <c r="S620" s="46">
        <v>469</v>
      </c>
      <c r="T620" s="46" t="s">
        <v>1674</v>
      </c>
      <c r="U620" s="46">
        <v>470</v>
      </c>
      <c r="V620" s="46" t="s">
        <v>1735</v>
      </c>
      <c r="W620" s="46">
        <v>537</v>
      </c>
    </row>
    <row r="621" spans="1:83" hidden="1">
      <c r="A621">
        <v>620</v>
      </c>
      <c r="B621" t="s">
        <v>1736</v>
      </c>
      <c r="C621" t="s">
        <v>3883</v>
      </c>
      <c r="D621" t="s">
        <v>1736</v>
      </c>
      <c r="E621">
        <v>538</v>
      </c>
    </row>
    <row r="622" spans="1:83" hidden="1">
      <c r="A622">
        <v>621</v>
      </c>
      <c r="B622" t="s">
        <v>1737</v>
      </c>
      <c r="C622" t="s">
        <v>3883</v>
      </c>
      <c r="D622" t="s">
        <v>1737</v>
      </c>
      <c r="E622">
        <v>539</v>
      </c>
    </row>
    <row r="623" spans="1:83">
      <c r="A623">
        <v>622</v>
      </c>
      <c r="B623" t="s">
        <v>3996</v>
      </c>
      <c r="C623" t="s">
        <v>3860</v>
      </c>
      <c r="D623" t="s">
        <v>1531</v>
      </c>
      <c r="E623">
        <v>312</v>
      </c>
      <c r="F623" s="43" t="s">
        <v>1739</v>
      </c>
      <c r="G623">
        <v>541</v>
      </c>
    </row>
    <row r="624" spans="1:83" hidden="1">
      <c r="A624">
        <v>623</v>
      </c>
      <c r="B624" t="s">
        <v>1740</v>
      </c>
      <c r="C624" t="s">
        <v>3883</v>
      </c>
      <c r="D624" t="s">
        <v>1740</v>
      </c>
      <c r="E624">
        <v>542</v>
      </c>
    </row>
    <row r="625" spans="1:7" hidden="1">
      <c r="A625">
        <v>624</v>
      </c>
      <c r="B625" t="s">
        <v>987</v>
      </c>
      <c r="C625" t="s">
        <v>3883</v>
      </c>
      <c r="D625" t="s">
        <v>987</v>
      </c>
      <c r="E625">
        <v>548</v>
      </c>
    </row>
    <row r="626" spans="1:7" hidden="1">
      <c r="A626">
        <v>625</v>
      </c>
      <c r="B626" t="s">
        <v>987</v>
      </c>
      <c r="C626" t="s">
        <v>3883</v>
      </c>
      <c r="D626" t="s">
        <v>987</v>
      </c>
      <c r="E626">
        <v>548</v>
      </c>
    </row>
    <row r="627" spans="1:7">
      <c r="A627">
        <v>626</v>
      </c>
      <c r="B627" t="s">
        <v>1741</v>
      </c>
      <c r="C627" t="s">
        <v>3860</v>
      </c>
      <c r="D627" s="44" t="s">
        <v>1443</v>
      </c>
      <c r="E627">
        <v>211</v>
      </c>
      <c r="F627" t="s">
        <v>1623</v>
      </c>
      <c r="G627">
        <v>414</v>
      </c>
    </row>
    <row r="628" spans="1:7" hidden="1">
      <c r="A628">
        <v>627</v>
      </c>
      <c r="B628" t="s">
        <v>991</v>
      </c>
      <c r="C628" t="s">
        <v>3883</v>
      </c>
      <c r="D628" t="s">
        <v>991</v>
      </c>
      <c r="E628">
        <v>545</v>
      </c>
    </row>
    <row r="629" spans="1:7" hidden="1">
      <c r="A629">
        <v>628</v>
      </c>
      <c r="B629" t="s">
        <v>992</v>
      </c>
      <c r="C629" t="s">
        <v>3883</v>
      </c>
      <c r="D629" t="s">
        <v>992</v>
      </c>
      <c r="E629">
        <v>544</v>
      </c>
    </row>
    <row r="630" spans="1:7" hidden="1">
      <c r="A630">
        <v>629</v>
      </c>
      <c r="B630" t="s">
        <v>992</v>
      </c>
      <c r="C630" t="s">
        <v>3883</v>
      </c>
      <c r="D630" t="s">
        <v>992</v>
      </c>
      <c r="E630">
        <v>544</v>
      </c>
    </row>
    <row r="631" spans="1:7" hidden="1">
      <c r="A631">
        <v>630</v>
      </c>
      <c r="B631" t="s">
        <v>1742</v>
      </c>
      <c r="C631" t="s">
        <v>3883</v>
      </c>
      <c r="D631" t="s">
        <v>1742</v>
      </c>
      <c r="E631">
        <v>546</v>
      </c>
    </row>
    <row r="632" spans="1:7" hidden="1">
      <c r="A632">
        <v>631</v>
      </c>
      <c r="B632" t="s">
        <v>1742</v>
      </c>
      <c r="C632" t="s">
        <v>3883</v>
      </c>
      <c r="D632" t="s">
        <v>1742</v>
      </c>
      <c r="E632">
        <v>546</v>
      </c>
    </row>
    <row r="633" spans="1:7" hidden="1">
      <c r="A633">
        <v>632</v>
      </c>
      <c r="B633" t="s">
        <v>1743</v>
      </c>
      <c r="C633" t="s">
        <v>3883</v>
      </c>
      <c r="D633" t="s">
        <v>1743</v>
      </c>
      <c r="E633">
        <v>547</v>
      </c>
    </row>
    <row r="634" spans="1:7" hidden="1">
      <c r="A634">
        <v>633</v>
      </c>
      <c r="B634" t="s">
        <v>1743</v>
      </c>
      <c r="C634" t="s">
        <v>3883</v>
      </c>
      <c r="D634" t="s">
        <v>1743</v>
      </c>
      <c r="E634">
        <v>547</v>
      </c>
    </row>
    <row r="635" spans="1:7">
      <c r="A635">
        <v>634</v>
      </c>
      <c r="B635" t="s">
        <v>1744</v>
      </c>
      <c r="C635" t="s">
        <v>3860</v>
      </c>
      <c r="D635" s="44" t="s">
        <v>1348</v>
      </c>
      <c r="E635">
        <v>106</v>
      </c>
      <c r="F635" t="s">
        <v>1563</v>
      </c>
      <c r="G635">
        <v>348</v>
      </c>
    </row>
    <row r="636" spans="1:7" hidden="1">
      <c r="A636">
        <v>635</v>
      </c>
      <c r="B636" t="s">
        <v>1745</v>
      </c>
      <c r="C636" t="s">
        <v>3883</v>
      </c>
      <c r="D636" t="s">
        <v>1745</v>
      </c>
      <c r="E636">
        <v>549</v>
      </c>
    </row>
    <row r="637" spans="1:7" hidden="1">
      <c r="A637">
        <v>636</v>
      </c>
      <c r="B637" t="s">
        <v>1746</v>
      </c>
      <c r="C637" t="s">
        <v>3883</v>
      </c>
      <c r="D637" t="s">
        <v>1746</v>
      </c>
      <c r="E637">
        <v>550</v>
      </c>
    </row>
    <row r="638" spans="1:7" hidden="1">
      <c r="A638">
        <v>637</v>
      </c>
      <c r="B638" t="s">
        <v>999</v>
      </c>
      <c r="C638" t="s">
        <v>3883</v>
      </c>
      <c r="D638" t="s">
        <v>999</v>
      </c>
      <c r="E638">
        <v>552</v>
      </c>
    </row>
    <row r="639" spans="1:7" hidden="1">
      <c r="A639">
        <v>638</v>
      </c>
      <c r="B639" t="s">
        <v>1748</v>
      </c>
      <c r="C639" t="s">
        <v>3883</v>
      </c>
      <c r="D639" t="s">
        <v>1748</v>
      </c>
      <c r="E639">
        <v>553</v>
      </c>
    </row>
    <row r="640" spans="1:7" hidden="1">
      <c r="A640">
        <v>639</v>
      </c>
      <c r="B640" t="s">
        <v>1002</v>
      </c>
      <c r="C640" t="s">
        <v>3883</v>
      </c>
      <c r="D640" t="s">
        <v>1002</v>
      </c>
      <c r="E640">
        <v>554</v>
      </c>
    </row>
    <row r="641" spans="1:33" hidden="1">
      <c r="A641">
        <v>640</v>
      </c>
      <c r="B641" t="s">
        <v>1750</v>
      </c>
      <c r="C641" t="s">
        <v>3883</v>
      </c>
      <c r="D641" t="s">
        <v>1750</v>
      </c>
      <c r="E641">
        <v>556</v>
      </c>
    </row>
    <row r="642" spans="1:33" hidden="1">
      <c r="A642">
        <v>641</v>
      </c>
      <c r="B642" t="s">
        <v>1751</v>
      </c>
      <c r="C642" t="s">
        <v>3883</v>
      </c>
      <c r="D642" t="s">
        <v>1751</v>
      </c>
      <c r="E642">
        <v>557</v>
      </c>
    </row>
    <row r="643" spans="1:33" hidden="1">
      <c r="A643">
        <v>642</v>
      </c>
      <c r="B643" t="s">
        <v>1752</v>
      </c>
      <c r="C643" t="s">
        <v>3883</v>
      </c>
      <c r="D643" t="s">
        <v>1752</v>
      </c>
      <c r="E643">
        <v>558</v>
      </c>
    </row>
    <row r="644" spans="1:33" hidden="1">
      <c r="A644">
        <v>643</v>
      </c>
      <c r="B644" t="s">
        <v>1752</v>
      </c>
      <c r="C644" t="s">
        <v>3883</v>
      </c>
      <c r="D644" t="s">
        <v>1752</v>
      </c>
      <c r="E644">
        <v>558</v>
      </c>
    </row>
    <row r="645" spans="1:33" hidden="1">
      <c r="A645">
        <v>644</v>
      </c>
      <c r="B645" t="s">
        <v>1753</v>
      </c>
      <c r="C645" t="s">
        <v>3883</v>
      </c>
      <c r="D645" t="s">
        <v>1753</v>
      </c>
      <c r="E645">
        <v>559</v>
      </c>
    </row>
    <row r="646" spans="1:33" hidden="1">
      <c r="A646">
        <v>645</v>
      </c>
      <c r="B646" t="s">
        <v>1754</v>
      </c>
      <c r="C646" t="s">
        <v>3883</v>
      </c>
      <c r="D646" t="s">
        <v>1754</v>
      </c>
      <c r="E646">
        <v>560</v>
      </c>
    </row>
    <row r="647" spans="1:33">
      <c r="A647">
        <v>646</v>
      </c>
      <c r="B647" t="s">
        <v>3997</v>
      </c>
      <c r="C647" t="s">
        <v>3860</v>
      </c>
      <c r="D647" t="s">
        <v>1254</v>
      </c>
      <c r="E647">
        <v>10</v>
      </c>
      <c r="F647" t="s">
        <v>1276</v>
      </c>
      <c r="G647">
        <v>31</v>
      </c>
      <c r="H647" t="s">
        <v>1338</v>
      </c>
      <c r="I647">
        <v>98</v>
      </c>
      <c r="J647" t="s">
        <v>1455</v>
      </c>
      <c r="K647">
        <v>223</v>
      </c>
      <c r="L647" t="s">
        <v>1456</v>
      </c>
      <c r="M647">
        <v>225</v>
      </c>
      <c r="N647" t="s">
        <v>578</v>
      </c>
      <c r="O647">
        <v>243</v>
      </c>
      <c r="P647" t="s">
        <v>1509</v>
      </c>
      <c r="Q647">
        <v>289</v>
      </c>
      <c r="R647" t="s">
        <v>1565</v>
      </c>
      <c r="S647">
        <v>350</v>
      </c>
      <c r="T647" t="s">
        <v>1596</v>
      </c>
      <c r="U647">
        <v>385</v>
      </c>
      <c r="V647" t="s">
        <v>1602</v>
      </c>
      <c r="W647">
        <v>391</v>
      </c>
      <c r="X647" t="s">
        <v>1654</v>
      </c>
      <c r="Y647">
        <v>448</v>
      </c>
      <c r="Z647" t="s">
        <v>1669</v>
      </c>
      <c r="AA647">
        <v>464</v>
      </c>
      <c r="AB647" t="s">
        <v>1670</v>
      </c>
      <c r="AC647">
        <v>465</v>
      </c>
      <c r="AD647" s="43" t="s">
        <v>1755</v>
      </c>
      <c r="AE647">
        <v>561</v>
      </c>
      <c r="AF647" t="s">
        <v>1867</v>
      </c>
      <c r="AG647">
        <v>678</v>
      </c>
    </row>
    <row r="648" spans="1:33" hidden="1">
      <c r="A648">
        <v>647</v>
      </c>
      <c r="B648" t="s">
        <v>1756</v>
      </c>
      <c r="C648" t="s">
        <v>3883</v>
      </c>
      <c r="D648" t="s">
        <v>1756</v>
      </c>
      <c r="E648">
        <v>562</v>
      </c>
    </row>
    <row r="649" spans="1:33" hidden="1">
      <c r="A649">
        <v>648</v>
      </c>
      <c r="B649" t="s">
        <v>1014</v>
      </c>
      <c r="C649" t="s">
        <v>3883</v>
      </c>
      <c r="D649" t="s">
        <v>1014</v>
      </c>
      <c r="E649">
        <v>563</v>
      </c>
    </row>
    <row r="650" spans="1:33" hidden="1">
      <c r="A650">
        <v>649</v>
      </c>
      <c r="B650" t="s">
        <v>1014</v>
      </c>
      <c r="C650" t="s">
        <v>3883</v>
      </c>
      <c r="D650" t="s">
        <v>1014</v>
      </c>
      <c r="E650">
        <v>563</v>
      </c>
    </row>
    <row r="651" spans="1:33" hidden="1">
      <c r="A651">
        <v>650</v>
      </c>
      <c r="B651" t="s">
        <v>1757</v>
      </c>
      <c r="C651" t="s">
        <v>3883</v>
      </c>
      <c r="D651" t="s">
        <v>1757</v>
      </c>
      <c r="E651">
        <v>564</v>
      </c>
    </row>
    <row r="652" spans="1:33" hidden="1">
      <c r="A652">
        <v>651</v>
      </c>
      <c r="B652" t="s">
        <v>1758</v>
      </c>
      <c r="C652" t="s">
        <v>3883</v>
      </c>
      <c r="D652" t="s">
        <v>1758</v>
      </c>
      <c r="E652">
        <v>565</v>
      </c>
    </row>
    <row r="653" spans="1:33">
      <c r="A653">
        <v>652</v>
      </c>
      <c r="B653" t="s">
        <v>3998</v>
      </c>
      <c r="C653" t="s">
        <v>3860</v>
      </c>
      <c r="D653" s="43" t="s">
        <v>1759</v>
      </c>
      <c r="E653">
        <v>566</v>
      </c>
    </row>
    <row r="654" spans="1:33" hidden="1">
      <c r="A654">
        <v>653</v>
      </c>
      <c r="B654" t="s">
        <v>1761</v>
      </c>
      <c r="C654" t="s">
        <v>3883</v>
      </c>
      <c r="D654" t="s">
        <v>1761</v>
      </c>
      <c r="E654">
        <v>568</v>
      </c>
    </row>
    <row r="655" spans="1:33" hidden="1">
      <c r="A655">
        <v>654</v>
      </c>
      <c r="B655" t="s">
        <v>1761</v>
      </c>
      <c r="C655" t="s">
        <v>3883</v>
      </c>
      <c r="D655" t="s">
        <v>1761</v>
      </c>
      <c r="E655">
        <v>568</v>
      </c>
    </row>
    <row r="656" spans="1:33" hidden="1">
      <c r="A656">
        <v>655</v>
      </c>
      <c r="B656" t="s">
        <v>1760</v>
      </c>
      <c r="C656" t="s">
        <v>3883</v>
      </c>
      <c r="D656" t="s">
        <v>1760</v>
      </c>
      <c r="E656">
        <v>567</v>
      </c>
    </row>
    <row r="657" spans="1:5" hidden="1">
      <c r="A657">
        <v>656</v>
      </c>
      <c r="B657" t="s">
        <v>1760</v>
      </c>
      <c r="C657" t="s">
        <v>3883</v>
      </c>
      <c r="D657" t="s">
        <v>1760</v>
      </c>
      <c r="E657">
        <v>567</v>
      </c>
    </row>
    <row r="658" spans="1:5" hidden="1">
      <c r="A658">
        <v>657</v>
      </c>
      <c r="B658" t="s">
        <v>1762</v>
      </c>
      <c r="C658" t="s">
        <v>3883</v>
      </c>
      <c r="D658" t="s">
        <v>1762</v>
      </c>
      <c r="E658">
        <v>569</v>
      </c>
    </row>
    <row r="659" spans="1:5" hidden="1">
      <c r="A659">
        <v>658</v>
      </c>
      <c r="B659" t="s">
        <v>1022</v>
      </c>
      <c r="C659" t="s">
        <v>3883</v>
      </c>
      <c r="D659" t="s">
        <v>1022</v>
      </c>
      <c r="E659">
        <v>570</v>
      </c>
    </row>
    <row r="660" spans="1:5" hidden="1">
      <c r="A660">
        <v>659</v>
      </c>
      <c r="B660" t="s">
        <v>1763</v>
      </c>
      <c r="C660" t="s">
        <v>3883</v>
      </c>
      <c r="D660" t="s">
        <v>1763</v>
      </c>
      <c r="E660">
        <v>571</v>
      </c>
    </row>
    <row r="661" spans="1:5" hidden="1">
      <c r="A661">
        <v>660</v>
      </c>
      <c r="B661" t="s">
        <v>1025</v>
      </c>
      <c r="C661" t="s">
        <v>3883</v>
      </c>
      <c r="D661" t="s">
        <v>1025</v>
      </c>
      <c r="E661">
        <v>574</v>
      </c>
    </row>
    <row r="662" spans="1:5" hidden="1">
      <c r="A662">
        <v>661</v>
      </c>
      <c r="B662" t="s">
        <v>1765</v>
      </c>
      <c r="C662" t="s">
        <v>3883</v>
      </c>
      <c r="D662" t="s">
        <v>1765</v>
      </c>
      <c r="E662">
        <v>573</v>
      </c>
    </row>
    <row r="663" spans="1:5" hidden="1">
      <c r="A663">
        <v>662</v>
      </c>
      <c r="B663" t="s">
        <v>1765</v>
      </c>
      <c r="C663" t="s">
        <v>3883</v>
      </c>
      <c r="D663" t="s">
        <v>1765</v>
      </c>
      <c r="E663">
        <v>573</v>
      </c>
    </row>
    <row r="664" spans="1:5" hidden="1">
      <c r="A664">
        <v>663</v>
      </c>
      <c r="B664" t="s">
        <v>1766</v>
      </c>
      <c r="C664" t="s">
        <v>3883</v>
      </c>
      <c r="D664" t="s">
        <v>1766</v>
      </c>
      <c r="E664">
        <v>575</v>
      </c>
    </row>
    <row r="665" spans="1:5">
      <c r="A665">
        <v>664</v>
      </c>
      <c r="B665" t="s">
        <v>3999</v>
      </c>
      <c r="C665" t="s">
        <v>3860</v>
      </c>
      <c r="D665" s="43" t="s">
        <v>1767</v>
      </c>
      <c r="E665">
        <v>576</v>
      </c>
    </row>
    <row r="666" spans="1:5" hidden="1">
      <c r="A666">
        <v>665</v>
      </c>
      <c r="B666" t="s">
        <v>1771</v>
      </c>
      <c r="C666" t="s">
        <v>3883</v>
      </c>
      <c r="D666" t="s">
        <v>1771</v>
      </c>
      <c r="E666">
        <v>579</v>
      </c>
    </row>
    <row r="667" spans="1:5" hidden="1">
      <c r="A667">
        <v>666</v>
      </c>
      <c r="B667" t="s">
        <v>1768</v>
      </c>
      <c r="C667" t="s">
        <v>3883</v>
      </c>
      <c r="D667" t="s">
        <v>1768</v>
      </c>
      <c r="E667">
        <v>577</v>
      </c>
    </row>
    <row r="668" spans="1:5" s="46" customFormat="1">
      <c r="A668" s="46">
        <v>667</v>
      </c>
      <c r="B668" s="46" t="s">
        <v>1769</v>
      </c>
      <c r="C668" s="46" t="s">
        <v>3878</v>
      </c>
    </row>
    <row r="669" spans="1:5" hidden="1">
      <c r="A669">
        <v>668</v>
      </c>
      <c r="B669" t="s">
        <v>1770</v>
      </c>
      <c r="C669" t="s">
        <v>3883</v>
      </c>
      <c r="D669" t="s">
        <v>1770</v>
      </c>
      <c r="E669">
        <v>578</v>
      </c>
    </row>
    <row r="670" spans="1:5" hidden="1">
      <c r="A670">
        <v>669</v>
      </c>
      <c r="B670" t="s">
        <v>1772</v>
      </c>
      <c r="C670" t="s">
        <v>3883</v>
      </c>
      <c r="D670" t="s">
        <v>1772</v>
      </c>
      <c r="E670">
        <v>580</v>
      </c>
    </row>
    <row r="671" spans="1:5" hidden="1">
      <c r="A671">
        <v>670</v>
      </c>
      <c r="B671" t="s">
        <v>1774</v>
      </c>
      <c r="C671" t="s">
        <v>3883</v>
      </c>
      <c r="D671" t="s">
        <v>1774</v>
      </c>
      <c r="E671">
        <v>582</v>
      </c>
    </row>
    <row r="672" spans="1:5" hidden="1">
      <c r="A672">
        <v>671</v>
      </c>
      <c r="B672" t="s">
        <v>1775</v>
      </c>
      <c r="C672" t="s">
        <v>3883</v>
      </c>
      <c r="D672" t="s">
        <v>1775</v>
      </c>
      <c r="E672">
        <v>583</v>
      </c>
    </row>
    <row r="673" spans="1:5">
      <c r="A673">
        <v>672</v>
      </c>
      <c r="B673" t="s">
        <v>4000</v>
      </c>
      <c r="C673" t="s">
        <v>3860</v>
      </c>
      <c r="D673" s="44" t="s">
        <v>1582</v>
      </c>
      <c r="E673">
        <v>369</v>
      </c>
    </row>
    <row r="674" spans="1:5">
      <c r="A674">
        <v>673</v>
      </c>
      <c r="B674" t="s">
        <v>4001</v>
      </c>
      <c r="C674" t="s">
        <v>3860</v>
      </c>
      <c r="D674" s="44" t="s">
        <v>1582</v>
      </c>
      <c r="E674">
        <v>369</v>
      </c>
    </row>
    <row r="675" spans="1:5" hidden="1">
      <c r="A675">
        <v>674</v>
      </c>
      <c r="B675" t="s">
        <v>1776</v>
      </c>
      <c r="C675" t="s">
        <v>3883</v>
      </c>
      <c r="D675" t="s">
        <v>1776</v>
      </c>
      <c r="E675">
        <v>584</v>
      </c>
    </row>
    <row r="676" spans="1:5" s="46" customFormat="1">
      <c r="A676" s="46">
        <v>675</v>
      </c>
      <c r="B676" s="46" t="s">
        <v>4002</v>
      </c>
      <c r="C676" s="46" t="s">
        <v>3860</v>
      </c>
      <c r="D676" s="46" t="s">
        <v>1779</v>
      </c>
      <c r="E676" s="46">
        <v>587</v>
      </c>
    </row>
    <row r="677" spans="1:5" s="46" customFormat="1">
      <c r="A677" s="46">
        <v>676</v>
      </c>
      <c r="B677" s="46" t="s">
        <v>4003</v>
      </c>
      <c r="C677" s="46" t="s">
        <v>3860</v>
      </c>
      <c r="D677" s="46" t="s">
        <v>1779</v>
      </c>
      <c r="E677" s="46">
        <v>587</v>
      </c>
    </row>
    <row r="678" spans="1:5" hidden="1">
      <c r="A678">
        <v>677</v>
      </c>
      <c r="B678" t="s">
        <v>1780</v>
      </c>
      <c r="C678" t="s">
        <v>3883</v>
      </c>
      <c r="D678" t="s">
        <v>1780</v>
      </c>
      <c r="E678">
        <v>588</v>
      </c>
    </row>
    <row r="679" spans="1:5" hidden="1">
      <c r="A679">
        <v>678</v>
      </c>
      <c r="B679" t="s">
        <v>1781</v>
      </c>
      <c r="C679" t="s">
        <v>3883</v>
      </c>
      <c r="D679" t="s">
        <v>1781</v>
      </c>
      <c r="E679">
        <v>589</v>
      </c>
    </row>
    <row r="680" spans="1:5" hidden="1">
      <c r="A680">
        <v>679</v>
      </c>
      <c r="B680" t="s">
        <v>1782</v>
      </c>
      <c r="C680" t="s">
        <v>3883</v>
      </c>
      <c r="D680" t="s">
        <v>1782</v>
      </c>
      <c r="E680">
        <v>590</v>
      </c>
    </row>
    <row r="681" spans="1:5" hidden="1">
      <c r="A681">
        <v>680</v>
      </c>
      <c r="B681" t="s">
        <v>1782</v>
      </c>
      <c r="C681" t="s">
        <v>3883</v>
      </c>
      <c r="D681" t="s">
        <v>1782</v>
      </c>
      <c r="E681">
        <v>590</v>
      </c>
    </row>
    <row r="682" spans="1:5" hidden="1">
      <c r="A682">
        <v>681</v>
      </c>
      <c r="B682" t="s">
        <v>1783</v>
      </c>
      <c r="C682" t="s">
        <v>3883</v>
      </c>
      <c r="D682" t="s">
        <v>1783</v>
      </c>
      <c r="E682">
        <v>591</v>
      </c>
    </row>
    <row r="683" spans="1:5" hidden="1">
      <c r="A683">
        <v>682</v>
      </c>
      <c r="B683" t="s">
        <v>1783</v>
      </c>
      <c r="C683" t="s">
        <v>3883</v>
      </c>
      <c r="D683" t="s">
        <v>1783</v>
      </c>
      <c r="E683">
        <v>591</v>
      </c>
    </row>
    <row r="684" spans="1:5">
      <c r="A684">
        <v>683</v>
      </c>
      <c r="B684" t="s">
        <v>4004</v>
      </c>
      <c r="C684" t="s">
        <v>3860</v>
      </c>
      <c r="D684" s="43" t="s">
        <v>1784</v>
      </c>
      <c r="E684">
        <v>592</v>
      </c>
    </row>
    <row r="685" spans="1:5" hidden="1">
      <c r="A685">
        <v>684</v>
      </c>
      <c r="B685" t="s">
        <v>1785</v>
      </c>
      <c r="C685" t="s">
        <v>3883</v>
      </c>
      <c r="D685" t="s">
        <v>1785</v>
      </c>
      <c r="E685">
        <v>593</v>
      </c>
    </row>
    <row r="686" spans="1:5" hidden="1">
      <c r="A686">
        <v>685</v>
      </c>
      <c r="B686" t="s">
        <v>1785</v>
      </c>
      <c r="C686" t="s">
        <v>3883</v>
      </c>
      <c r="D686" t="s">
        <v>1785</v>
      </c>
      <c r="E686">
        <v>593</v>
      </c>
    </row>
    <row r="687" spans="1:5" hidden="1">
      <c r="A687">
        <v>686</v>
      </c>
      <c r="B687" t="s">
        <v>1787</v>
      </c>
      <c r="C687" t="s">
        <v>3883</v>
      </c>
      <c r="D687" t="s">
        <v>1787</v>
      </c>
      <c r="E687">
        <v>595</v>
      </c>
    </row>
    <row r="688" spans="1:5" hidden="1">
      <c r="A688">
        <v>687</v>
      </c>
      <c r="B688" t="s">
        <v>1787</v>
      </c>
      <c r="C688" t="s">
        <v>3883</v>
      </c>
      <c r="D688" t="s">
        <v>1787</v>
      </c>
      <c r="E688">
        <v>595</v>
      </c>
    </row>
    <row r="689" spans="1:5" hidden="1">
      <c r="A689">
        <v>688</v>
      </c>
      <c r="B689" t="s">
        <v>1786</v>
      </c>
      <c r="C689" t="s">
        <v>3883</v>
      </c>
      <c r="D689" t="s">
        <v>1786</v>
      </c>
      <c r="E689">
        <v>594</v>
      </c>
    </row>
    <row r="690" spans="1:5" hidden="1">
      <c r="A690">
        <v>689</v>
      </c>
      <c r="B690" t="s">
        <v>1786</v>
      </c>
      <c r="C690" t="s">
        <v>3883</v>
      </c>
      <c r="D690" t="s">
        <v>1786</v>
      </c>
      <c r="E690">
        <v>594</v>
      </c>
    </row>
    <row r="691" spans="1:5" hidden="1">
      <c r="A691">
        <v>690</v>
      </c>
      <c r="B691" t="s">
        <v>1788</v>
      </c>
      <c r="C691" t="s">
        <v>3883</v>
      </c>
      <c r="D691" t="s">
        <v>1788</v>
      </c>
      <c r="E691">
        <v>596</v>
      </c>
    </row>
    <row r="692" spans="1:5" hidden="1">
      <c r="A692">
        <v>691</v>
      </c>
      <c r="B692" t="s">
        <v>1788</v>
      </c>
      <c r="C692" t="s">
        <v>3883</v>
      </c>
      <c r="D692" t="s">
        <v>1788</v>
      </c>
      <c r="E692">
        <v>596</v>
      </c>
    </row>
    <row r="693" spans="1:5" s="46" customFormat="1">
      <c r="A693" s="46">
        <v>692</v>
      </c>
      <c r="B693" s="46" t="s">
        <v>4005</v>
      </c>
      <c r="C693" s="46" t="s">
        <v>3878</v>
      </c>
    </row>
    <row r="694" spans="1:5">
      <c r="A694">
        <v>693</v>
      </c>
      <c r="B694" t="s">
        <v>4006</v>
      </c>
      <c r="C694" t="s">
        <v>3860</v>
      </c>
      <c r="D694" s="43" t="s">
        <v>1789</v>
      </c>
      <c r="E694">
        <v>597</v>
      </c>
    </row>
    <row r="695" spans="1:5" hidden="1">
      <c r="A695">
        <v>694</v>
      </c>
      <c r="B695" t="s">
        <v>1065</v>
      </c>
      <c r="C695" t="s">
        <v>3883</v>
      </c>
      <c r="D695" t="s">
        <v>1065</v>
      </c>
      <c r="E695">
        <v>619</v>
      </c>
    </row>
    <row r="696" spans="1:5" hidden="1">
      <c r="A696">
        <v>695</v>
      </c>
      <c r="B696" t="s">
        <v>1790</v>
      </c>
      <c r="C696" t="s">
        <v>3883</v>
      </c>
      <c r="D696" t="s">
        <v>1790</v>
      </c>
      <c r="E696">
        <v>598</v>
      </c>
    </row>
    <row r="697" spans="1:5" hidden="1">
      <c r="A697">
        <v>696</v>
      </c>
      <c r="B697" t="s">
        <v>1791</v>
      </c>
      <c r="C697" t="s">
        <v>3883</v>
      </c>
      <c r="D697" t="s">
        <v>1791</v>
      </c>
      <c r="E697">
        <v>599</v>
      </c>
    </row>
    <row r="698" spans="1:5">
      <c r="A698">
        <v>697</v>
      </c>
      <c r="B698" t="s">
        <v>4007</v>
      </c>
      <c r="C698" t="s">
        <v>3860</v>
      </c>
      <c r="D698" s="43" t="s">
        <v>1792</v>
      </c>
      <c r="E698">
        <v>600</v>
      </c>
    </row>
    <row r="699" spans="1:5">
      <c r="A699">
        <v>698</v>
      </c>
      <c r="B699" t="s">
        <v>4008</v>
      </c>
      <c r="C699" t="s">
        <v>3860</v>
      </c>
      <c r="D699" s="43" t="s">
        <v>1799</v>
      </c>
      <c r="E699">
        <v>609</v>
      </c>
    </row>
    <row r="700" spans="1:5">
      <c r="A700">
        <v>699</v>
      </c>
      <c r="B700" t="s">
        <v>4009</v>
      </c>
      <c r="C700" t="s">
        <v>3860</v>
      </c>
      <c r="D700" s="43" t="s">
        <v>1801</v>
      </c>
      <c r="E700">
        <v>611</v>
      </c>
    </row>
    <row r="701" spans="1:5" hidden="1">
      <c r="A701">
        <v>700</v>
      </c>
      <c r="B701" t="s">
        <v>1073</v>
      </c>
      <c r="C701" t="s">
        <v>3883</v>
      </c>
      <c r="D701" t="s">
        <v>1073</v>
      </c>
      <c r="E701">
        <v>608</v>
      </c>
    </row>
    <row r="702" spans="1:5">
      <c r="A702">
        <v>701</v>
      </c>
      <c r="B702" t="s">
        <v>1074</v>
      </c>
      <c r="C702" t="s">
        <v>3860</v>
      </c>
      <c r="D702" s="43" t="s">
        <v>1794</v>
      </c>
      <c r="E702">
        <v>602</v>
      </c>
    </row>
    <row r="703" spans="1:5">
      <c r="A703">
        <v>702</v>
      </c>
      <c r="B703" t="s">
        <v>1074</v>
      </c>
      <c r="C703" t="s">
        <v>3860</v>
      </c>
      <c r="D703" s="43" t="s">
        <v>1794</v>
      </c>
      <c r="E703">
        <v>602</v>
      </c>
    </row>
    <row r="704" spans="1:5">
      <c r="A704">
        <v>703</v>
      </c>
      <c r="B704" t="s">
        <v>1075</v>
      </c>
      <c r="C704" t="s">
        <v>3860</v>
      </c>
      <c r="D704" s="43" t="s">
        <v>1798</v>
      </c>
      <c r="E704">
        <v>606</v>
      </c>
    </row>
    <row r="705" spans="1:83">
      <c r="A705">
        <v>704</v>
      </c>
      <c r="B705" t="s">
        <v>1075</v>
      </c>
      <c r="C705" t="s">
        <v>3860</v>
      </c>
      <c r="D705" s="43" t="s">
        <v>1798</v>
      </c>
      <c r="E705">
        <v>606</v>
      </c>
    </row>
    <row r="706" spans="1:83" hidden="1">
      <c r="A706">
        <v>705</v>
      </c>
      <c r="B706" t="s">
        <v>1076</v>
      </c>
      <c r="C706" t="s">
        <v>3883</v>
      </c>
      <c r="D706" s="48" t="s">
        <v>1076</v>
      </c>
      <c r="E706">
        <v>607</v>
      </c>
    </row>
    <row r="707" spans="1:83" hidden="1">
      <c r="A707">
        <v>706</v>
      </c>
      <c r="B707" t="s">
        <v>1076</v>
      </c>
      <c r="C707" t="s">
        <v>3883</v>
      </c>
      <c r="D707" t="s">
        <v>1076</v>
      </c>
      <c r="E707">
        <v>607</v>
      </c>
    </row>
    <row r="708" spans="1:83">
      <c r="A708">
        <v>707</v>
      </c>
      <c r="B708" t="s">
        <v>4010</v>
      </c>
      <c r="C708" t="s">
        <v>3860</v>
      </c>
      <c r="D708" t="s">
        <v>1795</v>
      </c>
      <c r="E708">
        <v>603</v>
      </c>
      <c r="F708" s="43" t="s">
        <v>1796</v>
      </c>
      <c r="G708">
        <v>604</v>
      </c>
      <c r="H708" t="s">
        <v>1797</v>
      </c>
      <c r="I708">
        <v>605</v>
      </c>
    </row>
    <row r="709" spans="1:83">
      <c r="A709">
        <v>708</v>
      </c>
      <c r="B709" t="s">
        <v>4011</v>
      </c>
      <c r="C709" t="s">
        <v>3860</v>
      </c>
      <c r="D709" t="s">
        <v>1795</v>
      </c>
      <c r="E709">
        <v>603</v>
      </c>
      <c r="F709" t="s">
        <v>1796</v>
      </c>
      <c r="G709">
        <v>604</v>
      </c>
      <c r="H709" s="43" t="s">
        <v>1797</v>
      </c>
      <c r="I709">
        <v>605</v>
      </c>
    </row>
    <row r="710" spans="1:83">
      <c r="A710">
        <v>709</v>
      </c>
      <c r="B710" t="s">
        <v>4012</v>
      </c>
      <c r="C710" t="s">
        <v>3860</v>
      </c>
      <c r="D710" s="43" t="s">
        <v>1795</v>
      </c>
      <c r="E710">
        <v>603</v>
      </c>
      <c r="F710" t="s">
        <v>1796</v>
      </c>
      <c r="G710">
        <v>604</v>
      </c>
      <c r="H710" t="s">
        <v>1797</v>
      </c>
      <c r="I710">
        <v>605</v>
      </c>
    </row>
    <row r="711" spans="1:83" hidden="1">
      <c r="A711">
        <v>710</v>
      </c>
      <c r="B711" t="s">
        <v>1807</v>
      </c>
      <c r="C711" t="s">
        <v>3883</v>
      </c>
      <c r="D711" t="s">
        <v>1807</v>
      </c>
      <c r="E711">
        <v>614</v>
      </c>
    </row>
    <row r="712" spans="1:83" hidden="1">
      <c r="A712">
        <v>711</v>
      </c>
      <c r="B712" t="s">
        <v>1807</v>
      </c>
      <c r="C712" t="s">
        <v>3883</v>
      </c>
      <c r="D712" t="s">
        <v>1807</v>
      </c>
      <c r="E712">
        <v>614</v>
      </c>
    </row>
    <row r="713" spans="1:83" hidden="1">
      <c r="A713">
        <v>712</v>
      </c>
      <c r="B713" t="s">
        <v>1808</v>
      </c>
      <c r="C713" t="s">
        <v>3883</v>
      </c>
      <c r="D713" t="s">
        <v>1808</v>
      </c>
      <c r="E713">
        <v>615</v>
      </c>
    </row>
    <row r="714" spans="1:83" hidden="1">
      <c r="A714">
        <v>713</v>
      </c>
      <c r="B714" t="s">
        <v>1808</v>
      </c>
      <c r="C714" t="s">
        <v>3883</v>
      </c>
      <c r="D714" t="s">
        <v>1808</v>
      </c>
      <c r="E714">
        <v>615</v>
      </c>
    </row>
    <row r="715" spans="1:83" hidden="1">
      <c r="A715">
        <v>714</v>
      </c>
      <c r="B715" t="s">
        <v>1809</v>
      </c>
      <c r="C715" t="s">
        <v>3883</v>
      </c>
      <c r="D715" t="s">
        <v>1809</v>
      </c>
      <c r="E715">
        <v>616</v>
      </c>
    </row>
    <row r="716" spans="1:83" hidden="1">
      <c r="A716">
        <v>715</v>
      </c>
      <c r="B716" t="s">
        <v>1809</v>
      </c>
      <c r="C716" t="s">
        <v>3883</v>
      </c>
      <c r="D716" t="s">
        <v>1809</v>
      </c>
      <c r="E716">
        <v>616</v>
      </c>
    </row>
    <row r="717" spans="1:83" hidden="1">
      <c r="A717">
        <v>716</v>
      </c>
      <c r="B717" t="s">
        <v>1810</v>
      </c>
      <c r="C717" t="s">
        <v>3883</v>
      </c>
      <c r="D717" t="s">
        <v>1810</v>
      </c>
      <c r="E717">
        <v>617</v>
      </c>
    </row>
    <row r="718" spans="1:83" hidden="1">
      <c r="A718">
        <v>717</v>
      </c>
      <c r="B718" t="s">
        <v>1810</v>
      </c>
      <c r="C718" t="s">
        <v>3883</v>
      </c>
      <c r="D718" t="s">
        <v>1810</v>
      </c>
      <c r="E718">
        <v>617</v>
      </c>
    </row>
    <row r="719" spans="1:83" s="44" customFormat="1">
      <c r="A719" s="44">
        <v>718</v>
      </c>
      <c r="B719" s="44" t="s">
        <v>1806</v>
      </c>
      <c r="C719" s="44" t="s">
        <v>3878</v>
      </c>
    </row>
    <row r="720" spans="1:83" s="46" customFormat="1">
      <c r="A720" s="46">
        <v>719</v>
      </c>
      <c r="B720" s="46" t="s">
        <v>1802</v>
      </c>
      <c r="C720" s="46" t="s">
        <v>3860</v>
      </c>
      <c r="D720" s="46" t="s">
        <v>1263</v>
      </c>
      <c r="E720" s="46">
        <v>19</v>
      </c>
      <c r="F720" s="46" t="s">
        <v>1267</v>
      </c>
      <c r="G720" s="46">
        <v>22</v>
      </c>
      <c r="H720" s="46" t="s">
        <v>1286</v>
      </c>
      <c r="I720" s="46">
        <v>40</v>
      </c>
      <c r="J720" s="46" t="s">
        <v>1307</v>
      </c>
      <c r="K720" s="46">
        <v>64</v>
      </c>
      <c r="L720" s="46" t="s">
        <v>1310</v>
      </c>
      <c r="M720" s="46">
        <v>69</v>
      </c>
      <c r="N720" s="46" t="s">
        <v>1313</v>
      </c>
      <c r="O720" s="46">
        <v>72</v>
      </c>
      <c r="P720" s="46" t="s">
        <v>1322</v>
      </c>
      <c r="Q720" s="46">
        <v>81</v>
      </c>
      <c r="R720" s="46" t="s">
        <v>1353</v>
      </c>
      <c r="S720" s="46">
        <v>111</v>
      </c>
      <c r="T720" s="46" t="s">
        <v>1363</v>
      </c>
      <c r="U720" s="46">
        <v>121</v>
      </c>
      <c r="V720" s="46" t="s">
        <v>1364</v>
      </c>
      <c r="W720" s="46">
        <v>122</v>
      </c>
      <c r="X720" s="46" t="s">
        <v>1372</v>
      </c>
      <c r="Y720" s="46">
        <v>130</v>
      </c>
      <c r="Z720" s="46" t="s">
        <v>1373</v>
      </c>
      <c r="AA720" s="46">
        <v>131</v>
      </c>
      <c r="AB720" s="46" t="s">
        <v>1395</v>
      </c>
      <c r="AC720" s="46">
        <v>154</v>
      </c>
      <c r="AD720" s="46" t="s">
        <v>1428</v>
      </c>
      <c r="AE720" s="46">
        <v>194</v>
      </c>
      <c r="AF720" s="46" t="s">
        <v>1511</v>
      </c>
      <c r="AG720" s="46">
        <v>291</v>
      </c>
      <c r="AH720" s="46" t="s">
        <v>1512</v>
      </c>
      <c r="AI720" s="46">
        <v>292</v>
      </c>
      <c r="AJ720" s="46" t="s">
        <v>1524</v>
      </c>
      <c r="AK720" s="46">
        <v>304</v>
      </c>
      <c r="AL720" s="46" t="s">
        <v>1548</v>
      </c>
      <c r="AM720" s="46">
        <v>332</v>
      </c>
      <c r="AN720" s="46" t="s">
        <v>1564</v>
      </c>
      <c r="AO720" s="46">
        <v>349</v>
      </c>
      <c r="AP720" s="46" t="s">
        <v>739</v>
      </c>
      <c r="AQ720" s="46">
        <v>368</v>
      </c>
      <c r="AR720" s="46" t="s">
        <v>1594</v>
      </c>
      <c r="AS720" s="46">
        <v>382</v>
      </c>
      <c r="AT720" s="46" t="s">
        <v>1632</v>
      </c>
      <c r="AU720" s="46">
        <v>427</v>
      </c>
      <c r="AV720" s="46" t="s">
        <v>1633</v>
      </c>
      <c r="AW720" s="46">
        <v>428</v>
      </c>
      <c r="AX720" s="46" t="s">
        <v>1653</v>
      </c>
      <c r="AY720" s="46">
        <v>447</v>
      </c>
      <c r="AZ720" s="46" t="s">
        <v>1660</v>
      </c>
      <c r="BA720" s="46">
        <v>454</v>
      </c>
      <c r="BB720" s="46" t="s">
        <v>1675</v>
      </c>
      <c r="BC720" s="46">
        <v>471</v>
      </c>
      <c r="BD720" s="46" t="s">
        <v>1693</v>
      </c>
      <c r="BE720" s="46">
        <v>491</v>
      </c>
      <c r="BF720" s="46" t="s">
        <v>1708</v>
      </c>
      <c r="BG720" s="46">
        <v>508</v>
      </c>
      <c r="BH720" s="46" t="s">
        <v>1730</v>
      </c>
      <c r="BI720" s="46">
        <v>530</v>
      </c>
      <c r="BJ720" s="46" t="s">
        <v>1754</v>
      </c>
      <c r="BK720" s="46">
        <v>560</v>
      </c>
      <c r="BL720" s="46" t="s">
        <v>1758</v>
      </c>
      <c r="BM720" s="46">
        <v>565</v>
      </c>
      <c r="BN720" s="46" t="s">
        <v>1765</v>
      </c>
      <c r="BO720" s="46">
        <v>573</v>
      </c>
      <c r="BP720" s="46" t="s">
        <v>1790</v>
      </c>
      <c r="BQ720" s="46">
        <v>598</v>
      </c>
      <c r="BR720" s="50" t="s">
        <v>1807</v>
      </c>
      <c r="BS720" s="46">
        <v>614</v>
      </c>
      <c r="BT720" s="46" t="s">
        <v>1808</v>
      </c>
      <c r="BU720" s="46">
        <v>615</v>
      </c>
      <c r="BV720" s="46" t="s">
        <v>1809</v>
      </c>
      <c r="BW720" s="46">
        <v>616</v>
      </c>
      <c r="BX720" s="46" t="s">
        <v>1820</v>
      </c>
      <c r="BY720" s="46">
        <v>627</v>
      </c>
      <c r="BZ720" s="46" t="s">
        <v>1839</v>
      </c>
      <c r="CA720" s="46">
        <v>649</v>
      </c>
      <c r="CB720" s="46" t="s">
        <v>1858</v>
      </c>
      <c r="CC720" s="46">
        <v>668</v>
      </c>
      <c r="CD720" s="46" t="s">
        <v>1168</v>
      </c>
      <c r="CE720" s="46">
        <v>681</v>
      </c>
    </row>
    <row r="721" spans="1:83" s="46" customFormat="1">
      <c r="A721" s="46">
        <v>720</v>
      </c>
      <c r="B721" s="46" t="s">
        <v>1804</v>
      </c>
      <c r="C721" s="46" t="s">
        <v>3860</v>
      </c>
      <c r="D721" s="46" t="s">
        <v>1263</v>
      </c>
      <c r="E721" s="46">
        <v>19</v>
      </c>
      <c r="F721" s="46" t="s">
        <v>1267</v>
      </c>
      <c r="G721" s="46">
        <v>22</v>
      </c>
      <c r="H721" s="46" t="s">
        <v>1286</v>
      </c>
      <c r="I721" s="46">
        <v>40</v>
      </c>
      <c r="J721" s="46" t="s">
        <v>1307</v>
      </c>
      <c r="K721" s="46">
        <v>64</v>
      </c>
      <c r="L721" s="46" t="s">
        <v>1310</v>
      </c>
      <c r="M721" s="46">
        <v>69</v>
      </c>
      <c r="N721" s="46" t="s">
        <v>1313</v>
      </c>
      <c r="O721" s="46">
        <v>72</v>
      </c>
      <c r="P721" s="46" t="s">
        <v>1322</v>
      </c>
      <c r="Q721" s="46">
        <v>81</v>
      </c>
      <c r="R721" s="46" t="s">
        <v>1353</v>
      </c>
      <c r="S721" s="46">
        <v>111</v>
      </c>
      <c r="T721" s="46" t="s">
        <v>1363</v>
      </c>
      <c r="U721" s="46">
        <v>121</v>
      </c>
      <c r="V721" s="46" t="s">
        <v>1364</v>
      </c>
      <c r="W721" s="46">
        <v>122</v>
      </c>
      <c r="X721" s="46" t="s">
        <v>1372</v>
      </c>
      <c r="Y721" s="46">
        <v>130</v>
      </c>
      <c r="Z721" s="46" t="s">
        <v>1373</v>
      </c>
      <c r="AA721" s="46">
        <v>131</v>
      </c>
      <c r="AB721" s="46" t="s">
        <v>1395</v>
      </c>
      <c r="AC721" s="46">
        <v>154</v>
      </c>
      <c r="AD721" s="46" t="s">
        <v>1428</v>
      </c>
      <c r="AE721" s="46">
        <v>194</v>
      </c>
      <c r="AF721" s="46" t="s">
        <v>1511</v>
      </c>
      <c r="AG721" s="46">
        <v>291</v>
      </c>
      <c r="AH721" s="46" t="s">
        <v>1512</v>
      </c>
      <c r="AI721" s="46">
        <v>292</v>
      </c>
      <c r="AJ721" s="46" t="s">
        <v>1524</v>
      </c>
      <c r="AK721" s="46">
        <v>304</v>
      </c>
      <c r="AL721" s="46" t="s">
        <v>1548</v>
      </c>
      <c r="AM721" s="46">
        <v>332</v>
      </c>
      <c r="AN721" s="46" t="s">
        <v>1564</v>
      </c>
      <c r="AO721" s="46">
        <v>349</v>
      </c>
      <c r="AP721" s="46" t="s">
        <v>739</v>
      </c>
      <c r="AQ721" s="46">
        <v>368</v>
      </c>
      <c r="AR721" s="46" t="s">
        <v>1594</v>
      </c>
      <c r="AS721" s="46">
        <v>382</v>
      </c>
      <c r="AT721" s="46" t="s">
        <v>1632</v>
      </c>
      <c r="AU721" s="46">
        <v>427</v>
      </c>
      <c r="AV721" s="46" t="s">
        <v>1633</v>
      </c>
      <c r="AW721" s="46">
        <v>428</v>
      </c>
      <c r="AX721" s="46" t="s">
        <v>1653</v>
      </c>
      <c r="AY721" s="46">
        <v>447</v>
      </c>
      <c r="AZ721" s="46" t="s">
        <v>1660</v>
      </c>
      <c r="BA721" s="46">
        <v>454</v>
      </c>
      <c r="BB721" s="46" t="s">
        <v>1675</v>
      </c>
      <c r="BC721" s="46">
        <v>471</v>
      </c>
      <c r="BD721" s="46" t="s">
        <v>1693</v>
      </c>
      <c r="BE721" s="46">
        <v>491</v>
      </c>
      <c r="BF721" s="46" t="s">
        <v>1708</v>
      </c>
      <c r="BG721" s="46">
        <v>508</v>
      </c>
      <c r="BH721" s="46" t="s">
        <v>1730</v>
      </c>
      <c r="BI721" s="46">
        <v>530</v>
      </c>
      <c r="BJ721" s="46" t="s">
        <v>1754</v>
      </c>
      <c r="BK721" s="46">
        <v>560</v>
      </c>
      <c r="BL721" s="46" t="s">
        <v>1758</v>
      </c>
      <c r="BM721" s="46">
        <v>565</v>
      </c>
      <c r="BN721" s="46" t="s">
        <v>1765</v>
      </c>
      <c r="BO721" s="46">
        <v>573</v>
      </c>
      <c r="BP721" s="46" t="s">
        <v>1790</v>
      </c>
      <c r="BQ721" s="46">
        <v>598</v>
      </c>
      <c r="BR721" s="46" t="s">
        <v>1807</v>
      </c>
      <c r="BS721" s="46">
        <v>614</v>
      </c>
      <c r="BT721" s="50" t="s">
        <v>1808</v>
      </c>
      <c r="BU721" s="46">
        <v>615</v>
      </c>
      <c r="BV721" s="46" t="s">
        <v>1809</v>
      </c>
      <c r="BW721" s="46">
        <v>616</v>
      </c>
      <c r="BX721" s="46" t="s">
        <v>1820</v>
      </c>
      <c r="BY721" s="46">
        <v>627</v>
      </c>
      <c r="BZ721" s="46" t="s">
        <v>1839</v>
      </c>
      <c r="CA721" s="46">
        <v>649</v>
      </c>
      <c r="CB721" s="46" t="s">
        <v>1858</v>
      </c>
      <c r="CC721" s="46">
        <v>668</v>
      </c>
      <c r="CD721" s="46" t="s">
        <v>1168</v>
      </c>
      <c r="CE721" s="46">
        <v>681</v>
      </c>
    </row>
    <row r="722" spans="1:83">
      <c r="A722">
        <v>721</v>
      </c>
      <c r="B722" t="s">
        <v>4013</v>
      </c>
      <c r="C722" t="s">
        <v>3860</v>
      </c>
      <c r="D722" s="43" t="s">
        <v>1803</v>
      </c>
      <c r="E722">
        <v>612</v>
      </c>
    </row>
    <row r="723" spans="1:83">
      <c r="A723">
        <v>722</v>
      </c>
      <c r="B723" t="s">
        <v>4014</v>
      </c>
      <c r="C723" t="s">
        <v>3860</v>
      </c>
      <c r="D723" t="s">
        <v>1558</v>
      </c>
      <c r="E723">
        <v>342</v>
      </c>
      <c r="F723" s="43" t="s">
        <v>1805</v>
      </c>
      <c r="G723">
        <v>613</v>
      </c>
    </row>
    <row r="724" spans="1:83" hidden="1">
      <c r="A724">
        <v>723</v>
      </c>
      <c r="B724" t="s">
        <v>1811</v>
      </c>
      <c r="C724" t="s">
        <v>3883</v>
      </c>
      <c r="D724" t="s">
        <v>1811</v>
      </c>
      <c r="E724">
        <v>618</v>
      </c>
    </row>
    <row r="725" spans="1:83" hidden="1">
      <c r="A725">
        <v>724</v>
      </c>
      <c r="B725" t="s">
        <v>1812</v>
      </c>
      <c r="C725" t="s">
        <v>3883</v>
      </c>
      <c r="D725" t="s">
        <v>1812</v>
      </c>
      <c r="E725">
        <v>620</v>
      </c>
    </row>
    <row r="726" spans="1:83" hidden="1">
      <c r="A726">
        <v>725</v>
      </c>
      <c r="B726" t="s">
        <v>1817</v>
      </c>
      <c r="C726" t="s">
        <v>3883</v>
      </c>
      <c r="D726" t="s">
        <v>1817</v>
      </c>
      <c r="E726">
        <v>625</v>
      </c>
    </row>
    <row r="727" spans="1:83">
      <c r="A727">
        <v>726</v>
      </c>
      <c r="B727" t="s">
        <v>4015</v>
      </c>
      <c r="C727" t="s">
        <v>3860</v>
      </c>
      <c r="D727" s="43" t="s">
        <v>1815</v>
      </c>
      <c r="E727">
        <v>623</v>
      </c>
    </row>
    <row r="728" spans="1:83">
      <c r="A728">
        <v>727</v>
      </c>
      <c r="B728" t="s">
        <v>4016</v>
      </c>
      <c r="C728" t="s">
        <v>3860</v>
      </c>
      <c r="D728" s="43" t="s">
        <v>1816</v>
      </c>
      <c r="E728">
        <v>624</v>
      </c>
    </row>
    <row r="729" spans="1:83" hidden="1">
      <c r="A729">
        <v>728</v>
      </c>
      <c r="B729" t="s">
        <v>1813</v>
      </c>
      <c r="C729" t="s">
        <v>3883</v>
      </c>
      <c r="D729" s="43" t="s">
        <v>1813</v>
      </c>
      <c r="E729">
        <v>621</v>
      </c>
    </row>
    <row r="730" spans="1:83">
      <c r="A730">
        <v>729</v>
      </c>
      <c r="B730" t="s">
        <v>4017</v>
      </c>
      <c r="C730" t="s">
        <v>3860</v>
      </c>
      <c r="D730" s="43" t="s">
        <v>1814</v>
      </c>
      <c r="E730">
        <v>622</v>
      </c>
    </row>
    <row r="731" spans="1:83" s="44" customFormat="1">
      <c r="A731" s="44">
        <v>730</v>
      </c>
      <c r="B731" s="44" t="s">
        <v>1818</v>
      </c>
      <c r="C731" s="44" t="s">
        <v>3878</v>
      </c>
    </row>
    <row r="732" spans="1:83" hidden="1">
      <c r="A732">
        <v>731</v>
      </c>
      <c r="B732" t="s">
        <v>1819</v>
      </c>
      <c r="C732" t="s">
        <v>3883</v>
      </c>
      <c r="D732" t="s">
        <v>1819</v>
      </c>
      <c r="E732">
        <v>626</v>
      </c>
    </row>
    <row r="733" spans="1:83" hidden="1">
      <c r="A733">
        <v>732</v>
      </c>
      <c r="B733" t="s">
        <v>1819</v>
      </c>
      <c r="C733" t="s">
        <v>3883</v>
      </c>
      <c r="D733" t="s">
        <v>1819</v>
      </c>
      <c r="E733">
        <v>626</v>
      </c>
    </row>
    <row r="734" spans="1:83" hidden="1">
      <c r="A734">
        <v>733</v>
      </c>
      <c r="B734" t="s">
        <v>1820</v>
      </c>
      <c r="C734" t="s">
        <v>3883</v>
      </c>
      <c r="D734" t="s">
        <v>1820</v>
      </c>
      <c r="E734">
        <v>627</v>
      </c>
    </row>
    <row r="735" spans="1:83" hidden="1">
      <c r="A735">
        <v>734</v>
      </c>
      <c r="B735" t="s">
        <v>1820</v>
      </c>
      <c r="C735" t="s">
        <v>3883</v>
      </c>
      <c r="D735" t="s">
        <v>1820</v>
      </c>
      <c r="E735">
        <v>627</v>
      </c>
    </row>
    <row r="736" spans="1:83" hidden="1">
      <c r="A736">
        <v>735</v>
      </c>
      <c r="B736" t="s">
        <v>1821</v>
      </c>
      <c r="C736" t="s">
        <v>3883</v>
      </c>
      <c r="D736" t="s">
        <v>1821</v>
      </c>
      <c r="E736">
        <v>628</v>
      </c>
    </row>
    <row r="737" spans="1:13">
      <c r="A737">
        <v>736</v>
      </c>
      <c r="B737" t="s">
        <v>4018</v>
      </c>
      <c r="C737" t="s">
        <v>3860</v>
      </c>
      <c r="D737" s="43" t="s">
        <v>1822</v>
      </c>
      <c r="E737">
        <v>629</v>
      </c>
    </row>
    <row r="738" spans="1:13" hidden="1">
      <c r="A738">
        <v>737</v>
      </c>
      <c r="B738" t="s">
        <v>1823</v>
      </c>
      <c r="C738" t="s">
        <v>3883</v>
      </c>
      <c r="D738" t="s">
        <v>1823</v>
      </c>
      <c r="E738">
        <v>630</v>
      </c>
    </row>
    <row r="739" spans="1:13" hidden="1">
      <c r="A739">
        <v>738</v>
      </c>
      <c r="B739" t="s">
        <v>1824</v>
      </c>
      <c r="C739" t="s">
        <v>3883</v>
      </c>
      <c r="D739" t="s">
        <v>1824</v>
      </c>
      <c r="E739">
        <v>631</v>
      </c>
    </row>
    <row r="740" spans="1:13" hidden="1">
      <c r="A740">
        <v>739</v>
      </c>
      <c r="B740" t="s">
        <v>1825</v>
      </c>
      <c r="C740" t="s">
        <v>3883</v>
      </c>
      <c r="D740" t="s">
        <v>1825</v>
      </c>
      <c r="E740">
        <v>632</v>
      </c>
    </row>
    <row r="741" spans="1:13">
      <c r="A741">
        <v>740</v>
      </c>
      <c r="B741" t="s">
        <v>4019</v>
      </c>
      <c r="C741" t="s">
        <v>3860</v>
      </c>
      <c r="D741" s="43" t="s">
        <v>1827</v>
      </c>
      <c r="E741">
        <v>634</v>
      </c>
      <c r="F741" t="s">
        <v>1828</v>
      </c>
      <c r="G741">
        <v>635</v>
      </c>
    </row>
    <row r="742" spans="1:13">
      <c r="A742">
        <v>741</v>
      </c>
      <c r="B742" t="s">
        <v>4020</v>
      </c>
      <c r="C742" t="s">
        <v>3860</v>
      </c>
      <c r="D742" s="43" t="s">
        <v>1829</v>
      </c>
      <c r="E742">
        <v>636</v>
      </c>
    </row>
    <row r="743" spans="1:13">
      <c r="A743">
        <v>742</v>
      </c>
      <c r="B743" t="s">
        <v>4021</v>
      </c>
      <c r="C743" t="s">
        <v>3860</v>
      </c>
      <c r="D743" t="s">
        <v>1646</v>
      </c>
      <c r="E743">
        <v>440</v>
      </c>
      <c r="F743" s="43" t="s">
        <v>1826</v>
      </c>
      <c r="G743">
        <v>633</v>
      </c>
    </row>
    <row r="744" spans="1:13">
      <c r="A744">
        <v>743</v>
      </c>
      <c r="B744" t="s">
        <v>1116</v>
      </c>
      <c r="C744" t="s">
        <v>3860</v>
      </c>
      <c r="D744" t="s">
        <v>1359</v>
      </c>
      <c r="E744">
        <v>117</v>
      </c>
      <c r="F744" t="s">
        <v>987</v>
      </c>
      <c r="G744">
        <v>548</v>
      </c>
      <c r="H744" t="s">
        <v>1025</v>
      </c>
      <c r="I744">
        <v>574</v>
      </c>
      <c r="J744" t="s">
        <v>1819</v>
      </c>
      <c r="K744">
        <v>626</v>
      </c>
      <c r="L744" s="43" t="s">
        <v>1830</v>
      </c>
      <c r="M744">
        <v>637</v>
      </c>
    </row>
    <row r="745" spans="1:13">
      <c r="A745">
        <v>744</v>
      </c>
      <c r="B745" t="s">
        <v>1116</v>
      </c>
      <c r="C745" t="s">
        <v>3860</v>
      </c>
      <c r="D745" t="s">
        <v>1359</v>
      </c>
      <c r="E745">
        <v>117</v>
      </c>
      <c r="F745" t="s">
        <v>987</v>
      </c>
      <c r="G745">
        <v>548</v>
      </c>
      <c r="H745" t="s">
        <v>1025</v>
      </c>
      <c r="I745">
        <v>574</v>
      </c>
      <c r="J745" t="s">
        <v>1819</v>
      </c>
      <c r="K745">
        <v>626</v>
      </c>
      <c r="L745" s="43" t="s">
        <v>1830</v>
      </c>
      <c r="M745">
        <v>637</v>
      </c>
    </row>
    <row r="746" spans="1:13" hidden="1">
      <c r="A746">
        <v>745</v>
      </c>
      <c r="B746" t="s">
        <v>1118</v>
      </c>
      <c r="C746" t="s">
        <v>3883</v>
      </c>
      <c r="D746" t="s">
        <v>1118</v>
      </c>
      <c r="E746">
        <v>638</v>
      </c>
    </row>
    <row r="747" spans="1:13">
      <c r="A747">
        <v>746</v>
      </c>
      <c r="B747" t="s">
        <v>1119</v>
      </c>
      <c r="C747" t="s">
        <v>3860</v>
      </c>
      <c r="D747" t="s">
        <v>1118</v>
      </c>
      <c r="E747">
        <v>638</v>
      </c>
    </row>
    <row r="748" spans="1:13" hidden="1">
      <c r="A748">
        <v>747</v>
      </c>
      <c r="B748" t="s">
        <v>1833</v>
      </c>
      <c r="C748" t="s">
        <v>3883</v>
      </c>
      <c r="D748" t="s">
        <v>1833</v>
      </c>
      <c r="E748">
        <v>641</v>
      </c>
    </row>
    <row r="749" spans="1:13" hidden="1">
      <c r="A749">
        <v>748</v>
      </c>
      <c r="B749" t="s">
        <v>1833</v>
      </c>
      <c r="C749" t="s">
        <v>3883</v>
      </c>
      <c r="D749" t="s">
        <v>1833</v>
      </c>
      <c r="E749">
        <v>641</v>
      </c>
    </row>
    <row r="750" spans="1:13" hidden="1">
      <c r="A750">
        <v>749</v>
      </c>
      <c r="B750" t="s">
        <v>1831</v>
      </c>
      <c r="C750" t="s">
        <v>3883</v>
      </c>
      <c r="D750" t="s">
        <v>1831</v>
      </c>
      <c r="E750">
        <v>639</v>
      </c>
    </row>
    <row r="751" spans="1:13" hidden="1">
      <c r="A751">
        <v>750</v>
      </c>
      <c r="B751" t="s">
        <v>1831</v>
      </c>
      <c r="C751" t="s">
        <v>3883</v>
      </c>
      <c r="D751" t="s">
        <v>1831</v>
      </c>
      <c r="E751">
        <v>639</v>
      </c>
    </row>
    <row r="752" spans="1:13" hidden="1">
      <c r="A752">
        <v>751</v>
      </c>
      <c r="B752" t="s">
        <v>1832</v>
      </c>
      <c r="C752" t="s">
        <v>3883</v>
      </c>
      <c r="D752" t="s">
        <v>1832</v>
      </c>
      <c r="E752">
        <v>640</v>
      </c>
    </row>
    <row r="753" spans="1:5" hidden="1">
      <c r="A753">
        <v>752</v>
      </c>
      <c r="B753" t="s">
        <v>1832</v>
      </c>
      <c r="C753" t="s">
        <v>3883</v>
      </c>
      <c r="D753" t="s">
        <v>1832</v>
      </c>
      <c r="E753">
        <v>640</v>
      </c>
    </row>
    <row r="754" spans="1:5" hidden="1">
      <c r="A754">
        <v>753</v>
      </c>
      <c r="B754" t="s">
        <v>1124</v>
      </c>
      <c r="C754" t="s">
        <v>3883</v>
      </c>
      <c r="D754" t="s">
        <v>1124</v>
      </c>
      <c r="E754">
        <v>642</v>
      </c>
    </row>
    <row r="755" spans="1:5" hidden="1">
      <c r="A755">
        <v>754</v>
      </c>
      <c r="B755" t="s">
        <v>1124</v>
      </c>
      <c r="C755" t="s">
        <v>3883</v>
      </c>
      <c r="D755" t="s">
        <v>1124</v>
      </c>
      <c r="E755">
        <v>642</v>
      </c>
    </row>
    <row r="756" spans="1:5" hidden="1">
      <c r="A756">
        <v>755</v>
      </c>
      <c r="B756" t="s">
        <v>1126</v>
      </c>
      <c r="C756" t="s">
        <v>3883</v>
      </c>
      <c r="D756" t="s">
        <v>1126</v>
      </c>
      <c r="E756">
        <v>643</v>
      </c>
    </row>
    <row r="757" spans="1:5" hidden="1">
      <c r="A757">
        <v>756</v>
      </c>
      <c r="B757" t="s">
        <v>1126</v>
      </c>
      <c r="C757" t="s">
        <v>3883</v>
      </c>
      <c r="D757" t="s">
        <v>1126</v>
      </c>
      <c r="E757">
        <v>643</v>
      </c>
    </row>
    <row r="758" spans="1:5" hidden="1">
      <c r="A758">
        <v>757</v>
      </c>
      <c r="B758" t="s">
        <v>1835</v>
      </c>
      <c r="C758" t="s">
        <v>3883</v>
      </c>
      <c r="D758" t="s">
        <v>1835</v>
      </c>
      <c r="E758">
        <v>645</v>
      </c>
    </row>
    <row r="759" spans="1:5" hidden="1">
      <c r="A759">
        <v>758</v>
      </c>
      <c r="B759" t="s">
        <v>1835</v>
      </c>
      <c r="C759" t="s">
        <v>3883</v>
      </c>
      <c r="D759" t="s">
        <v>1835</v>
      </c>
      <c r="E759">
        <v>645</v>
      </c>
    </row>
    <row r="760" spans="1:5" s="46" customFormat="1">
      <c r="A760" s="46">
        <v>759</v>
      </c>
      <c r="B760" s="46" t="s">
        <v>1836</v>
      </c>
      <c r="C760" s="46" t="s">
        <v>3860</v>
      </c>
      <c r="D760" s="46" t="s">
        <v>945</v>
      </c>
      <c r="E760" s="46">
        <v>520</v>
      </c>
    </row>
    <row r="761" spans="1:5" hidden="1">
      <c r="A761">
        <v>760</v>
      </c>
      <c r="B761" t="s">
        <v>1837</v>
      </c>
      <c r="C761" t="s">
        <v>3883</v>
      </c>
      <c r="D761" t="s">
        <v>1837</v>
      </c>
      <c r="E761">
        <v>647</v>
      </c>
    </row>
    <row r="762" spans="1:5" hidden="1">
      <c r="A762">
        <v>761</v>
      </c>
      <c r="B762" t="s">
        <v>1838</v>
      </c>
      <c r="C762" t="s">
        <v>3883</v>
      </c>
      <c r="D762" t="s">
        <v>1838</v>
      </c>
      <c r="E762">
        <v>648</v>
      </c>
    </row>
    <row r="763" spans="1:5" hidden="1">
      <c r="A763">
        <v>762</v>
      </c>
      <c r="B763" t="s">
        <v>1839</v>
      </c>
      <c r="C763" t="s">
        <v>3883</v>
      </c>
      <c r="D763" t="s">
        <v>1839</v>
      </c>
      <c r="E763">
        <v>649</v>
      </c>
    </row>
    <row r="764" spans="1:5" hidden="1">
      <c r="A764">
        <v>763</v>
      </c>
      <c r="B764" t="s">
        <v>1839</v>
      </c>
      <c r="C764" t="s">
        <v>3883</v>
      </c>
      <c r="D764" t="s">
        <v>1839</v>
      </c>
      <c r="E764">
        <v>649</v>
      </c>
    </row>
    <row r="765" spans="1:5" hidden="1">
      <c r="A765">
        <v>764</v>
      </c>
      <c r="B765" t="s">
        <v>1843</v>
      </c>
      <c r="C765" t="s">
        <v>3883</v>
      </c>
      <c r="D765" t="s">
        <v>1843</v>
      </c>
      <c r="E765">
        <v>653</v>
      </c>
    </row>
    <row r="766" spans="1:5" hidden="1">
      <c r="A766">
        <v>765</v>
      </c>
      <c r="B766" t="s">
        <v>1842</v>
      </c>
      <c r="C766" t="s">
        <v>3883</v>
      </c>
      <c r="D766" t="s">
        <v>1842</v>
      </c>
      <c r="E766">
        <v>652</v>
      </c>
    </row>
    <row r="767" spans="1:5" hidden="1">
      <c r="A767">
        <v>766</v>
      </c>
      <c r="B767" t="s">
        <v>1842</v>
      </c>
      <c r="C767" t="s">
        <v>3883</v>
      </c>
      <c r="D767" t="s">
        <v>1842</v>
      </c>
      <c r="E767">
        <v>652</v>
      </c>
    </row>
    <row r="768" spans="1:5" hidden="1">
      <c r="A768">
        <v>767</v>
      </c>
      <c r="B768" t="s">
        <v>1841</v>
      </c>
      <c r="C768" t="s">
        <v>3883</v>
      </c>
      <c r="D768" t="s">
        <v>1841</v>
      </c>
      <c r="E768">
        <v>651</v>
      </c>
    </row>
    <row r="769" spans="1:5" hidden="1">
      <c r="A769">
        <v>768</v>
      </c>
      <c r="B769" t="s">
        <v>1844</v>
      </c>
      <c r="C769" t="s">
        <v>3883</v>
      </c>
      <c r="D769" t="s">
        <v>1844</v>
      </c>
      <c r="E769">
        <v>654</v>
      </c>
    </row>
    <row r="770" spans="1:5" hidden="1">
      <c r="A770">
        <v>769</v>
      </c>
      <c r="B770" t="s">
        <v>1845</v>
      </c>
      <c r="C770" t="s">
        <v>3883</v>
      </c>
      <c r="D770" t="s">
        <v>1845</v>
      </c>
      <c r="E770">
        <v>655</v>
      </c>
    </row>
    <row r="771" spans="1:5" hidden="1">
      <c r="A771">
        <v>770</v>
      </c>
      <c r="B771" t="s">
        <v>1846</v>
      </c>
      <c r="C771" t="s">
        <v>3883</v>
      </c>
      <c r="D771" t="s">
        <v>1846</v>
      </c>
      <c r="E771">
        <v>656</v>
      </c>
    </row>
    <row r="772" spans="1:5" hidden="1">
      <c r="A772">
        <v>771</v>
      </c>
      <c r="B772" t="s">
        <v>1848</v>
      </c>
      <c r="C772" t="s">
        <v>3883</v>
      </c>
      <c r="D772" t="s">
        <v>1848</v>
      </c>
      <c r="E772">
        <v>658</v>
      </c>
    </row>
    <row r="773" spans="1:5">
      <c r="A773">
        <v>772</v>
      </c>
      <c r="B773" t="s">
        <v>4022</v>
      </c>
      <c r="C773" t="s">
        <v>3860</v>
      </c>
      <c r="D773" s="43" t="s">
        <v>1847</v>
      </c>
      <c r="E773">
        <v>657</v>
      </c>
    </row>
    <row r="774" spans="1:5" hidden="1">
      <c r="A774">
        <v>773</v>
      </c>
      <c r="B774" t="s">
        <v>1849</v>
      </c>
      <c r="C774" t="s">
        <v>3883</v>
      </c>
      <c r="D774" t="s">
        <v>1849</v>
      </c>
      <c r="E774">
        <v>659</v>
      </c>
    </row>
    <row r="775" spans="1:5" hidden="1">
      <c r="A775">
        <v>774</v>
      </c>
      <c r="B775" t="s">
        <v>1850</v>
      </c>
      <c r="C775" t="s">
        <v>3883</v>
      </c>
      <c r="D775" t="s">
        <v>1850</v>
      </c>
      <c r="E775">
        <v>660</v>
      </c>
    </row>
    <row r="776" spans="1:5" hidden="1">
      <c r="A776">
        <v>775</v>
      </c>
      <c r="B776" t="s">
        <v>1852</v>
      </c>
      <c r="C776" t="s">
        <v>3883</v>
      </c>
      <c r="D776" t="s">
        <v>1852</v>
      </c>
      <c r="E776">
        <v>662</v>
      </c>
    </row>
    <row r="777" spans="1:5" hidden="1">
      <c r="A777">
        <v>776</v>
      </c>
      <c r="B777" t="s">
        <v>1851</v>
      </c>
      <c r="C777" t="s">
        <v>3883</v>
      </c>
      <c r="D777" t="s">
        <v>1851</v>
      </c>
      <c r="E777">
        <v>661</v>
      </c>
    </row>
    <row r="778" spans="1:5" s="46" customFormat="1">
      <c r="A778" s="46">
        <v>777</v>
      </c>
      <c r="B778" s="46" t="s">
        <v>4023</v>
      </c>
      <c r="C778" s="46" t="s">
        <v>3878</v>
      </c>
    </row>
    <row r="779" spans="1:5" hidden="1">
      <c r="A779">
        <v>778</v>
      </c>
      <c r="B779" t="s">
        <v>1854</v>
      </c>
      <c r="C779" t="s">
        <v>3883</v>
      </c>
      <c r="D779" t="s">
        <v>1854</v>
      </c>
      <c r="E779">
        <v>664</v>
      </c>
    </row>
    <row r="780" spans="1:5" hidden="1">
      <c r="A780">
        <v>779</v>
      </c>
      <c r="B780" t="s">
        <v>1855</v>
      </c>
      <c r="C780" t="s">
        <v>3883</v>
      </c>
      <c r="D780" t="s">
        <v>1855</v>
      </c>
      <c r="E780">
        <v>665</v>
      </c>
    </row>
    <row r="781" spans="1:5" hidden="1">
      <c r="A781">
        <v>780</v>
      </c>
      <c r="B781" t="s">
        <v>1853</v>
      </c>
      <c r="C781" t="s">
        <v>3883</v>
      </c>
      <c r="D781" t="s">
        <v>1853</v>
      </c>
      <c r="E781">
        <v>663</v>
      </c>
    </row>
    <row r="782" spans="1:5" hidden="1">
      <c r="A782">
        <v>781</v>
      </c>
      <c r="B782" t="s">
        <v>1853</v>
      </c>
      <c r="C782" t="s">
        <v>3883</v>
      </c>
      <c r="D782" t="s">
        <v>1853</v>
      </c>
      <c r="E782">
        <v>663</v>
      </c>
    </row>
    <row r="783" spans="1:5" hidden="1">
      <c r="A783">
        <v>782</v>
      </c>
      <c r="B783" t="s">
        <v>1856</v>
      </c>
      <c r="C783" t="s">
        <v>3883</v>
      </c>
      <c r="D783" t="s">
        <v>1856</v>
      </c>
      <c r="E783">
        <v>666</v>
      </c>
    </row>
    <row r="784" spans="1:5" hidden="1">
      <c r="A784">
        <v>783</v>
      </c>
      <c r="B784" t="s">
        <v>1857</v>
      </c>
      <c r="C784" t="s">
        <v>3883</v>
      </c>
      <c r="D784" t="s">
        <v>1857</v>
      </c>
      <c r="E784">
        <v>667</v>
      </c>
    </row>
    <row r="785" spans="1:33" hidden="1">
      <c r="A785">
        <v>784</v>
      </c>
      <c r="B785" t="s">
        <v>1858</v>
      </c>
      <c r="C785" t="s">
        <v>3883</v>
      </c>
      <c r="D785" t="s">
        <v>1858</v>
      </c>
      <c r="E785">
        <v>668</v>
      </c>
    </row>
    <row r="786" spans="1:33" hidden="1">
      <c r="A786">
        <v>785</v>
      </c>
      <c r="B786" t="s">
        <v>1858</v>
      </c>
      <c r="C786" t="s">
        <v>3883</v>
      </c>
      <c r="D786" t="s">
        <v>1858</v>
      </c>
      <c r="E786">
        <v>668</v>
      </c>
    </row>
    <row r="787" spans="1:33" hidden="1">
      <c r="A787">
        <v>786</v>
      </c>
      <c r="B787" t="s">
        <v>1859</v>
      </c>
      <c r="C787" t="s">
        <v>3883</v>
      </c>
      <c r="D787" t="s">
        <v>1859</v>
      </c>
      <c r="E787">
        <v>669</v>
      </c>
    </row>
    <row r="788" spans="1:33" hidden="1">
      <c r="A788">
        <v>787</v>
      </c>
      <c r="B788" t="s">
        <v>1862</v>
      </c>
      <c r="C788" t="s">
        <v>3883</v>
      </c>
      <c r="D788" t="s">
        <v>1862</v>
      </c>
      <c r="E788">
        <v>672</v>
      </c>
    </row>
    <row r="789" spans="1:33" hidden="1">
      <c r="A789">
        <v>788</v>
      </c>
      <c r="B789" t="s">
        <v>1860</v>
      </c>
      <c r="C789" t="s">
        <v>3883</v>
      </c>
      <c r="D789" t="s">
        <v>1860</v>
      </c>
      <c r="E789">
        <v>670</v>
      </c>
    </row>
    <row r="790" spans="1:33" hidden="1">
      <c r="A790">
        <v>789</v>
      </c>
      <c r="B790" t="s">
        <v>1860</v>
      </c>
      <c r="C790" t="s">
        <v>3883</v>
      </c>
      <c r="D790" t="s">
        <v>1860</v>
      </c>
      <c r="E790">
        <v>670</v>
      </c>
    </row>
    <row r="791" spans="1:33" hidden="1">
      <c r="A791">
        <v>790</v>
      </c>
      <c r="B791" t="s">
        <v>1861</v>
      </c>
      <c r="C791" t="s">
        <v>3883</v>
      </c>
      <c r="D791" t="s">
        <v>1861</v>
      </c>
      <c r="E791">
        <v>671</v>
      </c>
    </row>
    <row r="792" spans="1:33" hidden="1">
      <c r="A792">
        <v>791</v>
      </c>
      <c r="B792" t="s">
        <v>1861</v>
      </c>
      <c r="C792" t="s">
        <v>3883</v>
      </c>
      <c r="D792" t="s">
        <v>1861</v>
      </c>
      <c r="E792">
        <v>671</v>
      </c>
    </row>
    <row r="793" spans="1:33" hidden="1">
      <c r="A793">
        <v>792</v>
      </c>
      <c r="B793" t="s">
        <v>1863</v>
      </c>
      <c r="C793" t="s">
        <v>3883</v>
      </c>
      <c r="D793" t="s">
        <v>1863</v>
      </c>
      <c r="E793">
        <v>673</v>
      </c>
    </row>
    <row r="794" spans="1:33" hidden="1">
      <c r="A794">
        <v>793</v>
      </c>
      <c r="B794" t="s">
        <v>1864</v>
      </c>
      <c r="C794" t="s">
        <v>3883</v>
      </c>
      <c r="D794" t="s">
        <v>1864</v>
      </c>
      <c r="E794">
        <v>674</v>
      </c>
    </row>
    <row r="795" spans="1:33" hidden="1">
      <c r="A795">
        <v>794</v>
      </c>
      <c r="B795" t="s">
        <v>1164</v>
      </c>
      <c r="C795" t="s">
        <v>3883</v>
      </c>
      <c r="D795" t="s">
        <v>1164</v>
      </c>
      <c r="E795">
        <v>675</v>
      </c>
    </row>
    <row r="796" spans="1:33" hidden="1">
      <c r="A796">
        <v>795</v>
      </c>
      <c r="B796" t="s">
        <v>1865</v>
      </c>
      <c r="C796" t="s">
        <v>3883</v>
      </c>
      <c r="D796" t="s">
        <v>1865</v>
      </c>
      <c r="E796">
        <v>676</v>
      </c>
    </row>
    <row r="797" spans="1:33">
      <c r="A797">
        <v>796</v>
      </c>
      <c r="B797" t="s">
        <v>4024</v>
      </c>
      <c r="C797" t="s">
        <v>3860</v>
      </c>
      <c r="D797" t="s">
        <v>1523</v>
      </c>
      <c r="E797">
        <v>303</v>
      </c>
      <c r="F797" t="s">
        <v>1854</v>
      </c>
      <c r="G797">
        <v>664</v>
      </c>
      <c r="H797" s="43" t="s">
        <v>1866</v>
      </c>
      <c r="I797">
        <v>677</v>
      </c>
    </row>
    <row r="798" spans="1:33">
      <c r="A798">
        <v>797</v>
      </c>
      <c r="B798" t="s">
        <v>4024</v>
      </c>
      <c r="C798" t="s">
        <v>3860</v>
      </c>
      <c r="D798" t="s">
        <v>1523</v>
      </c>
      <c r="E798">
        <v>303</v>
      </c>
      <c r="F798" t="s">
        <v>1854</v>
      </c>
      <c r="G798">
        <v>664</v>
      </c>
      <c r="H798" s="43" t="s">
        <v>1866</v>
      </c>
      <c r="I798">
        <v>677</v>
      </c>
    </row>
    <row r="799" spans="1:33" hidden="1">
      <c r="A799">
        <v>798</v>
      </c>
      <c r="B799" t="s">
        <v>1168</v>
      </c>
      <c r="C799" t="s">
        <v>3883</v>
      </c>
      <c r="D799" t="s">
        <v>1168</v>
      </c>
      <c r="E799">
        <v>681</v>
      </c>
    </row>
    <row r="800" spans="1:33">
      <c r="A800">
        <v>799</v>
      </c>
      <c r="B800" t="s">
        <v>4025</v>
      </c>
      <c r="C800" t="s">
        <v>3860</v>
      </c>
      <c r="D800" t="s">
        <v>1254</v>
      </c>
      <c r="E800">
        <v>10</v>
      </c>
      <c r="F800" t="s">
        <v>1276</v>
      </c>
      <c r="G800">
        <v>31</v>
      </c>
      <c r="H800" t="s">
        <v>1338</v>
      </c>
      <c r="I800">
        <v>98</v>
      </c>
      <c r="J800" t="s">
        <v>1455</v>
      </c>
      <c r="K800">
        <v>223</v>
      </c>
      <c r="L800" t="s">
        <v>1456</v>
      </c>
      <c r="M800">
        <v>225</v>
      </c>
      <c r="N800" t="s">
        <v>578</v>
      </c>
      <c r="O800">
        <v>243</v>
      </c>
      <c r="P800" t="s">
        <v>1509</v>
      </c>
      <c r="Q800">
        <v>289</v>
      </c>
      <c r="R800" t="s">
        <v>1565</v>
      </c>
      <c r="S800">
        <v>350</v>
      </c>
      <c r="T800" t="s">
        <v>1596</v>
      </c>
      <c r="U800">
        <v>385</v>
      </c>
      <c r="V800" t="s">
        <v>1602</v>
      </c>
      <c r="W800">
        <v>391</v>
      </c>
      <c r="X800" t="s">
        <v>1654</v>
      </c>
      <c r="Y800">
        <v>448</v>
      </c>
      <c r="Z800" t="s">
        <v>1669</v>
      </c>
      <c r="AA800">
        <v>464</v>
      </c>
      <c r="AB800" t="s">
        <v>1670</v>
      </c>
      <c r="AC800">
        <v>465</v>
      </c>
      <c r="AD800" t="s">
        <v>1755</v>
      </c>
      <c r="AE800">
        <v>561</v>
      </c>
      <c r="AF800" s="43" t="s">
        <v>1867</v>
      </c>
      <c r="AG800">
        <v>678</v>
      </c>
    </row>
    <row r="801" spans="1:33" hidden="1">
      <c r="A801">
        <v>800</v>
      </c>
      <c r="B801" t="s">
        <v>1869</v>
      </c>
      <c r="C801" t="s">
        <v>3883</v>
      </c>
      <c r="D801" t="s">
        <v>1869</v>
      </c>
      <c r="E801">
        <v>680</v>
      </c>
    </row>
    <row r="802" spans="1:33" hidden="1">
      <c r="A802">
        <v>801</v>
      </c>
      <c r="B802" t="s">
        <v>1868</v>
      </c>
      <c r="C802" t="s">
        <v>3883</v>
      </c>
      <c r="D802" t="s">
        <v>1868</v>
      </c>
      <c r="E802">
        <v>679</v>
      </c>
    </row>
    <row r="803" spans="1:33">
      <c r="A803">
        <v>802</v>
      </c>
      <c r="B803" t="s">
        <v>4026</v>
      </c>
      <c r="C803" t="s">
        <v>3860</v>
      </c>
      <c r="D803" s="43" t="s">
        <v>1871</v>
      </c>
      <c r="E803">
        <v>683</v>
      </c>
    </row>
    <row r="804" spans="1:33">
      <c r="A804">
        <v>803</v>
      </c>
      <c r="B804" t="s">
        <v>4027</v>
      </c>
      <c r="C804" t="s">
        <v>3860</v>
      </c>
      <c r="D804" s="43" t="s">
        <v>1870</v>
      </c>
      <c r="E804">
        <v>682</v>
      </c>
    </row>
    <row r="805" spans="1:33" s="44" customFormat="1">
      <c r="A805" s="44">
        <v>804</v>
      </c>
      <c r="B805" s="44" t="s">
        <v>1241</v>
      </c>
      <c r="C805" s="44" t="s">
        <v>3860</v>
      </c>
      <c r="D805" s="44" t="s">
        <v>1328</v>
      </c>
      <c r="E805" s="44">
        <v>87</v>
      </c>
      <c r="F805" s="44" t="s">
        <v>1480</v>
      </c>
      <c r="G805" s="44">
        <v>255</v>
      </c>
    </row>
    <row r="806" spans="1:33">
      <c r="A806">
        <v>805</v>
      </c>
      <c r="B806" t="s">
        <v>1178</v>
      </c>
      <c r="C806" t="s">
        <v>3860</v>
      </c>
      <c r="D806" s="44" t="s">
        <v>1725</v>
      </c>
      <c r="E806">
        <v>525</v>
      </c>
    </row>
    <row r="807" spans="1:33">
      <c r="A807">
        <v>806</v>
      </c>
      <c r="B807" t="s">
        <v>1179</v>
      </c>
      <c r="C807" t="s">
        <v>3860</v>
      </c>
      <c r="D807" s="44" t="s">
        <v>665</v>
      </c>
      <c r="E807">
        <v>320</v>
      </c>
    </row>
    <row r="808" spans="1:33">
      <c r="A808">
        <v>807</v>
      </c>
      <c r="B808" t="s">
        <v>1339</v>
      </c>
      <c r="C808" t="s">
        <v>3860</v>
      </c>
      <c r="D808" s="44" t="s">
        <v>1247</v>
      </c>
      <c r="E808">
        <v>2</v>
      </c>
      <c r="F808" t="s">
        <v>276</v>
      </c>
      <c r="G808">
        <v>63</v>
      </c>
      <c r="H808" t="s">
        <v>1334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1597</v>
      </c>
      <c r="O808">
        <v>386</v>
      </c>
      <c r="P808" t="s">
        <v>1625</v>
      </c>
      <c r="Q808">
        <v>416</v>
      </c>
      <c r="R808" t="s">
        <v>1667</v>
      </c>
      <c r="S808">
        <v>462</v>
      </c>
      <c r="T808" t="s">
        <v>1679</v>
      </c>
      <c r="U808">
        <v>475</v>
      </c>
    </row>
    <row r="809" spans="1:33" s="46" customFormat="1">
      <c r="A809" s="46">
        <v>808</v>
      </c>
      <c r="B809" s="46" t="s">
        <v>4028</v>
      </c>
      <c r="C809" s="46" t="s">
        <v>3860</v>
      </c>
      <c r="D809" s="46" t="s">
        <v>1258</v>
      </c>
      <c r="E809" s="46">
        <v>14</v>
      </c>
      <c r="F809" s="46" t="s">
        <v>1366</v>
      </c>
      <c r="G809" s="46">
        <v>124</v>
      </c>
      <c r="H809" s="46" t="s">
        <v>594</v>
      </c>
      <c r="I809" s="46">
        <v>251</v>
      </c>
      <c r="J809" s="46" t="s">
        <v>1592</v>
      </c>
      <c r="K809" s="46">
        <v>380</v>
      </c>
      <c r="L809" s="46" t="s">
        <v>1701</v>
      </c>
      <c r="M809" s="46">
        <v>499</v>
      </c>
    </row>
    <row r="810" spans="1:33">
      <c r="A810">
        <v>809</v>
      </c>
      <c r="B810" t="s">
        <v>1183</v>
      </c>
      <c r="C810" t="s">
        <v>3878</v>
      </c>
      <c r="D810" s="44"/>
    </row>
    <row r="811" spans="1:33" hidden="1">
      <c r="A811">
        <v>810</v>
      </c>
      <c r="B811" t="s">
        <v>1437</v>
      </c>
      <c r="C811" t="s">
        <v>3883</v>
      </c>
      <c r="D811" t="s">
        <v>1437</v>
      </c>
      <c r="E811">
        <v>203</v>
      </c>
    </row>
    <row r="812" spans="1:33">
      <c r="A812">
        <v>811</v>
      </c>
      <c r="B812" t="s">
        <v>1186</v>
      </c>
      <c r="C812" t="s">
        <v>3860</v>
      </c>
      <c r="D812" s="43" t="s">
        <v>1441</v>
      </c>
      <c r="E812">
        <v>208</v>
      </c>
    </row>
    <row r="813" spans="1:33">
      <c r="A813">
        <v>812</v>
      </c>
      <c r="B813" t="s">
        <v>1188</v>
      </c>
      <c r="C813" t="s">
        <v>3860</v>
      </c>
      <c r="D813" s="43" t="s">
        <v>1442</v>
      </c>
      <c r="E813">
        <v>209</v>
      </c>
    </row>
    <row r="814" spans="1:33" hidden="1">
      <c r="A814">
        <v>813</v>
      </c>
      <c r="B814" t="s">
        <v>1688</v>
      </c>
      <c r="C814" t="s">
        <v>3883</v>
      </c>
      <c r="D814" t="s">
        <v>1688</v>
      </c>
      <c r="E814">
        <v>486</v>
      </c>
    </row>
    <row r="815" spans="1:33">
      <c r="A815">
        <v>814</v>
      </c>
      <c r="B815" t="s">
        <v>4029</v>
      </c>
      <c r="C815" t="s">
        <v>3860</v>
      </c>
      <c r="D815" t="s">
        <v>1254</v>
      </c>
      <c r="E815">
        <v>10</v>
      </c>
      <c r="F815" t="s">
        <v>1276</v>
      </c>
      <c r="G815">
        <v>31</v>
      </c>
      <c r="H815" t="s">
        <v>1338</v>
      </c>
      <c r="I815">
        <v>98</v>
      </c>
      <c r="J815" s="43" t="s">
        <v>1455</v>
      </c>
      <c r="K815">
        <v>223</v>
      </c>
      <c r="L815" t="s">
        <v>1456</v>
      </c>
      <c r="M815">
        <v>225</v>
      </c>
      <c r="N815" t="s">
        <v>578</v>
      </c>
      <c r="O815">
        <v>243</v>
      </c>
      <c r="P815" t="s">
        <v>1509</v>
      </c>
      <c r="Q815">
        <v>289</v>
      </c>
      <c r="R815" t="s">
        <v>1565</v>
      </c>
      <c r="S815">
        <v>350</v>
      </c>
      <c r="T815" t="s">
        <v>1596</v>
      </c>
      <c r="U815">
        <v>385</v>
      </c>
      <c r="V815" t="s">
        <v>1602</v>
      </c>
      <c r="W815">
        <v>391</v>
      </c>
      <c r="X815" t="s">
        <v>1654</v>
      </c>
      <c r="Y815">
        <v>448</v>
      </c>
      <c r="Z815" t="s">
        <v>1669</v>
      </c>
      <c r="AA815">
        <v>464</v>
      </c>
      <c r="AB815" t="s">
        <v>1670</v>
      </c>
      <c r="AC815">
        <v>465</v>
      </c>
      <c r="AD815" t="s">
        <v>1755</v>
      </c>
      <c r="AE815">
        <v>561</v>
      </c>
      <c r="AF815" t="s">
        <v>1867</v>
      </c>
      <c r="AG815">
        <v>678</v>
      </c>
    </row>
    <row r="816" spans="1:33">
      <c r="A816">
        <v>815</v>
      </c>
      <c r="B816" t="s">
        <v>4030</v>
      </c>
      <c r="C816" t="s">
        <v>3860</v>
      </c>
      <c r="D816" s="43" t="s">
        <v>1454</v>
      </c>
      <c r="E816">
        <v>222</v>
      </c>
    </row>
    <row r="817" spans="1:33">
      <c r="A817">
        <v>816</v>
      </c>
      <c r="B817" t="s">
        <v>4031</v>
      </c>
      <c r="C817" t="s">
        <v>3860</v>
      </c>
      <c r="D817" s="43" t="s">
        <v>1456</v>
      </c>
      <c r="E817">
        <v>224</v>
      </c>
      <c r="F817" t="s">
        <v>1509</v>
      </c>
      <c r="G817">
        <v>288</v>
      </c>
    </row>
    <row r="818" spans="1:33">
      <c r="A818">
        <v>817</v>
      </c>
      <c r="B818" t="s">
        <v>4032</v>
      </c>
      <c r="C818" t="s">
        <v>3860</v>
      </c>
      <c r="D818" t="s">
        <v>1254</v>
      </c>
      <c r="E818">
        <v>10</v>
      </c>
      <c r="F818" t="s">
        <v>1276</v>
      </c>
      <c r="G818">
        <v>31</v>
      </c>
      <c r="H818" t="s">
        <v>1338</v>
      </c>
      <c r="I818">
        <v>98</v>
      </c>
      <c r="J818" t="s">
        <v>1455</v>
      </c>
      <c r="K818">
        <v>223</v>
      </c>
      <c r="L818" s="43" t="s">
        <v>1456</v>
      </c>
      <c r="M818">
        <v>225</v>
      </c>
      <c r="N818" t="s">
        <v>578</v>
      </c>
      <c r="O818">
        <v>243</v>
      </c>
      <c r="P818" t="s">
        <v>1509</v>
      </c>
      <c r="Q818">
        <v>289</v>
      </c>
      <c r="R818" t="s">
        <v>1565</v>
      </c>
      <c r="S818">
        <v>350</v>
      </c>
      <c r="T818" t="s">
        <v>1596</v>
      </c>
      <c r="U818">
        <v>385</v>
      </c>
      <c r="V818" t="s">
        <v>1602</v>
      </c>
      <c r="W818">
        <v>391</v>
      </c>
      <c r="X818" t="s">
        <v>1654</v>
      </c>
      <c r="Y818">
        <v>448</v>
      </c>
      <c r="Z818" t="s">
        <v>1669</v>
      </c>
      <c r="AA818">
        <v>464</v>
      </c>
      <c r="AB818" t="s">
        <v>1670</v>
      </c>
      <c r="AC818">
        <v>465</v>
      </c>
      <c r="AD818" t="s">
        <v>1755</v>
      </c>
      <c r="AE818">
        <v>561</v>
      </c>
      <c r="AF818" t="s">
        <v>1867</v>
      </c>
      <c r="AG818">
        <v>678</v>
      </c>
    </row>
    <row r="819" spans="1:33" s="46" customFormat="1">
      <c r="A819" s="46">
        <v>818</v>
      </c>
      <c r="B819" s="46" t="s">
        <v>1198</v>
      </c>
      <c r="C819" s="46" t="s">
        <v>3878</v>
      </c>
    </row>
    <row r="820" spans="1:33" s="46" customFormat="1">
      <c r="A820" s="46">
        <v>819</v>
      </c>
      <c r="B820" s="46" t="s">
        <v>1200</v>
      </c>
      <c r="C820" s="46" t="s">
        <v>3878</v>
      </c>
    </row>
    <row r="821" spans="1:33">
      <c r="A821">
        <v>820</v>
      </c>
      <c r="B821" t="s">
        <v>1242</v>
      </c>
      <c r="C821" t="s">
        <v>3860</v>
      </c>
      <c r="D821" t="s">
        <v>1453</v>
      </c>
      <c r="E821">
        <v>220</v>
      </c>
      <c r="F821" t="s">
        <v>1453</v>
      </c>
      <c r="G821">
        <v>221</v>
      </c>
    </row>
    <row r="822" spans="1:33">
      <c r="A822">
        <v>821</v>
      </c>
      <c r="B822" t="s">
        <v>1243</v>
      </c>
      <c r="C822" t="s">
        <v>3860</v>
      </c>
      <c r="D822" t="s">
        <v>1453</v>
      </c>
      <c r="E822">
        <v>220</v>
      </c>
      <c r="F822" t="s">
        <v>1453</v>
      </c>
      <c r="G822">
        <v>221</v>
      </c>
    </row>
    <row r="823" spans="1:33">
      <c r="A823">
        <v>822</v>
      </c>
      <c r="B823" t="s">
        <v>1204</v>
      </c>
      <c r="C823" t="s">
        <v>3860</v>
      </c>
      <c r="D823" t="s">
        <v>1551</v>
      </c>
      <c r="E823">
        <v>335</v>
      </c>
    </row>
    <row r="824" spans="1:33">
      <c r="A824">
        <v>823</v>
      </c>
      <c r="B824" t="s">
        <v>1204</v>
      </c>
      <c r="C824" t="s">
        <v>3860</v>
      </c>
      <c r="D824" t="s">
        <v>1669</v>
      </c>
      <c r="E824">
        <v>466</v>
      </c>
      <c r="F824" t="s">
        <v>1781</v>
      </c>
      <c r="G824">
        <v>589</v>
      </c>
    </row>
    <row r="825" spans="1:33" hidden="1">
      <c r="A825">
        <v>824</v>
      </c>
      <c r="B825" t="s">
        <v>1501</v>
      </c>
      <c r="C825" t="s">
        <v>3883</v>
      </c>
      <c r="D825" s="43" t="s">
        <v>1501</v>
      </c>
      <c r="E825">
        <v>280</v>
      </c>
    </row>
    <row r="826" spans="1:33" hidden="1">
      <c r="A826">
        <v>825</v>
      </c>
      <c r="B826" t="s">
        <v>1501</v>
      </c>
      <c r="C826" t="s">
        <v>3883</v>
      </c>
      <c r="D826" s="43" t="s">
        <v>1501</v>
      </c>
      <c r="E826">
        <v>280</v>
      </c>
    </row>
    <row r="827" spans="1:33" hidden="1">
      <c r="A827">
        <v>826</v>
      </c>
      <c r="B827" t="s">
        <v>1500</v>
      </c>
      <c r="C827" t="s">
        <v>3883</v>
      </c>
      <c r="D827" s="43" t="s">
        <v>1500</v>
      </c>
      <c r="E827">
        <v>279</v>
      </c>
    </row>
    <row r="828" spans="1:33" hidden="1">
      <c r="A828">
        <v>827</v>
      </c>
      <c r="B828" t="s">
        <v>1500</v>
      </c>
      <c r="C828" t="s">
        <v>3883</v>
      </c>
      <c r="D828" s="43" t="s">
        <v>1500</v>
      </c>
      <c r="E828">
        <v>279</v>
      </c>
    </row>
    <row r="829" spans="1:33">
      <c r="A829">
        <v>828</v>
      </c>
      <c r="B829" t="s">
        <v>1499</v>
      </c>
      <c r="C829" t="s">
        <v>3860</v>
      </c>
      <c r="D829" s="44" t="s">
        <v>1269</v>
      </c>
      <c r="E829">
        <v>24</v>
      </c>
      <c r="F829" t="s">
        <v>1316</v>
      </c>
      <c r="G829">
        <v>75</v>
      </c>
      <c r="H829" t="s">
        <v>1472</v>
      </c>
      <c r="I829">
        <v>246</v>
      </c>
    </row>
    <row r="830" spans="1:33">
      <c r="A830">
        <v>829</v>
      </c>
      <c r="B830" t="s">
        <v>4033</v>
      </c>
      <c r="C830" t="s">
        <v>3860</v>
      </c>
      <c r="D830" t="s">
        <v>1456</v>
      </c>
      <c r="E830">
        <v>224</v>
      </c>
      <c r="F830" s="43" t="s">
        <v>1509</v>
      </c>
      <c r="G830">
        <v>288</v>
      </c>
    </row>
    <row r="831" spans="1:33">
      <c r="A831">
        <v>830</v>
      </c>
      <c r="B831" t="s">
        <v>4034</v>
      </c>
      <c r="C831" t="s">
        <v>3860</v>
      </c>
      <c r="D831" t="s">
        <v>1254</v>
      </c>
      <c r="E831">
        <v>10</v>
      </c>
      <c r="F831" t="s">
        <v>1276</v>
      </c>
      <c r="G831">
        <v>31</v>
      </c>
      <c r="H831" t="s">
        <v>1338</v>
      </c>
      <c r="I831">
        <v>98</v>
      </c>
      <c r="J831" t="s">
        <v>1455</v>
      </c>
      <c r="K831">
        <v>223</v>
      </c>
      <c r="L831" t="s">
        <v>1456</v>
      </c>
      <c r="M831">
        <v>225</v>
      </c>
      <c r="N831" t="s">
        <v>578</v>
      </c>
      <c r="O831">
        <v>243</v>
      </c>
      <c r="P831" s="43" t="s">
        <v>1509</v>
      </c>
      <c r="Q831">
        <v>289</v>
      </c>
      <c r="R831" t="s">
        <v>1565</v>
      </c>
      <c r="S831">
        <v>350</v>
      </c>
      <c r="T831" t="s">
        <v>1596</v>
      </c>
      <c r="U831">
        <v>385</v>
      </c>
      <c r="V831" t="s">
        <v>1602</v>
      </c>
      <c r="W831">
        <v>391</v>
      </c>
      <c r="X831" t="s">
        <v>1654</v>
      </c>
      <c r="Y831">
        <v>448</v>
      </c>
      <c r="Z831" t="s">
        <v>1669</v>
      </c>
      <c r="AA831">
        <v>464</v>
      </c>
      <c r="AB831" t="s">
        <v>1670</v>
      </c>
      <c r="AC831">
        <v>465</v>
      </c>
      <c r="AD831" t="s">
        <v>1755</v>
      </c>
      <c r="AE831">
        <v>561</v>
      </c>
      <c r="AF831" t="s">
        <v>1867</v>
      </c>
      <c r="AG831">
        <v>678</v>
      </c>
    </row>
    <row r="832" spans="1:33">
      <c r="A832">
        <v>831</v>
      </c>
      <c r="B832" t="s">
        <v>1214</v>
      </c>
      <c r="C832" t="s">
        <v>3860</v>
      </c>
      <c r="D832" s="44" t="s">
        <v>1520</v>
      </c>
      <c r="E832">
        <v>300</v>
      </c>
      <c r="F832" t="s">
        <v>1857</v>
      </c>
      <c r="G832">
        <v>667</v>
      </c>
    </row>
    <row r="833" spans="1:5" hidden="1">
      <c r="A833">
        <v>832</v>
      </c>
      <c r="B833" t="s">
        <v>1593</v>
      </c>
      <c r="C833" t="s">
        <v>3883</v>
      </c>
      <c r="D833" s="43" t="s">
        <v>1593</v>
      </c>
      <c r="E833">
        <v>381</v>
      </c>
    </row>
    <row r="834" spans="1:5">
      <c r="A834">
        <v>833</v>
      </c>
      <c r="B834" t="s">
        <v>1219</v>
      </c>
      <c r="C834" t="s">
        <v>3878</v>
      </c>
      <c r="D834" s="44"/>
    </row>
  </sheetData>
  <autoFilter ref="A1:CE834" xr:uid="{00000000-0009-0000-0000-000002000000}">
    <filterColumn colId="2">
      <filters>
        <filter val="不一致"/>
        <filter val="薬価一致候補"/>
      </filters>
    </filterColumn>
  </autoFilter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2D6-D25E-4978-9BBD-3340758407CB}">
  <dimension ref="A1:M687"/>
  <sheetViews>
    <sheetView topLeftCell="A292" workbookViewId="0">
      <selection activeCell="C309" sqref="C309"/>
    </sheetView>
  </sheetViews>
  <sheetFormatPr defaultColWidth="10.77734375" defaultRowHeight="13.2"/>
  <cols>
    <col min="3" max="3" width="57.44140625" bestFit="1" customWidth="1"/>
  </cols>
  <sheetData>
    <row r="1" spans="1:13">
      <c r="A1" t="s">
        <v>1872</v>
      </c>
      <c r="B1" s="16">
        <v>46085</v>
      </c>
    </row>
    <row r="2" spans="1:13">
      <c r="A2" t="s">
        <v>1873</v>
      </c>
      <c r="C2" t="s">
        <v>1874</v>
      </c>
      <c r="D2" t="s">
        <v>1875</v>
      </c>
      <c r="E2" t="s">
        <v>1876</v>
      </c>
      <c r="G2" t="s">
        <v>1877</v>
      </c>
      <c r="H2" t="s">
        <v>1874</v>
      </c>
      <c r="I2" t="s">
        <v>1875</v>
      </c>
      <c r="K2" t="s">
        <v>1876</v>
      </c>
    </row>
    <row r="3" spans="1:13">
      <c r="A3" t="s">
        <v>1878</v>
      </c>
      <c r="C3" t="s">
        <v>1879</v>
      </c>
      <c r="D3" t="s">
        <v>1880</v>
      </c>
      <c r="E3" t="s">
        <v>1881</v>
      </c>
      <c r="G3" t="s">
        <v>1882</v>
      </c>
      <c r="H3" t="s">
        <v>1883</v>
      </c>
      <c r="I3" t="s">
        <v>1884</v>
      </c>
      <c r="K3" t="s">
        <v>1885</v>
      </c>
    </row>
    <row r="4" spans="1:13">
      <c r="A4" t="s">
        <v>1886</v>
      </c>
      <c r="B4" t="s">
        <v>1887</v>
      </c>
      <c r="C4" t="s">
        <v>1888</v>
      </c>
      <c r="D4" t="s">
        <v>1889</v>
      </c>
      <c r="E4" t="s">
        <v>1890</v>
      </c>
      <c r="F4" t="s">
        <v>1891</v>
      </c>
      <c r="G4" t="s">
        <v>1892</v>
      </c>
      <c r="H4" t="s">
        <v>1893</v>
      </c>
      <c r="I4" t="s">
        <v>1894</v>
      </c>
      <c r="J4" t="s">
        <v>1895</v>
      </c>
      <c r="K4" t="s">
        <v>1896</v>
      </c>
      <c r="L4" t="s">
        <v>1897</v>
      </c>
      <c r="M4" t="s">
        <v>4063</v>
      </c>
    </row>
    <row r="5" spans="1:13">
      <c r="A5" t="s">
        <v>1898</v>
      </c>
      <c r="B5" t="s">
        <v>1898</v>
      </c>
      <c r="C5" t="s">
        <v>1245</v>
      </c>
      <c r="D5" t="s">
        <v>1899</v>
      </c>
      <c r="E5">
        <v>1</v>
      </c>
      <c r="G5">
        <v>3.3</v>
      </c>
      <c r="H5" t="s">
        <v>1900</v>
      </c>
      <c r="I5">
        <v>14</v>
      </c>
      <c r="J5" t="s">
        <v>1901</v>
      </c>
      <c r="K5">
        <v>0</v>
      </c>
      <c r="M5">
        <v>7</v>
      </c>
    </row>
    <row r="6" spans="1:13">
      <c r="A6" t="s">
        <v>1902</v>
      </c>
      <c r="B6" t="s">
        <v>1902</v>
      </c>
      <c r="C6" t="s">
        <v>1247</v>
      </c>
      <c r="D6" t="s">
        <v>1903</v>
      </c>
      <c r="E6">
        <v>1</v>
      </c>
      <c r="G6">
        <v>61</v>
      </c>
      <c r="H6" t="s">
        <v>1904</v>
      </c>
      <c r="I6">
        <v>25</v>
      </c>
      <c r="J6" t="s">
        <v>1905</v>
      </c>
      <c r="K6">
        <v>2</v>
      </c>
      <c r="M6">
        <v>9</v>
      </c>
    </row>
    <row r="7" spans="1:13">
      <c r="A7" t="s">
        <v>1906</v>
      </c>
      <c r="B7" t="s">
        <v>1906</v>
      </c>
      <c r="C7" t="s">
        <v>1248</v>
      </c>
      <c r="D7" t="s">
        <v>1907</v>
      </c>
      <c r="E7">
        <v>1</v>
      </c>
      <c r="G7">
        <v>20.7</v>
      </c>
      <c r="H7" t="s">
        <v>1908</v>
      </c>
      <c r="I7">
        <v>15</v>
      </c>
      <c r="J7" t="s">
        <v>1909</v>
      </c>
      <c r="K7">
        <v>0</v>
      </c>
      <c r="M7">
        <v>3</v>
      </c>
    </row>
    <row r="8" spans="1:13">
      <c r="A8" t="s">
        <v>1910</v>
      </c>
      <c r="B8" t="s">
        <v>1910</v>
      </c>
      <c r="C8" t="s">
        <v>1249</v>
      </c>
      <c r="E8">
        <v>1</v>
      </c>
      <c r="G8">
        <v>341</v>
      </c>
      <c r="H8" t="s">
        <v>1911</v>
      </c>
      <c r="I8">
        <v>25</v>
      </c>
      <c r="J8" t="s">
        <v>1905</v>
      </c>
      <c r="K8">
        <v>0</v>
      </c>
      <c r="M8">
        <v>10</v>
      </c>
    </row>
    <row r="9" spans="1:13">
      <c r="A9" t="s">
        <v>1912</v>
      </c>
      <c r="B9" t="s">
        <v>1912</v>
      </c>
      <c r="C9" t="s">
        <v>99</v>
      </c>
      <c r="D9" t="s">
        <v>1913</v>
      </c>
      <c r="E9">
        <v>1</v>
      </c>
      <c r="G9">
        <v>50</v>
      </c>
      <c r="H9" t="s">
        <v>1914</v>
      </c>
      <c r="I9">
        <v>14</v>
      </c>
      <c r="J9" t="s">
        <v>1901</v>
      </c>
      <c r="K9">
        <v>0</v>
      </c>
      <c r="M9">
        <v>15</v>
      </c>
    </row>
    <row r="10" spans="1:13">
      <c r="A10" t="s">
        <v>1915</v>
      </c>
      <c r="B10" t="s">
        <v>1915</v>
      </c>
      <c r="C10" t="s">
        <v>1250</v>
      </c>
      <c r="D10" t="s">
        <v>1916</v>
      </c>
      <c r="E10">
        <v>2</v>
      </c>
      <c r="G10">
        <v>25.9</v>
      </c>
      <c r="H10" t="s">
        <v>1917</v>
      </c>
      <c r="I10">
        <v>1</v>
      </c>
      <c r="J10" t="s">
        <v>1918</v>
      </c>
      <c r="K10">
        <v>0</v>
      </c>
      <c r="M10">
        <v>3</v>
      </c>
    </row>
    <row r="11" spans="1:13">
      <c r="A11" t="s">
        <v>1919</v>
      </c>
      <c r="B11" t="s">
        <v>1919</v>
      </c>
      <c r="C11" t="s">
        <v>1251</v>
      </c>
      <c r="D11" t="s">
        <v>1920</v>
      </c>
      <c r="E11">
        <v>2</v>
      </c>
      <c r="G11">
        <v>368</v>
      </c>
      <c r="H11" t="s">
        <v>1921</v>
      </c>
      <c r="I11">
        <v>25</v>
      </c>
      <c r="J11" t="s">
        <v>1905</v>
      </c>
      <c r="K11">
        <v>0</v>
      </c>
      <c r="M11">
        <v>9</v>
      </c>
    </row>
    <row r="12" spans="1:13">
      <c r="A12" t="s">
        <v>1922</v>
      </c>
      <c r="B12" t="s">
        <v>1922</v>
      </c>
      <c r="C12" t="s">
        <v>1252</v>
      </c>
      <c r="D12" t="s">
        <v>1923</v>
      </c>
      <c r="E12">
        <v>1</v>
      </c>
      <c r="G12">
        <v>60.7</v>
      </c>
      <c r="H12" t="s">
        <v>1924</v>
      </c>
      <c r="I12">
        <v>1</v>
      </c>
      <c r="J12" t="s">
        <v>1918</v>
      </c>
      <c r="K12">
        <v>0</v>
      </c>
      <c r="M12">
        <v>1</v>
      </c>
    </row>
    <row r="13" spans="1:13">
      <c r="A13" t="s">
        <v>1925</v>
      </c>
      <c r="B13" t="s">
        <v>1925</v>
      </c>
      <c r="C13" t="s">
        <v>1253</v>
      </c>
      <c r="E13">
        <v>1</v>
      </c>
      <c r="G13">
        <v>27.4</v>
      </c>
      <c r="H13" t="s">
        <v>1926</v>
      </c>
      <c r="I13">
        <v>1</v>
      </c>
      <c r="J13" t="s">
        <v>1918</v>
      </c>
      <c r="K13">
        <v>0</v>
      </c>
      <c r="M13">
        <v>5</v>
      </c>
    </row>
    <row r="14" spans="1:13">
      <c r="A14" t="s">
        <v>1927</v>
      </c>
      <c r="B14" t="s">
        <v>1927</v>
      </c>
      <c r="C14" t="s">
        <v>1254</v>
      </c>
      <c r="E14">
        <v>1</v>
      </c>
      <c r="G14">
        <v>100</v>
      </c>
      <c r="H14" t="s">
        <v>1928</v>
      </c>
      <c r="I14">
        <v>25</v>
      </c>
      <c r="J14" t="s">
        <v>1905</v>
      </c>
      <c r="K14">
        <v>0</v>
      </c>
      <c r="M14">
        <v>11</v>
      </c>
    </row>
    <row r="15" spans="1:13">
      <c r="A15" t="s">
        <v>1929</v>
      </c>
      <c r="B15" t="s">
        <v>1929</v>
      </c>
      <c r="C15" t="s">
        <v>1255</v>
      </c>
      <c r="D15" t="s">
        <v>1930</v>
      </c>
      <c r="E15">
        <v>1</v>
      </c>
      <c r="G15">
        <v>8.0299999999999994</v>
      </c>
      <c r="H15" t="s">
        <v>1931</v>
      </c>
      <c r="I15">
        <v>14</v>
      </c>
      <c r="J15" t="s">
        <v>1901</v>
      </c>
      <c r="K15">
        <v>0</v>
      </c>
      <c r="M15">
        <v>3</v>
      </c>
    </row>
    <row r="16" spans="1:13">
      <c r="A16" t="s">
        <v>1932</v>
      </c>
      <c r="B16" t="s">
        <v>1932</v>
      </c>
      <c r="C16" t="s">
        <v>1256</v>
      </c>
      <c r="D16" t="s">
        <v>1933</v>
      </c>
      <c r="E16">
        <v>1</v>
      </c>
      <c r="G16">
        <v>5.9</v>
      </c>
      <c r="H16" t="s">
        <v>1934</v>
      </c>
      <c r="I16">
        <v>1</v>
      </c>
      <c r="J16" t="s">
        <v>1918</v>
      </c>
      <c r="K16">
        <v>0</v>
      </c>
      <c r="M16">
        <v>5</v>
      </c>
    </row>
    <row r="17" spans="1:13">
      <c r="A17" t="s">
        <v>1935</v>
      </c>
      <c r="B17" t="s">
        <v>1935</v>
      </c>
      <c r="C17" t="s">
        <v>1257</v>
      </c>
      <c r="D17" t="s">
        <v>1936</v>
      </c>
      <c r="E17">
        <v>1</v>
      </c>
      <c r="G17">
        <v>6.1</v>
      </c>
      <c r="H17" t="s">
        <v>1937</v>
      </c>
      <c r="I17">
        <v>1</v>
      </c>
      <c r="J17" t="s">
        <v>1918</v>
      </c>
      <c r="K17">
        <v>0</v>
      </c>
      <c r="M17">
        <v>1</v>
      </c>
    </row>
    <row r="18" spans="1:13">
      <c r="A18" t="s">
        <v>1938</v>
      </c>
      <c r="B18" t="s">
        <v>1938</v>
      </c>
      <c r="C18" t="s">
        <v>1258</v>
      </c>
      <c r="D18" t="s">
        <v>1939</v>
      </c>
      <c r="E18">
        <v>1</v>
      </c>
      <c r="G18">
        <v>6.7</v>
      </c>
      <c r="H18" t="s">
        <v>1940</v>
      </c>
      <c r="I18">
        <v>3</v>
      </c>
      <c r="J18" t="s">
        <v>1941</v>
      </c>
      <c r="K18">
        <v>0</v>
      </c>
      <c r="M18">
        <v>2</v>
      </c>
    </row>
    <row r="19" spans="1:13">
      <c r="A19" t="s">
        <v>1942</v>
      </c>
      <c r="B19" t="s">
        <v>1942</v>
      </c>
      <c r="C19" t="s">
        <v>1259</v>
      </c>
      <c r="D19" t="s">
        <v>1943</v>
      </c>
      <c r="E19">
        <v>1</v>
      </c>
      <c r="G19">
        <v>181</v>
      </c>
      <c r="H19" t="s">
        <v>1944</v>
      </c>
      <c r="I19">
        <v>25</v>
      </c>
      <c r="J19" t="s">
        <v>1905</v>
      </c>
      <c r="K19">
        <v>0</v>
      </c>
      <c r="M19">
        <v>9</v>
      </c>
    </row>
    <row r="20" spans="1:13">
      <c r="A20" t="s">
        <v>1945</v>
      </c>
      <c r="B20" t="s">
        <v>1945</v>
      </c>
      <c r="C20" t="s">
        <v>1260</v>
      </c>
      <c r="D20" t="s">
        <v>1946</v>
      </c>
      <c r="E20">
        <v>1</v>
      </c>
      <c r="G20">
        <v>91.6</v>
      </c>
      <c r="H20" t="s">
        <v>1947</v>
      </c>
      <c r="I20">
        <v>21</v>
      </c>
      <c r="J20" t="s">
        <v>1948</v>
      </c>
      <c r="K20">
        <v>0</v>
      </c>
      <c r="M20">
        <v>3</v>
      </c>
    </row>
    <row r="21" spans="1:13">
      <c r="A21" t="s">
        <v>1949</v>
      </c>
      <c r="B21" t="s">
        <v>1949</v>
      </c>
      <c r="C21" t="s">
        <v>1261</v>
      </c>
      <c r="D21" t="s">
        <v>1950</v>
      </c>
      <c r="E21">
        <v>2</v>
      </c>
      <c r="G21">
        <v>298</v>
      </c>
      <c r="H21" t="s">
        <v>1951</v>
      </c>
      <c r="I21">
        <v>25</v>
      </c>
      <c r="J21" t="s">
        <v>1905</v>
      </c>
      <c r="K21">
        <v>2</v>
      </c>
      <c r="M21">
        <v>8</v>
      </c>
    </row>
    <row r="22" spans="1:13">
      <c r="A22" t="s">
        <v>1952</v>
      </c>
      <c r="B22" t="s">
        <v>1952</v>
      </c>
      <c r="C22" t="s">
        <v>1262</v>
      </c>
      <c r="D22" t="s">
        <v>1953</v>
      </c>
      <c r="E22">
        <v>2</v>
      </c>
      <c r="G22">
        <v>1646</v>
      </c>
      <c r="H22" t="s">
        <v>1954</v>
      </c>
      <c r="I22">
        <v>25</v>
      </c>
      <c r="J22" t="s">
        <v>1905</v>
      </c>
      <c r="K22">
        <v>2</v>
      </c>
      <c r="M22">
        <v>9</v>
      </c>
    </row>
    <row r="23" spans="1:13">
      <c r="A23" t="s">
        <v>1955</v>
      </c>
      <c r="B23" t="s">
        <v>1955</v>
      </c>
      <c r="C23" t="s">
        <v>1263</v>
      </c>
      <c r="D23" t="s">
        <v>1956</v>
      </c>
      <c r="E23">
        <v>2</v>
      </c>
      <c r="G23">
        <v>10.4</v>
      </c>
      <c r="H23" t="s">
        <v>1957</v>
      </c>
      <c r="I23">
        <v>1</v>
      </c>
      <c r="J23" t="s">
        <v>1918</v>
      </c>
      <c r="K23">
        <v>0</v>
      </c>
      <c r="M23">
        <v>3</v>
      </c>
    </row>
    <row r="24" spans="1:13">
      <c r="A24" t="s">
        <v>1958</v>
      </c>
      <c r="B24" t="s">
        <v>1958</v>
      </c>
      <c r="C24" t="s">
        <v>1265</v>
      </c>
      <c r="D24" t="s">
        <v>1959</v>
      </c>
      <c r="E24">
        <v>1</v>
      </c>
      <c r="G24">
        <v>6.1</v>
      </c>
      <c r="H24" t="s">
        <v>1960</v>
      </c>
      <c r="I24">
        <v>1</v>
      </c>
      <c r="J24" t="s">
        <v>1918</v>
      </c>
      <c r="K24">
        <v>0</v>
      </c>
      <c r="M24">
        <v>5</v>
      </c>
    </row>
    <row r="25" spans="1:13">
      <c r="A25" t="s">
        <v>1961</v>
      </c>
      <c r="B25" t="s">
        <v>1961</v>
      </c>
      <c r="C25" t="s">
        <v>1266</v>
      </c>
      <c r="D25" t="s">
        <v>1962</v>
      </c>
      <c r="E25">
        <v>1</v>
      </c>
      <c r="G25">
        <v>13.2</v>
      </c>
      <c r="H25" t="s">
        <v>1963</v>
      </c>
      <c r="I25">
        <v>1</v>
      </c>
      <c r="J25" t="s">
        <v>1918</v>
      </c>
      <c r="K25">
        <v>2</v>
      </c>
      <c r="M25">
        <v>6</v>
      </c>
    </row>
    <row r="26" spans="1:13">
      <c r="A26" t="s">
        <v>1964</v>
      </c>
      <c r="B26" t="s">
        <v>1964</v>
      </c>
      <c r="C26" t="s">
        <v>1267</v>
      </c>
      <c r="D26" t="s">
        <v>1965</v>
      </c>
      <c r="E26">
        <v>1</v>
      </c>
      <c r="G26">
        <v>10.4</v>
      </c>
      <c r="H26" t="s">
        <v>1966</v>
      </c>
      <c r="I26">
        <v>1</v>
      </c>
      <c r="J26" t="s">
        <v>1918</v>
      </c>
      <c r="K26">
        <v>0</v>
      </c>
      <c r="M26">
        <v>5</v>
      </c>
    </row>
    <row r="27" spans="1:13">
      <c r="A27" t="s">
        <v>1967</v>
      </c>
      <c r="B27" t="s">
        <v>1967</v>
      </c>
      <c r="C27" t="s">
        <v>1268</v>
      </c>
      <c r="D27" t="s">
        <v>1968</v>
      </c>
      <c r="E27">
        <v>2</v>
      </c>
      <c r="G27">
        <v>3952.1</v>
      </c>
      <c r="H27" t="s">
        <v>1969</v>
      </c>
      <c r="I27">
        <v>10</v>
      </c>
      <c r="J27" t="s">
        <v>1970</v>
      </c>
      <c r="K27">
        <v>0</v>
      </c>
      <c r="M27">
        <v>3</v>
      </c>
    </row>
    <row r="28" spans="1:13">
      <c r="A28" t="s">
        <v>1971</v>
      </c>
      <c r="B28" t="s">
        <v>1971</v>
      </c>
      <c r="C28" t="s">
        <v>1269</v>
      </c>
      <c r="D28" t="s">
        <v>1972</v>
      </c>
      <c r="E28">
        <v>1</v>
      </c>
      <c r="G28">
        <v>7.7</v>
      </c>
      <c r="H28" t="s">
        <v>1973</v>
      </c>
      <c r="I28">
        <v>1</v>
      </c>
      <c r="J28" t="s">
        <v>1918</v>
      </c>
      <c r="K28">
        <v>0</v>
      </c>
      <c r="M28">
        <v>5</v>
      </c>
    </row>
    <row r="29" spans="1:13">
      <c r="A29" t="s">
        <v>1974</v>
      </c>
      <c r="B29" t="s">
        <v>1974</v>
      </c>
      <c r="C29" t="s">
        <v>1270</v>
      </c>
      <c r="D29" t="s">
        <v>1975</v>
      </c>
      <c r="E29">
        <v>1</v>
      </c>
      <c r="G29">
        <v>89</v>
      </c>
      <c r="H29" t="s">
        <v>1976</v>
      </c>
      <c r="I29">
        <v>25</v>
      </c>
      <c r="J29" t="s">
        <v>1905</v>
      </c>
      <c r="K29">
        <v>0</v>
      </c>
      <c r="M29">
        <v>9</v>
      </c>
    </row>
    <row r="30" spans="1:13">
      <c r="A30" t="s">
        <v>1977</v>
      </c>
      <c r="B30" t="s">
        <v>1977</v>
      </c>
      <c r="C30" t="s">
        <v>1271</v>
      </c>
      <c r="D30" t="s">
        <v>1978</v>
      </c>
      <c r="E30">
        <v>1</v>
      </c>
      <c r="G30">
        <v>32.5</v>
      </c>
      <c r="H30" t="s">
        <v>1979</v>
      </c>
      <c r="I30">
        <v>3</v>
      </c>
      <c r="J30" t="s">
        <v>1941</v>
      </c>
      <c r="K30">
        <v>0</v>
      </c>
      <c r="M30">
        <v>2</v>
      </c>
    </row>
    <row r="31" spans="1:13">
      <c r="A31" t="s">
        <v>1980</v>
      </c>
      <c r="B31" t="s">
        <v>1980</v>
      </c>
      <c r="C31" t="s">
        <v>1272</v>
      </c>
      <c r="E31">
        <v>1</v>
      </c>
      <c r="G31">
        <v>17.600000000000001</v>
      </c>
      <c r="H31" t="s">
        <v>1981</v>
      </c>
      <c r="I31">
        <v>19</v>
      </c>
      <c r="J31" t="s">
        <v>1982</v>
      </c>
      <c r="K31">
        <v>0</v>
      </c>
      <c r="M31">
        <v>12</v>
      </c>
    </row>
    <row r="32" spans="1:13">
      <c r="A32" t="s">
        <v>1983</v>
      </c>
      <c r="B32" t="s">
        <v>1983</v>
      </c>
      <c r="C32" t="s">
        <v>1273</v>
      </c>
      <c r="D32" t="s">
        <v>1984</v>
      </c>
      <c r="E32">
        <v>1</v>
      </c>
      <c r="G32">
        <v>50.3</v>
      </c>
      <c r="H32" t="s">
        <v>1985</v>
      </c>
      <c r="I32">
        <v>2</v>
      </c>
      <c r="J32" t="s">
        <v>835</v>
      </c>
      <c r="K32">
        <v>2</v>
      </c>
      <c r="M32">
        <v>6</v>
      </c>
    </row>
    <row r="33" spans="1:13">
      <c r="A33" t="s">
        <v>1986</v>
      </c>
      <c r="B33" t="s">
        <v>1986</v>
      </c>
      <c r="C33" t="s">
        <v>1274</v>
      </c>
      <c r="E33">
        <v>1</v>
      </c>
      <c r="G33">
        <v>64.7</v>
      </c>
      <c r="H33" t="s">
        <v>1987</v>
      </c>
      <c r="I33">
        <v>2</v>
      </c>
      <c r="J33" t="s">
        <v>835</v>
      </c>
      <c r="K33">
        <v>2</v>
      </c>
      <c r="M33">
        <v>6</v>
      </c>
    </row>
    <row r="34" spans="1:13">
      <c r="A34" t="s">
        <v>1988</v>
      </c>
      <c r="B34" t="s">
        <v>1988</v>
      </c>
      <c r="C34" t="s">
        <v>1275</v>
      </c>
      <c r="E34">
        <v>1</v>
      </c>
      <c r="G34">
        <v>13.9</v>
      </c>
      <c r="H34" t="s">
        <v>1989</v>
      </c>
      <c r="I34">
        <v>1</v>
      </c>
      <c r="J34" t="s">
        <v>1918</v>
      </c>
      <c r="K34">
        <v>0</v>
      </c>
      <c r="M34">
        <v>5</v>
      </c>
    </row>
    <row r="35" spans="1:13">
      <c r="A35" t="s">
        <v>1990</v>
      </c>
      <c r="B35" t="s">
        <v>1990</v>
      </c>
      <c r="C35" t="s">
        <v>1276</v>
      </c>
      <c r="D35" t="s">
        <v>1991</v>
      </c>
      <c r="E35">
        <v>1</v>
      </c>
      <c r="G35">
        <v>100</v>
      </c>
      <c r="H35" t="s">
        <v>1992</v>
      </c>
      <c r="I35">
        <v>25</v>
      </c>
      <c r="J35" t="s">
        <v>1905</v>
      </c>
      <c r="K35">
        <v>2</v>
      </c>
      <c r="M35">
        <v>9</v>
      </c>
    </row>
    <row r="36" spans="1:13">
      <c r="A36" t="s">
        <v>1993</v>
      </c>
      <c r="B36" t="s">
        <v>1993</v>
      </c>
      <c r="C36" t="s">
        <v>1277</v>
      </c>
      <c r="E36">
        <v>2</v>
      </c>
      <c r="G36">
        <v>58.5</v>
      </c>
      <c r="H36" t="s">
        <v>1994</v>
      </c>
      <c r="I36">
        <v>1</v>
      </c>
      <c r="J36" t="s">
        <v>1918</v>
      </c>
      <c r="K36">
        <v>2</v>
      </c>
      <c r="M36">
        <v>3</v>
      </c>
    </row>
    <row r="37" spans="1:13">
      <c r="A37" t="s">
        <v>1995</v>
      </c>
      <c r="B37" t="s">
        <v>1995</v>
      </c>
      <c r="C37" t="s">
        <v>1278</v>
      </c>
      <c r="D37" t="s">
        <v>1996</v>
      </c>
      <c r="E37">
        <v>2</v>
      </c>
      <c r="G37">
        <v>225</v>
      </c>
      <c r="H37" t="s">
        <v>1997</v>
      </c>
      <c r="I37">
        <v>25</v>
      </c>
      <c r="J37" t="s">
        <v>1905</v>
      </c>
      <c r="K37">
        <v>2</v>
      </c>
      <c r="M37">
        <v>15</v>
      </c>
    </row>
    <row r="38" spans="1:13">
      <c r="A38" t="s">
        <v>1998</v>
      </c>
      <c r="B38" t="s">
        <v>1998</v>
      </c>
      <c r="C38" t="s">
        <v>1279</v>
      </c>
      <c r="D38" t="s">
        <v>1999</v>
      </c>
      <c r="E38">
        <v>1</v>
      </c>
      <c r="G38">
        <v>2001</v>
      </c>
      <c r="H38" t="s">
        <v>2000</v>
      </c>
      <c r="I38">
        <v>25</v>
      </c>
      <c r="J38" t="s">
        <v>1905</v>
      </c>
      <c r="K38">
        <v>2</v>
      </c>
      <c r="M38">
        <v>9</v>
      </c>
    </row>
    <row r="39" spans="1:13">
      <c r="A39" t="s">
        <v>2001</v>
      </c>
      <c r="B39" t="s">
        <v>2001</v>
      </c>
      <c r="C39" t="s">
        <v>1281</v>
      </c>
      <c r="D39" t="s">
        <v>2002</v>
      </c>
      <c r="E39">
        <v>1</v>
      </c>
      <c r="G39">
        <v>6.1</v>
      </c>
      <c r="H39" t="s">
        <v>2003</v>
      </c>
      <c r="I39">
        <v>1</v>
      </c>
      <c r="J39" t="s">
        <v>1918</v>
      </c>
      <c r="K39">
        <v>0</v>
      </c>
      <c r="M39">
        <v>5</v>
      </c>
    </row>
    <row r="40" spans="1:13">
      <c r="A40" t="s">
        <v>2004</v>
      </c>
      <c r="B40" t="s">
        <v>2004</v>
      </c>
      <c r="C40" t="s">
        <v>1282</v>
      </c>
      <c r="D40" t="s">
        <v>2005</v>
      </c>
      <c r="E40">
        <v>2</v>
      </c>
      <c r="G40">
        <v>44.1</v>
      </c>
      <c r="H40" t="s">
        <v>2006</v>
      </c>
      <c r="I40">
        <v>1</v>
      </c>
      <c r="J40" t="s">
        <v>1918</v>
      </c>
      <c r="K40">
        <v>1</v>
      </c>
      <c r="M40">
        <v>3</v>
      </c>
    </row>
    <row r="41" spans="1:13">
      <c r="A41" t="s">
        <v>2007</v>
      </c>
      <c r="B41" t="s">
        <v>2007</v>
      </c>
      <c r="C41" t="s">
        <v>1283</v>
      </c>
      <c r="D41" t="s">
        <v>2008</v>
      </c>
      <c r="E41">
        <v>1</v>
      </c>
      <c r="G41">
        <v>96.9</v>
      </c>
      <c r="H41" t="s">
        <v>2009</v>
      </c>
      <c r="I41">
        <v>2</v>
      </c>
      <c r="J41" t="s">
        <v>835</v>
      </c>
      <c r="K41">
        <v>0</v>
      </c>
      <c r="M41">
        <v>5</v>
      </c>
    </row>
    <row r="42" spans="1:13">
      <c r="A42" t="s">
        <v>2010</v>
      </c>
      <c r="B42" t="s">
        <v>2010</v>
      </c>
      <c r="C42" t="s">
        <v>1284</v>
      </c>
      <c r="D42" t="s">
        <v>2011</v>
      </c>
      <c r="E42">
        <v>1</v>
      </c>
      <c r="G42">
        <v>8.8800000000000008</v>
      </c>
      <c r="H42" t="s">
        <v>2012</v>
      </c>
      <c r="I42">
        <v>3</v>
      </c>
      <c r="J42" t="s">
        <v>1941</v>
      </c>
      <c r="K42">
        <v>0</v>
      </c>
      <c r="M42">
        <v>15</v>
      </c>
    </row>
    <row r="43" spans="1:13">
      <c r="A43" t="s">
        <v>2013</v>
      </c>
      <c r="B43" t="s">
        <v>2013</v>
      </c>
      <c r="C43" t="s">
        <v>1285</v>
      </c>
      <c r="E43">
        <v>2</v>
      </c>
      <c r="G43">
        <v>715</v>
      </c>
      <c r="H43" t="s">
        <v>2014</v>
      </c>
      <c r="I43">
        <v>25</v>
      </c>
      <c r="J43" t="s">
        <v>1905</v>
      </c>
      <c r="K43">
        <v>0</v>
      </c>
      <c r="M43">
        <v>15</v>
      </c>
    </row>
    <row r="44" spans="1:13">
      <c r="A44" t="s">
        <v>2015</v>
      </c>
      <c r="B44" t="s">
        <v>2015</v>
      </c>
      <c r="C44" t="s">
        <v>1286</v>
      </c>
      <c r="E44">
        <v>1</v>
      </c>
      <c r="G44">
        <v>10.4</v>
      </c>
      <c r="H44" t="s">
        <v>2016</v>
      </c>
      <c r="I44">
        <v>1</v>
      </c>
      <c r="J44" t="s">
        <v>1918</v>
      </c>
      <c r="K44">
        <v>2</v>
      </c>
      <c r="M44">
        <v>5</v>
      </c>
    </row>
    <row r="45" spans="1:13">
      <c r="A45" t="s">
        <v>2017</v>
      </c>
      <c r="B45" t="s">
        <v>2017</v>
      </c>
      <c r="C45" t="s">
        <v>1287</v>
      </c>
      <c r="E45">
        <v>1</v>
      </c>
      <c r="G45">
        <v>286.39999999999998</v>
      </c>
      <c r="H45" t="s">
        <v>2018</v>
      </c>
      <c r="I45">
        <v>19</v>
      </c>
      <c r="J45" t="s">
        <v>1982</v>
      </c>
      <c r="K45">
        <v>2</v>
      </c>
      <c r="M45">
        <v>3</v>
      </c>
    </row>
    <row r="46" spans="1:13">
      <c r="A46" t="s">
        <v>2019</v>
      </c>
      <c r="B46" t="s">
        <v>2019</v>
      </c>
      <c r="C46" t="s">
        <v>1288</v>
      </c>
      <c r="E46">
        <v>1</v>
      </c>
      <c r="G46">
        <v>437.6</v>
      </c>
      <c r="H46" t="s">
        <v>2020</v>
      </c>
      <c r="I46">
        <v>19</v>
      </c>
      <c r="J46" t="s">
        <v>1982</v>
      </c>
      <c r="K46">
        <v>2</v>
      </c>
      <c r="M46">
        <v>3</v>
      </c>
    </row>
    <row r="47" spans="1:13">
      <c r="A47" t="s">
        <v>2021</v>
      </c>
      <c r="B47" t="s">
        <v>2021</v>
      </c>
      <c r="C47" t="s">
        <v>1289</v>
      </c>
      <c r="D47" t="s">
        <v>2022</v>
      </c>
      <c r="E47">
        <v>1</v>
      </c>
      <c r="G47">
        <v>6.1</v>
      </c>
      <c r="H47" t="s">
        <v>2023</v>
      </c>
      <c r="I47">
        <v>1</v>
      </c>
      <c r="J47" t="s">
        <v>1918</v>
      </c>
      <c r="K47">
        <v>0</v>
      </c>
      <c r="M47">
        <v>5</v>
      </c>
    </row>
    <row r="48" spans="1:13">
      <c r="A48" t="s">
        <v>2024</v>
      </c>
      <c r="B48" t="s">
        <v>2024</v>
      </c>
      <c r="C48" t="s">
        <v>1290</v>
      </c>
      <c r="E48">
        <v>1</v>
      </c>
      <c r="G48">
        <v>6.4</v>
      </c>
      <c r="H48" t="s">
        <v>2025</v>
      </c>
      <c r="I48">
        <v>1</v>
      </c>
      <c r="J48" t="s">
        <v>1918</v>
      </c>
      <c r="K48">
        <v>2</v>
      </c>
      <c r="M48">
        <v>6</v>
      </c>
    </row>
    <row r="49" spans="1:13">
      <c r="A49" t="s">
        <v>2026</v>
      </c>
      <c r="B49" t="s">
        <v>2026</v>
      </c>
      <c r="C49" t="s">
        <v>1291</v>
      </c>
      <c r="E49">
        <v>1</v>
      </c>
      <c r="G49">
        <v>22.7</v>
      </c>
      <c r="H49" t="s">
        <v>2027</v>
      </c>
      <c r="I49">
        <v>1</v>
      </c>
      <c r="J49" t="s">
        <v>1918</v>
      </c>
      <c r="K49">
        <v>2</v>
      </c>
      <c r="M49">
        <v>6</v>
      </c>
    </row>
    <row r="50" spans="1:13">
      <c r="A50" t="s">
        <v>2028</v>
      </c>
      <c r="B50" t="s">
        <v>2028</v>
      </c>
      <c r="C50" t="s">
        <v>1292</v>
      </c>
      <c r="E50">
        <v>1</v>
      </c>
      <c r="G50">
        <v>11.8</v>
      </c>
      <c r="H50" t="s">
        <v>2029</v>
      </c>
      <c r="I50">
        <v>1</v>
      </c>
      <c r="J50" t="s">
        <v>1918</v>
      </c>
      <c r="K50">
        <v>2</v>
      </c>
      <c r="M50">
        <v>6</v>
      </c>
    </row>
    <row r="51" spans="1:13">
      <c r="A51" t="s">
        <v>2030</v>
      </c>
      <c r="B51" t="s">
        <v>2030</v>
      </c>
      <c r="C51" t="s">
        <v>1293</v>
      </c>
      <c r="E51">
        <v>1</v>
      </c>
      <c r="G51">
        <v>18.600000000000001</v>
      </c>
      <c r="H51" t="s">
        <v>2031</v>
      </c>
      <c r="I51">
        <v>3</v>
      </c>
      <c r="J51" t="s">
        <v>1941</v>
      </c>
      <c r="K51">
        <v>2</v>
      </c>
      <c r="M51">
        <v>2</v>
      </c>
    </row>
    <row r="52" spans="1:13">
      <c r="A52" t="s">
        <v>2032</v>
      </c>
      <c r="B52" t="s">
        <v>2032</v>
      </c>
      <c r="C52" t="s">
        <v>1294</v>
      </c>
      <c r="E52">
        <v>1</v>
      </c>
      <c r="G52">
        <v>6.1</v>
      </c>
      <c r="H52" t="s">
        <v>2033</v>
      </c>
      <c r="I52">
        <v>1</v>
      </c>
      <c r="J52" t="s">
        <v>1918</v>
      </c>
      <c r="K52">
        <v>2</v>
      </c>
      <c r="M52">
        <v>6</v>
      </c>
    </row>
    <row r="53" spans="1:13">
      <c r="A53" t="s">
        <v>2034</v>
      </c>
      <c r="B53" t="s">
        <v>2034</v>
      </c>
      <c r="C53" t="s">
        <v>1295</v>
      </c>
      <c r="D53" t="s">
        <v>2035</v>
      </c>
      <c r="E53">
        <v>1</v>
      </c>
      <c r="G53">
        <v>13.1</v>
      </c>
      <c r="H53" t="s">
        <v>2036</v>
      </c>
      <c r="I53">
        <v>1</v>
      </c>
      <c r="J53" t="s">
        <v>1918</v>
      </c>
      <c r="K53">
        <v>0</v>
      </c>
      <c r="M53">
        <v>5</v>
      </c>
    </row>
    <row r="54" spans="1:13">
      <c r="A54" t="s">
        <v>2037</v>
      </c>
      <c r="B54" t="s">
        <v>2037</v>
      </c>
      <c r="C54" t="s">
        <v>1296</v>
      </c>
      <c r="D54" t="s">
        <v>2038</v>
      </c>
      <c r="E54">
        <v>1</v>
      </c>
      <c r="G54">
        <v>4436</v>
      </c>
      <c r="H54" t="s">
        <v>2039</v>
      </c>
      <c r="I54">
        <v>25</v>
      </c>
      <c r="J54" t="s">
        <v>1905</v>
      </c>
      <c r="K54">
        <v>0</v>
      </c>
      <c r="M54">
        <v>6</v>
      </c>
    </row>
    <row r="55" spans="1:13">
      <c r="A55" t="s">
        <v>2040</v>
      </c>
      <c r="B55" t="s">
        <v>2040</v>
      </c>
      <c r="C55" t="s">
        <v>1297</v>
      </c>
      <c r="E55">
        <v>1</v>
      </c>
      <c r="G55">
        <v>6.1</v>
      </c>
      <c r="H55" t="s">
        <v>2041</v>
      </c>
      <c r="I55">
        <v>2</v>
      </c>
      <c r="J55" t="s">
        <v>835</v>
      </c>
      <c r="K55">
        <v>2</v>
      </c>
      <c r="M55">
        <v>2</v>
      </c>
    </row>
    <row r="56" spans="1:13">
      <c r="A56" t="s">
        <v>2042</v>
      </c>
      <c r="B56" t="s">
        <v>2042</v>
      </c>
      <c r="C56" t="s">
        <v>245</v>
      </c>
      <c r="D56" t="s">
        <v>2043</v>
      </c>
      <c r="E56">
        <v>1</v>
      </c>
      <c r="G56">
        <v>12.1</v>
      </c>
      <c r="H56" t="s">
        <v>2044</v>
      </c>
      <c r="I56">
        <v>3</v>
      </c>
      <c r="J56" t="s">
        <v>1941</v>
      </c>
      <c r="K56">
        <v>2</v>
      </c>
      <c r="M56">
        <v>2</v>
      </c>
    </row>
    <row r="57" spans="1:13">
      <c r="A57" t="s">
        <v>2045</v>
      </c>
      <c r="B57" t="s">
        <v>2045</v>
      </c>
      <c r="C57" t="s">
        <v>248</v>
      </c>
      <c r="D57" t="s">
        <v>2046</v>
      </c>
      <c r="E57">
        <v>1</v>
      </c>
      <c r="G57">
        <v>123</v>
      </c>
      <c r="H57" t="s">
        <v>2047</v>
      </c>
      <c r="I57">
        <v>25</v>
      </c>
      <c r="J57" t="s">
        <v>1905</v>
      </c>
      <c r="K57">
        <v>2</v>
      </c>
      <c r="M57">
        <v>9</v>
      </c>
    </row>
    <row r="58" spans="1:13">
      <c r="A58" t="s">
        <v>2048</v>
      </c>
      <c r="B58" t="s">
        <v>2048</v>
      </c>
      <c r="C58" t="s">
        <v>1298</v>
      </c>
      <c r="D58" t="s">
        <v>2049</v>
      </c>
      <c r="E58">
        <v>1</v>
      </c>
      <c r="G58">
        <v>8</v>
      </c>
      <c r="H58" t="s">
        <v>2050</v>
      </c>
      <c r="I58">
        <v>1</v>
      </c>
      <c r="J58" t="s">
        <v>1918</v>
      </c>
      <c r="K58">
        <v>0</v>
      </c>
      <c r="M58">
        <v>5</v>
      </c>
    </row>
    <row r="59" spans="1:13">
      <c r="A59" t="s">
        <v>2051</v>
      </c>
      <c r="B59" t="s">
        <v>2051</v>
      </c>
      <c r="C59" t="s">
        <v>1300</v>
      </c>
      <c r="D59" t="s">
        <v>2052</v>
      </c>
      <c r="E59">
        <v>1</v>
      </c>
      <c r="G59">
        <v>12.5</v>
      </c>
      <c r="H59" t="s">
        <v>2053</v>
      </c>
      <c r="I59">
        <v>2</v>
      </c>
      <c r="J59" t="s">
        <v>835</v>
      </c>
      <c r="K59">
        <v>0</v>
      </c>
      <c r="M59">
        <v>5</v>
      </c>
    </row>
    <row r="60" spans="1:13">
      <c r="A60" t="s">
        <v>2054</v>
      </c>
      <c r="B60" t="s">
        <v>2054</v>
      </c>
      <c r="C60" t="s">
        <v>1301</v>
      </c>
      <c r="D60" t="s">
        <v>2055</v>
      </c>
      <c r="E60">
        <v>1</v>
      </c>
      <c r="G60">
        <v>0</v>
      </c>
      <c r="H60" t="s">
        <v>2056</v>
      </c>
      <c r="I60">
        <v>3</v>
      </c>
      <c r="J60" t="s">
        <v>1941</v>
      </c>
      <c r="K60">
        <v>0</v>
      </c>
      <c r="M60">
        <v>3</v>
      </c>
    </row>
    <row r="61" spans="1:13">
      <c r="A61" t="s">
        <v>2057</v>
      </c>
      <c r="B61" t="s">
        <v>2057</v>
      </c>
      <c r="C61" t="s">
        <v>263</v>
      </c>
      <c r="E61">
        <v>2</v>
      </c>
      <c r="G61">
        <v>1.44</v>
      </c>
      <c r="H61" t="s">
        <v>2058</v>
      </c>
      <c r="I61">
        <v>24</v>
      </c>
      <c r="J61" t="s">
        <v>2059</v>
      </c>
      <c r="K61">
        <v>0</v>
      </c>
      <c r="M61">
        <v>7</v>
      </c>
    </row>
    <row r="62" spans="1:13">
      <c r="A62" t="s">
        <v>2060</v>
      </c>
      <c r="B62" t="s">
        <v>2060</v>
      </c>
      <c r="C62" t="s">
        <v>1302</v>
      </c>
      <c r="D62" t="s">
        <v>2061</v>
      </c>
      <c r="E62">
        <v>1</v>
      </c>
      <c r="G62">
        <v>1588</v>
      </c>
      <c r="H62" t="s">
        <v>2062</v>
      </c>
      <c r="I62">
        <v>25</v>
      </c>
      <c r="J62" t="s">
        <v>1905</v>
      </c>
      <c r="K62">
        <v>2</v>
      </c>
      <c r="M62">
        <v>9</v>
      </c>
    </row>
    <row r="63" spans="1:13">
      <c r="A63" t="s">
        <v>2063</v>
      </c>
      <c r="B63" t="s">
        <v>2063</v>
      </c>
      <c r="C63" t="s">
        <v>1303</v>
      </c>
      <c r="D63" t="s">
        <v>2064</v>
      </c>
      <c r="E63">
        <v>1</v>
      </c>
      <c r="G63">
        <v>6.1</v>
      </c>
      <c r="H63" t="s">
        <v>2065</v>
      </c>
      <c r="I63">
        <v>2</v>
      </c>
      <c r="J63" t="s">
        <v>835</v>
      </c>
      <c r="K63">
        <v>0</v>
      </c>
      <c r="M63">
        <v>5</v>
      </c>
    </row>
    <row r="64" spans="1:13">
      <c r="A64" t="s">
        <v>2066</v>
      </c>
      <c r="B64" t="s">
        <v>2066</v>
      </c>
      <c r="C64" t="s">
        <v>1304</v>
      </c>
      <c r="D64" t="s">
        <v>2067</v>
      </c>
      <c r="E64">
        <v>1</v>
      </c>
      <c r="G64">
        <v>101.9</v>
      </c>
      <c r="H64" t="s">
        <v>2068</v>
      </c>
      <c r="I64">
        <v>2</v>
      </c>
      <c r="J64" t="s">
        <v>835</v>
      </c>
      <c r="K64">
        <v>2</v>
      </c>
      <c r="M64">
        <v>6</v>
      </c>
    </row>
    <row r="65" spans="1:13">
      <c r="A65" t="s">
        <v>2069</v>
      </c>
      <c r="B65" t="s">
        <v>2069</v>
      </c>
      <c r="C65" t="s">
        <v>1305</v>
      </c>
      <c r="D65" t="s">
        <v>2070</v>
      </c>
      <c r="E65">
        <v>1</v>
      </c>
      <c r="G65">
        <v>167.6</v>
      </c>
      <c r="H65" t="s">
        <v>2071</v>
      </c>
      <c r="I65">
        <v>2</v>
      </c>
      <c r="J65" t="s">
        <v>835</v>
      </c>
      <c r="K65">
        <v>2</v>
      </c>
      <c r="M65">
        <v>6</v>
      </c>
    </row>
    <row r="66" spans="1:13">
      <c r="A66" t="s">
        <v>2072</v>
      </c>
      <c r="B66" t="s">
        <v>2072</v>
      </c>
      <c r="C66" t="s">
        <v>1306</v>
      </c>
      <c r="D66" t="s">
        <v>2073</v>
      </c>
      <c r="E66">
        <v>1</v>
      </c>
      <c r="G66">
        <v>25061</v>
      </c>
      <c r="H66" t="s">
        <v>2074</v>
      </c>
      <c r="I66">
        <v>25</v>
      </c>
      <c r="J66" t="s">
        <v>1905</v>
      </c>
      <c r="K66">
        <v>0</v>
      </c>
      <c r="M66">
        <v>11</v>
      </c>
    </row>
    <row r="67" spans="1:13">
      <c r="A67" t="s">
        <v>2075</v>
      </c>
      <c r="B67" t="s">
        <v>2075</v>
      </c>
      <c r="C67" t="s">
        <v>276</v>
      </c>
      <c r="D67" t="s">
        <v>2076</v>
      </c>
      <c r="E67">
        <v>2</v>
      </c>
      <c r="G67">
        <v>61</v>
      </c>
      <c r="H67" t="s">
        <v>2077</v>
      </c>
      <c r="I67">
        <v>1</v>
      </c>
      <c r="J67" t="s">
        <v>1918</v>
      </c>
      <c r="K67">
        <v>2</v>
      </c>
      <c r="M67">
        <v>15</v>
      </c>
    </row>
    <row r="68" spans="1:13">
      <c r="A68" t="s">
        <v>2078</v>
      </c>
      <c r="B68" t="s">
        <v>2078</v>
      </c>
      <c r="C68" t="s">
        <v>1307</v>
      </c>
      <c r="D68" t="s">
        <v>2079</v>
      </c>
      <c r="E68">
        <v>1</v>
      </c>
      <c r="G68">
        <v>10.4</v>
      </c>
      <c r="H68" t="s">
        <v>2080</v>
      </c>
      <c r="I68">
        <v>1</v>
      </c>
      <c r="J68" t="s">
        <v>1918</v>
      </c>
      <c r="K68">
        <v>0</v>
      </c>
      <c r="M68">
        <v>5</v>
      </c>
    </row>
    <row r="69" spans="1:13">
      <c r="A69" t="s">
        <v>2081</v>
      </c>
      <c r="B69" t="s">
        <v>2081</v>
      </c>
      <c r="C69" t="s">
        <v>278</v>
      </c>
      <c r="D69" t="s">
        <v>2082</v>
      </c>
      <c r="E69">
        <v>1</v>
      </c>
      <c r="G69">
        <v>227.8</v>
      </c>
      <c r="H69" t="s">
        <v>2083</v>
      </c>
      <c r="I69">
        <v>1</v>
      </c>
      <c r="J69" t="s">
        <v>1918</v>
      </c>
      <c r="K69">
        <v>2</v>
      </c>
      <c r="M69">
        <v>6</v>
      </c>
    </row>
    <row r="70" spans="1:13">
      <c r="A70" t="s">
        <v>2084</v>
      </c>
      <c r="B70" t="s">
        <v>2084</v>
      </c>
      <c r="C70" t="s">
        <v>280</v>
      </c>
      <c r="D70" t="s">
        <v>2085</v>
      </c>
      <c r="E70">
        <v>1</v>
      </c>
      <c r="G70">
        <v>419.7</v>
      </c>
      <c r="H70" t="s">
        <v>2086</v>
      </c>
      <c r="I70">
        <v>1</v>
      </c>
      <c r="J70" t="s">
        <v>1918</v>
      </c>
      <c r="K70">
        <v>2</v>
      </c>
      <c r="M70">
        <v>6</v>
      </c>
    </row>
    <row r="71" spans="1:13">
      <c r="A71" t="s">
        <v>2087</v>
      </c>
      <c r="B71" t="s">
        <v>2087</v>
      </c>
      <c r="C71" t="s">
        <v>1308</v>
      </c>
      <c r="D71" t="s">
        <v>2088</v>
      </c>
      <c r="E71">
        <v>2</v>
      </c>
      <c r="G71">
        <v>398.8</v>
      </c>
      <c r="H71" t="s">
        <v>2089</v>
      </c>
      <c r="I71">
        <v>1</v>
      </c>
      <c r="J71" t="s">
        <v>1918</v>
      </c>
      <c r="K71">
        <v>2</v>
      </c>
      <c r="M71">
        <v>3</v>
      </c>
    </row>
    <row r="72" spans="1:13">
      <c r="A72" t="s">
        <v>2090</v>
      </c>
      <c r="B72" t="s">
        <v>2090</v>
      </c>
      <c r="C72" t="s">
        <v>1309</v>
      </c>
      <c r="D72" t="s">
        <v>2091</v>
      </c>
      <c r="E72">
        <v>1</v>
      </c>
      <c r="G72">
        <v>3.3</v>
      </c>
      <c r="H72" t="s">
        <v>2092</v>
      </c>
      <c r="I72">
        <v>17</v>
      </c>
      <c r="J72" t="s">
        <v>2093</v>
      </c>
      <c r="K72">
        <v>0</v>
      </c>
      <c r="M72">
        <v>3</v>
      </c>
    </row>
    <row r="73" spans="1:13">
      <c r="A73" t="s">
        <v>2094</v>
      </c>
      <c r="B73" t="s">
        <v>2094</v>
      </c>
      <c r="C73" t="s">
        <v>1310</v>
      </c>
      <c r="E73">
        <v>1</v>
      </c>
      <c r="G73">
        <v>10.4</v>
      </c>
      <c r="H73" t="s">
        <v>2095</v>
      </c>
      <c r="I73">
        <v>1</v>
      </c>
      <c r="J73" t="s">
        <v>1918</v>
      </c>
      <c r="K73">
        <v>2</v>
      </c>
      <c r="M73">
        <v>3</v>
      </c>
    </row>
    <row r="74" spans="1:13">
      <c r="A74" t="s">
        <v>2096</v>
      </c>
      <c r="B74" t="s">
        <v>2096</v>
      </c>
      <c r="C74" t="s">
        <v>1311</v>
      </c>
      <c r="E74">
        <v>1</v>
      </c>
      <c r="G74">
        <v>3.3</v>
      </c>
      <c r="H74" t="s">
        <v>2097</v>
      </c>
      <c r="I74">
        <v>15</v>
      </c>
      <c r="J74" t="s">
        <v>1909</v>
      </c>
      <c r="K74">
        <v>0</v>
      </c>
      <c r="M74">
        <v>1</v>
      </c>
    </row>
    <row r="75" spans="1:13">
      <c r="A75" t="s">
        <v>2098</v>
      </c>
      <c r="B75" t="s">
        <v>2098</v>
      </c>
      <c r="C75" t="s">
        <v>1312</v>
      </c>
      <c r="D75" t="s">
        <v>2099</v>
      </c>
      <c r="E75">
        <v>2</v>
      </c>
      <c r="G75">
        <v>1182</v>
      </c>
      <c r="H75" t="s">
        <v>2100</v>
      </c>
      <c r="I75">
        <v>25</v>
      </c>
      <c r="J75" t="s">
        <v>1905</v>
      </c>
      <c r="K75">
        <v>0</v>
      </c>
      <c r="M75">
        <v>8</v>
      </c>
    </row>
    <row r="76" spans="1:13">
      <c r="A76" t="s">
        <v>2101</v>
      </c>
      <c r="B76" t="s">
        <v>2101</v>
      </c>
      <c r="C76" t="s">
        <v>1313</v>
      </c>
      <c r="D76" t="s">
        <v>2102</v>
      </c>
      <c r="E76">
        <v>1</v>
      </c>
      <c r="G76">
        <v>10.4</v>
      </c>
      <c r="H76" t="s">
        <v>2103</v>
      </c>
      <c r="I76">
        <v>1</v>
      </c>
      <c r="J76" t="s">
        <v>1918</v>
      </c>
      <c r="K76">
        <v>0</v>
      </c>
      <c r="M76">
        <v>5</v>
      </c>
    </row>
    <row r="77" spans="1:13">
      <c r="A77" t="s">
        <v>2104</v>
      </c>
      <c r="B77" t="s">
        <v>2104</v>
      </c>
      <c r="C77" t="s">
        <v>1314</v>
      </c>
      <c r="D77" t="s">
        <v>2105</v>
      </c>
      <c r="E77">
        <v>2</v>
      </c>
      <c r="G77">
        <v>170.3</v>
      </c>
      <c r="H77" t="s">
        <v>2106</v>
      </c>
      <c r="I77">
        <v>21</v>
      </c>
      <c r="J77" t="s">
        <v>1948</v>
      </c>
      <c r="K77">
        <v>0</v>
      </c>
      <c r="M77">
        <v>15</v>
      </c>
    </row>
    <row r="78" spans="1:13">
      <c r="A78" t="s">
        <v>2107</v>
      </c>
      <c r="B78" t="s">
        <v>2107</v>
      </c>
      <c r="C78" t="s">
        <v>1315</v>
      </c>
      <c r="D78" t="s">
        <v>2108</v>
      </c>
      <c r="E78">
        <v>1</v>
      </c>
      <c r="G78">
        <v>51.9</v>
      </c>
      <c r="H78" t="s">
        <v>2109</v>
      </c>
      <c r="I78">
        <v>1</v>
      </c>
      <c r="J78" t="s">
        <v>1918</v>
      </c>
      <c r="K78">
        <v>2</v>
      </c>
      <c r="M78">
        <v>6</v>
      </c>
    </row>
    <row r="79" spans="1:13">
      <c r="A79" t="s">
        <v>2110</v>
      </c>
      <c r="B79" t="s">
        <v>2110</v>
      </c>
      <c r="C79" t="s">
        <v>1316</v>
      </c>
      <c r="D79" t="s">
        <v>2111</v>
      </c>
      <c r="E79">
        <v>1</v>
      </c>
      <c r="G79">
        <v>7.7</v>
      </c>
      <c r="H79" t="s">
        <v>2112</v>
      </c>
      <c r="I79">
        <v>1</v>
      </c>
      <c r="J79" t="s">
        <v>1918</v>
      </c>
      <c r="K79">
        <v>0</v>
      </c>
      <c r="M79">
        <v>5</v>
      </c>
    </row>
    <row r="80" spans="1:13">
      <c r="A80" t="s">
        <v>2113</v>
      </c>
      <c r="B80" t="s">
        <v>2113</v>
      </c>
      <c r="C80" t="s">
        <v>1317</v>
      </c>
      <c r="D80" t="s">
        <v>2114</v>
      </c>
      <c r="E80">
        <v>1</v>
      </c>
      <c r="G80">
        <v>5.9</v>
      </c>
      <c r="H80" t="s">
        <v>2115</v>
      </c>
      <c r="I80">
        <v>8</v>
      </c>
      <c r="J80" t="s">
        <v>2116</v>
      </c>
      <c r="K80">
        <v>0</v>
      </c>
      <c r="M80">
        <v>3</v>
      </c>
    </row>
    <row r="81" spans="1:13">
      <c r="A81" t="s">
        <v>2117</v>
      </c>
      <c r="B81" t="s">
        <v>2117</v>
      </c>
      <c r="C81" t="s">
        <v>1318</v>
      </c>
      <c r="E81">
        <v>2</v>
      </c>
      <c r="G81">
        <v>30.7</v>
      </c>
      <c r="H81" t="s">
        <v>2118</v>
      </c>
      <c r="I81">
        <v>1</v>
      </c>
      <c r="J81" t="s">
        <v>1918</v>
      </c>
      <c r="K81">
        <v>0</v>
      </c>
      <c r="M81">
        <v>3</v>
      </c>
    </row>
    <row r="82" spans="1:13">
      <c r="A82" t="s">
        <v>2119</v>
      </c>
      <c r="B82" t="s">
        <v>2119</v>
      </c>
      <c r="C82" t="s">
        <v>1319</v>
      </c>
      <c r="E82">
        <v>1</v>
      </c>
      <c r="G82">
        <v>37.799999999999997</v>
      </c>
      <c r="H82" t="s">
        <v>2120</v>
      </c>
      <c r="I82">
        <v>2</v>
      </c>
      <c r="J82" t="s">
        <v>835</v>
      </c>
      <c r="K82">
        <v>0</v>
      </c>
      <c r="M82">
        <v>5</v>
      </c>
    </row>
    <row r="83" spans="1:13">
      <c r="A83" t="s">
        <v>2121</v>
      </c>
      <c r="B83" t="s">
        <v>2121</v>
      </c>
      <c r="C83" t="s">
        <v>1320</v>
      </c>
      <c r="D83" t="s">
        <v>2122</v>
      </c>
      <c r="E83">
        <v>1</v>
      </c>
      <c r="G83">
        <v>6.6</v>
      </c>
      <c r="H83" t="s">
        <v>2123</v>
      </c>
      <c r="I83">
        <v>1</v>
      </c>
      <c r="J83" t="s">
        <v>1918</v>
      </c>
      <c r="K83">
        <v>0</v>
      </c>
      <c r="M83">
        <v>5</v>
      </c>
    </row>
    <row r="84" spans="1:13">
      <c r="A84" t="s">
        <v>2124</v>
      </c>
      <c r="B84" t="s">
        <v>2124</v>
      </c>
      <c r="C84" t="s">
        <v>1321</v>
      </c>
      <c r="D84" t="s">
        <v>2125</v>
      </c>
      <c r="E84">
        <v>1</v>
      </c>
      <c r="G84">
        <v>10.1</v>
      </c>
      <c r="H84" t="s">
        <v>2126</v>
      </c>
      <c r="I84">
        <v>1</v>
      </c>
      <c r="J84" t="s">
        <v>1918</v>
      </c>
      <c r="K84">
        <v>0</v>
      </c>
      <c r="M84">
        <v>5</v>
      </c>
    </row>
    <row r="85" spans="1:13">
      <c r="A85" t="s">
        <v>2127</v>
      </c>
      <c r="B85" t="s">
        <v>2127</v>
      </c>
      <c r="C85" t="s">
        <v>1322</v>
      </c>
      <c r="E85">
        <v>1</v>
      </c>
      <c r="G85">
        <v>10.4</v>
      </c>
      <c r="H85" t="s">
        <v>2128</v>
      </c>
      <c r="I85">
        <v>1</v>
      </c>
      <c r="J85" t="s">
        <v>1918</v>
      </c>
      <c r="K85">
        <v>0</v>
      </c>
      <c r="M85">
        <v>5</v>
      </c>
    </row>
    <row r="86" spans="1:13">
      <c r="A86" t="s">
        <v>2129</v>
      </c>
      <c r="B86" t="s">
        <v>2129</v>
      </c>
      <c r="C86" t="s">
        <v>1323</v>
      </c>
      <c r="E86">
        <v>1</v>
      </c>
      <c r="G86">
        <v>17.399999999999999</v>
      </c>
      <c r="H86" t="s">
        <v>2130</v>
      </c>
      <c r="I86">
        <v>1</v>
      </c>
      <c r="J86" t="s">
        <v>1918</v>
      </c>
      <c r="K86">
        <v>0</v>
      </c>
      <c r="M86">
        <v>1</v>
      </c>
    </row>
    <row r="87" spans="1:13">
      <c r="A87" t="s">
        <v>2131</v>
      </c>
      <c r="B87" t="s">
        <v>2131</v>
      </c>
      <c r="C87" t="s">
        <v>1324</v>
      </c>
      <c r="D87" t="s">
        <v>2132</v>
      </c>
      <c r="E87">
        <v>1</v>
      </c>
      <c r="G87">
        <v>51.4</v>
      </c>
      <c r="H87" t="s">
        <v>2133</v>
      </c>
      <c r="I87">
        <v>1</v>
      </c>
      <c r="J87" t="s">
        <v>1918</v>
      </c>
      <c r="K87">
        <v>0</v>
      </c>
      <c r="M87">
        <v>5</v>
      </c>
    </row>
    <row r="88" spans="1:13">
      <c r="A88" t="s">
        <v>2134</v>
      </c>
      <c r="B88" t="s">
        <v>2134</v>
      </c>
      <c r="C88" t="s">
        <v>1325</v>
      </c>
      <c r="D88" t="s">
        <v>2135</v>
      </c>
      <c r="E88">
        <v>1</v>
      </c>
      <c r="G88">
        <v>18.2</v>
      </c>
      <c r="H88" t="s">
        <v>2136</v>
      </c>
      <c r="I88">
        <v>1</v>
      </c>
      <c r="J88" t="s">
        <v>1918</v>
      </c>
      <c r="K88">
        <v>0</v>
      </c>
      <c r="M88">
        <v>5</v>
      </c>
    </row>
    <row r="89" spans="1:13">
      <c r="A89" t="s">
        <v>2137</v>
      </c>
      <c r="B89" t="s">
        <v>2137</v>
      </c>
      <c r="C89" t="s">
        <v>1326</v>
      </c>
      <c r="D89" t="s">
        <v>2138</v>
      </c>
      <c r="E89">
        <v>1</v>
      </c>
      <c r="G89">
        <v>34376</v>
      </c>
      <c r="H89" t="s">
        <v>2139</v>
      </c>
      <c r="I89">
        <v>25</v>
      </c>
      <c r="J89" t="s">
        <v>1905</v>
      </c>
      <c r="K89">
        <v>2</v>
      </c>
      <c r="M89">
        <v>9</v>
      </c>
    </row>
    <row r="90" spans="1:13">
      <c r="A90" t="s">
        <v>2140</v>
      </c>
      <c r="B90" t="s">
        <v>2140</v>
      </c>
      <c r="C90" t="s">
        <v>1327</v>
      </c>
      <c r="D90" t="s">
        <v>2141</v>
      </c>
      <c r="E90">
        <v>1</v>
      </c>
      <c r="G90">
        <v>41300</v>
      </c>
      <c r="H90" t="s">
        <v>2142</v>
      </c>
      <c r="I90">
        <v>25</v>
      </c>
      <c r="J90" t="s">
        <v>1905</v>
      </c>
      <c r="K90">
        <v>2</v>
      </c>
      <c r="M90">
        <v>9</v>
      </c>
    </row>
    <row r="91" spans="1:13">
      <c r="A91" t="s">
        <v>2143</v>
      </c>
      <c r="B91" t="s">
        <v>2143</v>
      </c>
      <c r="C91" t="s">
        <v>1328</v>
      </c>
      <c r="E91">
        <v>1</v>
      </c>
      <c r="G91">
        <v>33</v>
      </c>
      <c r="H91" t="s">
        <v>2144</v>
      </c>
      <c r="I91">
        <v>7</v>
      </c>
      <c r="J91" t="s">
        <v>2145</v>
      </c>
      <c r="K91">
        <v>2</v>
      </c>
      <c r="M91">
        <v>1</v>
      </c>
    </row>
    <row r="92" spans="1:13">
      <c r="A92" t="s">
        <v>2146</v>
      </c>
      <c r="B92" t="s">
        <v>2146</v>
      </c>
      <c r="C92" t="s">
        <v>1329</v>
      </c>
      <c r="E92">
        <v>1</v>
      </c>
      <c r="G92">
        <v>0</v>
      </c>
      <c r="H92" t="s">
        <v>1329</v>
      </c>
      <c r="I92">
        <v>7</v>
      </c>
      <c r="J92" t="s">
        <v>2145</v>
      </c>
      <c r="K92">
        <v>2</v>
      </c>
      <c r="M92">
        <v>1</v>
      </c>
    </row>
    <row r="93" spans="1:13">
      <c r="A93" t="s">
        <v>2147</v>
      </c>
      <c r="B93" t="s">
        <v>2147</v>
      </c>
      <c r="C93" t="s">
        <v>1330</v>
      </c>
      <c r="D93" t="s">
        <v>2148</v>
      </c>
      <c r="E93">
        <v>2</v>
      </c>
      <c r="G93">
        <v>178</v>
      </c>
      <c r="H93" t="s">
        <v>2149</v>
      </c>
      <c r="I93">
        <v>1</v>
      </c>
      <c r="J93" t="s">
        <v>1918</v>
      </c>
      <c r="K93">
        <v>0</v>
      </c>
      <c r="M93">
        <v>15</v>
      </c>
    </row>
    <row r="94" spans="1:13">
      <c r="A94" t="s">
        <v>2150</v>
      </c>
      <c r="B94" t="s">
        <v>2150</v>
      </c>
      <c r="C94" t="s">
        <v>1331</v>
      </c>
      <c r="E94">
        <v>2</v>
      </c>
      <c r="G94">
        <v>676.3</v>
      </c>
      <c r="H94" t="s">
        <v>2151</v>
      </c>
      <c r="I94">
        <v>17</v>
      </c>
      <c r="J94" t="s">
        <v>2093</v>
      </c>
      <c r="K94">
        <v>0</v>
      </c>
      <c r="M94">
        <v>3</v>
      </c>
    </row>
    <row r="95" spans="1:13">
      <c r="A95" t="s">
        <v>2152</v>
      </c>
      <c r="B95" t="s">
        <v>2152</v>
      </c>
      <c r="C95" t="s">
        <v>1332</v>
      </c>
      <c r="D95" t="s">
        <v>2153</v>
      </c>
      <c r="E95">
        <v>1</v>
      </c>
      <c r="G95">
        <v>15.8</v>
      </c>
      <c r="H95" t="s">
        <v>2154</v>
      </c>
      <c r="I95">
        <v>2</v>
      </c>
      <c r="J95" t="s">
        <v>835</v>
      </c>
      <c r="K95">
        <v>0</v>
      </c>
      <c r="M95">
        <v>5</v>
      </c>
    </row>
    <row r="96" spans="1:13">
      <c r="A96" t="s">
        <v>2155</v>
      </c>
      <c r="B96" t="s">
        <v>2155</v>
      </c>
      <c r="C96" t="s">
        <v>1334</v>
      </c>
      <c r="D96" t="s">
        <v>2156</v>
      </c>
      <c r="E96">
        <v>1</v>
      </c>
      <c r="G96">
        <v>61</v>
      </c>
      <c r="H96" t="s">
        <v>2157</v>
      </c>
      <c r="I96">
        <v>25</v>
      </c>
      <c r="J96" t="s">
        <v>1905</v>
      </c>
      <c r="K96">
        <v>2</v>
      </c>
      <c r="M96">
        <v>9</v>
      </c>
    </row>
    <row r="97" spans="1:13">
      <c r="A97" t="s">
        <v>2158</v>
      </c>
      <c r="B97" t="s">
        <v>2158</v>
      </c>
      <c r="C97" t="s">
        <v>1335</v>
      </c>
      <c r="D97" t="s">
        <v>2159</v>
      </c>
      <c r="E97">
        <v>2</v>
      </c>
      <c r="G97">
        <v>114.7</v>
      </c>
      <c r="H97" t="s">
        <v>2160</v>
      </c>
      <c r="I97">
        <v>1</v>
      </c>
      <c r="J97" t="s">
        <v>1918</v>
      </c>
      <c r="K97">
        <v>0</v>
      </c>
      <c r="M97">
        <v>3</v>
      </c>
    </row>
    <row r="98" spans="1:13">
      <c r="A98" t="s">
        <v>2161</v>
      </c>
      <c r="B98" t="s">
        <v>2161</v>
      </c>
      <c r="C98" t="s">
        <v>1336</v>
      </c>
      <c r="E98">
        <v>2</v>
      </c>
      <c r="G98">
        <v>8.6999999999999993</v>
      </c>
      <c r="H98" t="s">
        <v>2162</v>
      </c>
      <c r="I98">
        <v>1</v>
      </c>
      <c r="J98" t="s">
        <v>1918</v>
      </c>
      <c r="K98">
        <v>0</v>
      </c>
      <c r="M98">
        <v>15</v>
      </c>
    </row>
    <row r="99" spans="1:13">
      <c r="A99" t="s">
        <v>2163</v>
      </c>
      <c r="B99" t="s">
        <v>2163</v>
      </c>
      <c r="C99" t="s">
        <v>1337</v>
      </c>
      <c r="D99" t="s">
        <v>2164</v>
      </c>
      <c r="E99">
        <v>2</v>
      </c>
      <c r="G99">
        <v>160.30000000000001</v>
      </c>
      <c r="H99" t="s">
        <v>2165</v>
      </c>
      <c r="I99">
        <v>1</v>
      </c>
      <c r="J99" t="s">
        <v>1918</v>
      </c>
      <c r="K99">
        <v>0</v>
      </c>
      <c r="M99">
        <v>15</v>
      </c>
    </row>
    <row r="100" spans="1:13">
      <c r="A100" t="s">
        <v>2166</v>
      </c>
      <c r="B100" t="s">
        <v>2166</v>
      </c>
      <c r="C100" t="s">
        <v>1178</v>
      </c>
      <c r="D100" t="s">
        <v>2167</v>
      </c>
      <c r="E100">
        <v>1</v>
      </c>
      <c r="G100">
        <v>0.78</v>
      </c>
      <c r="H100" t="s">
        <v>2168</v>
      </c>
      <c r="I100">
        <v>3</v>
      </c>
      <c r="J100" t="s">
        <v>1941</v>
      </c>
      <c r="K100">
        <v>0</v>
      </c>
      <c r="M100">
        <v>2</v>
      </c>
    </row>
    <row r="101" spans="1:13">
      <c r="A101" t="s">
        <v>2169</v>
      </c>
      <c r="B101" t="s">
        <v>2169</v>
      </c>
      <c r="C101" t="s">
        <v>1179</v>
      </c>
      <c r="D101" t="s">
        <v>2170</v>
      </c>
      <c r="E101">
        <v>1</v>
      </c>
      <c r="G101">
        <v>0.77</v>
      </c>
      <c r="H101" t="s">
        <v>2171</v>
      </c>
      <c r="I101">
        <v>3</v>
      </c>
      <c r="J101" t="s">
        <v>1941</v>
      </c>
      <c r="K101">
        <v>0</v>
      </c>
      <c r="M101">
        <v>2</v>
      </c>
    </row>
    <row r="102" spans="1:13">
      <c r="A102" t="s">
        <v>2172</v>
      </c>
      <c r="B102" t="s">
        <v>2172</v>
      </c>
      <c r="C102" t="s">
        <v>1338</v>
      </c>
      <c r="D102" t="s">
        <v>2173</v>
      </c>
      <c r="E102">
        <v>1</v>
      </c>
      <c r="G102">
        <v>100</v>
      </c>
      <c r="H102" t="s">
        <v>2174</v>
      </c>
      <c r="I102">
        <v>25</v>
      </c>
      <c r="J102" t="s">
        <v>1905</v>
      </c>
      <c r="K102">
        <v>0</v>
      </c>
      <c r="M102">
        <v>15</v>
      </c>
    </row>
    <row r="103" spans="1:13">
      <c r="A103" t="s">
        <v>2175</v>
      </c>
      <c r="B103" t="s">
        <v>2175</v>
      </c>
      <c r="C103" t="s">
        <v>1341</v>
      </c>
      <c r="D103" t="s">
        <v>2176</v>
      </c>
      <c r="E103">
        <v>2</v>
      </c>
      <c r="G103">
        <v>106.9</v>
      </c>
      <c r="H103" t="s">
        <v>2177</v>
      </c>
      <c r="I103">
        <v>1</v>
      </c>
      <c r="J103" t="s">
        <v>1918</v>
      </c>
      <c r="K103">
        <v>0</v>
      </c>
      <c r="M103">
        <v>3</v>
      </c>
    </row>
    <row r="104" spans="1:13">
      <c r="A104" t="s">
        <v>2178</v>
      </c>
      <c r="B104" t="s">
        <v>2178</v>
      </c>
      <c r="C104" t="s">
        <v>1342</v>
      </c>
      <c r="D104" t="s">
        <v>2179</v>
      </c>
      <c r="E104">
        <v>1</v>
      </c>
      <c r="G104">
        <v>5.81</v>
      </c>
      <c r="H104" t="s">
        <v>2180</v>
      </c>
      <c r="I104">
        <v>15</v>
      </c>
      <c r="J104" t="s">
        <v>1909</v>
      </c>
      <c r="K104">
        <v>0</v>
      </c>
      <c r="M104">
        <v>3</v>
      </c>
    </row>
    <row r="105" spans="1:13">
      <c r="A105" t="s">
        <v>2181</v>
      </c>
      <c r="B105" t="s">
        <v>2181</v>
      </c>
      <c r="C105" t="s">
        <v>1343</v>
      </c>
      <c r="D105" t="s">
        <v>2182</v>
      </c>
      <c r="E105">
        <v>1</v>
      </c>
      <c r="G105">
        <v>50.2</v>
      </c>
      <c r="H105" t="s">
        <v>2183</v>
      </c>
      <c r="I105">
        <v>14</v>
      </c>
      <c r="J105" t="s">
        <v>1901</v>
      </c>
      <c r="K105">
        <v>2</v>
      </c>
      <c r="M105">
        <v>3</v>
      </c>
    </row>
    <row r="106" spans="1:13">
      <c r="A106" t="s">
        <v>2184</v>
      </c>
      <c r="B106" t="s">
        <v>2184</v>
      </c>
      <c r="C106" t="s">
        <v>1344</v>
      </c>
      <c r="D106" t="s">
        <v>2185</v>
      </c>
      <c r="E106">
        <v>2</v>
      </c>
      <c r="G106">
        <v>45.7</v>
      </c>
      <c r="H106" t="s">
        <v>2186</v>
      </c>
      <c r="I106">
        <v>1</v>
      </c>
      <c r="J106" t="s">
        <v>1918</v>
      </c>
      <c r="K106">
        <v>0</v>
      </c>
      <c r="M106">
        <v>15</v>
      </c>
    </row>
    <row r="107" spans="1:13">
      <c r="A107" t="s">
        <v>2187</v>
      </c>
      <c r="B107" t="s">
        <v>2187</v>
      </c>
      <c r="C107" t="s">
        <v>1345</v>
      </c>
      <c r="D107" t="s">
        <v>2188</v>
      </c>
      <c r="E107">
        <v>1</v>
      </c>
      <c r="G107">
        <v>111.6</v>
      </c>
      <c r="H107" t="s">
        <v>2189</v>
      </c>
      <c r="I107">
        <v>2</v>
      </c>
      <c r="J107" t="s">
        <v>835</v>
      </c>
      <c r="K107">
        <v>0</v>
      </c>
      <c r="M107">
        <v>6</v>
      </c>
    </row>
    <row r="108" spans="1:13">
      <c r="A108" t="s">
        <v>2190</v>
      </c>
      <c r="B108" t="s">
        <v>2190</v>
      </c>
      <c r="C108" t="s">
        <v>1346</v>
      </c>
      <c r="D108" t="s">
        <v>2191</v>
      </c>
      <c r="E108">
        <v>2</v>
      </c>
      <c r="G108">
        <v>989.6</v>
      </c>
      <c r="H108" t="s">
        <v>2192</v>
      </c>
      <c r="I108">
        <v>1</v>
      </c>
      <c r="J108" t="s">
        <v>1918</v>
      </c>
      <c r="K108">
        <v>2</v>
      </c>
      <c r="M108">
        <v>15</v>
      </c>
    </row>
    <row r="109" spans="1:13">
      <c r="A109" t="s">
        <v>2193</v>
      </c>
      <c r="B109" t="s">
        <v>2193</v>
      </c>
      <c r="C109" t="s">
        <v>1347</v>
      </c>
      <c r="D109" t="s">
        <v>2194</v>
      </c>
      <c r="E109">
        <v>1</v>
      </c>
      <c r="G109">
        <v>107.4</v>
      </c>
      <c r="H109" t="s">
        <v>2195</v>
      </c>
      <c r="I109">
        <v>21</v>
      </c>
      <c r="J109" t="s">
        <v>1948</v>
      </c>
      <c r="K109">
        <v>0</v>
      </c>
      <c r="M109">
        <v>3</v>
      </c>
    </row>
    <row r="110" spans="1:13">
      <c r="A110" t="s">
        <v>2196</v>
      </c>
      <c r="B110" t="s">
        <v>2196</v>
      </c>
      <c r="C110" t="s">
        <v>1348</v>
      </c>
      <c r="E110">
        <v>1</v>
      </c>
      <c r="G110">
        <v>17</v>
      </c>
      <c r="H110" t="s">
        <v>2197</v>
      </c>
      <c r="I110">
        <v>1</v>
      </c>
      <c r="J110" t="s">
        <v>1918</v>
      </c>
      <c r="K110">
        <v>2</v>
      </c>
      <c r="M110">
        <v>6</v>
      </c>
    </row>
    <row r="111" spans="1:13">
      <c r="A111" t="s">
        <v>2198</v>
      </c>
      <c r="B111" t="s">
        <v>2198</v>
      </c>
      <c r="C111" t="s">
        <v>1349</v>
      </c>
      <c r="E111">
        <v>1</v>
      </c>
      <c r="G111">
        <v>30.7</v>
      </c>
      <c r="H111" t="s">
        <v>2199</v>
      </c>
      <c r="I111">
        <v>1</v>
      </c>
      <c r="J111" t="s">
        <v>1918</v>
      </c>
      <c r="K111">
        <v>2</v>
      </c>
      <c r="M111">
        <v>6</v>
      </c>
    </row>
    <row r="112" spans="1:13">
      <c r="A112" t="s">
        <v>2200</v>
      </c>
      <c r="B112" t="s">
        <v>2200</v>
      </c>
      <c r="C112" t="s">
        <v>1350</v>
      </c>
      <c r="E112">
        <v>1</v>
      </c>
      <c r="G112">
        <v>38.6</v>
      </c>
      <c r="H112" t="s">
        <v>2201</v>
      </c>
      <c r="I112">
        <v>4</v>
      </c>
      <c r="J112" t="s">
        <v>2202</v>
      </c>
      <c r="K112">
        <v>2</v>
      </c>
      <c r="M112">
        <v>2</v>
      </c>
    </row>
    <row r="113" spans="1:13">
      <c r="A113" t="s">
        <v>2203</v>
      </c>
      <c r="B113" t="s">
        <v>2203</v>
      </c>
      <c r="C113" t="s">
        <v>1351</v>
      </c>
      <c r="E113">
        <v>1</v>
      </c>
      <c r="G113">
        <v>8.1999999999999993</v>
      </c>
      <c r="H113" t="s">
        <v>2204</v>
      </c>
      <c r="I113">
        <v>1</v>
      </c>
      <c r="J113" t="s">
        <v>1918</v>
      </c>
      <c r="K113">
        <v>2</v>
      </c>
      <c r="M113">
        <v>1</v>
      </c>
    </row>
    <row r="114" spans="1:13">
      <c r="A114" t="s">
        <v>2205</v>
      </c>
      <c r="B114" t="s">
        <v>2205</v>
      </c>
      <c r="C114" t="s">
        <v>1352</v>
      </c>
      <c r="D114" t="s">
        <v>2206</v>
      </c>
      <c r="E114">
        <v>2</v>
      </c>
      <c r="G114">
        <v>17.5</v>
      </c>
      <c r="H114" t="s">
        <v>2207</v>
      </c>
      <c r="I114">
        <v>1</v>
      </c>
      <c r="J114" t="s">
        <v>1918</v>
      </c>
      <c r="K114">
        <v>0</v>
      </c>
      <c r="M114">
        <v>3</v>
      </c>
    </row>
    <row r="115" spans="1:13">
      <c r="A115" t="s">
        <v>2208</v>
      </c>
      <c r="B115" t="s">
        <v>2208</v>
      </c>
      <c r="C115" t="s">
        <v>1353</v>
      </c>
      <c r="E115">
        <v>1</v>
      </c>
      <c r="G115">
        <v>10.4</v>
      </c>
      <c r="H115" t="s">
        <v>2209</v>
      </c>
      <c r="I115">
        <v>1</v>
      </c>
      <c r="J115" t="s">
        <v>1918</v>
      </c>
      <c r="K115">
        <v>0</v>
      </c>
      <c r="M115">
        <v>5</v>
      </c>
    </row>
    <row r="116" spans="1:13">
      <c r="A116" t="s">
        <v>2210</v>
      </c>
      <c r="B116" t="s">
        <v>2210</v>
      </c>
      <c r="C116" t="s">
        <v>1354</v>
      </c>
      <c r="D116" t="s">
        <v>2211</v>
      </c>
      <c r="E116">
        <v>1</v>
      </c>
      <c r="G116">
        <v>0</v>
      </c>
      <c r="H116" t="s">
        <v>2212</v>
      </c>
      <c r="I116">
        <v>24</v>
      </c>
      <c r="J116" t="s">
        <v>2059</v>
      </c>
      <c r="K116">
        <v>0</v>
      </c>
      <c r="M116">
        <v>3</v>
      </c>
    </row>
    <row r="117" spans="1:13">
      <c r="A117" t="s">
        <v>2213</v>
      </c>
      <c r="B117" t="s">
        <v>2213</v>
      </c>
      <c r="C117" t="s">
        <v>1355</v>
      </c>
      <c r="D117" t="s">
        <v>2214</v>
      </c>
      <c r="E117">
        <v>1</v>
      </c>
      <c r="G117">
        <v>0</v>
      </c>
      <c r="H117" t="s">
        <v>2215</v>
      </c>
      <c r="I117">
        <v>24</v>
      </c>
      <c r="J117" t="s">
        <v>2059</v>
      </c>
      <c r="K117">
        <v>0</v>
      </c>
      <c r="M117">
        <v>3</v>
      </c>
    </row>
    <row r="118" spans="1:13">
      <c r="A118" t="s">
        <v>2216</v>
      </c>
      <c r="B118" t="s">
        <v>2216</v>
      </c>
      <c r="C118" t="s">
        <v>1356</v>
      </c>
      <c r="D118" t="s">
        <v>2217</v>
      </c>
      <c r="E118">
        <v>1</v>
      </c>
      <c r="G118">
        <v>10</v>
      </c>
      <c r="H118" t="s">
        <v>2218</v>
      </c>
      <c r="I118">
        <v>1</v>
      </c>
      <c r="J118" t="s">
        <v>1918</v>
      </c>
      <c r="K118">
        <v>0</v>
      </c>
      <c r="M118">
        <v>5</v>
      </c>
    </row>
    <row r="119" spans="1:13">
      <c r="A119" t="s">
        <v>2219</v>
      </c>
      <c r="B119" t="s">
        <v>2219</v>
      </c>
      <c r="C119" t="s">
        <v>1357</v>
      </c>
      <c r="D119" t="s">
        <v>2220</v>
      </c>
      <c r="E119">
        <v>1</v>
      </c>
      <c r="G119">
        <v>18.399999999999999</v>
      </c>
      <c r="H119" t="s">
        <v>2221</v>
      </c>
      <c r="I119">
        <v>1</v>
      </c>
      <c r="J119" t="s">
        <v>1918</v>
      </c>
      <c r="K119">
        <v>2</v>
      </c>
      <c r="M119">
        <v>6</v>
      </c>
    </row>
    <row r="120" spans="1:13">
      <c r="A120" t="s">
        <v>2222</v>
      </c>
      <c r="B120" t="s">
        <v>2222</v>
      </c>
      <c r="C120" t="s">
        <v>1358</v>
      </c>
      <c r="D120" t="s">
        <v>2223</v>
      </c>
      <c r="E120">
        <v>1</v>
      </c>
      <c r="G120">
        <v>27.6</v>
      </c>
      <c r="H120" t="s">
        <v>2224</v>
      </c>
      <c r="I120">
        <v>1</v>
      </c>
      <c r="J120" t="s">
        <v>1918</v>
      </c>
      <c r="K120">
        <v>2</v>
      </c>
      <c r="M120">
        <v>6</v>
      </c>
    </row>
    <row r="121" spans="1:13">
      <c r="A121" t="s">
        <v>2225</v>
      </c>
      <c r="B121" t="s">
        <v>2225</v>
      </c>
      <c r="C121" t="s">
        <v>1359</v>
      </c>
      <c r="E121">
        <v>2</v>
      </c>
      <c r="G121">
        <v>9.6</v>
      </c>
      <c r="H121" t="s">
        <v>2226</v>
      </c>
      <c r="I121">
        <v>3</v>
      </c>
      <c r="J121" t="s">
        <v>1941</v>
      </c>
      <c r="K121">
        <v>0</v>
      </c>
      <c r="M121">
        <v>15</v>
      </c>
    </row>
    <row r="122" spans="1:13">
      <c r="A122" t="s">
        <v>2227</v>
      </c>
      <c r="B122" t="s">
        <v>2227</v>
      </c>
      <c r="C122" t="s">
        <v>1360</v>
      </c>
      <c r="D122" t="s">
        <v>2228</v>
      </c>
      <c r="E122">
        <v>1</v>
      </c>
      <c r="G122">
        <v>5.9</v>
      </c>
      <c r="H122" t="s">
        <v>2229</v>
      </c>
      <c r="I122">
        <v>1</v>
      </c>
      <c r="J122" t="s">
        <v>1918</v>
      </c>
      <c r="K122">
        <v>0</v>
      </c>
      <c r="M122">
        <v>5</v>
      </c>
    </row>
    <row r="123" spans="1:13">
      <c r="A123" t="s">
        <v>2230</v>
      </c>
      <c r="B123" t="s">
        <v>2230</v>
      </c>
      <c r="C123" t="s">
        <v>1361</v>
      </c>
      <c r="D123" t="s">
        <v>2231</v>
      </c>
      <c r="E123">
        <v>1</v>
      </c>
      <c r="G123">
        <v>10</v>
      </c>
      <c r="H123" t="s">
        <v>2232</v>
      </c>
      <c r="I123">
        <v>1</v>
      </c>
      <c r="J123" t="s">
        <v>1918</v>
      </c>
      <c r="K123">
        <v>0</v>
      </c>
      <c r="M123">
        <v>5</v>
      </c>
    </row>
    <row r="124" spans="1:13">
      <c r="A124" t="s">
        <v>2233</v>
      </c>
      <c r="B124" t="s">
        <v>2233</v>
      </c>
      <c r="C124" t="s">
        <v>1362</v>
      </c>
      <c r="D124" t="s">
        <v>2234</v>
      </c>
      <c r="E124">
        <v>1</v>
      </c>
      <c r="G124">
        <v>22.2</v>
      </c>
      <c r="H124" t="s">
        <v>2235</v>
      </c>
      <c r="I124">
        <v>3</v>
      </c>
      <c r="J124" t="s">
        <v>1941</v>
      </c>
      <c r="K124">
        <v>0</v>
      </c>
      <c r="M124">
        <v>2</v>
      </c>
    </row>
    <row r="125" spans="1:13">
      <c r="A125" t="s">
        <v>2236</v>
      </c>
      <c r="B125" t="s">
        <v>2236</v>
      </c>
      <c r="C125" t="s">
        <v>1363</v>
      </c>
      <c r="E125">
        <v>1</v>
      </c>
      <c r="G125">
        <v>10.4</v>
      </c>
      <c r="H125" t="s">
        <v>2237</v>
      </c>
      <c r="I125">
        <v>1</v>
      </c>
      <c r="J125" t="s">
        <v>1918</v>
      </c>
      <c r="K125">
        <v>0</v>
      </c>
      <c r="M125">
        <v>5</v>
      </c>
    </row>
    <row r="126" spans="1:13">
      <c r="A126" t="s">
        <v>2238</v>
      </c>
      <c r="B126" t="s">
        <v>2238</v>
      </c>
      <c r="C126" t="s">
        <v>1364</v>
      </c>
      <c r="D126" t="s">
        <v>2239</v>
      </c>
      <c r="E126">
        <v>1</v>
      </c>
      <c r="G126">
        <v>10.4</v>
      </c>
      <c r="H126" t="s">
        <v>2240</v>
      </c>
      <c r="I126">
        <v>1</v>
      </c>
      <c r="J126" t="s">
        <v>1918</v>
      </c>
      <c r="K126">
        <v>0</v>
      </c>
      <c r="M126">
        <v>5</v>
      </c>
    </row>
    <row r="127" spans="1:13">
      <c r="A127" t="s">
        <v>2241</v>
      </c>
      <c r="B127" t="s">
        <v>2241</v>
      </c>
      <c r="C127" t="s">
        <v>1365</v>
      </c>
      <c r="D127" t="s">
        <v>2242</v>
      </c>
      <c r="E127">
        <v>1</v>
      </c>
      <c r="G127">
        <v>12.2</v>
      </c>
      <c r="H127" t="s">
        <v>2243</v>
      </c>
      <c r="I127">
        <v>3</v>
      </c>
      <c r="J127" t="s">
        <v>1941</v>
      </c>
      <c r="K127">
        <v>2</v>
      </c>
      <c r="M127">
        <v>15</v>
      </c>
    </row>
    <row r="128" spans="1:13">
      <c r="A128" t="s">
        <v>2244</v>
      </c>
      <c r="B128" t="s">
        <v>2244</v>
      </c>
      <c r="C128" t="s">
        <v>1366</v>
      </c>
      <c r="D128" t="s">
        <v>2245</v>
      </c>
      <c r="E128">
        <v>1</v>
      </c>
      <c r="G128">
        <v>6.7</v>
      </c>
      <c r="H128" t="s">
        <v>2246</v>
      </c>
      <c r="I128">
        <v>1</v>
      </c>
      <c r="J128" t="s">
        <v>1918</v>
      </c>
      <c r="K128">
        <v>0</v>
      </c>
      <c r="M128">
        <v>5</v>
      </c>
    </row>
    <row r="129" spans="1:13">
      <c r="A129" t="s">
        <v>2247</v>
      </c>
      <c r="B129" t="s">
        <v>2247</v>
      </c>
      <c r="C129" t="s">
        <v>1367</v>
      </c>
      <c r="D129" t="s">
        <v>2248</v>
      </c>
      <c r="E129">
        <v>1</v>
      </c>
      <c r="G129">
        <v>31.4</v>
      </c>
      <c r="H129" t="s">
        <v>2249</v>
      </c>
      <c r="I129">
        <v>12</v>
      </c>
      <c r="J129" t="s">
        <v>2250</v>
      </c>
      <c r="K129">
        <v>0</v>
      </c>
      <c r="M129">
        <v>11</v>
      </c>
    </row>
    <row r="130" spans="1:13">
      <c r="A130" t="s">
        <v>2251</v>
      </c>
      <c r="B130" t="s">
        <v>2251</v>
      </c>
      <c r="C130" t="s">
        <v>1368</v>
      </c>
      <c r="D130" t="s">
        <v>2252</v>
      </c>
      <c r="E130">
        <v>1</v>
      </c>
      <c r="G130">
        <v>210</v>
      </c>
      <c r="H130" t="s">
        <v>2253</v>
      </c>
      <c r="I130">
        <v>25</v>
      </c>
      <c r="J130" t="s">
        <v>1905</v>
      </c>
      <c r="K130">
        <v>2</v>
      </c>
      <c r="M130">
        <v>9</v>
      </c>
    </row>
    <row r="131" spans="1:13">
      <c r="A131" t="s">
        <v>2254</v>
      </c>
      <c r="B131" t="s">
        <v>2254</v>
      </c>
      <c r="C131" t="s">
        <v>1369</v>
      </c>
      <c r="D131" t="s">
        <v>2255</v>
      </c>
      <c r="E131">
        <v>1</v>
      </c>
      <c r="G131">
        <v>27.7</v>
      </c>
      <c r="H131" t="s">
        <v>2256</v>
      </c>
      <c r="I131">
        <v>18</v>
      </c>
      <c r="J131" t="s">
        <v>2257</v>
      </c>
      <c r="K131">
        <v>2</v>
      </c>
      <c r="M131">
        <v>15</v>
      </c>
    </row>
    <row r="132" spans="1:13">
      <c r="A132" t="s">
        <v>2258</v>
      </c>
      <c r="B132" t="s">
        <v>2258</v>
      </c>
      <c r="C132" t="s">
        <v>1370</v>
      </c>
      <c r="D132" t="s">
        <v>2259</v>
      </c>
      <c r="E132">
        <v>1</v>
      </c>
      <c r="G132">
        <v>1732.2</v>
      </c>
      <c r="H132" t="s">
        <v>2260</v>
      </c>
      <c r="I132">
        <v>10</v>
      </c>
      <c r="J132" t="s">
        <v>1970</v>
      </c>
      <c r="K132">
        <v>0</v>
      </c>
      <c r="M132">
        <v>3</v>
      </c>
    </row>
    <row r="133" spans="1:13">
      <c r="A133" t="s">
        <v>2261</v>
      </c>
      <c r="B133" t="s">
        <v>2261</v>
      </c>
      <c r="C133" t="s">
        <v>1371</v>
      </c>
      <c r="D133" t="s">
        <v>2262</v>
      </c>
      <c r="E133">
        <v>1</v>
      </c>
      <c r="G133">
        <v>21.7</v>
      </c>
      <c r="H133" t="s">
        <v>2263</v>
      </c>
      <c r="I133">
        <v>1</v>
      </c>
      <c r="J133" t="s">
        <v>1918</v>
      </c>
      <c r="K133">
        <v>0</v>
      </c>
      <c r="M133">
        <v>1</v>
      </c>
    </row>
    <row r="134" spans="1:13">
      <c r="A134" t="s">
        <v>2264</v>
      </c>
      <c r="B134" t="s">
        <v>2264</v>
      </c>
      <c r="C134" t="s">
        <v>1372</v>
      </c>
      <c r="D134" t="s">
        <v>2265</v>
      </c>
      <c r="E134">
        <v>1</v>
      </c>
      <c r="G134">
        <v>10.4</v>
      </c>
      <c r="H134" t="s">
        <v>2266</v>
      </c>
      <c r="I134">
        <v>1</v>
      </c>
      <c r="J134" t="s">
        <v>1918</v>
      </c>
      <c r="K134">
        <v>2</v>
      </c>
      <c r="M134">
        <v>6</v>
      </c>
    </row>
    <row r="135" spans="1:13">
      <c r="A135" t="s">
        <v>2267</v>
      </c>
      <c r="B135" t="s">
        <v>2267</v>
      </c>
      <c r="C135" t="s">
        <v>1373</v>
      </c>
      <c r="D135" t="s">
        <v>2268</v>
      </c>
      <c r="E135">
        <v>1</v>
      </c>
      <c r="G135">
        <v>10.4</v>
      </c>
      <c r="H135" t="s">
        <v>2269</v>
      </c>
      <c r="I135">
        <v>1</v>
      </c>
      <c r="J135" t="s">
        <v>1918</v>
      </c>
      <c r="K135">
        <v>2</v>
      </c>
      <c r="M135">
        <v>6</v>
      </c>
    </row>
    <row r="136" spans="1:13">
      <c r="A136" t="s">
        <v>2270</v>
      </c>
      <c r="B136" t="s">
        <v>2270</v>
      </c>
      <c r="C136" t="s">
        <v>1374</v>
      </c>
      <c r="D136" t="s">
        <v>2271</v>
      </c>
      <c r="E136">
        <v>1</v>
      </c>
      <c r="G136">
        <v>16.8</v>
      </c>
      <c r="H136" t="s">
        <v>2272</v>
      </c>
      <c r="I136">
        <v>1</v>
      </c>
      <c r="J136" t="s">
        <v>1918</v>
      </c>
      <c r="K136">
        <v>2</v>
      </c>
      <c r="M136">
        <v>6</v>
      </c>
    </row>
    <row r="137" spans="1:13">
      <c r="A137" t="s">
        <v>2273</v>
      </c>
      <c r="B137" t="s">
        <v>2273</v>
      </c>
      <c r="C137" t="s">
        <v>1375</v>
      </c>
      <c r="D137" t="s">
        <v>2274</v>
      </c>
      <c r="E137">
        <v>1</v>
      </c>
      <c r="G137">
        <v>29.3</v>
      </c>
      <c r="H137" t="s">
        <v>2275</v>
      </c>
      <c r="I137">
        <v>1</v>
      </c>
      <c r="J137" t="s">
        <v>1918</v>
      </c>
      <c r="K137">
        <v>2</v>
      </c>
      <c r="M137">
        <v>6</v>
      </c>
    </row>
    <row r="138" spans="1:13">
      <c r="A138" t="s">
        <v>2276</v>
      </c>
      <c r="B138" t="s">
        <v>2276</v>
      </c>
      <c r="C138" t="s">
        <v>1376</v>
      </c>
      <c r="D138" t="s">
        <v>2277</v>
      </c>
      <c r="E138">
        <v>1</v>
      </c>
      <c r="G138">
        <v>134.9</v>
      </c>
      <c r="H138" t="s">
        <v>2278</v>
      </c>
      <c r="I138">
        <v>3</v>
      </c>
      <c r="J138" t="s">
        <v>1941</v>
      </c>
      <c r="K138">
        <v>2</v>
      </c>
      <c r="M138">
        <v>2</v>
      </c>
    </row>
    <row r="139" spans="1:13">
      <c r="A139" t="s">
        <v>2279</v>
      </c>
      <c r="B139" t="s">
        <v>2279</v>
      </c>
      <c r="C139" t="s">
        <v>1378</v>
      </c>
      <c r="E139">
        <v>1</v>
      </c>
      <c r="G139">
        <v>57.3</v>
      </c>
      <c r="H139" t="s">
        <v>2280</v>
      </c>
      <c r="I139">
        <v>1</v>
      </c>
      <c r="J139" t="s">
        <v>1918</v>
      </c>
      <c r="K139">
        <v>0</v>
      </c>
      <c r="M139">
        <v>1</v>
      </c>
    </row>
    <row r="140" spans="1:13">
      <c r="A140" t="s">
        <v>2281</v>
      </c>
      <c r="B140" t="s">
        <v>2281</v>
      </c>
      <c r="C140" t="s">
        <v>1379</v>
      </c>
      <c r="D140" t="s">
        <v>2282</v>
      </c>
      <c r="E140">
        <v>1</v>
      </c>
      <c r="G140">
        <v>80.2</v>
      </c>
      <c r="H140" t="s">
        <v>2283</v>
      </c>
      <c r="I140">
        <v>1</v>
      </c>
      <c r="J140" t="s">
        <v>1918</v>
      </c>
      <c r="K140">
        <v>0</v>
      </c>
      <c r="M140">
        <v>5</v>
      </c>
    </row>
    <row r="141" spans="1:13">
      <c r="A141" t="s">
        <v>2284</v>
      </c>
      <c r="B141" t="s">
        <v>2284</v>
      </c>
      <c r="C141" t="s">
        <v>404</v>
      </c>
      <c r="E141">
        <v>2</v>
      </c>
      <c r="G141">
        <v>505.4</v>
      </c>
      <c r="H141" t="s">
        <v>2285</v>
      </c>
      <c r="I141">
        <v>21</v>
      </c>
      <c r="J141" t="s">
        <v>1948</v>
      </c>
      <c r="K141">
        <v>0</v>
      </c>
      <c r="M141">
        <v>3</v>
      </c>
    </row>
    <row r="142" spans="1:13">
      <c r="A142" t="s">
        <v>2286</v>
      </c>
      <c r="B142" t="s">
        <v>2286</v>
      </c>
      <c r="C142" t="s">
        <v>1380</v>
      </c>
      <c r="D142" t="s">
        <v>2287</v>
      </c>
      <c r="E142">
        <v>1</v>
      </c>
      <c r="G142">
        <v>85.2</v>
      </c>
      <c r="H142" t="s">
        <v>2288</v>
      </c>
      <c r="I142">
        <v>1</v>
      </c>
      <c r="J142" t="s">
        <v>1918</v>
      </c>
      <c r="K142">
        <v>0</v>
      </c>
      <c r="M142">
        <v>5</v>
      </c>
    </row>
    <row r="143" spans="1:13">
      <c r="A143" t="s">
        <v>2289</v>
      </c>
      <c r="B143" t="s">
        <v>2289</v>
      </c>
      <c r="C143" t="s">
        <v>1381</v>
      </c>
      <c r="D143" t="s">
        <v>2290</v>
      </c>
      <c r="E143">
        <v>1</v>
      </c>
      <c r="G143">
        <v>10.199999999999999</v>
      </c>
      <c r="H143" t="s">
        <v>2291</v>
      </c>
      <c r="I143">
        <v>3</v>
      </c>
      <c r="J143" t="s">
        <v>1941</v>
      </c>
      <c r="K143">
        <v>0</v>
      </c>
      <c r="M143">
        <v>4</v>
      </c>
    </row>
    <row r="144" spans="1:13">
      <c r="A144" t="s">
        <v>2292</v>
      </c>
      <c r="B144" t="s">
        <v>2292</v>
      </c>
      <c r="C144" t="s">
        <v>1382</v>
      </c>
      <c r="D144" t="s">
        <v>2293</v>
      </c>
      <c r="E144">
        <v>2</v>
      </c>
      <c r="G144">
        <v>13.3</v>
      </c>
      <c r="H144" t="s">
        <v>2294</v>
      </c>
      <c r="I144">
        <v>3</v>
      </c>
      <c r="J144" t="s">
        <v>1941</v>
      </c>
      <c r="K144">
        <v>0</v>
      </c>
      <c r="M144">
        <v>4</v>
      </c>
    </row>
    <row r="145" spans="1:13">
      <c r="A145" t="s">
        <v>2295</v>
      </c>
      <c r="B145" t="s">
        <v>2295</v>
      </c>
      <c r="C145" t="s">
        <v>1383</v>
      </c>
      <c r="D145" t="s">
        <v>2296</v>
      </c>
      <c r="E145">
        <v>1</v>
      </c>
      <c r="G145">
        <v>18.3</v>
      </c>
      <c r="H145" t="s">
        <v>2297</v>
      </c>
      <c r="I145">
        <v>3</v>
      </c>
      <c r="J145" t="s">
        <v>1941</v>
      </c>
      <c r="K145">
        <v>0</v>
      </c>
      <c r="M145">
        <v>4</v>
      </c>
    </row>
    <row r="146" spans="1:13">
      <c r="A146" t="s">
        <v>2298</v>
      </c>
      <c r="B146" t="s">
        <v>2298</v>
      </c>
      <c r="C146" t="s">
        <v>1384</v>
      </c>
      <c r="D146" t="s">
        <v>2299</v>
      </c>
      <c r="E146">
        <v>2</v>
      </c>
      <c r="G146">
        <v>14.8</v>
      </c>
      <c r="H146" t="s">
        <v>2300</v>
      </c>
      <c r="I146">
        <v>3</v>
      </c>
      <c r="J146" t="s">
        <v>1941</v>
      </c>
      <c r="K146">
        <v>0</v>
      </c>
      <c r="M146">
        <v>4</v>
      </c>
    </row>
    <row r="147" spans="1:13">
      <c r="A147" t="s">
        <v>2301</v>
      </c>
      <c r="B147" t="s">
        <v>2301</v>
      </c>
      <c r="C147" t="s">
        <v>1385</v>
      </c>
      <c r="D147" t="s">
        <v>2302</v>
      </c>
      <c r="E147">
        <v>1</v>
      </c>
      <c r="G147">
        <v>20.399999999999999</v>
      </c>
      <c r="H147" t="s">
        <v>2303</v>
      </c>
      <c r="I147">
        <v>3</v>
      </c>
      <c r="J147" t="s">
        <v>1941</v>
      </c>
      <c r="K147">
        <v>0</v>
      </c>
      <c r="M147">
        <v>4</v>
      </c>
    </row>
    <row r="148" spans="1:13">
      <c r="A148" t="s">
        <v>2304</v>
      </c>
      <c r="B148" t="s">
        <v>2304</v>
      </c>
      <c r="C148" t="s">
        <v>1386</v>
      </c>
      <c r="D148" t="s">
        <v>2305</v>
      </c>
      <c r="E148">
        <v>2</v>
      </c>
      <c r="G148">
        <v>46.8</v>
      </c>
      <c r="H148" t="s">
        <v>2306</v>
      </c>
      <c r="I148">
        <v>3</v>
      </c>
      <c r="J148" t="s">
        <v>1941</v>
      </c>
      <c r="K148">
        <v>0</v>
      </c>
      <c r="M148">
        <v>4</v>
      </c>
    </row>
    <row r="149" spans="1:13">
      <c r="A149" t="s">
        <v>2307</v>
      </c>
      <c r="B149" t="s">
        <v>2307</v>
      </c>
      <c r="C149" t="s">
        <v>1388</v>
      </c>
      <c r="D149" t="s">
        <v>2308</v>
      </c>
      <c r="E149">
        <v>1</v>
      </c>
      <c r="G149">
        <v>12.5</v>
      </c>
      <c r="H149" t="s">
        <v>2309</v>
      </c>
      <c r="I149">
        <v>1</v>
      </c>
      <c r="J149" t="s">
        <v>1918</v>
      </c>
      <c r="K149">
        <v>0</v>
      </c>
      <c r="M149">
        <v>5</v>
      </c>
    </row>
    <row r="150" spans="1:13">
      <c r="A150" t="s">
        <v>2310</v>
      </c>
      <c r="B150" t="s">
        <v>2310</v>
      </c>
      <c r="C150" t="s">
        <v>1389</v>
      </c>
      <c r="D150" t="s">
        <v>2311</v>
      </c>
      <c r="E150">
        <v>1</v>
      </c>
      <c r="G150">
        <v>16.100000000000001</v>
      </c>
      <c r="H150" t="s">
        <v>2312</v>
      </c>
      <c r="I150">
        <v>1</v>
      </c>
      <c r="J150" t="s">
        <v>1918</v>
      </c>
      <c r="K150">
        <v>0</v>
      </c>
      <c r="M150">
        <v>5</v>
      </c>
    </row>
    <row r="151" spans="1:13">
      <c r="A151" t="s">
        <v>2313</v>
      </c>
      <c r="B151" t="s">
        <v>2313</v>
      </c>
      <c r="C151" t="s">
        <v>1390</v>
      </c>
      <c r="D151" t="s">
        <v>2314</v>
      </c>
      <c r="E151">
        <v>1</v>
      </c>
      <c r="G151">
        <v>19.8</v>
      </c>
      <c r="H151" t="s">
        <v>2315</v>
      </c>
      <c r="I151">
        <v>3</v>
      </c>
      <c r="J151" t="s">
        <v>1941</v>
      </c>
      <c r="K151">
        <v>0</v>
      </c>
      <c r="M151">
        <v>2</v>
      </c>
    </row>
    <row r="152" spans="1:13">
      <c r="A152" t="s">
        <v>2316</v>
      </c>
      <c r="B152" t="s">
        <v>2316</v>
      </c>
      <c r="C152" t="s">
        <v>1391</v>
      </c>
      <c r="D152" t="s">
        <v>2317</v>
      </c>
      <c r="E152">
        <v>1</v>
      </c>
      <c r="G152">
        <v>31.7</v>
      </c>
      <c r="H152" t="s">
        <v>2318</v>
      </c>
      <c r="I152">
        <v>1</v>
      </c>
      <c r="J152" t="s">
        <v>1918</v>
      </c>
      <c r="K152">
        <v>0</v>
      </c>
      <c r="M152">
        <v>5</v>
      </c>
    </row>
    <row r="153" spans="1:13">
      <c r="A153" t="s">
        <v>2319</v>
      </c>
      <c r="B153" t="s">
        <v>2319</v>
      </c>
      <c r="C153" t="s">
        <v>1392</v>
      </c>
      <c r="D153" t="s">
        <v>2320</v>
      </c>
      <c r="E153">
        <v>1</v>
      </c>
      <c r="G153">
        <v>24.9</v>
      </c>
      <c r="H153" t="s">
        <v>2321</v>
      </c>
      <c r="I153">
        <v>1</v>
      </c>
      <c r="J153" t="s">
        <v>1918</v>
      </c>
      <c r="K153">
        <v>0</v>
      </c>
      <c r="M153">
        <v>5</v>
      </c>
    </row>
    <row r="154" spans="1:13">
      <c r="A154" t="s">
        <v>2322</v>
      </c>
      <c r="B154" t="s">
        <v>2322</v>
      </c>
      <c r="C154" t="s">
        <v>1393</v>
      </c>
      <c r="D154" t="s">
        <v>2323</v>
      </c>
      <c r="E154">
        <v>1</v>
      </c>
      <c r="G154">
        <v>8.1999999999999993</v>
      </c>
      <c r="H154" t="s">
        <v>2324</v>
      </c>
      <c r="I154">
        <v>1</v>
      </c>
      <c r="J154" t="s">
        <v>1918</v>
      </c>
      <c r="K154">
        <v>0</v>
      </c>
      <c r="M154">
        <v>5</v>
      </c>
    </row>
    <row r="155" spans="1:13">
      <c r="A155" t="s">
        <v>2325</v>
      </c>
      <c r="B155" t="s">
        <v>2325</v>
      </c>
      <c r="C155" t="s">
        <v>416</v>
      </c>
      <c r="D155" t="s">
        <v>2326</v>
      </c>
      <c r="E155">
        <v>1</v>
      </c>
      <c r="G155">
        <v>302</v>
      </c>
      <c r="H155" t="s">
        <v>2327</v>
      </c>
      <c r="I155">
        <v>25</v>
      </c>
      <c r="J155" t="s">
        <v>1905</v>
      </c>
      <c r="K155">
        <v>0</v>
      </c>
      <c r="M155">
        <v>9</v>
      </c>
    </row>
    <row r="156" spans="1:13">
      <c r="A156" t="s">
        <v>2328</v>
      </c>
      <c r="B156" t="s">
        <v>2328</v>
      </c>
      <c r="C156" t="s">
        <v>1394</v>
      </c>
      <c r="D156" t="s">
        <v>2329</v>
      </c>
      <c r="E156">
        <v>1</v>
      </c>
      <c r="G156">
        <v>124.2</v>
      </c>
      <c r="H156" t="s">
        <v>2330</v>
      </c>
      <c r="I156">
        <v>13</v>
      </c>
      <c r="J156" t="s">
        <v>2331</v>
      </c>
      <c r="K156">
        <v>0</v>
      </c>
      <c r="M156">
        <v>14</v>
      </c>
    </row>
    <row r="157" spans="1:13">
      <c r="A157" t="s">
        <v>2332</v>
      </c>
      <c r="B157" t="s">
        <v>2332</v>
      </c>
      <c r="C157" t="s">
        <v>421</v>
      </c>
      <c r="D157" t="s">
        <v>2333</v>
      </c>
      <c r="E157">
        <v>1</v>
      </c>
      <c r="G157">
        <v>5.9</v>
      </c>
      <c r="H157" t="s">
        <v>2334</v>
      </c>
      <c r="I157">
        <v>1</v>
      </c>
      <c r="J157" t="s">
        <v>1918</v>
      </c>
      <c r="K157">
        <v>0</v>
      </c>
      <c r="M157">
        <v>5</v>
      </c>
    </row>
    <row r="158" spans="1:13">
      <c r="A158" t="s">
        <v>2335</v>
      </c>
      <c r="B158" t="s">
        <v>2335</v>
      </c>
      <c r="C158" t="s">
        <v>1395</v>
      </c>
      <c r="E158">
        <v>1</v>
      </c>
      <c r="G158">
        <v>10.4</v>
      </c>
      <c r="H158" t="s">
        <v>2336</v>
      </c>
      <c r="I158">
        <v>1</v>
      </c>
      <c r="J158" t="s">
        <v>1918</v>
      </c>
      <c r="K158">
        <v>2</v>
      </c>
      <c r="M158">
        <v>6</v>
      </c>
    </row>
    <row r="159" spans="1:13">
      <c r="A159" t="s">
        <v>2337</v>
      </c>
      <c r="B159" t="s">
        <v>2337</v>
      </c>
      <c r="C159" t="s">
        <v>1396</v>
      </c>
      <c r="E159">
        <v>1</v>
      </c>
      <c r="G159">
        <v>333</v>
      </c>
      <c r="H159" t="s">
        <v>2338</v>
      </c>
      <c r="I159">
        <v>25</v>
      </c>
      <c r="J159" t="s">
        <v>1905</v>
      </c>
      <c r="K159">
        <v>0</v>
      </c>
      <c r="M159">
        <v>8</v>
      </c>
    </row>
    <row r="160" spans="1:13">
      <c r="A160" t="s">
        <v>2339</v>
      </c>
      <c r="B160" t="s">
        <v>2339</v>
      </c>
      <c r="C160" t="s">
        <v>1397</v>
      </c>
      <c r="D160" t="s">
        <v>2340</v>
      </c>
      <c r="E160">
        <v>1</v>
      </c>
      <c r="G160">
        <v>48.3</v>
      </c>
      <c r="H160" t="s">
        <v>2341</v>
      </c>
      <c r="I160">
        <v>3</v>
      </c>
      <c r="J160" t="s">
        <v>1941</v>
      </c>
      <c r="K160">
        <v>0</v>
      </c>
      <c r="M160">
        <v>3</v>
      </c>
    </row>
    <row r="161" spans="1:13">
      <c r="A161" t="s">
        <v>2342</v>
      </c>
      <c r="B161" t="s">
        <v>2342</v>
      </c>
      <c r="C161" t="s">
        <v>1398</v>
      </c>
      <c r="E161">
        <v>2</v>
      </c>
      <c r="G161">
        <v>12.7</v>
      </c>
      <c r="H161" t="s">
        <v>2343</v>
      </c>
      <c r="I161">
        <v>1</v>
      </c>
      <c r="J161" t="s">
        <v>1918</v>
      </c>
      <c r="K161">
        <v>0</v>
      </c>
      <c r="M161">
        <v>3</v>
      </c>
    </row>
    <row r="162" spans="1:13">
      <c r="A162" t="s">
        <v>2344</v>
      </c>
      <c r="B162" t="s">
        <v>2344</v>
      </c>
      <c r="C162" t="s">
        <v>1399</v>
      </c>
      <c r="E162">
        <v>1</v>
      </c>
      <c r="G162">
        <v>31.9</v>
      </c>
      <c r="H162" t="s">
        <v>2345</v>
      </c>
      <c r="I162">
        <v>1</v>
      </c>
      <c r="J162" t="s">
        <v>1918</v>
      </c>
      <c r="K162">
        <v>0</v>
      </c>
      <c r="M162">
        <v>5</v>
      </c>
    </row>
    <row r="163" spans="1:13">
      <c r="A163" t="s">
        <v>2346</v>
      </c>
      <c r="B163" t="s">
        <v>2346</v>
      </c>
      <c r="C163" t="s">
        <v>1400</v>
      </c>
      <c r="D163" t="s">
        <v>2347</v>
      </c>
      <c r="E163">
        <v>2</v>
      </c>
      <c r="G163">
        <v>16.100000000000001</v>
      </c>
      <c r="H163" t="s">
        <v>2348</v>
      </c>
      <c r="I163">
        <v>1</v>
      </c>
      <c r="J163" t="s">
        <v>1918</v>
      </c>
      <c r="K163">
        <v>0</v>
      </c>
      <c r="M163">
        <v>3</v>
      </c>
    </row>
    <row r="164" spans="1:13">
      <c r="A164" t="s">
        <v>2349</v>
      </c>
      <c r="B164" t="s">
        <v>2349</v>
      </c>
      <c r="C164" t="s">
        <v>1401</v>
      </c>
      <c r="E164">
        <v>1</v>
      </c>
      <c r="G164">
        <v>11.7</v>
      </c>
      <c r="H164" t="s">
        <v>2350</v>
      </c>
      <c r="I164">
        <v>14</v>
      </c>
      <c r="J164" t="s">
        <v>1901</v>
      </c>
      <c r="K164">
        <v>2</v>
      </c>
      <c r="M164">
        <v>3</v>
      </c>
    </row>
    <row r="165" spans="1:13">
      <c r="A165" t="s">
        <v>2351</v>
      </c>
      <c r="B165" t="s">
        <v>2351</v>
      </c>
      <c r="C165" t="s">
        <v>1402</v>
      </c>
      <c r="D165" t="s">
        <v>2352</v>
      </c>
      <c r="E165">
        <v>1</v>
      </c>
      <c r="G165">
        <v>71.7</v>
      </c>
      <c r="H165" t="s">
        <v>2353</v>
      </c>
      <c r="I165">
        <v>11</v>
      </c>
      <c r="J165" t="s">
        <v>2354</v>
      </c>
      <c r="K165">
        <v>0</v>
      </c>
      <c r="M165">
        <v>3</v>
      </c>
    </row>
    <row r="166" spans="1:13">
      <c r="A166" t="s">
        <v>2355</v>
      </c>
      <c r="B166" t="s">
        <v>2355</v>
      </c>
      <c r="C166" t="s">
        <v>1403</v>
      </c>
      <c r="E166">
        <v>1</v>
      </c>
      <c r="G166">
        <v>187.8</v>
      </c>
      <c r="H166" t="s">
        <v>2356</v>
      </c>
      <c r="I166">
        <v>21</v>
      </c>
      <c r="J166" t="s">
        <v>1948</v>
      </c>
      <c r="K166">
        <v>0</v>
      </c>
      <c r="M166">
        <v>3</v>
      </c>
    </row>
    <row r="167" spans="1:13">
      <c r="A167" t="s">
        <v>2357</v>
      </c>
      <c r="B167" t="s">
        <v>2357</v>
      </c>
      <c r="C167" t="s">
        <v>445</v>
      </c>
      <c r="D167" t="s">
        <v>2358</v>
      </c>
      <c r="E167">
        <v>1</v>
      </c>
      <c r="G167">
        <v>61</v>
      </c>
      <c r="H167" t="s">
        <v>2359</v>
      </c>
      <c r="I167">
        <v>25</v>
      </c>
      <c r="J167" t="s">
        <v>1905</v>
      </c>
      <c r="K167">
        <v>0</v>
      </c>
      <c r="M167">
        <v>9</v>
      </c>
    </row>
    <row r="168" spans="1:13">
      <c r="A168" t="s">
        <v>2360</v>
      </c>
      <c r="B168" t="s">
        <v>2360</v>
      </c>
      <c r="C168" t="s">
        <v>1405</v>
      </c>
      <c r="D168" t="s">
        <v>2361</v>
      </c>
      <c r="E168">
        <v>1</v>
      </c>
      <c r="G168">
        <v>231</v>
      </c>
      <c r="H168" t="s">
        <v>2362</v>
      </c>
      <c r="I168">
        <v>23</v>
      </c>
      <c r="J168" t="s">
        <v>2363</v>
      </c>
      <c r="K168">
        <v>0</v>
      </c>
      <c r="M168">
        <v>3</v>
      </c>
    </row>
    <row r="169" spans="1:13">
      <c r="A169" t="s">
        <v>2364</v>
      </c>
      <c r="B169" t="s">
        <v>2364</v>
      </c>
      <c r="C169" t="s">
        <v>1406</v>
      </c>
      <c r="D169" t="s">
        <v>2365</v>
      </c>
      <c r="E169">
        <v>1</v>
      </c>
      <c r="G169">
        <v>12.3</v>
      </c>
      <c r="H169" t="s">
        <v>2366</v>
      </c>
      <c r="I169">
        <v>19</v>
      </c>
      <c r="J169" t="s">
        <v>1982</v>
      </c>
      <c r="K169">
        <v>0</v>
      </c>
      <c r="M169">
        <v>12</v>
      </c>
    </row>
    <row r="170" spans="1:13">
      <c r="A170" t="s">
        <v>2367</v>
      </c>
      <c r="B170" t="s">
        <v>2367</v>
      </c>
      <c r="C170" t="s">
        <v>1407</v>
      </c>
      <c r="D170" t="s">
        <v>2368</v>
      </c>
      <c r="E170">
        <v>1</v>
      </c>
      <c r="G170">
        <v>54.7</v>
      </c>
      <c r="H170" t="s">
        <v>2369</v>
      </c>
      <c r="I170">
        <v>2</v>
      </c>
      <c r="J170" t="s">
        <v>835</v>
      </c>
      <c r="K170">
        <v>0</v>
      </c>
      <c r="M170">
        <v>1</v>
      </c>
    </row>
    <row r="171" spans="1:13">
      <c r="A171" t="s">
        <v>2370</v>
      </c>
      <c r="B171" t="s">
        <v>2370</v>
      </c>
      <c r="C171" t="s">
        <v>1409</v>
      </c>
      <c r="D171" t="s">
        <v>2371</v>
      </c>
      <c r="E171">
        <v>1</v>
      </c>
      <c r="G171">
        <v>12.8</v>
      </c>
      <c r="H171" t="s">
        <v>2372</v>
      </c>
      <c r="I171">
        <v>15</v>
      </c>
      <c r="J171" t="s">
        <v>1909</v>
      </c>
      <c r="K171">
        <v>0</v>
      </c>
      <c r="M171">
        <v>7</v>
      </c>
    </row>
    <row r="172" spans="1:13">
      <c r="A172" t="s">
        <v>2373</v>
      </c>
      <c r="B172" t="s">
        <v>2373</v>
      </c>
      <c r="C172" t="s">
        <v>459</v>
      </c>
      <c r="D172" t="s">
        <v>2374</v>
      </c>
      <c r="E172">
        <v>1</v>
      </c>
      <c r="G172">
        <v>45.9</v>
      </c>
      <c r="H172" t="s">
        <v>2375</v>
      </c>
      <c r="I172">
        <v>1</v>
      </c>
      <c r="J172" t="s">
        <v>1918</v>
      </c>
      <c r="K172">
        <v>0</v>
      </c>
      <c r="M172">
        <v>5</v>
      </c>
    </row>
    <row r="173" spans="1:13">
      <c r="A173" t="s">
        <v>2376</v>
      </c>
      <c r="B173" t="s">
        <v>2376</v>
      </c>
      <c r="C173" t="s">
        <v>1410</v>
      </c>
      <c r="D173" t="s">
        <v>2377</v>
      </c>
      <c r="E173">
        <v>1</v>
      </c>
      <c r="G173">
        <v>8.6999999999999993</v>
      </c>
      <c r="H173" t="s">
        <v>2378</v>
      </c>
      <c r="I173">
        <v>14</v>
      </c>
      <c r="J173" t="s">
        <v>1901</v>
      </c>
      <c r="K173">
        <v>0</v>
      </c>
      <c r="M173">
        <v>3</v>
      </c>
    </row>
    <row r="174" spans="1:13">
      <c r="A174" t="s">
        <v>2379</v>
      </c>
      <c r="B174" t="s">
        <v>2379</v>
      </c>
      <c r="C174" t="s">
        <v>1411</v>
      </c>
      <c r="E174">
        <v>1</v>
      </c>
      <c r="G174">
        <v>10.1</v>
      </c>
      <c r="H174" t="s">
        <v>2380</v>
      </c>
      <c r="I174">
        <v>1</v>
      </c>
      <c r="J174" t="s">
        <v>1918</v>
      </c>
      <c r="K174">
        <v>0</v>
      </c>
    </row>
    <row r="175" spans="1:13">
      <c r="A175" t="s">
        <v>2381</v>
      </c>
      <c r="B175" t="s">
        <v>2381</v>
      </c>
      <c r="C175" t="s">
        <v>1412</v>
      </c>
      <c r="E175">
        <v>1</v>
      </c>
      <c r="G175">
        <v>0</v>
      </c>
      <c r="H175" t="s">
        <v>2382</v>
      </c>
      <c r="I175">
        <v>1</v>
      </c>
      <c r="J175" t="s">
        <v>1918</v>
      </c>
      <c r="K175">
        <v>0</v>
      </c>
    </row>
    <row r="176" spans="1:13">
      <c r="A176" t="s">
        <v>2383</v>
      </c>
      <c r="B176" t="s">
        <v>2383</v>
      </c>
      <c r="C176" t="s">
        <v>467</v>
      </c>
      <c r="D176" t="s">
        <v>2384</v>
      </c>
      <c r="E176">
        <v>2</v>
      </c>
      <c r="G176">
        <v>326</v>
      </c>
      <c r="H176" t="s">
        <v>2385</v>
      </c>
      <c r="I176">
        <v>21</v>
      </c>
      <c r="J176" t="s">
        <v>1948</v>
      </c>
      <c r="K176">
        <v>0</v>
      </c>
      <c r="M176">
        <v>3</v>
      </c>
    </row>
    <row r="177" spans="1:13">
      <c r="A177" t="s">
        <v>2386</v>
      </c>
      <c r="B177" t="s">
        <v>2386</v>
      </c>
      <c r="C177" t="s">
        <v>464</v>
      </c>
      <c r="D177" t="s">
        <v>2387</v>
      </c>
      <c r="E177">
        <v>1</v>
      </c>
      <c r="G177">
        <v>7.5</v>
      </c>
      <c r="H177" t="s">
        <v>2388</v>
      </c>
      <c r="I177">
        <v>23</v>
      </c>
      <c r="J177" t="s">
        <v>2363</v>
      </c>
      <c r="K177">
        <v>0</v>
      </c>
      <c r="M177">
        <v>3</v>
      </c>
    </row>
    <row r="178" spans="1:13">
      <c r="A178" t="s">
        <v>2389</v>
      </c>
      <c r="B178" t="s">
        <v>2389</v>
      </c>
      <c r="C178" t="s">
        <v>1414</v>
      </c>
      <c r="D178" t="s">
        <v>2390</v>
      </c>
      <c r="E178">
        <v>2</v>
      </c>
      <c r="G178">
        <v>235.8</v>
      </c>
      <c r="H178" t="s">
        <v>2391</v>
      </c>
      <c r="I178">
        <v>1</v>
      </c>
      <c r="J178" t="s">
        <v>1918</v>
      </c>
      <c r="K178">
        <v>2</v>
      </c>
      <c r="M178">
        <v>3</v>
      </c>
    </row>
    <row r="179" spans="1:13">
      <c r="A179" t="s">
        <v>2392</v>
      </c>
      <c r="B179" t="s">
        <v>2392</v>
      </c>
      <c r="C179" t="s">
        <v>474</v>
      </c>
      <c r="D179" t="s">
        <v>2393</v>
      </c>
      <c r="E179">
        <v>1</v>
      </c>
      <c r="G179">
        <v>9.6999999999999993</v>
      </c>
      <c r="H179" t="s">
        <v>2394</v>
      </c>
      <c r="I179">
        <v>1</v>
      </c>
      <c r="J179" t="s">
        <v>1918</v>
      </c>
      <c r="K179">
        <v>0</v>
      </c>
      <c r="M179">
        <v>6</v>
      </c>
    </row>
    <row r="180" spans="1:13">
      <c r="A180" t="s">
        <v>2395</v>
      </c>
      <c r="B180" t="s">
        <v>2395</v>
      </c>
      <c r="C180" t="s">
        <v>475</v>
      </c>
      <c r="D180" t="s">
        <v>2396</v>
      </c>
      <c r="E180">
        <v>1</v>
      </c>
      <c r="G180">
        <v>9.6999999999999993</v>
      </c>
      <c r="H180" t="s">
        <v>2397</v>
      </c>
      <c r="I180">
        <v>1</v>
      </c>
      <c r="J180" t="s">
        <v>1918</v>
      </c>
      <c r="K180">
        <v>2</v>
      </c>
      <c r="M180">
        <v>5</v>
      </c>
    </row>
    <row r="181" spans="1:13">
      <c r="A181" t="s">
        <v>2398</v>
      </c>
      <c r="B181" t="s">
        <v>2398</v>
      </c>
      <c r="C181" t="s">
        <v>473</v>
      </c>
      <c r="D181" t="s">
        <v>2399</v>
      </c>
      <c r="E181">
        <v>1</v>
      </c>
      <c r="G181">
        <v>9.6999999999999993</v>
      </c>
      <c r="H181" t="s">
        <v>2400</v>
      </c>
      <c r="I181">
        <v>1</v>
      </c>
      <c r="J181" t="s">
        <v>1918</v>
      </c>
      <c r="K181">
        <v>2</v>
      </c>
      <c r="M181">
        <v>6</v>
      </c>
    </row>
    <row r="182" spans="1:13">
      <c r="A182" t="s">
        <v>2401</v>
      </c>
      <c r="B182" t="s">
        <v>2401</v>
      </c>
      <c r="C182" t="s">
        <v>1415</v>
      </c>
      <c r="D182" t="s">
        <v>2402</v>
      </c>
      <c r="E182">
        <v>1</v>
      </c>
      <c r="G182">
        <v>4.2</v>
      </c>
      <c r="H182" t="s">
        <v>2403</v>
      </c>
      <c r="I182">
        <v>14</v>
      </c>
      <c r="J182" t="s">
        <v>1901</v>
      </c>
      <c r="K182">
        <v>0</v>
      </c>
      <c r="M182">
        <v>7</v>
      </c>
    </row>
    <row r="183" spans="1:13">
      <c r="A183" t="s">
        <v>2404</v>
      </c>
      <c r="B183" t="s">
        <v>2404</v>
      </c>
      <c r="C183" t="s">
        <v>479</v>
      </c>
      <c r="D183" t="s">
        <v>2405</v>
      </c>
      <c r="E183">
        <v>1</v>
      </c>
      <c r="G183">
        <v>15.3</v>
      </c>
      <c r="H183" t="s">
        <v>2406</v>
      </c>
      <c r="I183">
        <v>1</v>
      </c>
      <c r="J183" t="s">
        <v>1918</v>
      </c>
      <c r="K183">
        <v>0</v>
      </c>
      <c r="M183">
        <v>2</v>
      </c>
    </row>
    <row r="184" spans="1:13">
      <c r="A184" t="s">
        <v>2407</v>
      </c>
      <c r="B184" t="s">
        <v>2407</v>
      </c>
      <c r="C184" t="s">
        <v>1416</v>
      </c>
      <c r="D184" t="s">
        <v>2408</v>
      </c>
      <c r="E184">
        <v>1</v>
      </c>
      <c r="G184">
        <v>0.93</v>
      </c>
      <c r="H184" t="s">
        <v>2409</v>
      </c>
      <c r="I184">
        <v>3</v>
      </c>
      <c r="J184" t="s">
        <v>1941</v>
      </c>
      <c r="K184">
        <v>0</v>
      </c>
      <c r="M184">
        <v>2</v>
      </c>
    </row>
    <row r="185" spans="1:13">
      <c r="A185" t="s">
        <v>2410</v>
      </c>
      <c r="B185" t="s">
        <v>2410</v>
      </c>
      <c r="C185" t="s">
        <v>1417</v>
      </c>
      <c r="D185" t="s">
        <v>2411</v>
      </c>
      <c r="E185">
        <v>2</v>
      </c>
      <c r="G185">
        <v>21.2</v>
      </c>
      <c r="H185" t="s">
        <v>2412</v>
      </c>
      <c r="I185">
        <v>2</v>
      </c>
      <c r="J185" t="s">
        <v>835</v>
      </c>
      <c r="K185">
        <v>2</v>
      </c>
      <c r="M185">
        <v>2</v>
      </c>
    </row>
    <row r="186" spans="1:13">
      <c r="A186" t="s">
        <v>2413</v>
      </c>
      <c r="B186" t="s">
        <v>2413</v>
      </c>
      <c r="C186" t="s">
        <v>483</v>
      </c>
      <c r="D186" t="s">
        <v>2414</v>
      </c>
      <c r="E186">
        <v>1</v>
      </c>
      <c r="G186">
        <v>5.9</v>
      </c>
      <c r="H186" t="s">
        <v>2415</v>
      </c>
      <c r="I186">
        <v>1</v>
      </c>
      <c r="J186" t="s">
        <v>1918</v>
      </c>
      <c r="K186">
        <v>0</v>
      </c>
      <c r="M186">
        <v>5</v>
      </c>
    </row>
    <row r="187" spans="1:13">
      <c r="A187" t="s">
        <v>2416</v>
      </c>
      <c r="B187" t="s">
        <v>2416</v>
      </c>
      <c r="C187" t="s">
        <v>484</v>
      </c>
      <c r="D187" t="s">
        <v>2417</v>
      </c>
      <c r="E187">
        <v>1</v>
      </c>
      <c r="G187">
        <v>6</v>
      </c>
      <c r="H187" t="s">
        <v>2418</v>
      </c>
      <c r="I187">
        <v>1</v>
      </c>
      <c r="J187" t="s">
        <v>1918</v>
      </c>
      <c r="K187">
        <v>0</v>
      </c>
      <c r="M187">
        <v>5</v>
      </c>
    </row>
    <row r="188" spans="1:13">
      <c r="A188" t="s">
        <v>2419</v>
      </c>
      <c r="B188" t="s">
        <v>2419</v>
      </c>
      <c r="C188" t="s">
        <v>1418</v>
      </c>
      <c r="E188">
        <v>1</v>
      </c>
      <c r="G188">
        <v>120</v>
      </c>
      <c r="H188" t="s">
        <v>2420</v>
      </c>
      <c r="I188">
        <v>25</v>
      </c>
      <c r="J188" t="s">
        <v>1905</v>
      </c>
      <c r="K188">
        <v>0</v>
      </c>
      <c r="M188">
        <v>9</v>
      </c>
    </row>
    <row r="189" spans="1:13">
      <c r="A189" t="s">
        <v>2421</v>
      </c>
      <c r="B189" t="s">
        <v>2421</v>
      </c>
      <c r="C189" t="s">
        <v>1419</v>
      </c>
      <c r="D189" t="s">
        <v>2422</v>
      </c>
      <c r="E189">
        <v>1</v>
      </c>
      <c r="G189">
        <v>5.0999999999999996</v>
      </c>
      <c r="H189" t="s">
        <v>2423</v>
      </c>
      <c r="I189">
        <v>7</v>
      </c>
      <c r="J189" t="s">
        <v>2145</v>
      </c>
      <c r="K189">
        <v>2</v>
      </c>
      <c r="M189">
        <v>11</v>
      </c>
    </row>
    <row r="190" spans="1:13">
      <c r="A190" t="s">
        <v>2424</v>
      </c>
      <c r="B190" t="s">
        <v>2424</v>
      </c>
      <c r="C190" t="s">
        <v>1420</v>
      </c>
      <c r="D190" t="s">
        <v>2425</v>
      </c>
      <c r="E190">
        <v>1</v>
      </c>
      <c r="G190">
        <v>89.2</v>
      </c>
      <c r="H190" t="s">
        <v>2426</v>
      </c>
      <c r="I190">
        <v>21</v>
      </c>
      <c r="J190" t="s">
        <v>1948</v>
      </c>
      <c r="K190">
        <v>0</v>
      </c>
      <c r="M190">
        <v>3</v>
      </c>
    </row>
    <row r="191" spans="1:13">
      <c r="A191" t="s">
        <v>2427</v>
      </c>
      <c r="B191" t="s">
        <v>2427</v>
      </c>
      <c r="C191" t="s">
        <v>1421</v>
      </c>
      <c r="D191" t="s">
        <v>2428</v>
      </c>
      <c r="E191">
        <v>1</v>
      </c>
      <c r="G191">
        <v>139.4</v>
      </c>
      <c r="H191" t="s">
        <v>2429</v>
      </c>
      <c r="I191">
        <v>1</v>
      </c>
      <c r="J191" t="s">
        <v>1918</v>
      </c>
      <c r="K191">
        <v>0</v>
      </c>
      <c r="M191">
        <v>1</v>
      </c>
    </row>
    <row r="192" spans="1:13">
      <c r="A192" t="s">
        <v>2430</v>
      </c>
      <c r="B192" t="s">
        <v>2430</v>
      </c>
      <c r="C192" t="s">
        <v>1422</v>
      </c>
      <c r="D192" t="s">
        <v>2431</v>
      </c>
      <c r="E192">
        <v>1</v>
      </c>
      <c r="G192">
        <v>139</v>
      </c>
      <c r="H192" t="s">
        <v>2432</v>
      </c>
      <c r="I192">
        <v>25</v>
      </c>
      <c r="J192" t="s">
        <v>1905</v>
      </c>
      <c r="K192">
        <v>2</v>
      </c>
      <c r="M192">
        <v>9</v>
      </c>
    </row>
    <row r="193" spans="1:13">
      <c r="A193" t="s">
        <v>2433</v>
      </c>
      <c r="B193" t="s">
        <v>2433</v>
      </c>
      <c r="C193" t="s">
        <v>1423</v>
      </c>
      <c r="D193" t="s">
        <v>2434</v>
      </c>
      <c r="E193">
        <v>2</v>
      </c>
      <c r="G193">
        <v>529.70000000000005</v>
      </c>
      <c r="H193" t="s">
        <v>2435</v>
      </c>
      <c r="I193">
        <v>21</v>
      </c>
      <c r="J193" t="s">
        <v>1948</v>
      </c>
      <c r="K193">
        <v>0</v>
      </c>
      <c r="M193">
        <v>3</v>
      </c>
    </row>
    <row r="194" spans="1:13">
      <c r="A194" t="s">
        <v>2436</v>
      </c>
      <c r="B194" t="s">
        <v>2436</v>
      </c>
      <c r="C194" t="s">
        <v>1424</v>
      </c>
      <c r="D194" t="s">
        <v>2437</v>
      </c>
      <c r="E194">
        <v>1</v>
      </c>
      <c r="G194">
        <v>199.6</v>
      </c>
      <c r="H194" t="s">
        <v>2438</v>
      </c>
      <c r="I194">
        <v>1</v>
      </c>
      <c r="J194" t="s">
        <v>1918</v>
      </c>
      <c r="K194">
        <v>2</v>
      </c>
      <c r="M194">
        <v>1</v>
      </c>
    </row>
    <row r="195" spans="1:13">
      <c r="A195" t="s">
        <v>2439</v>
      </c>
      <c r="B195" t="s">
        <v>2439</v>
      </c>
      <c r="C195" t="s">
        <v>1425</v>
      </c>
      <c r="D195" t="s">
        <v>2440</v>
      </c>
      <c r="E195">
        <v>1</v>
      </c>
      <c r="G195">
        <v>307</v>
      </c>
      <c r="H195" t="s">
        <v>2441</v>
      </c>
      <c r="I195">
        <v>1</v>
      </c>
      <c r="J195" t="s">
        <v>1918</v>
      </c>
      <c r="K195">
        <v>2</v>
      </c>
      <c r="M195">
        <v>1</v>
      </c>
    </row>
    <row r="196" spans="1:13">
      <c r="A196" t="s">
        <v>2442</v>
      </c>
      <c r="B196" t="s">
        <v>2442</v>
      </c>
      <c r="C196" t="s">
        <v>1426</v>
      </c>
      <c r="D196" t="s">
        <v>2443</v>
      </c>
      <c r="E196">
        <v>1</v>
      </c>
      <c r="G196">
        <v>20.9</v>
      </c>
      <c r="H196" t="s">
        <v>2444</v>
      </c>
      <c r="I196">
        <v>12</v>
      </c>
      <c r="J196" t="s">
        <v>2250</v>
      </c>
      <c r="K196">
        <v>2</v>
      </c>
      <c r="M196">
        <v>11</v>
      </c>
    </row>
    <row r="197" spans="1:13">
      <c r="A197" t="s">
        <v>2445</v>
      </c>
      <c r="B197" t="s">
        <v>2445</v>
      </c>
      <c r="C197" t="s">
        <v>1427</v>
      </c>
      <c r="D197" t="s">
        <v>2446</v>
      </c>
      <c r="E197">
        <v>2</v>
      </c>
      <c r="G197">
        <v>76</v>
      </c>
      <c r="H197" t="s">
        <v>2447</v>
      </c>
      <c r="I197">
        <v>2</v>
      </c>
      <c r="J197" t="s">
        <v>835</v>
      </c>
      <c r="K197">
        <v>2</v>
      </c>
      <c r="M197">
        <v>3</v>
      </c>
    </row>
    <row r="198" spans="1:13">
      <c r="A198" t="s">
        <v>2448</v>
      </c>
      <c r="B198" t="s">
        <v>2448</v>
      </c>
      <c r="C198" t="s">
        <v>1428</v>
      </c>
      <c r="D198" t="s">
        <v>2449</v>
      </c>
      <c r="E198">
        <v>1</v>
      </c>
      <c r="G198">
        <v>10.4</v>
      </c>
      <c r="H198" t="s">
        <v>2450</v>
      </c>
      <c r="I198">
        <v>1</v>
      </c>
      <c r="J198" t="s">
        <v>1918</v>
      </c>
      <c r="K198">
        <v>1</v>
      </c>
      <c r="M198">
        <v>3</v>
      </c>
    </row>
    <row r="199" spans="1:13">
      <c r="A199" t="s">
        <v>2451</v>
      </c>
      <c r="B199" t="s">
        <v>2451</v>
      </c>
      <c r="C199" t="s">
        <v>492</v>
      </c>
      <c r="D199" t="s">
        <v>2452</v>
      </c>
      <c r="E199">
        <v>1</v>
      </c>
      <c r="G199">
        <v>6.5</v>
      </c>
      <c r="H199" t="s">
        <v>2453</v>
      </c>
      <c r="I199">
        <v>3</v>
      </c>
      <c r="J199" t="s">
        <v>1941</v>
      </c>
      <c r="K199">
        <v>0</v>
      </c>
      <c r="M199">
        <v>3</v>
      </c>
    </row>
    <row r="200" spans="1:13">
      <c r="A200" t="s">
        <v>2454</v>
      </c>
      <c r="B200" t="s">
        <v>2454</v>
      </c>
      <c r="C200" t="s">
        <v>1430</v>
      </c>
      <c r="D200" t="s">
        <v>2455</v>
      </c>
      <c r="E200">
        <v>1</v>
      </c>
      <c r="G200">
        <v>5.9</v>
      </c>
      <c r="H200" t="s">
        <v>2456</v>
      </c>
      <c r="I200">
        <v>1</v>
      </c>
      <c r="J200" t="s">
        <v>1918</v>
      </c>
      <c r="K200">
        <v>0</v>
      </c>
      <c r="M200">
        <v>1</v>
      </c>
    </row>
    <row r="201" spans="1:13">
      <c r="A201" t="s">
        <v>2457</v>
      </c>
      <c r="B201" t="s">
        <v>2457</v>
      </c>
      <c r="C201" t="s">
        <v>1431</v>
      </c>
      <c r="D201" t="s">
        <v>2458</v>
      </c>
      <c r="E201">
        <v>1</v>
      </c>
      <c r="G201">
        <v>44.4</v>
      </c>
      <c r="H201" t="s">
        <v>2459</v>
      </c>
      <c r="I201">
        <v>1</v>
      </c>
      <c r="J201" t="s">
        <v>1918</v>
      </c>
      <c r="K201">
        <v>2</v>
      </c>
      <c r="M201">
        <v>1</v>
      </c>
    </row>
    <row r="202" spans="1:13">
      <c r="A202" t="s">
        <v>2460</v>
      </c>
      <c r="B202" t="s">
        <v>2460</v>
      </c>
      <c r="C202" t="s">
        <v>1432</v>
      </c>
      <c r="D202" t="s">
        <v>2461</v>
      </c>
      <c r="E202">
        <v>1</v>
      </c>
      <c r="G202">
        <v>89.1</v>
      </c>
      <c r="H202" t="s">
        <v>2462</v>
      </c>
      <c r="I202">
        <v>1</v>
      </c>
      <c r="J202" t="s">
        <v>1918</v>
      </c>
      <c r="K202">
        <v>2</v>
      </c>
      <c r="M202">
        <v>1</v>
      </c>
    </row>
    <row r="203" spans="1:13">
      <c r="A203" t="s">
        <v>2463</v>
      </c>
      <c r="B203" t="s">
        <v>2463</v>
      </c>
      <c r="C203" t="s">
        <v>1433</v>
      </c>
      <c r="D203" t="s">
        <v>2464</v>
      </c>
      <c r="E203">
        <v>1</v>
      </c>
      <c r="G203">
        <v>178.5</v>
      </c>
      <c r="H203" t="s">
        <v>2465</v>
      </c>
      <c r="I203">
        <v>1</v>
      </c>
      <c r="J203" t="s">
        <v>1918</v>
      </c>
      <c r="K203">
        <v>2</v>
      </c>
      <c r="M203">
        <v>1</v>
      </c>
    </row>
    <row r="204" spans="1:13">
      <c r="A204" t="s">
        <v>2466</v>
      </c>
      <c r="B204" t="s">
        <v>2466</v>
      </c>
      <c r="C204" t="s">
        <v>1434</v>
      </c>
      <c r="D204" t="s">
        <v>2467</v>
      </c>
      <c r="E204">
        <v>2</v>
      </c>
      <c r="G204">
        <v>1572</v>
      </c>
      <c r="H204" t="s">
        <v>2468</v>
      </c>
      <c r="I204">
        <v>25</v>
      </c>
      <c r="J204" t="s">
        <v>1905</v>
      </c>
      <c r="K204">
        <v>2</v>
      </c>
      <c r="M204">
        <v>15</v>
      </c>
    </row>
    <row r="205" spans="1:13">
      <c r="A205" t="s">
        <v>2469</v>
      </c>
      <c r="B205" t="s">
        <v>2469</v>
      </c>
      <c r="C205" t="s">
        <v>1435</v>
      </c>
      <c r="E205">
        <v>2</v>
      </c>
      <c r="G205">
        <v>15.9</v>
      </c>
      <c r="H205" t="s">
        <v>2470</v>
      </c>
      <c r="I205">
        <v>1</v>
      </c>
      <c r="J205" t="s">
        <v>1918</v>
      </c>
      <c r="K205">
        <v>2</v>
      </c>
      <c r="M205">
        <v>3</v>
      </c>
    </row>
    <row r="206" spans="1:13">
      <c r="A206" t="s">
        <v>2471</v>
      </c>
      <c r="B206" t="s">
        <v>2471</v>
      </c>
      <c r="C206" t="s">
        <v>1436</v>
      </c>
      <c r="D206" t="s">
        <v>2472</v>
      </c>
      <c r="E206">
        <v>1</v>
      </c>
      <c r="G206">
        <v>5.9</v>
      </c>
      <c r="H206" t="s">
        <v>2473</v>
      </c>
      <c r="I206">
        <v>1</v>
      </c>
      <c r="J206" t="s">
        <v>1918</v>
      </c>
      <c r="K206">
        <v>0</v>
      </c>
      <c r="M206">
        <v>5</v>
      </c>
    </row>
    <row r="207" spans="1:13">
      <c r="A207" t="s">
        <v>2474</v>
      </c>
      <c r="B207" t="s">
        <v>2474</v>
      </c>
      <c r="C207" t="s">
        <v>1437</v>
      </c>
      <c r="D207" t="s">
        <v>2475</v>
      </c>
      <c r="E207">
        <v>1</v>
      </c>
      <c r="G207">
        <v>6.1</v>
      </c>
      <c r="H207" t="s">
        <v>2476</v>
      </c>
      <c r="I207">
        <v>2</v>
      </c>
      <c r="J207" t="s">
        <v>835</v>
      </c>
      <c r="K207">
        <v>0</v>
      </c>
      <c r="M207">
        <v>5</v>
      </c>
    </row>
    <row r="208" spans="1:13">
      <c r="A208" t="s">
        <v>2477</v>
      </c>
      <c r="B208" t="s">
        <v>2477</v>
      </c>
      <c r="C208" t="s">
        <v>1438</v>
      </c>
      <c r="D208" t="s">
        <v>2478</v>
      </c>
      <c r="E208">
        <v>1</v>
      </c>
      <c r="G208">
        <v>18132</v>
      </c>
      <c r="H208" t="s">
        <v>2479</v>
      </c>
      <c r="I208">
        <v>25</v>
      </c>
      <c r="J208" t="s">
        <v>1905</v>
      </c>
      <c r="K208">
        <v>0</v>
      </c>
      <c r="M208">
        <v>15</v>
      </c>
    </row>
    <row r="209" spans="1:13">
      <c r="A209" t="s">
        <v>2480</v>
      </c>
      <c r="B209" t="s">
        <v>2480</v>
      </c>
      <c r="C209" t="s">
        <v>1439</v>
      </c>
      <c r="E209">
        <v>1</v>
      </c>
      <c r="G209">
        <v>24.4</v>
      </c>
      <c r="H209" t="s">
        <v>2481</v>
      </c>
      <c r="I209">
        <v>1</v>
      </c>
      <c r="J209" t="s">
        <v>1918</v>
      </c>
      <c r="K209">
        <v>0</v>
      </c>
      <c r="M209">
        <v>5</v>
      </c>
    </row>
    <row r="210" spans="1:13">
      <c r="A210" t="s">
        <v>2482</v>
      </c>
      <c r="B210" t="s">
        <v>2482</v>
      </c>
      <c r="C210" t="s">
        <v>1440</v>
      </c>
      <c r="E210">
        <v>1</v>
      </c>
      <c r="G210">
        <v>13.2</v>
      </c>
      <c r="H210" t="s">
        <v>2483</v>
      </c>
      <c r="I210">
        <v>1</v>
      </c>
      <c r="J210" t="s">
        <v>1918</v>
      </c>
      <c r="K210">
        <v>2</v>
      </c>
      <c r="M210">
        <v>6</v>
      </c>
    </row>
    <row r="211" spans="1:13">
      <c r="A211" t="s">
        <v>2484</v>
      </c>
      <c r="B211" t="s">
        <v>2484</v>
      </c>
      <c r="C211" t="s">
        <v>526</v>
      </c>
      <c r="D211" t="s">
        <v>2485</v>
      </c>
      <c r="E211">
        <v>1</v>
      </c>
      <c r="G211">
        <v>60.9</v>
      </c>
      <c r="H211" t="s">
        <v>2486</v>
      </c>
      <c r="I211">
        <v>1</v>
      </c>
      <c r="J211" t="s">
        <v>1918</v>
      </c>
      <c r="K211">
        <v>0</v>
      </c>
      <c r="M211">
        <v>5</v>
      </c>
    </row>
    <row r="212" spans="1:13">
      <c r="A212" t="s">
        <v>2487</v>
      </c>
      <c r="B212" t="s">
        <v>2487</v>
      </c>
      <c r="C212" t="s">
        <v>1441</v>
      </c>
      <c r="D212" t="s">
        <v>2488</v>
      </c>
      <c r="E212">
        <v>1</v>
      </c>
      <c r="G212">
        <v>73.7</v>
      </c>
      <c r="H212" t="s">
        <v>2489</v>
      </c>
      <c r="I212">
        <v>12</v>
      </c>
      <c r="J212" t="s">
        <v>2250</v>
      </c>
      <c r="K212">
        <v>0</v>
      </c>
      <c r="M212">
        <v>11</v>
      </c>
    </row>
    <row r="213" spans="1:13">
      <c r="A213" t="s">
        <v>2490</v>
      </c>
      <c r="B213" t="s">
        <v>2490</v>
      </c>
      <c r="C213" t="s">
        <v>1442</v>
      </c>
      <c r="D213" t="s">
        <v>2491</v>
      </c>
      <c r="E213">
        <v>1</v>
      </c>
      <c r="G213">
        <v>495</v>
      </c>
      <c r="H213" t="s">
        <v>2492</v>
      </c>
      <c r="I213">
        <v>25</v>
      </c>
      <c r="J213" t="s">
        <v>1905</v>
      </c>
      <c r="K213">
        <v>0</v>
      </c>
      <c r="M213">
        <v>9</v>
      </c>
    </row>
    <row r="214" spans="1:13">
      <c r="A214" t="s">
        <v>2493</v>
      </c>
      <c r="B214" t="s">
        <v>2493</v>
      </c>
      <c r="C214" t="s">
        <v>528</v>
      </c>
      <c r="D214" t="s">
        <v>2494</v>
      </c>
      <c r="E214">
        <v>1</v>
      </c>
      <c r="G214">
        <v>9.6999999999999993</v>
      </c>
      <c r="H214" t="s">
        <v>2495</v>
      </c>
      <c r="I214">
        <v>14</v>
      </c>
      <c r="J214" t="s">
        <v>1901</v>
      </c>
      <c r="K214">
        <v>0</v>
      </c>
      <c r="M214">
        <v>7</v>
      </c>
    </row>
    <row r="215" spans="1:13">
      <c r="A215" t="s">
        <v>2496</v>
      </c>
      <c r="B215" t="s">
        <v>2496</v>
      </c>
      <c r="C215" t="s">
        <v>1443</v>
      </c>
      <c r="D215" t="s">
        <v>2497</v>
      </c>
      <c r="E215">
        <v>1</v>
      </c>
      <c r="G215">
        <v>11.1</v>
      </c>
      <c r="H215" t="s">
        <v>2498</v>
      </c>
      <c r="I215">
        <v>15</v>
      </c>
      <c r="J215" t="s">
        <v>1909</v>
      </c>
      <c r="K215">
        <v>0</v>
      </c>
      <c r="M215">
        <v>15</v>
      </c>
    </row>
    <row r="216" spans="1:13">
      <c r="A216" t="s">
        <v>2499</v>
      </c>
      <c r="B216" t="s">
        <v>2499</v>
      </c>
      <c r="C216" t="s">
        <v>1444</v>
      </c>
      <c r="D216" t="s">
        <v>2500</v>
      </c>
      <c r="E216">
        <v>2</v>
      </c>
      <c r="G216">
        <v>574.79999999999995</v>
      </c>
      <c r="H216" t="s">
        <v>2501</v>
      </c>
      <c r="I216">
        <v>1</v>
      </c>
      <c r="J216" t="s">
        <v>1918</v>
      </c>
      <c r="K216">
        <v>2</v>
      </c>
      <c r="M216">
        <v>3</v>
      </c>
    </row>
    <row r="217" spans="1:13">
      <c r="A217" t="s">
        <v>2502</v>
      </c>
      <c r="B217" t="s">
        <v>2502</v>
      </c>
      <c r="C217" t="s">
        <v>1446</v>
      </c>
      <c r="D217" t="s">
        <v>2503</v>
      </c>
      <c r="E217">
        <v>1</v>
      </c>
      <c r="G217">
        <v>70.599999999999994</v>
      </c>
      <c r="H217" t="s">
        <v>2504</v>
      </c>
      <c r="I217">
        <v>19</v>
      </c>
      <c r="J217" t="s">
        <v>1982</v>
      </c>
      <c r="K217">
        <v>0</v>
      </c>
      <c r="M217">
        <v>3</v>
      </c>
    </row>
    <row r="218" spans="1:13">
      <c r="A218" t="s">
        <v>2505</v>
      </c>
      <c r="B218" t="s">
        <v>2505</v>
      </c>
      <c r="C218" t="s">
        <v>1447</v>
      </c>
      <c r="D218" t="s">
        <v>2506</v>
      </c>
      <c r="E218">
        <v>1</v>
      </c>
      <c r="G218">
        <v>7.3</v>
      </c>
      <c r="H218" t="s">
        <v>2507</v>
      </c>
      <c r="I218">
        <v>1</v>
      </c>
      <c r="J218" t="s">
        <v>1918</v>
      </c>
      <c r="K218">
        <v>0</v>
      </c>
      <c r="M218">
        <v>5</v>
      </c>
    </row>
    <row r="219" spans="1:13">
      <c r="A219" t="s">
        <v>2508</v>
      </c>
      <c r="B219" t="s">
        <v>2508</v>
      </c>
      <c r="C219" t="s">
        <v>1448</v>
      </c>
      <c r="E219">
        <v>2</v>
      </c>
      <c r="G219">
        <v>72.5</v>
      </c>
      <c r="H219" t="s">
        <v>2509</v>
      </c>
      <c r="I219">
        <v>17</v>
      </c>
      <c r="J219" t="s">
        <v>2093</v>
      </c>
      <c r="K219">
        <v>0</v>
      </c>
      <c r="M219">
        <v>3</v>
      </c>
    </row>
    <row r="220" spans="1:13">
      <c r="A220" t="s">
        <v>2510</v>
      </c>
      <c r="B220" t="s">
        <v>2510</v>
      </c>
      <c r="C220" t="s">
        <v>1449</v>
      </c>
      <c r="D220" t="s">
        <v>2511</v>
      </c>
      <c r="E220">
        <v>1</v>
      </c>
      <c r="G220">
        <v>597</v>
      </c>
      <c r="H220" t="s">
        <v>2512</v>
      </c>
      <c r="I220">
        <v>25</v>
      </c>
      <c r="J220" t="s">
        <v>1905</v>
      </c>
      <c r="K220">
        <v>0</v>
      </c>
      <c r="M220">
        <v>8</v>
      </c>
    </row>
    <row r="221" spans="1:13">
      <c r="A221" t="s">
        <v>2513</v>
      </c>
      <c r="B221" t="s">
        <v>2513</v>
      </c>
      <c r="C221" t="s">
        <v>1450</v>
      </c>
      <c r="D221" t="s">
        <v>2514</v>
      </c>
      <c r="E221">
        <v>1</v>
      </c>
      <c r="G221">
        <v>6.6</v>
      </c>
      <c r="H221" t="s">
        <v>2515</v>
      </c>
      <c r="I221">
        <v>1</v>
      </c>
      <c r="J221" t="s">
        <v>1918</v>
      </c>
      <c r="K221">
        <v>2</v>
      </c>
      <c r="M221">
        <v>6</v>
      </c>
    </row>
    <row r="222" spans="1:13">
      <c r="A222" t="s">
        <v>2516</v>
      </c>
      <c r="B222" t="s">
        <v>2516</v>
      </c>
      <c r="C222" t="s">
        <v>1451</v>
      </c>
      <c r="D222" t="s">
        <v>2517</v>
      </c>
      <c r="E222">
        <v>1</v>
      </c>
      <c r="G222">
        <v>8.3000000000000007</v>
      </c>
      <c r="H222" t="s">
        <v>2518</v>
      </c>
      <c r="I222">
        <v>1</v>
      </c>
      <c r="J222" t="s">
        <v>1918</v>
      </c>
      <c r="K222">
        <v>2</v>
      </c>
      <c r="M222">
        <v>6</v>
      </c>
    </row>
    <row r="223" spans="1:13">
      <c r="A223" t="s">
        <v>2519</v>
      </c>
      <c r="B223" t="s">
        <v>2519</v>
      </c>
      <c r="C223" t="s">
        <v>1452</v>
      </c>
      <c r="D223" t="s">
        <v>2520</v>
      </c>
      <c r="E223">
        <v>1</v>
      </c>
      <c r="G223">
        <v>6.6</v>
      </c>
      <c r="H223" t="s">
        <v>2521</v>
      </c>
      <c r="I223">
        <v>1</v>
      </c>
      <c r="J223" t="s">
        <v>1918</v>
      </c>
      <c r="K223">
        <v>0</v>
      </c>
      <c r="M223">
        <v>5</v>
      </c>
    </row>
    <row r="224" spans="1:13">
      <c r="A224" t="s">
        <v>2522</v>
      </c>
      <c r="B224" t="s">
        <v>2522</v>
      </c>
      <c r="C224" t="s">
        <v>1453</v>
      </c>
      <c r="D224" t="s">
        <v>2523</v>
      </c>
      <c r="E224">
        <v>1</v>
      </c>
      <c r="G224">
        <v>236</v>
      </c>
      <c r="H224" t="s">
        <v>2524</v>
      </c>
      <c r="I224">
        <v>25</v>
      </c>
      <c r="J224" t="s">
        <v>1905</v>
      </c>
      <c r="K224">
        <v>0</v>
      </c>
      <c r="M224">
        <v>8</v>
      </c>
    </row>
    <row r="225" spans="1:13">
      <c r="A225" t="s">
        <v>2525</v>
      </c>
      <c r="B225" t="s">
        <v>2525</v>
      </c>
      <c r="C225" t="s">
        <v>1453</v>
      </c>
      <c r="D225" t="s">
        <v>2526</v>
      </c>
      <c r="E225">
        <v>1</v>
      </c>
      <c r="G225">
        <v>236</v>
      </c>
      <c r="H225" t="s">
        <v>2524</v>
      </c>
      <c r="I225">
        <v>25</v>
      </c>
      <c r="J225" t="s">
        <v>1905</v>
      </c>
      <c r="K225">
        <v>0</v>
      </c>
      <c r="M225">
        <v>8</v>
      </c>
    </row>
    <row r="226" spans="1:13">
      <c r="A226" t="s">
        <v>2527</v>
      </c>
      <c r="B226" t="s">
        <v>2527</v>
      </c>
      <c r="C226" t="s">
        <v>1454</v>
      </c>
      <c r="D226" t="s">
        <v>2528</v>
      </c>
      <c r="E226">
        <v>1</v>
      </c>
      <c r="G226">
        <v>212</v>
      </c>
      <c r="H226" t="s">
        <v>2529</v>
      </c>
      <c r="I226">
        <v>25</v>
      </c>
      <c r="J226" t="s">
        <v>1905</v>
      </c>
      <c r="K226">
        <v>0</v>
      </c>
      <c r="M226">
        <v>9</v>
      </c>
    </row>
    <row r="227" spans="1:13">
      <c r="A227" t="s">
        <v>2530</v>
      </c>
      <c r="B227" t="s">
        <v>2530</v>
      </c>
      <c r="C227" t="s">
        <v>1455</v>
      </c>
      <c r="E227">
        <v>1</v>
      </c>
      <c r="G227">
        <v>100</v>
      </c>
      <c r="H227" t="s">
        <v>2531</v>
      </c>
      <c r="I227">
        <v>25</v>
      </c>
      <c r="J227" t="s">
        <v>1905</v>
      </c>
      <c r="K227">
        <v>0</v>
      </c>
      <c r="M227">
        <v>8</v>
      </c>
    </row>
    <row r="228" spans="1:13">
      <c r="A228" t="s">
        <v>2532</v>
      </c>
      <c r="B228" t="s">
        <v>2532</v>
      </c>
      <c r="C228" t="s">
        <v>1456</v>
      </c>
      <c r="D228" t="s">
        <v>2533</v>
      </c>
      <c r="E228">
        <v>1</v>
      </c>
      <c r="G228">
        <v>147</v>
      </c>
      <c r="H228" t="s">
        <v>2534</v>
      </c>
      <c r="I228">
        <v>25</v>
      </c>
      <c r="J228" t="s">
        <v>1905</v>
      </c>
      <c r="K228">
        <v>0</v>
      </c>
      <c r="M228">
        <v>9</v>
      </c>
    </row>
    <row r="229" spans="1:13">
      <c r="A229" t="s">
        <v>2535</v>
      </c>
      <c r="B229" t="s">
        <v>2535</v>
      </c>
      <c r="C229" t="s">
        <v>1456</v>
      </c>
      <c r="E229">
        <v>1</v>
      </c>
      <c r="G229">
        <v>100</v>
      </c>
      <c r="H229" t="s">
        <v>2536</v>
      </c>
      <c r="I229">
        <v>25</v>
      </c>
      <c r="J229" t="s">
        <v>1905</v>
      </c>
      <c r="K229">
        <v>0</v>
      </c>
      <c r="M229">
        <v>8</v>
      </c>
    </row>
    <row r="230" spans="1:13">
      <c r="A230" t="s">
        <v>2537</v>
      </c>
      <c r="B230" t="s">
        <v>2537</v>
      </c>
      <c r="C230" t="s">
        <v>1457</v>
      </c>
      <c r="D230" t="s">
        <v>2538</v>
      </c>
      <c r="E230">
        <v>1</v>
      </c>
      <c r="G230">
        <v>15.5</v>
      </c>
      <c r="H230" t="s">
        <v>2539</v>
      </c>
      <c r="I230">
        <v>1</v>
      </c>
      <c r="J230" t="s">
        <v>1918</v>
      </c>
      <c r="K230">
        <v>2</v>
      </c>
      <c r="M230">
        <v>6</v>
      </c>
    </row>
    <row r="231" spans="1:13">
      <c r="A231" t="s">
        <v>2540</v>
      </c>
      <c r="B231" t="s">
        <v>2540</v>
      </c>
      <c r="C231" t="s">
        <v>557</v>
      </c>
      <c r="D231" t="s">
        <v>2541</v>
      </c>
      <c r="E231">
        <v>1</v>
      </c>
      <c r="G231">
        <v>5.9</v>
      </c>
      <c r="H231" t="s">
        <v>2542</v>
      </c>
      <c r="I231">
        <v>1</v>
      </c>
      <c r="J231" t="s">
        <v>1918</v>
      </c>
      <c r="K231">
        <v>0</v>
      </c>
      <c r="M231">
        <v>5</v>
      </c>
    </row>
    <row r="232" spans="1:13">
      <c r="A232" t="s">
        <v>2543</v>
      </c>
      <c r="B232" t="s">
        <v>2543</v>
      </c>
      <c r="C232" t="s">
        <v>558</v>
      </c>
      <c r="D232" t="s">
        <v>2544</v>
      </c>
      <c r="E232">
        <v>1</v>
      </c>
      <c r="G232">
        <v>6</v>
      </c>
      <c r="H232" t="s">
        <v>2545</v>
      </c>
      <c r="I232">
        <v>1</v>
      </c>
      <c r="J232" t="s">
        <v>1918</v>
      </c>
      <c r="K232">
        <v>0</v>
      </c>
      <c r="M232">
        <v>1</v>
      </c>
    </row>
    <row r="233" spans="1:13">
      <c r="A233" t="s">
        <v>2546</v>
      </c>
      <c r="B233" t="s">
        <v>2546</v>
      </c>
      <c r="C233" t="s">
        <v>1458</v>
      </c>
      <c r="E233">
        <v>2</v>
      </c>
      <c r="G233">
        <v>13.4</v>
      </c>
      <c r="H233" t="s">
        <v>2547</v>
      </c>
      <c r="I233">
        <v>4</v>
      </c>
      <c r="J233" t="s">
        <v>2202</v>
      </c>
      <c r="K233">
        <v>2</v>
      </c>
      <c r="M233">
        <v>3</v>
      </c>
    </row>
    <row r="234" spans="1:13">
      <c r="A234" t="s">
        <v>2548</v>
      </c>
      <c r="B234" t="s">
        <v>2548</v>
      </c>
      <c r="C234" t="s">
        <v>1459</v>
      </c>
      <c r="D234" t="s">
        <v>2549</v>
      </c>
      <c r="E234">
        <v>1</v>
      </c>
      <c r="G234">
        <v>522</v>
      </c>
      <c r="H234" t="s">
        <v>2550</v>
      </c>
      <c r="I234">
        <v>25</v>
      </c>
      <c r="J234" t="s">
        <v>1905</v>
      </c>
      <c r="K234">
        <v>0</v>
      </c>
      <c r="M234">
        <v>8</v>
      </c>
    </row>
    <row r="235" spans="1:13">
      <c r="A235" t="s">
        <v>2551</v>
      </c>
      <c r="B235" t="s">
        <v>2551</v>
      </c>
      <c r="C235" t="s">
        <v>1460</v>
      </c>
      <c r="E235">
        <v>1</v>
      </c>
      <c r="G235">
        <v>686</v>
      </c>
      <c r="H235" t="s">
        <v>2552</v>
      </c>
      <c r="I235">
        <v>25</v>
      </c>
      <c r="J235" t="s">
        <v>1905</v>
      </c>
      <c r="K235">
        <v>0</v>
      </c>
      <c r="M235">
        <v>8</v>
      </c>
    </row>
    <row r="236" spans="1:13">
      <c r="A236" t="s">
        <v>2553</v>
      </c>
      <c r="B236" t="s">
        <v>2553</v>
      </c>
      <c r="C236" t="s">
        <v>1461</v>
      </c>
      <c r="D236" t="s">
        <v>2554</v>
      </c>
      <c r="E236">
        <v>1</v>
      </c>
      <c r="G236">
        <v>422</v>
      </c>
      <c r="H236" t="s">
        <v>2555</v>
      </c>
      <c r="I236">
        <v>25</v>
      </c>
      <c r="J236" t="s">
        <v>1905</v>
      </c>
      <c r="K236">
        <v>0</v>
      </c>
      <c r="M236">
        <v>8</v>
      </c>
    </row>
    <row r="237" spans="1:13">
      <c r="A237" t="s">
        <v>2556</v>
      </c>
      <c r="B237" t="s">
        <v>2556</v>
      </c>
      <c r="C237" t="s">
        <v>1462</v>
      </c>
      <c r="D237" t="s">
        <v>2557</v>
      </c>
      <c r="E237">
        <v>1</v>
      </c>
      <c r="G237">
        <v>17160</v>
      </c>
      <c r="H237" t="s">
        <v>2558</v>
      </c>
      <c r="I237">
        <v>25</v>
      </c>
      <c r="J237" t="s">
        <v>1905</v>
      </c>
      <c r="K237">
        <v>2</v>
      </c>
      <c r="M237">
        <v>9</v>
      </c>
    </row>
    <row r="238" spans="1:13">
      <c r="A238" t="s">
        <v>2559</v>
      </c>
      <c r="B238" t="s">
        <v>2559</v>
      </c>
      <c r="C238" t="s">
        <v>1463</v>
      </c>
      <c r="D238" t="s">
        <v>2560</v>
      </c>
      <c r="E238">
        <v>1</v>
      </c>
      <c r="G238">
        <v>27994</v>
      </c>
      <c r="H238" t="s">
        <v>2561</v>
      </c>
      <c r="I238">
        <v>25</v>
      </c>
      <c r="J238" t="s">
        <v>1905</v>
      </c>
      <c r="K238">
        <v>2</v>
      </c>
      <c r="M238">
        <v>9</v>
      </c>
    </row>
    <row r="239" spans="1:13">
      <c r="A239" t="s">
        <v>2562</v>
      </c>
      <c r="B239" t="s">
        <v>2562</v>
      </c>
      <c r="C239" t="s">
        <v>1464</v>
      </c>
      <c r="D239" t="s">
        <v>2563</v>
      </c>
      <c r="E239">
        <v>1</v>
      </c>
      <c r="G239">
        <v>36826</v>
      </c>
      <c r="H239" t="s">
        <v>2564</v>
      </c>
      <c r="I239">
        <v>25</v>
      </c>
      <c r="J239" t="s">
        <v>1905</v>
      </c>
      <c r="K239">
        <v>2</v>
      </c>
      <c r="M239">
        <v>9</v>
      </c>
    </row>
    <row r="240" spans="1:13">
      <c r="A240" t="s">
        <v>2565</v>
      </c>
      <c r="B240" t="s">
        <v>2565</v>
      </c>
      <c r="C240" t="s">
        <v>1465</v>
      </c>
      <c r="D240" t="s">
        <v>2566</v>
      </c>
      <c r="E240">
        <v>1</v>
      </c>
      <c r="G240">
        <v>44680</v>
      </c>
      <c r="H240" t="s">
        <v>2567</v>
      </c>
      <c r="I240">
        <v>25</v>
      </c>
      <c r="J240" t="s">
        <v>1905</v>
      </c>
      <c r="K240">
        <v>2</v>
      </c>
      <c r="M240">
        <v>9</v>
      </c>
    </row>
    <row r="241" spans="1:13">
      <c r="A241" t="s">
        <v>2568</v>
      </c>
      <c r="B241" t="s">
        <v>2568</v>
      </c>
      <c r="C241" t="s">
        <v>1466</v>
      </c>
      <c r="D241" t="s">
        <v>2569</v>
      </c>
      <c r="E241">
        <v>1</v>
      </c>
      <c r="G241">
        <v>57335</v>
      </c>
      <c r="H241" t="s">
        <v>2570</v>
      </c>
      <c r="I241">
        <v>25</v>
      </c>
      <c r="J241" t="s">
        <v>1905</v>
      </c>
      <c r="K241">
        <v>2</v>
      </c>
      <c r="M241">
        <v>9</v>
      </c>
    </row>
    <row r="242" spans="1:13">
      <c r="A242" t="s">
        <v>2571</v>
      </c>
      <c r="B242" t="s">
        <v>2571</v>
      </c>
      <c r="C242" t="s">
        <v>1467</v>
      </c>
      <c r="D242" t="s">
        <v>2572</v>
      </c>
      <c r="E242">
        <v>2</v>
      </c>
      <c r="G242">
        <v>40.200000000000003</v>
      </c>
      <c r="H242" t="s">
        <v>2573</v>
      </c>
      <c r="I242">
        <v>1</v>
      </c>
      <c r="J242" t="s">
        <v>1918</v>
      </c>
      <c r="K242">
        <v>0</v>
      </c>
      <c r="M242">
        <v>3</v>
      </c>
    </row>
    <row r="243" spans="1:13">
      <c r="A243" t="s">
        <v>2574</v>
      </c>
      <c r="B243" t="s">
        <v>2574</v>
      </c>
      <c r="C243" t="s">
        <v>1468</v>
      </c>
      <c r="E243">
        <v>1</v>
      </c>
      <c r="G243">
        <v>14.4</v>
      </c>
      <c r="H243" t="s">
        <v>2575</v>
      </c>
      <c r="I243">
        <v>1</v>
      </c>
      <c r="J243" t="s">
        <v>1918</v>
      </c>
      <c r="K243">
        <v>2</v>
      </c>
      <c r="M243">
        <v>6</v>
      </c>
    </row>
    <row r="244" spans="1:13">
      <c r="A244" t="s">
        <v>2576</v>
      </c>
      <c r="B244" t="s">
        <v>2576</v>
      </c>
      <c r="C244" t="s">
        <v>1469</v>
      </c>
      <c r="D244" t="s">
        <v>2577</v>
      </c>
      <c r="E244">
        <v>1</v>
      </c>
      <c r="G244">
        <v>6.1</v>
      </c>
      <c r="H244" t="s">
        <v>2578</v>
      </c>
      <c r="I244">
        <v>1</v>
      </c>
      <c r="J244" t="s">
        <v>1918</v>
      </c>
      <c r="K244">
        <v>2</v>
      </c>
      <c r="M244">
        <v>6</v>
      </c>
    </row>
    <row r="245" spans="1:13">
      <c r="A245" t="s">
        <v>2579</v>
      </c>
      <c r="B245" t="s">
        <v>2579</v>
      </c>
      <c r="C245" t="s">
        <v>575</v>
      </c>
      <c r="D245" t="s">
        <v>2580</v>
      </c>
      <c r="E245">
        <v>1</v>
      </c>
      <c r="G245">
        <v>8</v>
      </c>
      <c r="H245" t="s">
        <v>2581</v>
      </c>
      <c r="I245">
        <v>1</v>
      </c>
      <c r="J245" t="s">
        <v>1918</v>
      </c>
      <c r="K245">
        <v>0</v>
      </c>
      <c r="M245">
        <v>5</v>
      </c>
    </row>
    <row r="246" spans="1:13">
      <c r="A246" t="s">
        <v>2582</v>
      </c>
      <c r="B246" t="s">
        <v>2582</v>
      </c>
      <c r="C246" t="s">
        <v>1470</v>
      </c>
      <c r="E246">
        <v>1</v>
      </c>
      <c r="G246">
        <v>36.700000000000003</v>
      </c>
      <c r="H246" t="s">
        <v>2583</v>
      </c>
      <c r="I246">
        <v>5</v>
      </c>
      <c r="J246" t="s">
        <v>2584</v>
      </c>
      <c r="K246">
        <v>0</v>
      </c>
      <c r="M246">
        <v>2</v>
      </c>
    </row>
    <row r="247" spans="1:13">
      <c r="A247" t="s">
        <v>2585</v>
      </c>
      <c r="B247" t="s">
        <v>2585</v>
      </c>
      <c r="C247" t="s">
        <v>578</v>
      </c>
      <c r="D247" t="s">
        <v>2586</v>
      </c>
      <c r="E247">
        <v>1</v>
      </c>
      <c r="G247">
        <v>100</v>
      </c>
      <c r="H247" t="s">
        <v>2587</v>
      </c>
      <c r="I247">
        <v>25</v>
      </c>
      <c r="J247" t="s">
        <v>1905</v>
      </c>
      <c r="K247">
        <v>2</v>
      </c>
      <c r="M247">
        <v>5</v>
      </c>
    </row>
    <row r="248" spans="1:13">
      <c r="A248" t="s">
        <v>2588</v>
      </c>
      <c r="B248" t="s">
        <v>2588</v>
      </c>
      <c r="C248" t="s">
        <v>580</v>
      </c>
      <c r="D248" t="s">
        <v>2589</v>
      </c>
      <c r="E248">
        <v>1</v>
      </c>
      <c r="G248">
        <v>15.1</v>
      </c>
      <c r="H248" t="s">
        <v>2590</v>
      </c>
      <c r="I248">
        <v>7</v>
      </c>
      <c r="J248" t="s">
        <v>2145</v>
      </c>
      <c r="K248">
        <v>2</v>
      </c>
      <c r="M248">
        <v>13</v>
      </c>
    </row>
    <row r="249" spans="1:13">
      <c r="A249" t="s">
        <v>2591</v>
      </c>
      <c r="B249" t="s">
        <v>2591</v>
      </c>
      <c r="C249" t="s">
        <v>1471</v>
      </c>
      <c r="E249">
        <v>1</v>
      </c>
      <c r="G249">
        <v>5.3</v>
      </c>
      <c r="H249" t="s">
        <v>2592</v>
      </c>
      <c r="I249">
        <v>1</v>
      </c>
      <c r="J249" t="s">
        <v>1918</v>
      </c>
      <c r="K249">
        <v>0</v>
      </c>
      <c r="M249">
        <v>5</v>
      </c>
    </row>
    <row r="250" spans="1:13">
      <c r="A250" t="s">
        <v>2593</v>
      </c>
      <c r="B250" t="s">
        <v>2593</v>
      </c>
      <c r="C250" t="s">
        <v>1472</v>
      </c>
      <c r="D250" t="s">
        <v>2594</v>
      </c>
      <c r="E250">
        <v>1</v>
      </c>
      <c r="G250">
        <v>7.7</v>
      </c>
      <c r="H250" t="s">
        <v>2595</v>
      </c>
      <c r="I250">
        <v>3</v>
      </c>
      <c r="J250" t="s">
        <v>1941</v>
      </c>
      <c r="K250">
        <v>0</v>
      </c>
      <c r="M250">
        <v>2</v>
      </c>
    </row>
    <row r="251" spans="1:13">
      <c r="A251" t="s">
        <v>2596</v>
      </c>
      <c r="B251" t="s">
        <v>2596</v>
      </c>
      <c r="C251" t="s">
        <v>1473</v>
      </c>
      <c r="D251" t="s">
        <v>2597</v>
      </c>
      <c r="E251">
        <v>1</v>
      </c>
      <c r="G251">
        <v>1144</v>
      </c>
      <c r="H251" t="s">
        <v>2598</v>
      </c>
      <c r="I251">
        <v>25</v>
      </c>
      <c r="J251" t="s">
        <v>1905</v>
      </c>
      <c r="K251">
        <v>0</v>
      </c>
      <c r="M251">
        <v>8</v>
      </c>
    </row>
    <row r="252" spans="1:13">
      <c r="A252" t="s">
        <v>2599</v>
      </c>
      <c r="B252" t="s">
        <v>2599</v>
      </c>
      <c r="C252" t="s">
        <v>1474</v>
      </c>
      <c r="E252">
        <v>2</v>
      </c>
      <c r="G252">
        <v>60.3</v>
      </c>
      <c r="H252" t="s">
        <v>2600</v>
      </c>
      <c r="I252">
        <v>1</v>
      </c>
      <c r="J252" t="s">
        <v>1918</v>
      </c>
      <c r="K252">
        <v>0</v>
      </c>
      <c r="M252">
        <v>15</v>
      </c>
    </row>
    <row r="253" spans="1:13">
      <c r="A253" t="s">
        <v>2601</v>
      </c>
      <c r="B253" t="s">
        <v>2601</v>
      </c>
      <c r="C253" t="s">
        <v>1475</v>
      </c>
      <c r="D253" t="s">
        <v>2602</v>
      </c>
      <c r="E253">
        <v>1</v>
      </c>
      <c r="G253">
        <v>11.7</v>
      </c>
      <c r="H253" t="s">
        <v>2603</v>
      </c>
      <c r="I253">
        <v>1</v>
      </c>
      <c r="J253" t="s">
        <v>1918</v>
      </c>
      <c r="K253">
        <v>2</v>
      </c>
      <c r="M253">
        <v>6</v>
      </c>
    </row>
    <row r="254" spans="1:13">
      <c r="A254" t="s">
        <v>2604</v>
      </c>
      <c r="B254" t="s">
        <v>2604</v>
      </c>
      <c r="C254" t="s">
        <v>1476</v>
      </c>
      <c r="E254">
        <v>1</v>
      </c>
      <c r="G254">
        <v>275</v>
      </c>
      <c r="H254" t="s">
        <v>2605</v>
      </c>
      <c r="I254">
        <v>1</v>
      </c>
      <c r="J254" t="s">
        <v>1918</v>
      </c>
      <c r="K254">
        <v>2</v>
      </c>
      <c r="M254">
        <v>6</v>
      </c>
    </row>
    <row r="255" spans="1:13">
      <c r="A255" t="s">
        <v>2606</v>
      </c>
      <c r="B255" t="s">
        <v>2606</v>
      </c>
      <c r="C255" t="s">
        <v>594</v>
      </c>
      <c r="D255" t="s">
        <v>2607</v>
      </c>
      <c r="E255">
        <v>1</v>
      </c>
      <c r="G255">
        <v>6.7</v>
      </c>
      <c r="H255" t="s">
        <v>2608</v>
      </c>
      <c r="I255">
        <v>1</v>
      </c>
      <c r="J255" t="s">
        <v>1918</v>
      </c>
      <c r="K255">
        <v>0</v>
      </c>
      <c r="M255">
        <v>5</v>
      </c>
    </row>
    <row r="256" spans="1:13">
      <c r="A256" t="s">
        <v>2609</v>
      </c>
      <c r="B256" t="s">
        <v>2609</v>
      </c>
      <c r="C256" t="s">
        <v>1477</v>
      </c>
      <c r="D256" t="s">
        <v>2610</v>
      </c>
      <c r="E256">
        <v>1</v>
      </c>
      <c r="G256">
        <v>2438.8000000000002</v>
      </c>
      <c r="H256" t="s">
        <v>2611</v>
      </c>
      <c r="I256">
        <v>1</v>
      </c>
      <c r="J256" t="s">
        <v>1918</v>
      </c>
      <c r="K256">
        <v>0</v>
      </c>
      <c r="M256">
        <v>1</v>
      </c>
    </row>
    <row r="257" spans="1:13">
      <c r="A257" t="s">
        <v>2612</v>
      </c>
      <c r="B257" t="s">
        <v>2612</v>
      </c>
      <c r="C257" t="s">
        <v>1478</v>
      </c>
      <c r="D257" t="s">
        <v>2613</v>
      </c>
      <c r="E257">
        <v>1</v>
      </c>
      <c r="G257">
        <v>6.1</v>
      </c>
      <c r="H257" t="s">
        <v>2614</v>
      </c>
      <c r="I257">
        <v>1</v>
      </c>
      <c r="J257" t="s">
        <v>1918</v>
      </c>
      <c r="K257">
        <v>0</v>
      </c>
      <c r="M257">
        <v>1</v>
      </c>
    </row>
    <row r="258" spans="1:13">
      <c r="A258" t="s">
        <v>2615</v>
      </c>
      <c r="B258" t="s">
        <v>2615</v>
      </c>
      <c r="C258" t="s">
        <v>1479</v>
      </c>
      <c r="D258" t="s">
        <v>2616</v>
      </c>
      <c r="E258">
        <v>1</v>
      </c>
      <c r="G258">
        <v>7.6</v>
      </c>
      <c r="H258" t="s">
        <v>2617</v>
      </c>
      <c r="I258">
        <v>1</v>
      </c>
      <c r="J258" t="s">
        <v>1918</v>
      </c>
      <c r="K258">
        <v>0</v>
      </c>
      <c r="M258">
        <v>1</v>
      </c>
    </row>
    <row r="259" spans="1:13">
      <c r="A259" t="s">
        <v>2618</v>
      </c>
      <c r="B259" t="s">
        <v>2618</v>
      </c>
      <c r="C259" t="s">
        <v>1480</v>
      </c>
      <c r="E259">
        <v>1</v>
      </c>
      <c r="G259">
        <v>33</v>
      </c>
      <c r="H259" t="s">
        <v>2619</v>
      </c>
      <c r="I259">
        <v>1</v>
      </c>
      <c r="J259" t="s">
        <v>1918</v>
      </c>
      <c r="K259">
        <v>0</v>
      </c>
      <c r="M259">
        <v>1</v>
      </c>
    </row>
    <row r="260" spans="1:13">
      <c r="A260" t="s">
        <v>2620</v>
      </c>
      <c r="B260" t="s">
        <v>2620</v>
      </c>
      <c r="C260" t="s">
        <v>1481</v>
      </c>
      <c r="E260">
        <v>2</v>
      </c>
      <c r="G260">
        <v>216</v>
      </c>
      <c r="H260" t="s">
        <v>2621</v>
      </c>
      <c r="I260">
        <v>25</v>
      </c>
      <c r="J260" t="s">
        <v>1905</v>
      </c>
      <c r="K260">
        <v>2</v>
      </c>
      <c r="M260">
        <v>9</v>
      </c>
    </row>
    <row r="261" spans="1:13">
      <c r="A261" t="s">
        <v>2622</v>
      </c>
      <c r="B261" t="s">
        <v>2622</v>
      </c>
      <c r="C261" t="s">
        <v>1482</v>
      </c>
      <c r="D261" t="s">
        <v>2623</v>
      </c>
      <c r="E261">
        <v>1</v>
      </c>
      <c r="G261">
        <v>184</v>
      </c>
      <c r="H261" t="s">
        <v>2624</v>
      </c>
      <c r="I261">
        <v>25</v>
      </c>
      <c r="J261" t="s">
        <v>1905</v>
      </c>
      <c r="K261">
        <v>0</v>
      </c>
      <c r="M261">
        <v>10</v>
      </c>
    </row>
    <row r="262" spans="1:13">
      <c r="A262" t="s">
        <v>2625</v>
      </c>
      <c r="B262" t="s">
        <v>2625</v>
      </c>
      <c r="C262" t="s">
        <v>1482</v>
      </c>
      <c r="D262" t="s">
        <v>2626</v>
      </c>
      <c r="E262">
        <v>1</v>
      </c>
      <c r="G262">
        <v>145</v>
      </c>
      <c r="H262" t="s">
        <v>2624</v>
      </c>
      <c r="I262">
        <v>25</v>
      </c>
      <c r="J262" t="s">
        <v>1905</v>
      </c>
      <c r="K262">
        <v>0</v>
      </c>
      <c r="M262">
        <v>10</v>
      </c>
    </row>
    <row r="263" spans="1:13">
      <c r="A263" t="s">
        <v>2627</v>
      </c>
      <c r="B263" t="s">
        <v>2627</v>
      </c>
      <c r="C263" t="s">
        <v>607</v>
      </c>
      <c r="D263" t="s">
        <v>2628</v>
      </c>
      <c r="E263">
        <v>1</v>
      </c>
      <c r="G263">
        <v>50.7</v>
      </c>
      <c r="H263" t="s">
        <v>2629</v>
      </c>
      <c r="I263">
        <v>12</v>
      </c>
      <c r="J263" t="s">
        <v>2250</v>
      </c>
      <c r="K263">
        <v>0</v>
      </c>
      <c r="M263">
        <v>3</v>
      </c>
    </row>
    <row r="264" spans="1:13">
      <c r="A264" t="s">
        <v>2630</v>
      </c>
      <c r="B264" t="s">
        <v>2630</v>
      </c>
      <c r="C264" t="s">
        <v>609</v>
      </c>
      <c r="E264">
        <v>1</v>
      </c>
      <c r="G264">
        <v>61</v>
      </c>
      <c r="H264" t="s">
        <v>2631</v>
      </c>
      <c r="I264">
        <v>25</v>
      </c>
      <c r="J264" t="s">
        <v>1905</v>
      </c>
      <c r="K264">
        <v>0</v>
      </c>
      <c r="M264">
        <v>11</v>
      </c>
    </row>
    <row r="265" spans="1:13">
      <c r="A265" t="s">
        <v>2632</v>
      </c>
      <c r="B265" t="s">
        <v>2632</v>
      </c>
      <c r="C265" t="s">
        <v>612</v>
      </c>
      <c r="D265" t="s">
        <v>2633</v>
      </c>
      <c r="E265">
        <v>2</v>
      </c>
      <c r="G265">
        <v>15.1</v>
      </c>
      <c r="H265" t="s">
        <v>2634</v>
      </c>
      <c r="I265">
        <v>1</v>
      </c>
      <c r="J265" t="s">
        <v>1918</v>
      </c>
      <c r="K265">
        <v>0</v>
      </c>
      <c r="M265">
        <v>15</v>
      </c>
    </row>
    <row r="266" spans="1:13">
      <c r="A266" t="s">
        <v>2635</v>
      </c>
      <c r="B266" t="s">
        <v>2635</v>
      </c>
      <c r="C266" t="s">
        <v>1483</v>
      </c>
      <c r="E266">
        <v>2</v>
      </c>
      <c r="G266">
        <v>153.5</v>
      </c>
      <c r="H266" t="s">
        <v>2636</v>
      </c>
      <c r="I266">
        <v>2</v>
      </c>
      <c r="J266" t="s">
        <v>835</v>
      </c>
      <c r="K266">
        <v>2</v>
      </c>
      <c r="M266">
        <v>15</v>
      </c>
    </row>
    <row r="267" spans="1:13">
      <c r="A267" t="s">
        <v>2637</v>
      </c>
      <c r="B267" t="s">
        <v>2637</v>
      </c>
      <c r="C267" t="s">
        <v>1484</v>
      </c>
      <c r="E267">
        <v>1</v>
      </c>
      <c r="G267">
        <v>94.3</v>
      </c>
      <c r="H267" t="s">
        <v>2638</v>
      </c>
      <c r="I267">
        <v>1</v>
      </c>
      <c r="J267" t="s">
        <v>1918</v>
      </c>
      <c r="K267">
        <v>0</v>
      </c>
      <c r="M267">
        <v>5</v>
      </c>
    </row>
    <row r="268" spans="1:13">
      <c r="A268" t="s">
        <v>2639</v>
      </c>
      <c r="B268" t="s">
        <v>2639</v>
      </c>
      <c r="C268" t="s">
        <v>1485</v>
      </c>
      <c r="E268">
        <v>1</v>
      </c>
      <c r="G268">
        <v>141</v>
      </c>
      <c r="H268" t="s">
        <v>2640</v>
      </c>
      <c r="I268">
        <v>1</v>
      </c>
      <c r="J268" t="s">
        <v>1918</v>
      </c>
      <c r="K268">
        <v>0</v>
      </c>
      <c r="M268">
        <v>5</v>
      </c>
    </row>
    <row r="269" spans="1:13">
      <c r="A269" t="s">
        <v>2641</v>
      </c>
      <c r="B269" t="s">
        <v>2641</v>
      </c>
      <c r="C269" t="s">
        <v>1486</v>
      </c>
      <c r="D269" t="s">
        <v>2642</v>
      </c>
      <c r="E269">
        <v>1</v>
      </c>
      <c r="G269">
        <v>452</v>
      </c>
      <c r="H269" t="s">
        <v>2643</v>
      </c>
      <c r="I269">
        <v>25</v>
      </c>
      <c r="J269" t="s">
        <v>1905</v>
      </c>
      <c r="K269">
        <v>0</v>
      </c>
      <c r="M269">
        <v>9</v>
      </c>
    </row>
    <row r="270" spans="1:13">
      <c r="A270" t="s">
        <v>2644</v>
      </c>
      <c r="B270" t="s">
        <v>2644</v>
      </c>
      <c r="C270" t="s">
        <v>1487</v>
      </c>
      <c r="D270" t="s">
        <v>2645</v>
      </c>
      <c r="E270">
        <v>2</v>
      </c>
      <c r="G270">
        <v>7.2</v>
      </c>
      <c r="H270" t="s">
        <v>2646</v>
      </c>
      <c r="I270">
        <v>1</v>
      </c>
      <c r="J270" t="s">
        <v>1918</v>
      </c>
      <c r="K270">
        <v>0</v>
      </c>
      <c r="M270">
        <v>3</v>
      </c>
    </row>
    <row r="271" spans="1:13">
      <c r="A271" t="s">
        <v>2647</v>
      </c>
      <c r="B271" t="s">
        <v>2647</v>
      </c>
      <c r="C271" t="s">
        <v>1488</v>
      </c>
      <c r="D271" t="s">
        <v>2648</v>
      </c>
      <c r="E271">
        <v>2</v>
      </c>
      <c r="G271">
        <v>541.70000000000005</v>
      </c>
      <c r="H271" t="s">
        <v>2649</v>
      </c>
      <c r="I271">
        <v>21</v>
      </c>
      <c r="J271" t="s">
        <v>1948</v>
      </c>
      <c r="K271">
        <v>2</v>
      </c>
      <c r="M271">
        <v>11</v>
      </c>
    </row>
    <row r="272" spans="1:13">
      <c r="A272" t="s">
        <v>2650</v>
      </c>
      <c r="B272" t="s">
        <v>2650</v>
      </c>
      <c r="C272" t="s">
        <v>1489</v>
      </c>
      <c r="E272">
        <v>2</v>
      </c>
      <c r="G272">
        <v>157.4</v>
      </c>
      <c r="H272" t="s">
        <v>2651</v>
      </c>
      <c r="I272">
        <v>1</v>
      </c>
      <c r="J272" t="s">
        <v>1918</v>
      </c>
      <c r="K272">
        <v>2</v>
      </c>
      <c r="M272">
        <v>15</v>
      </c>
    </row>
    <row r="273" spans="1:13">
      <c r="A273" t="s">
        <v>2652</v>
      </c>
      <c r="B273" t="s">
        <v>2652</v>
      </c>
      <c r="C273" t="s">
        <v>1490</v>
      </c>
      <c r="D273" t="s">
        <v>2653</v>
      </c>
      <c r="E273">
        <v>1</v>
      </c>
      <c r="G273">
        <v>18.5</v>
      </c>
      <c r="H273" t="s">
        <v>2654</v>
      </c>
      <c r="I273">
        <v>1</v>
      </c>
      <c r="J273" t="s">
        <v>1918</v>
      </c>
      <c r="K273">
        <v>0</v>
      </c>
      <c r="M273">
        <v>5</v>
      </c>
    </row>
    <row r="274" spans="1:13">
      <c r="A274" t="s">
        <v>2655</v>
      </c>
      <c r="B274" t="s">
        <v>2655</v>
      </c>
      <c r="C274" t="s">
        <v>1491</v>
      </c>
      <c r="E274">
        <v>2</v>
      </c>
      <c r="G274">
        <v>23.8</v>
      </c>
      <c r="H274" t="s">
        <v>2656</v>
      </c>
      <c r="I274">
        <v>2</v>
      </c>
      <c r="J274" t="s">
        <v>835</v>
      </c>
      <c r="K274">
        <v>0</v>
      </c>
      <c r="M274">
        <v>15</v>
      </c>
    </row>
    <row r="275" spans="1:13">
      <c r="A275" t="s">
        <v>2657</v>
      </c>
      <c r="B275" t="s">
        <v>2657</v>
      </c>
      <c r="C275" t="s">
        <v>1492</v>
      </c>
      <c r="E275">
        <v>2</v>
      </c>
      <c r="G275">
        <v>92.5</v>
      </c>
      <c r="H275" t="s">
        <v>2658</v>
      </c>
      <c r="I275">
        <v>1</v>
      </c>
      <c r="J275" t="s">
        <v>1918</v>
      </c>
      <c r="K275">
        <v>0</v>
      </c>
      <c r="M275">
        <v>3</v>
      </c>
    </row>
    <row r="276" spans="1:13">
      <c r="A276" t="s">
        <v>2659</v>
      </c>
      <c r="B276" t="s">
        <v>2659</v>
      </c>
      <c r="C276" t="s">
        <v>1493</v>
      </c>
      <c r="D276" t="s">
        <v>2660</v>
      </c>
      <c r="E276">
        <v>1</v>
      </c>
      <c r="G276">
        <v>113.5</v>
      </c>
      <c r="H276" t="s">
        <v>2661</v>
      </c>
      <c r="I276">
        <v>14</v>
      </c>
      <c r="J276" t="s">
        <v>1901</v>
      </c>
      <c r="K276">
        <v>0</v>
      </c>
      <c r="M276">
        <v>3</v>
      </c>
    </row>
    <row r="277" spans="1:13">
      <c r="A277" t="s">
        <v>2662</v>
      </c>
      <c r="B277" t="s">
        <v>2662</v>
      </c>
      <c r="C277" t="s">
        <v>1494</v>
      </c>
      <c r="D277" t="s">
        <v>2663</v>
      </c>
      <c r="E277">
        <v>1</v>
      </c>
      <c r="G277">
        <v>111.2</v>
      </c>
      <c r="H277" t="s">
        <v>2664</v>
      </c>
      <c r="I277">
        <v>22</v>
      </c>
      <c r="J277" t="s">
        <v>2665</v>
      </c>
      <c r="K277">
        <v>0</v>
      </c>
      <c r="M277">
        <v>3</v>
      </c>
    </row>
    <row r="278" spans="1:13">
      <c r="A278" t="s">
        <v>2666</v>
      </c>
      <c r="B278" t="s">
        <v>2666</v>
      </c>
      <c r="C278" t="s">
        <v>1495</v>
      </c>
      <c r="E278">
        <v>2</v>
      </c>
      <c r="G278">
        <v>6155</v>
      </c>
      <c r="H278" t="s">
        <v>2667</v>
      </c>
      <c r="I278">
        <v>25</v>
      </c>
      <c r="J278" t="s">
        <v>1905</v>
      </c>
      <c r="K278">
        <v>2</v>
      </c>
      <c r="M278">
        <v>11</v>
      </c>
    </row>
    <row r="279" spans="1:13">
      <c r="A279" t="s">
        <v>2668</v>
      </c>
      <c r="B279" t="s">
        <v>2668</v>
      </c>
      <c r="C279" t="s">
        <v>1496</v>
      </c>
      <c r="D279" t="s">
        <v>2669</v>
      </c>
      <c r="E279">
        <v>2</v>
      </c>
      <c r="G279">
        <v>1976</v>
      </c>
      <c r="H279" t="s">
        <v>2670</v>
      </c>
      <c r="I279">
        <v>25</v>
      </c>
      <c r="J279" t="s">
        <v>1905</v>
      </c>
      <c r="K279">
        <v>2</v>
      </c>
      <c r="M279">
        <v>15</v>
      </c>
    </row>
    <row r="280" spans="1:13">
      <c r="A280" t="s">
        <v>2671</v>
      </c>
      <c r="B280" t="s">
        <v>2671</v>
      </c>
      <c r="C280" t="s">
        <v>1497</v>
      </c>
      <c r="E280">
        <v>2</v>
      </c>
      <c r="G280">
        <v>3424</v>
      </c>
      <c r="H280" t="s">
        <v>2672</v>
      </c>
      <c r="I280">
        <v>25</v>
      </c>
      <c r="J280" t="s">
        <v>1905</v>
      </c>
      <c r="K280">
        <v>2</v>
      </c>
      <c r="M280">
        <v>15</v>
      </c>
    </row>
    <row r="281" spans="1:13">
      <c r="A281" t="s">
        <v>2673</v>
      </c>
      <c r="B281" t="s">
        <v>2673</v>
      </c>
      <c r="C281" t="s">
        <v>1498</v>
      </c>
      <c r="E281">
        <v>2</v>
      </c>
      <c r="G281">
        <v>1061</v>
      </c>
      <c r="H281" t="s">
        <v>2674</v>
      </c>
      <c r="I281">
        <v>25</v>
      </c>
      <c r="J281" t="s">
        <v>1905</v>
      </c>
      <c r="K281">
        <v>2</v>
      </c>
      <c r="M281">
        <v>15</v>
      </c>
    </row>
    <row r="282" spans="1:13">
      <c r="A282" t="s">
        <v>2675</v>
      </c>
      <c r="B282" t="s">
        <v>2675</v>
      </c>
      <c r="C282" t="s">
        <v>1499</v>
      </c>
      <c r="D282" t="s">
        <v>2676</v>
      </c>
      <c r="E282">
        <v>1</v>
      </c>
      <c r="G282">
        <v>0.77</v>
      </c>
      <c r="H282" t="s">
        <v>2677</v>
      </c>
      <c r="I282">
        <v>3</v>
      </c>
      <c r="J282" t="s">
        <v>1941</v>
      </c>
      <c r="K282">
        <v>0</v>
      </c>
      <c r="M282">
        <v>2</v>
      </c>
    </row>
    <row r="283" spans="1:13">
      <c r="A283" t="s">
        <v>2678</v>
      </c>
      <c r="B283" t="s">
        <v>2678</v>
      </c>
      <c r="C283" t="s">
        <v>1500</v>
      </c>
      <c r="E283">
        <v>1</v>
      </c>
      <c r="G283">
        <v>12.6</v>
      </c>
      <c r="H283" t="s">
        <v>2679</v>
      </c>
      <c r="I283">
        <v>1</v>
      </c>
      <c r="J283" t="s">
        <v>1918</v>
      </c>
      <c r="K283">
        <v>2</v>
      </c>
      <c r="M283">
        <v>6</v>
      </c>
    </row>
    <row r="284" spans="1:13">
      <c r="A284" t="s">
        <v>2680</v>
      </c>
      <c r="B284" t="s">
        <v>2680</v>
      </c>
      <c r="C284" t="s">
        <v>1501</v>
      </c>
      <c r="E284">
        <v>1</v>
      </c>
      <c r="G284">
        <v>8.9</v>
      </c>
      <c r="H284" t="s">
        <v>2681</v>
      </c>
      <c r="I284">
        <v>1</v>
      </c>
      <c r="J284" t="s">
        <v>1918</v>
      </c>
      <c r="K284">
        <v>2</v>
      </c>
      <c r="M284">
        <v>6</v>
      </c>
    </row>
    <row r="285" spans="1:13">
      <c r="A285" t="s">
        <v>2682</v>
      </c>
      <c r="B285" t="s">
        <v>2682</v>
      </c>
      <c r="C285" t="s">
        <v>1502</v>
      </c>
      <c r="D285" t="s">
        <v>2683</v>
      </c>
      <c r="E285">
        <v>1</v>
      </c>
      <c r="G285">
        <v>17.600000000000001</v>
      </c>
      <c r="H285" t="s">
        <v>2684</v>
      </c>
      <c r="I285">
        <v>2</v>
      </c>
      <c r="J285" t="s">
        <v>835</v>
      </c>
      <c r="K285">
        <v>0</v>
      </c>
      <c r="M285">
        <v>1</v>
      </c>
    </row>
    <row r="286" spans="1:13">
      <c r="A286" t="s">
        <v>2685</v>
      </c>
      <c r="B286" t="s">
        <v>2685</v>
      </c>
      <c r="C286" t="s">
        <v>1503</v>
      </c>
      <c r="D286" t="s">
        <v>2686</v>
      </c>
      <c r="E286">
        <v>1</v>
      </c>
      <c r="G286">
        <v>9039</v>
      </c>
      <c r="H286" t="s">
        <v>2687</v>
      </c>
      <c r="I286">
        <v>25</v>
      </c>
      <c r="J286" t="s">
        <v>1905</v>
      </c>
      <c r="K286">
        <v>0</v>
      </c>
      <c r="M286">
        <v>9</v>
      </c>
    </row>
    <row r="287" spans="1:13">
      <c r="A287" t="s">
        <v>2688</v>
      </c>
      <c r="B287" t="s">
        <v>2688</v>
      </c>
      <c r="C287" t="s">
        <v>1504</v>
      </c>
      <c r="D287" t="s">
        <v>2689</v>
      </c>
      <c r="E287">
        <v>1</v>
      </c>
      <c r="G287">
        <v>7.2</v>
      </c>
      <c r="H287" t="s">
        <v>2690</v>
      </c>
      <c r="I287">
        <v>3</v>
      </c>
      <c r="J287" t="s">
        <v>1941</v>
      </c>
      <c r="K287">
        <v>0</v>
      </c>
      <c r="M287">
        <v>2</v>
      </c>
    </row>
    <row r="288" spans="1:13">
      <c r="A288" t="s">
        <v>2691</v>
      </c>
      <c r="B288" t="s">
        <v>2691</v>
      </c>
      <c r="C288" t="s">
        <v>1505</v>
      </c>
      <c r="D288" t="s">
        <v>2692</v>
      </c>
      <c r="E288">
        <v>2</v>
      </c>
      <c r="G288">
        <v>40.5</v>
      </c>
      <c r="H288" t="s">
        <v>2693</v>
      </c>
      <c r="I288">
        <v>1</v>
      </c>
      <c r="J288" t="s">
        <v>1918</v>
      </c>
      <c r="K288">
        <v>2</v>
      </c>
      <c r="M288">
        <v>8</v>
      </c>
    </row>
    <row r="289" spans="1:13">
      <c r="A289" t="s">
        <v>2694</v>
      </c>
      <c r="B289" t="s">
        <v>2694</v>
      </c>
      <c r="C289" t="s">
        <v>1506</v>
      </c>
      <c r="D289" t="s">
        <v>2695</v>
      </c>
      <c r="E289">
        <v>2</v>
      </c>
      <c r="G289">
        <v>960</v>
      </c>
      <c r="H289" t="s">
        <v>2696</v>
      </c>
      <c r="I289">
        <v>25</v>
      </c>
      <c r="J289" t="s">
        <v>1905</v>
      </c>
      <c r="K289">
        <v>0</v>
      </c>
      <c r="M289">
        <v>8</v>
      </c>
    </row>
    <row r="290" spans="1:13">
      <c r="A290" t="s">
        <v>2697</v>
      </c>
      <c r="B290" t="s">
        <v>2697</v>
      </c>
      <c r="C290" t="s">
        <v>1507</v>
      </c>
      <c r="D290" t="s">
        <v>2698</v>
      </c>
      <c r="E290">
        <v>1</v>
      </c>
      <c r="G290">
        <v>6.1</v>
      </c>
      <c r="H290" t="s">
        <v>2699</v>
      </c>
      <c r="I290">
        <v>1</v>
      </c>
      <c r="J290" t="s">
        <v>1918</v>
      </c>
      <c r="K290">
        <v>0</v>
      </c>
      <c r="M290">
        <v>5</v>
      </c>
    </row>
    <row r="291" spans="1:13">
      <c r="A291" t="s">
        <v>2700</v>
      </c>
      <c r="B291" t="s">
        <v>2700</v>
      </c>
      <c r="C291" t="s">
        <v>1508</v>
      </c>
      <c r="D291" t="s">
        <v>2701</v>
      </c>
      <c r="E291">
        <v>2</v>
      </c>
      <c r="G291">
        <v>52.3</v>
      </c>
      <c r="H291" t="s">
        <v>2702</v>
      </c>
      <c r="I291">
        <v>21</v>
      </c>
      <c r="J291" t="s">
        <v>1948</v>
      </c>
      <c r="K291">
        <v>0</v>
      </c>
      <c r="M291">
        <v>3</v>
      </c>
    </row>
    <row r="292" spans="1:13">
      <c r="A292" t="s">
        <v>2703</v>
      </c>
      <c r="B292" t="s">
        <v>2703</v>
      </c>
      <c r="C292" t="s">
        <v>1509</v>
      </c>
      <c r="D292" t="s">
        <v>2704</v>
      </c>
      <c r="E292">
        <v>1</v>
      </c>
      <c r="G292">
        <v>147</v>
      </c>
      <c r="H292" t="s">
        <v>2705</v>
      </c>
      <c r="I292">
        <v>25</v>
      </c>
      <c r="J292" t="s">
        <v>1905</v>
      </c>
      <c r="K292">
        <v>0</v>
      </c>
      <c r="M292">
        <v>8</v>
      </c>
    </row>
    <row r="293" spans="1:13">
      <c r="A293" t="s">
        <v>2706</v>
      </c>
      <c r="B293" t="s">
        <v>2706</v>
      </c>
      <c r="C293" t="s">
        <v>1509</v>
      </c>
      <c r="D293" t="s">
        <v>2707</v>
      </c>
      <c r="E293">
        <v>1</v>
      </c>
      <c r="G293">
        <v>100</v>
      </c>
      <c r="H293" t="s">
        <v>2705</v>
      </c>
      <c r="I293">
        <v>25</v>
      </c>
      <c r="J293" t="s">
        <v>1905</v>
      </c>
      <c r="K293">
        <v>0</v>
      </c>
      <c r="M293">
        <v>8</v>
      </c>
    </row>
    <row r="294" spans="1:13">
      <c r="A294" t="s">
        <v>2708</v>
      </c>
      <c r="B294" t="s">
        <v>2708</v>
      </c>
      <c r="C294" t="s">
        <v>1510</v>
      </c>
      <c r="D294" t="s">
        <v>2709</v>
      </c>
      <c r="E294">
        <v>1</v>
      </c>
      <c r="G294">
        <v>0</v>
      </c>
      <c r="H294" t="s">
        <v>2710</v>
      </c>
      <c r="I294">
        <v>3</v>
      </c>
      <c r="J294" t="s">
        <v>1941</v>
      </c>
      <c r="K294">
        <v>0</v>
      </c>
      <c r="M294">
        <v>3</v>
      </c>
    </row>
    <row r="295" spans="1:13">
      <c r="A295" t="s">
        <v>2711</v>
      </c>
      <c r="B295" t="s">
        <v>2711</v>
      </c>
      <c r="C295" t="s">
        <v>1511</v>
      </c>
      <c r="D295" t="s">
        <v>2712</v>
      </c>
      <c r="E295">
        <v>1</v>
      </c>
      <c r="G295">
        <v>10.4</v>
      </c>
      <c r="H295" t="s">
        <v>2713</v>
      </c>
      <c r="I295">
        <v>1</v>
      </c>
      <c r="J295" t="s">
        <v>1918</v>
      </c>
      <c r="K295">
        <v>2</v>
      </c>
      <c r="M295">
        <v>6</v>
      </c>
    </row>
    <row r="296" spans="1:13">
      <c r="A296" t="s">
        <v>2714</v>
      </c>
      <c r="B296" t="s">
        <v>2714</v>
      </c>
      <c r="C296" t="s">
        <v>1512</v>
      </c>
      <c r="D296" t="s">
        <v>2715</v>
      </c>
      <c r="E296">
        <v>1</v>
      </c>
      <c r="G296">
        <v>10.4</v>
      </c>
      <c r="H296" t="s">
        <v>2716</v>
      </c>
      <c r="I296">
        <v>1</v>
      </c>
      <c r="J296" t="s">
        <v>1918</v>
      </c>
      <c r="K296">
        <v>2</v>
      </c>
      <c r="M296">
        <v>6</v>
      </c>
    </row>
    <row r="297" spans="1:13">
      <c r="A297" t="s">
        <v>2717</v>
      </c>
      <c r="B297" t="s">
        <v>2717</v>
      </c>
      <c r="C297" t="s">
        <v>1513</v>
      </c>
      <c r="E297">
        <v>2</v>
      </c>
      <c r="G297">
        <v>20192</v>
      </c>
      <c r="H297" t="s">
        <v>2718</v>
      </c>
      <c r="I297">
        <v>25</v>
      </c>
      <c r="J297" t="s">
        <v>1905</v>
      </c>
      <c r="K297">
        <v>2</v>
      </c>
      <c r="M297">
        <v>15</v>
      </c>
    </row>
    <row r="298" spans="1:13">
      <c r="A298" t="s">
        <v>2719</v>
      </c>
      <c r="B298" t="s">
        <v>2719</v>
      </c>
      <c r="C298" t="s">
        <v>1514</v>
      </c>
      <c r="E298">
        <v>2</v>
      </c>
      <c r="G298">
        <v>34.1</v>
      </c>
      <c r="H298" t="s">
        <v>2720</v>
      </c>
      <c r="I298">
        <v>1</v>
      </c>
      <c r="J298" t="s">
        <v>1918</v>
      </c>
      <c r="K298">
        <v>0</v>
      </c>
      <c r="M298">
        <v>3</v>
      </c>
    </row>
    <row r="299" spans="1:13">
      <c r="A299" t="s">
        <v>2721</v>
      </c>
      <c r="B299" t="s">
        <v>2721</v>
      </c>
      <c r="C299" t="s">
        <v>1515</v>
      </c>
      <c r="D299" t="s">
        <v>2722</v>
      </c>
      <c r="E299">
        <v>2</v>
      </c>
      <c r="G299">
        <v>9.8000000000000007</v>
      </c>
      <c r="H299" t="s">
        <v>2723</v>
      </c>
      <c r="I299">
        <v>3</v>
      </c>
      <c r="J299" t="s">
        <v>1941</v>
      </c>
      <c r="K299">
        <v>0</v>
      </c>
      <c r="M299">
        <v>4</v>
      </c>
    </row>
    <row r="300" spans="1:13">
      <c r="A300" t="s">
        <v>2724</v>
      </c>
      <c r="B300" t="s">
        <v>2724</v>
      </c>
      <c r="C300" t="s">
        <v>1516</v>
      </c>
      <c r="D300" t="s">
        <v>2725</v>
      </c>
      <c r="E300">
        <v>2</v>
      </c>
      <c r="G300">
        <v>20.3</v>
      </c>
      <c r="H300" t="s">
        <v>2726</v>
      </c>
      <c r="I300">
        <v>3</v>
      </c>
      <c r="J300" t="s">
        <v>1941</v>
      </c>
      <c r="K300">
        <v>0</v>
      </c>
      <c r="M300">
        <v>4</v>
      </c>
    </row>
    <row r="301" spans="1:13">
      <c r="A301" t="s">
        <v>2727</v>
      </c>
      <c r="B301" t="s">
        <v>2727</v>
      </c>
      <c r="C301" t="s">
        <v>1517</v>
      </c>
      <c r="D301" t="s">
        <v>2728</v>
      </c>
      <c r="E301">
        <v>2</v>
      </c>
      <c r="G301">
        <v>14.6</v>
      </c>
      <c r="H301" t="s">
        <v>2729</v>
      </c>
      <c r="I301">
        <v>3</v>
      </c>
      <c r="J301" t="s">
        <v>1941</v>
      </c>
      <c r="K301">
        <v>0</v>
      </c>
      <c r="M301">
        <v>4</v>
      </c>
    </row>
    <row r="302" spans="1:13">
      <c r="A302" t="s">
        <v>2730</v>
      </c>
      <c r="B302" t="s">
        <v>2730</v>
      </c>
      <c r="C302" t="s">
        <v>1518</v>
      </c>
      <c r="D302" t="s">
        <v>2731</v>
      </c>
      <c r="E302">
        <v>1</v>
      </c>
      <c r="G302">
        <v>13.6</v>
      </c>
      <c r="H302" t="s">
        <v>2732</v>
      </c>
      <c r="I302">
        <v>3</v>
      </c>
      <c r="J302" t="s">
        <v>1941</v>
      </c>
      <c r="K302">
        <v>0</v>
      </c>
      <c r="M302">
        <v>4</v>
      </c>
    </row>
    <row r="303" spans="1:13">
      <c r="A303" t="s">
        <v>2733</v>
      </c>
      <c r="B303" t="s">
        <v>2733</v>
      </c>
      <c r="C303" t="s">
        <v>1519</v>
      </c>
      <c r="E303">
        <v>2</v>
      </c>
      <c r="G303">
        <v>12.8</v>
      </c>
      <c r="H303" t="s">
        <v>2734</v>
      </c>
      <c r="I303">
        <v>5</v>
      </c>
      <c r="J303" t="s">
        <v>2584</v>
      </c>
      <c r="K303">
        <v>0</v>
      </c>
      <c r="M303">
        <v>4</v>
      </c>
    </row>
    <row r="304" spans="1:13">
      <c r="A304" t="s">
        <v>2735</v>
      </c>
      <c r="B304" t="s">
        <v>2735</v>
      </c>
      <c r="C304" t="s">
        <v>1520</v>
      </c>
      <c r="D304" t="s">
        <v>2736</v>
      </c>
      <c r="E304">
        <v>2</v>
      </c>
      <c r="G304">
        <v>14.9</v>
      </c>
      <c r="H304" t="s">
        <v>2737</v>
      </c>
      <c r="I304">
        <v>3</v>
      </c>
      <c r="J304" t="s">
        <v>1941</v>
      </c>
      <c r="K304">
        <v>0</v>
      </c>
      <c r="M304">
        <v>4</v>
      </c>
    </row>
    <row r="305" spans="1:13">
      <c r="A305" t="s">
        <v>2738</v>
      </c>
      <c r="B305" t="s">
        <v>2738</v>
      </c>
      <c r="C305" t="s">
        <v>1521</v>
      </c>
      <c r="D305" t="s">
        <v>2739</v>
      </c>
      <c r="E305">
        <v>2</v>
      </c>
      <c r="G305">
        <v>18</v>
      </c>
      <c r="H305" t="s">
        <v>2740</v>
      </c>
      <c r="I305">
        <v>3</v>
      </c>
      <c r="J305" t="s">
        <v>1941</v>
      </c>
      <c r="K305">
        <v>0</v>
      </c>
      <c r="M305">
        <v>4</v>
      </c>
    </row>
    <row r="306" spans="1:13">
      <c r="A306" t="s">
        <v>2741</v>
      </c>
      <c r="B306" t="s">
        <v>2741</v>
      </c>
      <c r="C306" t="s">
        <v>1522</v>
      </c>
      <c r="D306" t="s">
        <v>2742</v>
      </c>
      <c r="E306">
        <v>1</v>
      </c>
      <c r="G306">
        <v>16.100000000000001</v>
      </c>
      <c r="H306" t="s">
        <v>2743</v>
      </c>
      <c r="I306">
        <v>3</v>
      </c>
      <c r="J306" t="s">
        <v>1941</v>
      </c>
      <c r="K306">
        <v>0</v>
      </c>
      <c r="M306">
        <v>4</v>
      </c>
    </row>
    <row r="307" spans="1:13">
      <c r="A307" t="s">
        <v>2744</v>
      </c>
      <c r="B307" t="s">
        <v>2744</v>
      </c>
      <c r="C307" t="s">
        <v>1523</v>
      </c>
      <c r="D307" t="s">
        <v>2745</v>
      </c>
      <c r="E307">
        <v>1</v>
      </c>
      <c r="G307">
        <v>13.8</v>
      </c>
      <c r="H307" t="s">
        <v>2746</v>
      </c>
      <c r="I307">
        <v>3</v>
      </c>
      <c r="J307" t="s">
        <v>1941</v>
      </c>
      <c r="K307">
        <v>0</v>
      </c>
      <c r="M307">
        <v>4</v>
      </c>
    </row>
    <row r="308" spans="1:13">
      <c r="A308" t="s">
        <v>2747</v>
      </c>
      <c r="B308" t="s">
        <v>2747</v>
      </c>
      <c r="C308" t="s">
        <v>1524</v>
      </c>
      <c r="D308" t="s">
        <v>2748</v>
      </c>
      <c r="E308">
        <v>1</v>
      </c>
      <c r="G308">
        <v>10.4</v>
      </c>
      <c r="H308" t="s">
        <v>2749</v>
      </c>
      <c r="I308">
        <v>3</v>
      </c>
      <c r="J308" t="s">
        <v>1941</v>
      </c>
      <c r="K308">
        <v>0</v>
      </c>
      <c r="M308">
        <v>4</v>
      </c>
    </row>
    <row r="309" spans="1:13">
      <c r="A309" t="s">
        <v>2750</v>
      </c>
      <c r="B309" t="s">
        <v>2750</v>
      </c>
      <c r="C309" t="s">
        <v>1525</v>
      </c>
      <c r="D309" t="s">
        <v>2751</v>
      </c>
      <c r="E309">
        <v>1</v>
      </c>
      <c r="G309">
        <v>14.4</v>
      </c>
      <c r="H309" t="s">
        <v>2752</v>
      </c>
      <c r="I309">
        <v>3</v>
      </c>
      <c r="J309" t="s">
        <v>1941</v>
      </c>
      <c r="K309">
        <v>0</v>
      </c>
      <c r="M309">
        <v>4</v>
      </c>
    </row>
    <row r="310" spans="1:13">
      <c r="A310" t="s">
        <v>2753</v>
      </c>
      <c r="B310" t="s">
        <v>2753</v>
      </c>
      <c r="C310" t="s">
        <v>1526</v>
      </c>
      <c r="D310" t="s">
        <v>2754</v>
      </c>
      <c r="E310">
        <v>1</v>
      </c>
      <c r="G310">
        <v>13.7</v>
      </c>
      <c r="H310" t="s">
        <v>2755</v>
      </c>
      <c r="I310">
        <v>3</v>
      </c>
      <c r="J310" t="s">
        <v>1941</v>
      </c>
      <c r="K310">
        <v>0</v>
      </c>
      <c r="M310">
        <v>4</v>
      </c>
    </row>
    <row r="311" spans="1:13">
      <c r="A311" t="s">
        <v>2756</v>
      </c>
      <c r="B311" t="s">
        <v>2756</v>
      </c>
      <c r="C311" t="s">
        <v>1527</v>
      </c>
      <c r="D311" t="s">
        <v>2757</v>
      </c>
      <c r="E311">
        <v>2</v>
      </c>
      <c r="G311">
        <v>20.100000000000001</v>
      </c>
      <c r="H311" t="s">
        <v>2758</v>
      </c>
      <c r="I311">
        <v>3</v>
      </c>
      <c r="J311" t="s">
        <v>1941</v>
      </c>
      <c r="K311">
        <v>0</v>
      </c>
      <c r="M311">
        <v>4</v>
      </c>
    </row>
    <row r="312" spans="1:13">
      <c r="A312" t="s">
        <v>2759</v>
      </c>
      <c r="B312" t="s">
        <v>2759</v>
      </c>
      <c r="C312" t="s">
        <v>1528</v>
      </c>
      <c r="E312">
        <v>2</v>
      </c>
      <c r="G312">
        <v>22.9</v>
      </c>
      <c r="H312" t="s">
        <v>2760</v>
      </c>
      <c r="I312">
        <v>5</v>
      </c>
      <c r="J312" t="s">
        <v>2584</v>
      </c>
      <c r="K312">
        <v>0</v>
      </c>
      <c r="M312">
        <v>4</v>
      </c>
    </row>
    <row r="313" spans="1:13">
      <c r="A313" t="s">
        <v>2761</v>
      </c>
      <c r="B313" t="s">
        <v>2761</v>
      </c>
      <c r="C313" t="s">
        <v>1529</v>
      </c>
      <c r="D313" t="s">
        <v>2762</v>
      </c>
      <c r="E313">
        <v>1</v>
      </c>
      <c r="G313">
        <v>22.8</v>
      </c>
      <c r="H313" t="s">
        <v>2763</v>
      </c>
      <c r="I313">
        <v>19</v>
      </c>
      <c r="J313" t="s">
        <v>1982</v>
      </c>
      <c r="K313">
        <v>0</v>
      </c>
      <c r="M313">
        <v>3</v>
      </c>
    </row>
    <row r="314" spans="1:13">
      <c r="A314" t="s">
        <v>2764</v>
      </c>
      <c r="B314" t="s">
        <v>2764</v>
      </c>
      <c r="C314" t="s">
        <v>1404</v>
      </c>
      <c r="D314" t="s">
        <v>2765</v>
      </c>
      <c r="E314">
        <v>1</v>
      </c>
      <c r="G314">
        <v>5.7</v>
      </c>
      <c r="H314" t="s">
        <v>2766</v>
      </c>
      <c r="I314">
        <v>1</v>
      </c>
      <c r="J314" t="s">
        <v>1918</v>
      </c>
      <c r="K314">
        <v>0</v>
      </c>
      <c r="M314">
        <v>1</v>
      </c>
    </row>
    <row r="315" spans="1:13">
      <c r="A315" t="s">
        <v>2767</v>
      </c>
      <c r="B315" t="s">
        <v>2767</v>
      </c>
      <c r="C315" t="s">
        <v>1530</v>
      </c>
      <c r="D315" t="s">
        <v>2768</v>
      </c>
      <c r="E315">
        <v>1</v>
      </c>
      <c r="G315">
        <v>44.9</v>
      </c>
      <c r="H315" t="s">
        <v>2769</v>
      </c>
      <c r="I315">
        <v>1</v>
      </c>
      <c r="J315" t="s">
        <v>1918</v>
      </c>
      <c r="K315">
        <v>0</v>
      </c>
      <c r="M315">
        <v>5</v>
      </c>
    </row>
    <row r="316" spans="1:13">
      <c r="A316" t="s">
        <v>2770</v>
      </c>
      <c r="B316" t="s">
        <v>2770</v>
      </c>
      <c r="C316" t="s">
        <v>1531</v>
      </c>
      <c r="D316" t="s">
        <v>2771</v>
      </c>
      <c r="E316">
        <v>1</v>
      </c>
      <c r="G316">
        <v>71.3</v>
      </c>
      <c r="H316" t="s">
        <v>2772</v>
      </c>
      <c r="I316">
        <v>1</v>
      </c>
      <c r="J316" t="s">
        <v>1918</v>
      </c>
      <c r="K316">
        <v>0</v>
      </c>
      <c r="M316">
        <v>5</v>
      </c>
    </row>
    <row r="317" spans="1:13">
      <c r="A317" t="s">
        <v>2773</v>
      </c>
      <c r="B317" t="s">
        <v>2773</v>
      </c>
      <c r="C317" t="s">
        <v>1532</v>
      </c>
      <c r="D317" t="s">
        <v>2774</v>
      </c>
      <c r="E317">
        <v>1</v>
      </c>
      <c r="G317">
        <v>6.1</v>
      </c>
      <c r="H317" t="s">
        <v>2775</v>
      </c>
      <c r="I317">
        <v>1</v>
      </c>
      <c r="J317" t="s">
        <v>1918</v>
      </c>
      <c r="K317">
        <v>2</v>
      </c>
      <c r="M317">
        <v>6</v>
      </c>
    </row>
    <row r="318" spans="1:13">
      <c r="A318" t="s">
        <v>2776</v>
      </c>
      <c r="B318" t="s">
        <v>2776</v>
      </c>
      <c r="C318" t="s">
        <v>1533</v>
      </c>
      <c r="E318">
        <v>1</v>
      </c>
      <c r="G318">
        <v>173</v>
      </c>
      <c r="H318" t="s">
        <v>2777</v>
      </c>
      <c r="I318">
        <v>25</v>
      </c>
      <c r="J318" t="s">
        <v>1905</v>
      </c>
      <c r="K318">
        <v>0</v>
      </c>
      <c r="M318">
        <v>11</v>
      </c>
    </row>
    <row r="319" spans="1:13">
      <c r="A319" t="s">
        <v>2778</v>
      </c>
      <c r="B319" t="s">
        <v>2778</v>
      </c>
      <c r="C319" t="s">
        <v>1534</v>
      </c>
      <c r="D319" t="s">
        <v>2779</v>
      </c>
      <c r="E319">
        <v>1</v>
      </c>
      <c r="G319">
        <v>39</v>
      </c>
      <c r="H319" t="s">
        <v>2780</v>
      </c>
      <c r="I319">
        <v>14</v>
      </c>
      <c r="J319" t="s">
        <v>1901</v>
      </c>
      <c r="K319">
        <v>0</v>
      </c>
      <c r="M319">
        <v>3</v>
      </c>
    </row>
    <row r="320" spans="1:13">
      <c r="A320" t="s">
        <v>2781</v>
      </c>
      <c r="B320" t="s">
        <v>2781</v>
      </c>
      <c r="C320" t="s">
        <v>1535</v>
      </c>
      <c r="E320">
        <v>2</v>
      </c>
      <c r="G320">
        <v>5.9</v>
      </c>
      <c r="H320" t="s">
        <v>2782</v>
      </c>
      <c r="I320">
        <v>1</v>
      </c>
      <c r="J320" t="s">
        <v>1918</v>
      </c>
      <c r="K320">
        <v>0</v>
      </c>
      <c r="M320">
        <v>3</v>
      </c>
    </row>
    <row r="321" spans="1:13">
      <c r="A321" t="s">
        <v>2783</v>
      </c>
      <c r="B321" t="s">
        <v>2783</v>
      </c>
      <c r="C321" t="s">
        <v>1536</v>
      </c>
      <c r="E321">
        <v>1</v>
      </c>
      <c r="G321">
        <v>19.2</v>
      </c>
      <c r="H321" t="s">
        <v>2784</v>
      </c>
      <c r="I321">
        <v>15</v>
      </c>
      <c r="J321" t="s">
        <v>1909</v>
      </c>
      <c r="K321">
        <v>2</v>
      </c>
      <c r="M321">
        <v>3</v>
      </c>
    </row>
    <row r="322" spans="1:13">
      <c r="A322" t="s">
        <v>2785</v>
      </c>
      <c r="B322" t="s">
        <v>2785</v>
      </c>
      <c r="C322" t="s">
        <v>1537</v>
      </c>
      <c r="D322">
        <v>123</v>
      </c>
      <c r="E322">
        <v>1</v>
      </c>
      <c r="G322">
        <v>0</v>
      </c>
      <c r="H322" t="s">
        <v>1537</v>
      </c>
      <c r="I322">
        <v>1</v>
      </c>
      <c r="J322" t="s">
        <v>1918</v>
      </c>
      <c r="K322">
        <v>0</v>
      </c>
    </row>
    <row r="323" spans="1:13">
      <c r="A323" t="s">
        <v>2786</v>
      </c>
      <c r="B323" t="s">
        <v>2786</v>
      </c>
      <c r="C323" t="s">
        <v>1411</v>
      </c>
      <c r="E323">
        <v>1</v>
      </c>
      <c r="G323">
        <v>10.1</v>
      </c>
      <c r="H323" t="s">
        <v>2380</v>
      </c>
      <c r="I323">
        <v>1</v>
      </c>
      <c r="J323" t="s">
        <v>1918</v>
      </c>
      <c r="K323">
        <v>0</v>
      </c>
    </row>
    <row r="324" spans="1:13">
      <c r="A324" t="s">
        <v>2787</v>
      </c>
      <c r="B324" t="s">
        <v>2787</v>
      </c>
      <c r="C324" t="s">
        <v>665</v>
      </c>
      <c r="D324" t="s">
        <v>2788</v>
      </c>
      <c r="E324">
        <v>1</v>
      </c>
      <c r="G324">
        <v>9.1</v>
      </c>
      <c r="H324" t="s">
        <v>2789</v>
      </c>
      <c r="I324">
        <v>1</v>
      </c>
      <c r="J324" t="s">
        <v>1918</v>
      </c>
      <c r="K324">
        <v>0</v>
      </c>
      <c r="M324">
        <v>5</v>
      </c>
    </row>
    <row r="325" spans="1:13">
      <c r="A325" t="s">
        <v>2790</v>
      </c>
      <c r="B325" t="s">
        <v>2790</v>
      </c>
      <c r="C325" t="s">
        <v>1538</v>
      </c>
      <c r="D325" t="s">
        <v>2791</v>
      </c>
      <c r="E325">
        <v>1</v>
      </c>
      <c r="G325">
        <v>25</v>
      </c>
      <c r="H325" t="s">
        <v>2792</v>
      </c>
      <c r="I325">
        <v>1</v>
      </c>
      <c r="J325" t="s">
        <v>1918</v>
      </c>
      <c r="K325">
        <v>0</v>
      </c>
      <c r="M325">
        <v>5</v>
      </c>
    </row>
    <row r="326" spans="1:13">
      <c r="A326" t="s">
        <v>2793</v>
      </c>
      <c r="B326" t="s">
        <v>2793</v>
      </c>
      <c r="C326" t="s">
        <v>670</v>
      </c>
      <c r="D326" t="s">
        <v>2794</v>
      </c>
      <c r="E326">
        <v>1</v>
      </c>
      <c r="G326">
        <v>11.3</v>
      </c>
      <c r="H326" t="s">
        <v>2795</v>
      </c>
      <c r="I326">
        <v>1</v>
      </c>
      <c r="J326" t="s">
        <v>1918</v>
      </c>
      <c r="K326">
        <v>0</v>
      </c>
      <c r="M326">
        <v>5</v>
      </c>
    </row>
    <row r="327" spans="1:13">
      <c r="A327" t="s">
        <v>2796</v>
      </c>
      <c r="B327" t="s">
        <v>2796</v>
      </c>
      <c r="C327" t="s">
        <v>1539</v>
      </c>
      <c r="D327" t="s">
        <v>2797</v>
      </c>
      <c r="E327">
        <v>2</v>
      </c>
      <c r="G327">
        <v>34</v>
      </c>
      <c r="H327" t="s">
        <v>2798</v>
      </c>
      <c r="I327">
        <v>3</v>
      </c>
      <c r="J327" t="s">
        <v>1941</v>
      </c>
      <c r="K327">
        <v>0</v>
      </c>
      <c r="M327">
        <v>2</v>
      </c>
    </row>
    <row r="328" spans="1:13">
      <c r="A328" t="s">
        <v>2799</v>
      </c>
      <c r="B328" t="s">
        <v>2799</v>
      </c>
      <c r="C328" t="s">
        <v>1540</v>
      </c>
      <c r="D328" t="s">
        <v>2800</v>
      </c>
      <c r="E328">
        <v>1</v>
      </c>
      <c r="G328">
        <v>9.4</v>
      </c>
      <c r="H328" t="s">
        <v>2801</v>
      </c>
      <c r="I328">
        <v>3</v>
      </c>
      <c r="J328" t="s">
        <v>1941</v>
      </c>
      <c r="K328">
        <v>0</v>
      </c>
      <c r="M328">
        <v>2</v>
      </c>
    </row>
    <row r="329" spans="1:13">
      <c r="A329" t="s">
        <v>2802</v>
      </c>
      <c r="B329" t="s">
        <v>2802</v>
      </c>
      <c r="C329" t="s">
        <v>1541</v>
      </c>
      <c r="E329">
        <v>1</v>
      </c>
      <c r="G329">
        <v>6.5</v>
      </c>
      <c r="H329" t="s">
        <v>2803</v>
      </c>
      <c r="I329">
        <v>2</v>
      </c>
      <c r="J329" t="s">
        <v>835</v>
      </c>
      <c r="K329">
        <v>0</v>
      </c>
      <c r="M329">
        <v>5</v>
      </c>
    </row>
    <row r="330" spans="1:13">
      <c r="A330" t="s">
        <v>2804</v>
      </c>
      <c r="B330" t="s">
        <v>2804</v>
      </c>
      <c r="C330" t="s">
        <v>1542</v>
      </c>
      <c r="E330">
        <v>1</v>
      </c>
      <c r="G330">
        <v>18.3</v>
      </c>
      <c r="H330" t="s">
        <v>2805</v>
      </c>
      <c r="I330">
        <v>1</v>
      </c>
      <c r="J330" t="s">
        <v>1918</v>
      </c>
      <c r="K330">
        <v>0</v>
      </c>
      <c r="M330">
        <v>5</v>
      </c>
    </row>
    <row r="331" spans="1:13">
      <c r="A331" t="s">
        <v>2806</v>
      </c>
      <c r="B331" t="s">
        <v>2806</v>
      </c>
      <c r="C331" t="s">
        <v>1543</v>
      </c>
      <c r="D331" t="s">
        <v>2807</v>
      </c>
      <c r="E331">
        <v>2</v>
      </c>
      <c r="G331">
        <v>26.8</v>
      </c>
      <c r="H331" t="s">
        <v>2808</v>
      </c>
      <c r="I331">
        <v>2</v>
      </c>
      <c r="J331" t="s">
        <v>835</v>
      </c>
      <c r="K331">
        <v>2</v>
      </c>
      <c r="M331">
        <v>3</v>
      </c>
    </row>
    <row r="332" spans="1:13">
      <c r="A332" t="s">
        <v>2809</v>
      </c>
      <c r="B332" t="s">
        <v>2809</v>
      </c>
      <c r="C332" t="s">
        <v>1544</v>
      </c>
      <c r="D332" t="s">
        <v>2810</v>
      </c>
      <c r="E332">
        <v>1</v>
      </c>
      <c r="G332">
        <v>25.7</v>
      </c>
      <c r="H332" t="s">
        <v>2811</v>
      </c>
      <c r="I332">
        <v>2</v>
      </c>
      <c r="J332" t="s">
        <v>835</v>
      </c>
      <c r="K332">
        <v>2</v>
      </c>
      <c r="M332">
        <v>6</v>
      </c>
    </row>
    <row r="333" spans="1:13">
      <c r="A333" t="s">
        <v>2812</v>
      </c>
      <c r="B333" t="s">
        <v>2812</v>
      </c>
      <c r="C333" t="s">
        <v>1545</v>
      </c>
      <c r="D333" t="s">
        <v>2813</v>
      </c>
      <c r="E333">
        <v>2</v>
      </c>
      <c r="G333">
        <v>10045</v>
      </c>
      <c r="H333" t="s">
        <v>2814</v>
      </c>
      <c r="I333">
        <v>25</v>
      </c>
      <c r="J333" t="s">
        <v>1905</v>
      </c>
      <c r="K333">
        <v>0</v>
      </c>
      <c r="M333">
        <v>15</v>
      </c>
    </row>
    <row r="334" spans="1:13">
      <c r="A334" t="s">
        <v>2815</v>
      </c>
      <c r="B334" t="s">
        <v>2815</v>
      </c>
      <c r="C334" t="s">
        <v>1546</v>
      </c>
      <c r="E334">
        <v>1</v>
      </c>
      <c r="G334">
        <v>9.5</v>
      </c>
      <c r="H334" t="s">
        <v>2816</v>
      </c>
      <c r="I334">
        <v>15</v>
      </c>
      <c r="J334" t="s">
        <v>1909</v>
      </c>
      <c r="K334">
        <v>0</v>
      </c>
      <c r="M334">
        <v>3</v>
      </c>
    </row>
    <row r="335" spans="1:13">
      <c r="A335" t="s">
        <v>2817</v>
      </c>
      <c r="B335" t="s">
        <v>2817</v>
      </c>
      <c r="C335" t="s">
        <v>1547</v>
      </c>
      <c r="E335">
        <v>1</v>
      </c>
      <c r="G335">
        <v>9.5</v>
      </c>
      <c r="H335" t="s">
        <v>2818</v>
      </c>
      <c r="I335">
        <v>17</v>
      </c>
      <c r="J335" t="s">
        <v>2093</v>
      </c>
      <c r="K335">
        <v>0</v>
      </c>
      <c r="M335">
        <v>3</v>
      </c>
    </row>
    <row r="336" spans="1:13">
      <c r="A336" t="s">
        <v>2819</v>
      </c>
      <c r="B336" t="s">
        <v>2819</v>
      </c>
      <c r="C336" t="s">
        <v>1548</v>
      </c>
      <c r="E336">
        <v>1</v>
      </c>
      <c r="G336">
        <v>10.4</v>
      </c>
      <c r="H336" t="s">
        <v>2820</v>
      </c>
      <c r="I336">
        <v>1</v>
      </c>
      <c r="J336" t="s">
        <v>1918</v>
      </c>
      <c r="K336">
        <v>0</v>
      </c>
      <c r="M336">
        <v>5</v>
      </c>
    </row>
    <row r="337" spans="1:13">
      <c r="A337" t="s">
        <v>2821</v>
      </c>
      <c r="B337" t="s">
        <v>2821</v>
      </c>
      <c r="C337" t="s">
        <v>1550</v>
      </c>
      <c r="D337" t="s">
        <v>2822</v>
      </c>
      <c r="E337">
        <v>1</v>
      </c>
      <c r="G337">
        <v>27.7</v>
      </c>
      <c r="H337" t="s">
        <v>2823</v>
      </c>
      <c r="I337">
        <v>14</v>
      </c>
      <c r="J337" t="s">
        <v>1901</v>
      </c>
      <c r="K337">
        <v>0</v>
      </c>
      <c r="M337">
        <v>3</v>
      </c>
    </row>
    <row r="338" spans="1:13">
      <c r="A338" t="s">
        <v>2824</v>
      </c>
      <c r="B338" t="s">
        <v>2824</v>
      </c>
      <c r="C338" t="s">
        <v>690</v>
      </c>
      <c r="E338">
        <v>2</v>
      </c>
      <c r="G338">
        <v>7.2</v>
      </c>
      <c r="H338" t="s">
        <v>2825</v>
      </c>
      <c r="I338">
        <v>1</v>
      </c>
      <c r="J338" t="s">
        <v>1918</v>
      </c>
      <c r="K338">
        <v>2</v>
      </c>
      <c r="M338">
        <v>3</v>
      </c>
    </row>
    <row r="339" spans="1:13">
      <c r="A339" t="s">
        <v>2826</v>
      </c>
      <c r="B339" t="s">
        <v>2826</v>
      </c>
      <c r="C339" t="s">
        <v>1551</v>
      </c>
      <c r="D339" t="s">
        <v>2827</v>
      </c>
      <c r="E339">
        <v>1</v>
      </c>
      <c r="G339">
        <v>332</v>
      </c>
      <c r="H339" t="s">
        <v>2828</v>
      </c>
      <c r="I339">
        <v>25</v>
      </c>
      <c r="J339" t="s">
        <v>1905</v>
      </c>
      <c r="K339">
        <v>0</v>
      </c>
      <c r="M339">
        <v>10</v>
      </c>
    </row>
    <row r="340" spans="1:13">
      <c r="A340" t="s">
        <v>2829</v>
      </c>
      <c r="B340" t="s">
        <v>2829</v>
      </c>
      <c r="C340" t="s">
        <v>1552</v>
      </c>
      <c r="E340">
        <v>1</v>
      </c>
      <c r="G340">
        <v>50.4</v>
      </c>
      <c r="H340" t="s">
        <v>2830</v>
      </c>
      <c r="I340">
        <v>1</v>
      </c>
      <c r="J340" t="s">
        <v>1918</v>
      </c>
      <c r="K340">
        <v>0</v>
      </c>
      <c r="M340">
        <v>1</v>
      </c>
    </row>
    <row r="341" spans="1:13">
      <c r="A341" t="s">
        <v>2831</v>
      </c>
      <c r="B341" t="s">
        <v>2831</v>
      </c>
      <c r="C341" t="s">
        <v>1553</v>
      </c>
      <c r="E341">
        <v>1</v>
      </c>
      <c r="G341">
        <v>29.1</v>
      </c>
      <c r="H341" t="s">
        <v>2832</v>
      </c>
      <c r="I341">
        <v>1</v>
      </c>
      <c r="J341" t="s">
        <v>1918</v>
      </c>
      <c r="K341">
        <v>2</v>
      </c>
      <c r="M341">
        <v>6</v>
      </c>
    </row>
    <row r="342" spans="1:13">
      <c r="A342" t="s">
        <v>2833</v>
      </c>
      <c r="B342" t="s">
        <v>2833</v>
      </c>
      <c r="C342" t="s">
        <v>1554</v>
      </c>
      <c r="E342">
        <v>1</v>
      </c>
      <c r="G342">
        <v>43.4</v>
      </c>
      <c r="H342" t="s">
        <v>2834</v>
      </c>
      <c r="I342">
        <v>1</v>
      </c>
      <c r="J342" t="s">
        <v>1918</v>
      </c>
      <c r="K342">
        <v>2</v>
      </c>
      <c r="M342">
        <v>6</v>
      </c>
    </row>
    <row r="343" spans="1:13">
      <c r="A343" t="s">
        <v>2835</v>
      </c>
      <c r="B343" t="s">
        <v>2835</v>
      </c>
      <c r="C343" t="s">
        <v>1555</v>
      </c>
      <c r="E343">
        <v>1</v>
      </c>
      <c r="G343">
        <v>73.099999999999994</v>
      </c>
      <c r="H343" t="s">
        <v>2836</v>
      </c>
      <c r="I343">
        <v>1</v>
      </c>
      <c r="J343" t="s">
        <v>1918</v>
      </c>
      <c r="K343">
        <v>2</v>
      </c>
      <c r="M343">
        <v>6</v>
      </c>
    </row>
    <row r="344" spans="1:13">
      <c r="A344" t="s">
        <v>2837</v>
      </c>
      <c r="B344" t="s">
        <v>2837</v>
      </c>
      <c r="C344" t="s">
        <v>1556</v>
      </c>
      <c r="D344" t="s">
        <v>2838</v>
      </c>
      <c r="E344">
        <v>2</v>
      </c>
      <c r="G344">
        <v>339</v>
      </c>
      <c r="H344" t="s">
        <v>2839</v>
      </c>
      <c r="I344">
        <v>25</v>
      </c>
      <c r="J344" t="s">
        <v>1905</v>
      </c>
      <c r="K344">
        <v>0</v>
      </c>
      <c r="M344">
        <v>9</v>
      </c>
    </row>
    <row r="345" spans="1:13">
      <c r="A345" t="s">
        <v>2840</v>
      </c>
      <c r="B345" t="s">
        <v>2840</v>
      </c>
      <c r="C345" t="s">
        <v>1557</v>
      </c>
      <c r="D345" t="s">
        <v>2841</v>
      </c>
      <c r="E345">
        <v>1</v>
      </c>
      <c r="G345">
        <v>146</v>
      </c>
      <c r="H345" t="s">
        <v>2842</v>
      </c>
      <c r="I345">
        <v>25</v>
      </c>
      <c r="J345" t="s">
        <v>1905</v>
      </c>
      <c r="K345">
        <v>2</v>
      </c>
      <c r="M345">
        <v>9</v>
      </c>
    </row>
    <row r="346" spans="1:13">
      <c r="A346" t="s">
        <v>2843</v>
      </c>
      <c r="B346" t="s">
        <v>2843</v>
      </c>
      <c r="C346" t="s">
        <v>1558</v>
      </c>
      <c r="D346" t="s">
        <v>2844</v>
      </c>
      <c r="E346">
        <v>1</v>
      </c>
      <c r="G346">
        <v>29.7</v>
      </c>
      <c r="H346" t="s">
        <v>2845</v>
      </c>
      <c r="I346">
        <v>1</v>
      </c>
      <c r="J346" t="s">
        <v>1918</v>
      </c>
      <c r="K346">
        <v>0</v>
      </c>
      <c r="M346">
        <v>5</v>
      </c>
    </row>
    <row r="347" spans="1:13">
      <c r="A347" t="s">
        <v>2846</v>
      </c>
      <c r="B347" t="s">
        <v>2846</v>
      </c>
      <c r="C347" t="s">
        <v>1559</v>
      </c>
      <c r="D347" t="s">
        <v>2847</v>
      </c>
      <c r="E347">
        <v>1</v>
      </c>
      <c r="G347">
        <v>32.700000000000003</v>
      </c>
      <c r="H347" t="s">
        <v>2848</v>
      </c>
      <c r="I347">
        <v>1</v>
      </c>
      <c r="J347" t="s">
        <v>1918</v>
      </c>
      <c r="K347">
        <v>0</v>
      </c>
      <c r="M347">
        <v>5</v>
      </c>
    </row>
    <row r="348" spans="1:13">
      <c r="A348" t="s">
        <v>2849</v>
      </c>
      <c r="B348" t="s">
        <v>2849</v>
      </c>
      <c r="C348" t="s">
        <v>707</v>
      </c>
      <c r="D348" t="s">
        <v>2850</v>
      </c>
      <c r="E348">
        <v>1</v>
      </c>
      <c r="G348">
        <v>10.1</v>
      </c>
      <c r="H348" t="s">
        <v>2851</v>
      </c>
      <c r="I348">
        <v>1</v>
      </c>
      <c r="J348" t="s">
        <v>1918</v>
      </c>
      <c r="K348">
        <v>0</v>
      </c>
      <c r="M348">
        <v>5</v>
      </c>
    </row>
    <row r="349" spans="1:13">
      <c r="A349" t="s">
        <v>2852</v>
      </c>
      <c r="B349" t="s">
        <v>2852</v>
      </c>
      <c r="C349" t="s">
        <v>1560</v>
      </c>
      <c r="D349" t="s">
        <v>2853</v>
      </c>
      <c r="E349">
        <v>2</v>
      </c>
      <c r="G349">
        <v>118.9</v>
      </c>
      <c r="H349" t="s">
        <v>2854</v>
      </c>
      <c r="I349">
        <v>1</v>
      </c>
      <c r="J349" t="s">
        <v>1918</v>
      </c>
      <c r="K349">
        <v>0</v>
      </c>
      <c r="M349">
        <v>3</v>
      </c>
    </row>
    <row r="350" spans="1:13">
      <c r="A350" t="s">
        <v>2855</v>
      </c>
      <c r="B350" t="s">
        <v>2855</v>
      </c>
      <c r="C350" t="s">
        <v>1561</v>
      </c>
      <c r="E350">
        <v>2</v>
      </c>
      <c r="G350">
        <v>6.1</v>
      </c>
      <c r="H350" t="s">
        <v>2856</v>
      </c>
      <c r="I350">
        <v>1</v>
      </c>
      <c r="J350" t="s">
        <v>1918</v>
      </c>
      <c r="K350">
        <v>0</v>
      </c>
      <c r="M350">
        <v>3</v>
      </c>
    </row>
    <row r="351" spans="1:13">
      <c r="A351" t="s">
        <v>2857</v>
      </c>
      <c r="B351" t="s">
        <v>2857</v>
      </c>
      <c r="C351" t="s">
        <v>1562</v>
      </c>
      <c r="D351" t="s">
        <v>2858</v>
      </c>
      <c r="E351">
        <v>1</v>
      </c>
      <c r="G351">
        <v>6.1</v>
      </c>
      <c r="H351" t="s">
        <v>2859</v>
      </c>
      <c r="I351">
        <v>1</v>
      </c>
      <c r="J351" t="s">
        <v>1918</v>
      </c>
      <c r="K351">
        <v>2</v>
      </c>
      <c r="M351">
        <v>6</v>
      </c>
    </row>
    <row r="352" spans="1:13">
      <c r="A352" t="s">
        <v>2860</v>
      </c>
      <c r="B352" t="s">
        <v>2860</v>
      </c>
      <c r="C352" t="s">
        <v>1563</v>
      </c>
      <c r="E352">
        <v>2</v>
      </c>
      <c r="G352">
        <v>17</v>
      </c>
      <c r="H352" t="s">
        <v>2861</v>
      </c>
      <c r="I352">
        <v>1</v>
      </c>
      <c r="J352" t="s">
        <v>1918</v>
      </c>
      <c r="K352">
        <v>2</v>
      </c>
      <c r="M352">
        <v>3</v>
      </c>
    </row>
    <row r="353" spans="1:13">
      <c r="A353" t="s">
        <v>2862</v>
      </c>
      <c r="B353" t="s">
        <v>2862</v>
      </c>
      <c r="C353" t="s">
        <v>1564</v>
      </c>
      <c r="D353" t="s">
        <v>2863</v>
      </c>
      <c r="E353">
        <v>1</v>
      </c>
      <c r="G353">
        <v>10.4</v>
      </c>
      <c r="H353" t="s">
        <v>2864</v>
      </c>
      <c r="I353">
        <v>2</v>
      </c>
      <c r="J353" t="s">
        <v>835</v>
      </c>
      <c r="K353">
        <v>0</v>
      </c>
      <c r="M353">
        <v>1</v>
      </c>
    </row>
    <row r="354" spans="1:13">
      <c r="A354" t="s">
        <v>2865</v>
      </c>
      <c r="B354" t="s">
        <v>2865</v>
      </c>
      <c r="C354" t="s">
        <v>1565</v>
      </c>
      <c r="D354" t="s">
        <v>2866</v>
      </c>
      <c r="E354">
        <v>1</v>
      </c>
      <c r="G354">
        <v>100</v>
      </c>
      <c r="H354" t="s">
        <v>2867</v>
      </c>
      <c r="I354">
        <v>25</v>
      </c>
      <c r="J354" t="s">
        <v>1905</v>
      </c>
      <c r="K354">
        <v>0</v>
      </c>
      <c r="M354">
        <v>9</v>
      </c>
    </row>
    <row r="355" spans="1:13">
      <c r="A355" t="s">
        <v>2868</v>
      </c>
      <c r="B355" t="s">
        <v>2868</v>
      </c>
      <c r="C355" t="s">
        <v>1566</v>
      </c>
      <c r="D355" t="s">
        <v>2869</v>
      </c>
      <c r="E355">
        <v>1</v>
      </c>
      <c r="G355">
        <v>6.1</v>
      </c>
      <c r="H355" t="s">
        <v>2870</v>
      </c>
      <c r="I355">
        <v>1</v>
      </c>
      <c r="J355" t="s">
        <v>1918</v>
      </c>
      <c r="K355">
        <v>0</v>
      </c>
      <c r="M355">
        <v>5</v>
      </c>
    </row>
    <row r="356" spans="1:13">
      <c r="A356" t="s">
        <v>2871</v>
      </c>
      <c r="B356" t="s">
        <v>2871</v>
      </c>
      <c r="C356" t="s">
        <v>719</v>
      </c>
      <c r="D356" t="s">
        <v>2872</v>
      </c>
      <c r="E356">
        <v>1</v>
      </c>
      <c r="G356">
        <v>10.1</v>
      </c>
      <c r="H356" t="s">
        <v>2873</v>
      </c>
      <c r="I356">
        <v>1</v>
      </c>
      <c r="J356" t="s">
        <v>1918</v>
      </c>
      <c r="K356">
        <v>0</v>
      </c>
      <c r="M356">
        <v>5</v>
      </c>
    </row>
    <row r="357" spans="1:13">
      <c r="A357" t="s">
        <v>2874</v>
      </c>
      <c r="B357" t="s">
        <v>2874</v>
      </c>
      <c r="C357" t="s">
        <v>1567</v>
      </c>
      <c r="D357" t="s">
        <v>2875</v>
      </c>
      <c r="E357">
        <v>1</v>
      </c>
      <c r="G357">
        <v>256</v>
      </c>
      <c r="H357" t="s">
        <v>2876</v>
      </c>
      <c r="I357">
        <v>25</v>
      </c>
      <c r="J357" t="s">
        <v>1905</v>
      </c>
      <c r="K357">
        <v>0</v>
      </c>
      <c r="M357">
        <v>10</v>
      </c>
    </row>
    <row r="358" spans="1:13">
      <c r="A358" t="s">
        <v>2877</v>
      </c>
      <c r="B358" t="s">
        <v>2877</v>
      </c>
      <c r="C358" t="s">
        <v>1568</v>
      </c>
      <c r="E358">
        <v>1</v>
      </c>
      <c r="G358">
        <v>9</v>
      </c>
      <c r="H358" t="s">
        <v>2878</v>
      </c>
      <c r="I358">
        <v>1</v>
      </c>
      <c r="J358" t="s">
        <v>1918</v>
      </c>
      <c r="K358">
        <v>0</v>
      </c>
      <c r="M358">
        <v>5</v>
      </c>
    </row>
    <row r="359" spans="1:13">
      <c r="A359" t="s">
        <v>2879</v>
      </c>
      <c r="B359" t="s">
        <v>2879</v>
      </c>
      <c r="C359" t="s">
        <v>1569</v>
      </c>
      <c r="D359" t="s">
        <v>2880</v>
      </c>
      <c r="E359">
        <v>1</v>
      </c>
      <c r="G359">
        <v>6.1</v>
      </c>
      <c r="H359" t="s">
        <v>2881</v>
      </c>
      <c r="I359">
        <v>1</v>
      </c>
      <c r="J359" t="s">
        <v>1918</v>
      </c>
      <c r="K359">
        <v>0</v>
      </c>
      <c r="M359">
        <v>5</v>
      </c>
    </row>
    <row r="360" spans="1:13">
      <c r="A360" t="s">
        <v>2882</v>
      </c>
      <c r="B360" t="s">
        <v>2882</v>
      </c>
      <c r="C360" t="s">
        <v>1570</v>
      </c>
      <c r="D360" t="s">
        <v>2883</v>
      </c>
      <c r="E360">
        <v>1</v>
      </c>
      <c r="G360">
        <v>161.69999999999999</v>
      </c>
      <c r="H360" t="s">
        <v>2884</v>
      </c>
      <c r="I360">
        <v>1</v>
      </c>
      <c r="J360" t="s">
        <v>1918</v>
      </c>
      <c r="K360">
        <v>2</v>
      </c>
      <c r="M360">
        <v>6</v>
      </c>
    </row>
    <row r="361" spans="1:13">
      <c r="A361" t="s">
        <v>2885</v>
      </c>
      <c r="B361" t="s">
        <v>2885</v>
      </c>
      <c r="C361" t="s">
        <v>1571</v>
      </c>
      <c r="D361" t="s">
        <v>2886</v>
      </c>
      <c r="E361">
        <v>2</v>
      </c>
      <c r="G361">
        <v>155.1</v>
      </c>
      <c r="H361" t="s">
        <v>2887</v>
      </c>
      <c r="I361">
        <v>21</v>
      </c>
      <c r="J361" t="s">
        <v>1948</v>
      </c>
      <c r="K361">
        <v>0</v>
      </c>
      <c r="M361">
        <v>15</v>
      </c>
    </row>
    <row r="362" spans="1:13">
      <c r="A362" t="s">
        <v>2888</v>
      </c>
      <c r="B362" t="s">
        <v>2888</v>
      </c>
      <c r="C362" t="s">
        <v>1572</v>
      </c>
      <c r="D362" t="s">
        <v>2889</v>
      </c>
      <c r="E362">
        <v>2</v>
      </c>
      <c r="G362">
        <v>309</v>
      </c>
      <c r="H362" t="s">
        <v>2890</v>
      </c>
      <c r="I362">
        <v>1</v>
      </c>
      <c r="J362" t="s">
        <v>1918</v>
      </c>
      <c r="K362">
        <v>2</v>
      </c>
      <c r="M362">
        <v>3</v>
      </c>
    </row>
    <row r="363" spans="1:13">
      <c r="A363" t="s">
        <v>2891</v>
      </c>
      <c r="B363" t="s">
        <v>2891</v>
      </c>
      <c r="C363" t="s">
        <v>1573</v>
      </c>
      <c r="D363" t="s">
        <v>2892</v>
      </c>
      <c r="E363">
        <v>2</v>
      </c>
      <c r="G363">
        <v>115</v>
      </c>
      <c r="H363" t="s">
        <v>2893</v>
      </c>
      <c r="I363">
        <v>25</v>
      </c>
      <c r="J363" t="s">
        <v>1905</v>
      </c>
      <c r="K363">
        <v>0</v>
      </c>
      <c r="M363">
        <v>15</v>
      </c>
    </row>
    <row r="364" spans="1:13">
      <c r="A364" t="s">
        <v>2894</v>
      </c>
      <c r="B364" t="s">
        <v>2894</v>
      </c>
      <c r="C364" t="s">
        <v>1574</v>
      </c>
      <c r="D364" t="s">
        <v>2895</v>
      </c>
      <c r="E364">
        <v>2</v>
      </c>
      <c r="G364">
        <v>2749</v>
      </c>
      <c r="H364" t="s">
        <v>2896</v>
      </c>
      <c r="I364">
        <v>25</v>
      </c>
      <c r="J364" t="s">
        <v>1905</v>
      </c>
      <c r="K364">
        <v>2</v>
      </c>
      <c r="M364">
        <v>11</v>
      </c>
    </row>
    <row r="365" spans="1:13">
      <c r="A365" t="s">
        <v>2897</v>
      </c>
      <c r="B365" t="s">
        <v>2897</v>
      </c>
      <c r="C365" t="s">
        <v>1575</v>
      </c>
      <c r="D365" t="s">
        <v>2898</v>
      </c>
      <c r="E365">
        <v>2</v>
      </c>
      <c r="G365">
        <v>1841</v>
      </c>
      <c r="H365" t="s">
        <v>2899</v>
      </c>
      <c r="I365">
        <v>25</v>
      </c>
      <c r="J365" t="s">
        <v>1905</v>
      </c>
      <c r="K365">
        <v>2</v>
      </c>
      <c r="M365">
        <v>11</v>
      </c>
    </row>
    <row r="366" spans="1:13">
      <c r="A366" t="s">
        <v>2900</v>
      </c>
      <c r="B366" t="s">
        <v>2900</v>
      </c>
      <c r="C366" t="s">
        <v>1576</v>
      </c>
      <c r="D366" t="s">
        <v>2901</v>
      </c>
      <c r="E366">
        <v>1</v>
      </c>
      <c r="G366">
        <v>9.1999999999999993</v>
      </c>
      <c r="H366" t="s">
        <v>2902</v>
      </c>
      <c r="I366">
        <v>1</v>
      </c>
      <c r="J366" t="s">
        <v>1918</v>
      </c>
      <c r="K366">
        <v>2</v>
      </c>
      <c r="M366">
        <v>6</v>
      </c>
    </row>
    <row r="367" spans="1:13">
      <c r="A367" t="s">
        <v>2903</v>
      </c>
      <c r="B367" t="s">
        <v>2903</v>
      </c>
      <c r="C367" t="s">
        <v>1577</v>
      </c>
      <c r="D367" t="s">
        <v>2904</v>
      </c>
      <c r="E367">
        <v>1</v>
      </c>
      <c r="G367">
        <v>12.8</v>
      </c>
      <c r="H367" t="s">
        <v>2905</v>
      </c>
      <c r="I367">
        <v>1</v>
      </c>
      <c r="J367" t="s">
        <v>1918</v>
      </c>
      <c r="K367">
        <v>2</v>
      </c>
      <c r="M367">
        <v>6</v>
      </c>
    </row>
    <row r="368" spans="1:13">
      <c r="A368" t="s">
        <v>2906</v>
      </c>
      <c r="B368" t="s">
        <v>2906</v>
      </c>
      <c r="C368" t="s">
        <v>1579</v>
      </c>
      <c r="D368" t="s">
        <v>2907</v>
      </c>
      <c r="E368">
        <v>1</v>
      </c>
      <c r="G368">
        <v>192</v>
      </c>
      <c r="H368" t="s">
        <v>2908</v>
      </c>
      <c r="I368">
        <v>25</v>
      </c>
      <c r="J368" t="s">
        <v>1905</v>
      </c>
      <c r="K368">
        <v>2</v>
      </c>
      <c r="M368">
        <v>9</v>
      </c>
    </row>
    <row r="369" spans="1:13">
      <c r="A369" t="s">
        <v>2909</v>
      </c>
      <c r="B369" t="s">
        <v>2909</v>
      </c>
      <c r="C369" t="s">
        <v>692</v>
      </c>
      <c r="D369" t="s">
        <v>2910</v>
      </c>
      <c r="E369">
        <v>1</v>
      </c>
      <c r="G369">
        <v>6.5</v>
      </c>
      <c r="H369" t="s">
        <v>2911</v>
      </c>
      <c r="I369">
        <v>3</v>
      </c>
      <c r="J369" t="s">
        <v>1941</v>
      </c>
      <c r="K369">
        <v>2</v>
      </c>
      <c r="M369">
        <v>3</v>
      </c>
    </row>
    <row r="370" spans="1:13">
      <c r="A370" t="s">
        <v>2912</v>
      </c>
      <c r="B370" t="s">
        <v>2912</v>
      </c>
      <c r="C370" t="s">
        <v>1580</v>
      </c>
      <c r="E370">
        <v>1</v>
      </c>
      <c r="G370">
        <v>6.1</v>
      </c>
      <c r="H370" t="s">
        <v>2913</v>
      </c>
      <c r="I370">
        <v>1</v>
      </c>
      <c r="J370" t="s">
        <v>1918</v>
      </c>
      <c r="K370">
        <v>0</v>
      </c>
      <c r="M370">
        <v>5</v>
      </c>
    </row>
    <row r="371" spans="1:13">
      <c r="A371" t="s">
        <v>2914</v>
      </c>
      <c r="B371" t="s">
        <v>2914</v>
      </c>
      <c r="C371" t="s">
        <v>1581</v>
      </c>
      <c r="E371">
        <v>1</v>
      </c>
      <c r="G371">
        <v>76.5</v>
      </c>
      <c r="H371" t="s">
        <v>2915</v>
      </c>
      <c r="I371">
        <v>12</v>
      </c>
      <c r="J371" t="s">
        <v>2250</v>
      </c>
      <c r="K371">
        <v>0</v>
      </c>
      <c r="M371">
        <v>3</v>
      </c>
    </row>
    <row r="372" spans="1:13">
      <c r="A372" t="s">
        <v>2916</v>
      </c>
      <c r="B372" t="s">
        <v>2916</v>
      </c>
      <c r="C372" t="s">
        <v>739</v>
      </c>
      <c r="D372" t="s">
        <v>2917</v>
      </c>
      <c r="E372">
        <v>1</v>
      </c>
      <c r="G372">
        <v>10.4</v>
      </c>
      <c r="H372" t="s">
        <v>2918</v>
      </c>
      <c r="I372">
        <v>1</v>
      </c>
      <c r="J372" t="s">
        <v>1918</v>
      </c>
      <c r="K372">
        <v>0</v>
      </c>
      <c r="M372">
        <v>5</v>
      </c>
    </row>
    <row r="373" spans="1:13">
      <c r="A373" t="s">
        <v>2919</v>
      </c>
      <c r="B373" t="s">
        <v>2919</v>
      </c>
      <c r="C373" t="s">
        <v>1582</v>
      </c>
      <c r="D373" t="s">
        <v>2920</v>
      </c>
      <c r="E373">
        <v>2</v>
      </c>
      <c r="G373">
        <v>10.7</v>
      </c>
      <c r="H373" t="s">
        <v>2921</v>
      </c>
      <c r="I373">
        <v>3</v>
      </c>
      <c r="J373" t="s">
        <v>1941</v>
      </c>
      <c r="K373">
        <v>0</v>
      </c>
      <c r="M373">
        <v>2</v>
      </c>
    </row>
    <row r="374" spans="1:13">
      <c r="A374" t="s">
        <v>2922</v>
      </c>
      <c r="B374" t="s">
        <v>2922</v>
      </c>
      <c r="C374" t="s">
        <v>1583</v>
      </c>
      <c r="D374" t="s">
        <v>2923</v>
      </c>
      <c r="E374">
        <v>1</v>
      </c>
      <c r="G374">
        <v>6.1</v>
      </c>
      <c r="H374" t="s">
        <v>2924</v>
      </c>
      <c r="I374">
        <v>1</v>
      </c>
      <c r="J374" t="s">
        <v>1918</v>
      </c>
      <c r="K374">
        <v>0</v>
      </c>
      <c r="M374">
        <v>5</v>
      </c>
    </row>
    <row r="375" spans="1:13">
      <c r="A375" t="s">
        <v>2925</v>
      </c>
      <c r="B375" t="s">
        <v>2925</v>
      </c>
      <c r="C375" t="s">
        <v>1584</v>
      </c>
      <c r="D375" t="s">
        <v>2926</v>
      </c>
      <c r="E375">
        <v>1</v>
      </c>
      <c r="G375">
        <v>10.1</v>
      </c>
      <c r="H375" t="s">
        <v>2927</v>
      </c>
      <c r="I375">
        <v>1</v>
      </c>
      <c r="J375" t="s">
        <v>1918</v>
      </c>
      <c r="K375">
        <v>0</v>
      </c>
      <c r="M375">
        <v>5</v>
      </c>
    </row>
    <row r="376" spans="1:13">
      <c r="A376" t="s">
        <v>2928</v>
      </c>
      <c r="B376" t="s">
        <v>2928</v>
      </c>
      <c r="C376" t="s">
        <v>1585</v>
      </c>
      <c r="D376" t="s">
        <v>2929</v>
      </c>
      <c r="E376">
        <v>1</v>
      </c>
      <c r="G376">
        <v>16</v>
      </c>
      <c r="H376" t="s">
        <v>2930</v>
      </c>
      <c r="I376">
        <v>15</v>
      </c>
      <c r="J376" t="s">
        <v>1909</v>
      </c>
      <c r="K376">
        <v>0</v>
      </c>
      <c r="M376">
        <v>3</v>
      </c>
    </row>
    <row r="377" spans="1:13">
      <c r="A377" t="s">
        <v>2931</v>
      </c>
      <c r="B377" t="s">
        <v>2931</v>
      </c>
      <c r="C377" t="s">
        <v>744</v>
      </c>
      <c r="D377" t="s">
        <v>2932</v>
      </c>
      <c r="E377">
        <v>1</v>
      </c>
      <c r="G377">
        <v>22.1</v>
      </c>
      <c r="H377" t="s">
        <v>2933</v>
      </c>
      <c r="I377">
        <v>17</v>
      </c>
      <c r="J377" t="s">
        <v>2093</v>
      </c>
      <c r="K377">
        <v>0</v>
      </c>
      <c r="M377">
        <v>15</v>
      </c>
    </row>
    <row r="378" spans="1:13">
      <c r="A378" t="s">
        <v>2934</v>
      </c>
      <c r="B378" t="s">
        <v>2934</v>
      </c>
      <c r="C378" t="s">
        <v>1586</v>
      </c>
      <c r="D378" t="s">
        <v>2935</v>
      </c>
      <c r="E378">
        <v>1</v>
      </c>
      <c r="G378">
        <v>10</v>
      </c>
      <c r="H378" t="s">
        <v>2936</v>
      </c>
      <c r="I378">
        <v>1</v>
      </c>
      <c r="J378" t="s">
        <v>1918</v>
      </c>
      <c r="K378">
        <v>2</v>
      </c>
      <c r="M378">
        <v>1</v>
      </c>
    </row>
    <row r="379" spans="1:13">
      <c r="A379" t="s">
        <v>2937</v>
      </c>
      <c r="B379" t="s">
        <v>2937</v>
      </c>
      <c r="C379" t="s">
        <v>1587</v>
      </c>
      <c r="D379" t="s">
        <v>2938</v>
      </c>
      <c r="E379">
        <v>1</v>
      </c>
      <c r="G379">
        <v>8.3000000000000007</v>
      </c>
      <c r="H379" t="s">
        <v>2939</v>
      </c>
      <c r="I379">
        <v>2</v>
      </c>
      <c r="J379" t="s">
        <v>835</v>
      </c>
      <c r="K379">
        <v>2</v>
      </c>
      <c r="M379">
        <v>1</v>
      </c>
    </row>
    <row r="380" spans="1:13">
      <c r="A380" t="s">
        <v>2940</v>
      </c>
      <c r="B380" t="s">
        <v>2940</v>
      </c>
      <c r="C380" t="s">
        <v>1588</v>
      </c>
      <c r="D380" t="s">
        <v>2941</v>
      </c>
      <c r="E380">
        <v>1</v>
      </c>
      <c r="G380">
        <v>1.47</v>
      </c>
      <c r="H380" t="s">
        <v>2942</v>
      </c>
      <c r="I380">
        <v>3</v>
      </c>
      <c r="J380" t="s">
        <v>1941</v>
      </c>
      <c r="K380">
        <v>0</v>
      </c>
      <c r="M380">
        <v>2</v>
      </c>
    </row>
    <row r="381" spans="1:13">
      <c r="A381" t="s">
        <v>2943</v>
      </c>
      <c r="B381" t="s">
        <v>2943</v>
      </c>
      <c r="C381" t="s">
        <v>1589</v>
      </c>
      <c r="E381">
        <v>2</v>
      </c>
      <c r="G381">
        <v>296.10000000000002</v>
      </c>
      <c r="H381" t="s">
        <v>2944</v>
      </c>
      <c r="I381">
        <v>19</v>
      </c>
      <c r="J381" t="s">
        <v>1982</v>
      </c>
      <c r="K381">
        <v>2</v>
      </c>
      <c r="M381">
        <v>3</v>
      </c>
    </row>
    <row r="382" spans="1:13">
      <c r="A382" t="s">
        <v>2945</v>
      </c>
      <c r="B382" t="s">
        <v>2945</v>
      </c>
      <c r="C382" t="s">
        <v>1590</v>
      </c>
      <c r="D382" t="s">
        <v>2946</v>
      </c>
      <c r="E382">
        <v>2</v>
      </c>
      <c r="G382">
        <v>4735</v>
      </c>
      <c r="H382" t="s">
        <v>2947</v>
      </c>
      <c r="I382">
        <v>25</v>
      </c>
      <c r="J382" t="s">
        <v>1905</v>
      </c>
      <c r="K382">
        <v>2</v>
      </c>
      <c r="M382">
        <v>15</v>
      </c>
    </row>
    <row r="383" spans="1:13">
      <c r="A383" t="s">
        <v>2948</v>
      </c>
      <c r="B383" t="s">
        <v>2948</v>
      </c>
      <c r="C383" t="s">
        <v>1591</v>
      </c>
      <c r="D383" t="s">
        <v>2949</v>
      </c>
      <c r="E383">
        <v>1</v>
      </c>
      <c r="G383">
        <v>6.1</v>
      </c>
      <c r="H383" t="s">
        <v>2950</v>
      </c>
      <c r="I383">
        <v>1</v>
      </c>
      <c r="J383" t="s">
        <v>1918</v>
      </c>
      <c r="K383">
        <v>0</v>
      </c>
      <c r="M383">
        <v>5</v>
      </c>
    </row>
    <row r="384" spans="1:13">
      <c r="A384" t="s">
        <v>2951</v>
      </c>
      <c r="B384" t="s">
        <v>2951</v>
      </c>
      <c r="C384" t="s">
        <v>1592</v>
      </c>
      <c r="D384" t="s">
        <v>2952</v>
      </c>
      <c r="E384">
        <v>1</v>
      </c>
      <c r="G384">
        <v>6.7</v>
      </c>
      <c r="H384" t="s">
        <v>2953</v>
      </c>
      <c r="I384">
        <v>1</v>
      </c>
      <c r="J384" t="s">
        <v>1918</v>
      </c>
      <c r="K384">
        <v>0</v>
      </c>
      <c r="M384">
        <v>5</v>
      </c>
    </row>
    <row r="385" spans="1:13">
      <c r="A385" t="s">
        <v>2954</v>
      </c>
      <c r="B385" t="s">
        <v>2954</v>
      </c>
      <c r="C385" t="s">
        <v>1593</v>
      </c>
      <c r="D385" t="s">
        <v>2955</v>
      </c>
      <c r="E385">
        <v>1</v>
      </c>
      <c r="G385">
        <v>2.9</v>
      </c>
      <c r="H385" t="s">
        <v>2956</v>
      </c>
      <c r="I385">
        <v>15</v>
      </c>
      <c r="J385" t="s">
        <v>1909</v>
      </c>
      <c r="K385">
        <v>0</v>
      </c>
      <c r="M385">
        <v>3</v>
      </c>
    </row>
    <row r="386" spans="1:13">
      <c r="A386" t="s">
        <v>2957</v>
      </c>
      <c r="B386" t="s">
        <v>2957</v>
      </c>
      <c r="C386" t="s">
        <v>1594</v>
      </c>
      <c r="E386">
        <v>1</v>
      </c>
      <c r="G386">
        <v>10.4</v>
      </c>
      <c r="H386" t="s">
        <v>2958</v>
      </c>
      <c r="I386">
        <v>1</v>
      </c>
      <c r="J386" t="s">
        <v>1918</v>
      </c>
      <c r="K386">
        <v>2</v>
      </c>
      <c r="M386">
        <v>6</v>
      </c>
    </row>
    <row r="387" spans="1:13">
      <c r="A387" t="s">
        <v>2959</v>
      </c>
      <c r="B387" t="s">
        <v>2959</v>
      </c>
      <c r="C387" t="s">
        <v>1595</v>
      </c>
      <c r="D387" t="s">
        <v>2960</v>
      </c>
      <c r="E387">
        <v>2</v>
      </c>
      <c r="G387">
        <v>814.8</v>
      </c>
      <c r="H387" t="s">
        <v>2961</v>
      </c>
      <c r="I387">
        <v>2</v>
      </c>
      <c r="J387" t="s">
        <v>835</v>
      </c>
      <c r="K387">
        <v>0</v>
      </c>
      <c r="M387">
        <v>3</v>
      </c>
    </row>
    <row r="388" spans="1:13">
      <c r="A388" t="s">
        <v>2962</v>
      </c>
      <c r="B388" t="s">
        <v>2962</v>
      </c>
      <c r="C388" t="s">
        <v>757</v>
      </c>
      <c r="D388" t="s">
        <v>2963</v>
      </c>
      <c r="E388">
        <v>1</v>
      </c>
      <c r="G388">
        <v>14.7</v>
      </c>
      <c r="H388" t="s">
        <v>2964</v>
      </c>
      <c r="I388">
        <v>1</v>
      </c>
      <c r="J388" t="s">
        <v>1918</v>
      </c>
      <c r="K388">
        <v>0</v>
      </c>
      <c r="M388">
        <v>5</v>
      </c>
    </row>
    <row r="389" spans="1:13">
      <c r="A389" t="s">
        <v>2965</v>
      </c>
      <c r="B389" t="s">
        <v>2965</v>
      </c>
      <c r="C389" t="s">
        <v>1596</v>
      </c>
      <c r="D389" t="s">
        <v>2966</v>
      </c>
      <c r="E389">
        <v>1</v>
      </c>
      <c r="G389">
        <v>100</v>
      </c>
      <c r="H389" t="s">
        <v>2967</v>
      </c>
      <c r="I389">
        <v>25</v>
      </c>
      <c r="J389" t="s">
        <v>1905</v>
      </c>
      <c r="K389">
        <v>0</v>
      </c>
      <c r="M389">
        <v>15</v>
      </c>
    </row>
    <row r="390" spans="1:13">
      <c r="A390" t="s">
        <v>2968</v>
      </c>
      <c r="B390" t="s">
        <v>2968</v>
      </c>
      <c r="C390" t="s">
        <v>1597</v>
      </c>
      <c r="D390" t="s">
        <v>2969</v>
      </c>
      <c r="E390">
        <v>1</v>
      </c>
      <c r="G390">
        <v>61</v>
      </c>
      <c r="H390" t="s">
        <v>2970</v>
      </c>
      <c r="I390">
        <v>25</v>
      </c>
      <c r="J390" t="s">
        <v>1905</v>
      </c>
      <c r="K390">
        <v>0</v>
      </c>
      <c r="M390">
        <v>8</v>
      </c>
    </row>
    <row r="391" spans="1:13">
      <c r="A391" t="s">
        <v>2971</v>
      </c>
      <c r="B391" t="s">
        <v>2971</v>
      </c>
      <c r="C391" t="s">
        <v>1598</v>
      </c>
      <c r="E391">
        <v>1</v>
      </c>
      <c r="G391">
        <v>45.5</v>
      </c>
      <c r="H391" t="s">
        <v>2972</v>
      </c>
      <c r="I391">
        <v>14</v>
      </c>
      <c r="J391" t="s">
        <v>1901</v>
      </c>
      <c r="K391">
        <v>0</v>
      </c>
      <c r="M391">
        <v>3</v>
      </c>
    </row>
    <row r="392" spans="1:13">
      <c r="A392" t="s">
        <v>2973</v>
      </c>
      <c r="B392" t="s">
        <v>2973</v>
      </c>
      <c r="C392" t="s">
        <v>1599</v>
      </c>
      <c r="D392" t="s">
        <v>2974</v>
      </c>
      <c r="E392">
        <v>1</v>
      </c>
      <c r="G392">
        <v>28.5</v>
      </c>
      <c r="H392" t="s">
        <v>2975</v>
      </c>
      <c r="I392">
        <v>1</v>
      </c>
      <c r="J392" t="s">
        <v>1918</v>
      </c>
      <c r="K392">
        <v>0</v>
      </c>
      <c r="M392">
        <v>5</v>
      </c>
    </row>
    <row r="393" spans="1:13">
      <c r="A393" t="s">
        <v>2976</v>
      </c>
      <c r="B393" t="s">
        <v>2976</v>
      </c>
      <c r="C393" t="s">
        <v>765</v>
      </c>
      <c r="E393">
        <v>1</v>
      </c>
      <c r="G393">
        <v>6</v>
      </c>
      <c r="H393" t="s">
        <v>2977</v>
      </c>
      <c r="I393">
        <v>1</v>
      </c>
      <c r="J393" t="s">
        <v>1918</v>
      </c>
      <c r="K393">
        <v>0</v>
      </c>
      <c r="M393">
        <v>5</v>
      </c>
    </row>
    <row r="394" spans="1:13">
      <c r="A394" t="s">
        <v>2978</v>
      </c>
      <c r="B394" t="s">
        <v>2978</v>
      </c>
      <c r="C394" t="s">
        <v>1601</v>
      </c>
      <c r="D394" t="s">
        <v>2979</v>
      </c>
      <c r="E394">
        <v>2</v>
      </c>
      <c r="G394">
        <v>201.1</v>
      </c>
      <c r="H394" t="s">
        <v>2980</v>
      </c>
      <c r="I394">
        <v>1</v>
      </c>
      <c r="J394" t="s">
        <v>1918</v>
      </c>
      <c r="K394">
        <v>2</v>
      </c>
      <c r="M394">
        <v>3</v>
      </c>
    </row>
    <row r="395" spans="1:13">
      <c r="A395" t="s">
        <v>2981</v>
      </c>
      <c r="B395" t="s">
        <v>2981</v>
      </c>
      <c r="C395" t="s">
        <v>1602</v>
      </c>
      <c r="D395" t="s">
        <v>2982</v>
      </c>
      <c r="E395">
        <v>1</v>
      </c>
      <c r="G395">
        <v>100</v>
      </c>
      <c r="H395" t="s">
        <v>2983</v>
      </c>
      <c r="I395">
        <v>25</v>
      </c>
      <c r="J395" t="s">
        <v>1905</v>
      </c>
      <c r="K395">
        <v>2</v>
      </c>
      <c r="M395">
        <v>9</v>
      </c>
    </row>
    <row r="396" spans="1:13">
      <c r="A396" t="s">
        <v>2984</v>
      </c>
      <c r="B396" t="s">
        <v>2984</v>
      </c>
      <c r="C396" t="s">
        <v>1603</v>
      </c>
      <c r="E396">
        <v>1</v>
      </c>
      <c r="G396">
        <v>12.3</v>
      </c>
      <c r="H396" t="s">
        <v>2985</v>
      </c>
      <c r="I396">
        <v>1</v>
      </c>
      <c r="J396" t="s">
        <v>1918</v>
      </c>
      <c r="K396">
        <v>2</v>
      </c>
      <c r="M396">
        <v>6</v>
      </c>
    </row>
    <row r="397" spans="1:13">
      <c r="A397" t="s">
        <v>2986</v>
      </c>
      <c r="B397" t="s">
        <v>2986</v>
      </c>
      <c r="C397" t="s">
        <v>1604</v>
      </c>
      <c r="D397" t="s">
        <v>2987</v>
      </c>
      <c r="E397">
        <v>1</v>
      </c>
      <c r="G397">
        <v>33.700000000000003</v>
      </c>
      <c r="H397" t="s">
        <v>2988</v>
      </c>
      <c r="I397">
        <v>1</v>
      </c>
      <c r="J397" t="s">
        <v>1918</v>
      </c>
      <c r="K397">
        <v>2</v>
      </c>
      <c r="M397">
        <v>6</v>
      </c>
    </row>
    <row r="398" spans="1:13">
      <c r="A398" t="s">
        <v>2989</v>
      </c>
      <c r="B398" t="s">
        <v>2989</v>
      </c>
      <c r="C398" t="s">
        <v>1605</v>
      </c>
      <c r="E398">
        <v>1</v>
      </c>
      <c r="G398">
        <v>12538.6</v>
      </c>
      <c r="H398" t="s">
        <v>2990</v>
      </c>
      <c r="I398">
        <v>24</v>
      </c>
      <c r="J398" t="s">
        <v>2059</v>
      </c>
      <c r="K398">
        <v>2</v>
      </c>
      <c r="M398">
        <v>6</v>
      </c>
    </row>
    <row r="399" spans="1:13">
      <c r="A399" t="s">
        <v>2991</v>
      </c>
      <c r="B399" t="s">
        <v>2991</v>
      </c>
      <c r="C399" t="s">
        <v>1606</v>
      </c>
      <c r="E399">
        <v>1</v>
      </c>
      <c r="G399">
        <v>19805.5</v>
      </c>
      <c r="H399" t="s">
        <v>2992</v>
      </c>
      <c r="I399">
        <v>24</v>
      </c>
      <c r="J399" t="s">
        <v>2059</v>
      </c>
      <c r="K399">
        <v>2</v>
      </c>
      <c r="M399">
        <v>6</v>
      </c>
    </row>
    <row r="400" spans="1:13">
      <c r="A400" t="s">
        <v>2993</v>
      </c>
      <c r="B400" t="s">
        <v>2993</v>
      </c>
      <c r="C400" t="s">
        <v>1607</v>
      </c>
      <c r="D400" t="s">
        <v>2994</v>
      </c>
      <c r="E400">
        <v>1</v>
      </c>
      <c r="G400">
        <v>2.09</v>
      </c>
      <c r="H400" t="s">
        <v>2995</v>
      </c>
      <c r="I400">
        <v>24</v>
      </c>
      <c r="J400" t="s">
        <v>2059</v>
      </c>
      <c r="K400">
        <v>0</v>
      </c>
      <c r="M400">
        <v>7</v>
      </c>
    </row>
    <row r="401" spans="1:13">
      <c r="A401" t="s">
        <v>2996</v>
      </c>
      <c r="B401" t="s">
        <v>2996</v>
      </c>
      <c r="C401" t="s">
        <v>1608</v>
      </c>
      <c r="D401" t="s">
        <v>2997</v>
      </c>
      <c r="E401">
        <v>1</v>
      </c>
      <c r="G401">
        <v>5.9</v>
      </c>
      <c r="H401" t="s">
        <v>2998</v>
      </c>
      <c r="I401">
        <v>1</v>
      </c>
      <c r="J401" t="s">
        <v>1918</v>
      </c>
      <c r="K401">
        <v>0</v>
      </c>
      <c r="M401">
        <v>5</v>
      </c>
    </row>
    <row r="402" spans="1:13">
      <c r="A402" t="s">
        <v>2999</v>
      </c>
      <c r="B402" t="s">
        <v>2999</v>
      </c>
      <c r="C402" t="s">
        <v>1609</v>
      </c>
      <c r="D402" t="s">
        <v>3000</v>
      </c>
      <c r="E402">
        <v>1</v>
      </c>
      <c r="G402">
        <v>42.6</v>
      </c>
      <c r="H402" t="s">
        <v>3001</v>
      </c>
      <c r="I402">
        <v>1</v>
      </c>
      <c r="J402" t="s">
        <v>1918</v>
      </c>
      <c r="K402">
        <v>0</v>
      </c>
      <c r="M402">
        <v>1</v>
      </c>
    </row>
    <row r="403" spans="1:13">
      <c r="A403" t="s">
        <v>3002</v>
      </c>
      <c r="B403" t="s">
        <v>3002</v>
      </c>
      <c r="C403" t="s">
        <v>1610</v>
      </c>
      <c r="D403" t="s">
        <v>3003</v>
      </c>
      <c r="E403">
        <v>2</v>
      </c>
      <c r="G403">
        <v>10.1</v>
      </c>
      <c r="H403" t="s">
        <v>3004</v>
      </c>
      <c r="I403">
        <v>1</v>
      </c>
      <c r="J403" t="s">
        <v>1918</v>
      </c>
      <c r="K403">
        <v>2</v>
      </c>
      <c r="M403">
        <v>15</v>
      </c>
    </row>
    <row r="404" spans="1:13">
      <c r="A404" t="s">
        <v>3005</v>
      </c>
      <c r="B404" t="s">
        <v>3005</v>
      </c>
      <c r="C404" t="s">
        <v>1611</v>
      </c>
      <c r="D404" t="s">
        <v>3006</v>
      </c>
      <c r="E404">
        <v>1</v>
      </c>
      <c r="G404">
        <v>4691</v>
      </c>
      <c r="H404" t="s">
        <v>3007</v>
      </c>
      <c r="I404">
        <v>25</v>
      </c>
      <c r="J404" t="s">
        <v>1905</v>
      </c>
      <c r="K404">
        <v>2</v>
      </c>
      <c r="M404">
        <v>8</v>
      </c>
    </row>
    <row r="405" spans="1:13">
      <c r="A405" t="s">
        <v>3008</v>
      </c>
      <c r="B405" t="s">
        <v>3008</v>
      </c>
      <c r="C405" t="s">
        <v>1612</v>
      </c>
      <c r="E405">
        <v>1</v>
      </c>
      <c r="G405">
        <v>67.5</v>
      </c>
      <c r="H405" t="s">
        <v>3009</v>
      </c>
      <c r="I405">
        <v>1</v>
      </c>
      <c r="J405" t="s">
        <v>1918</v>
      </c>
      <c r="K405">
        <v>0</v>
      </c>
      <c r="M405">
        <v>1</v>
      </c>
    </row>
    <row r="406" spans="1:13">
      <c r="A406" t="s">
        <v>3010</v>
      </c>
      <c r="B406" t="s">
        <v>3010</v>
      </c>
      <c r="C406" t="s">
        <v>1613</v>
      </c>
      <c r="D406" t="s">
        <v>3011</v>
      </c>
      <c r="E406">
        <v>1</v>
      </c>
      <c r="G406">
        <v>14.3</v>
      </c>
      <c r="H406" t="s">
        <v>3012</v>
      </c>
      <c r="I406">
        <v>1</v>
      </c>
      <c r="J406" t="s">
        <v>1918</v>
      </c>
      <c r="K406">
        <v>0</v>
      </c>
      <c r="M406">
        <v>5</v>
      </c>
    </row>
    <row r="407" spans="1:13">
      <c r="A407" t="s">
        <v>3013</v>
      </c>
      <c r="B407" t="s">
        <v>3013</v>
      </c>
      <c r="C407" t="s">
        <v>782</v>
      </c>
      <c r="E407">
        <v>1</v>
      </c>
      <c r="G407">
        <v>7</v>
      </c>
      <c r="H407" t="s">
        <v>3014</v>
      </c>
      <c r="I407">
        <v>6</v>
      </c>
      <c r="J407" t="s">
        <v>3015</v>
      </c>
      <c r="K407">
        <v>0</v>
      </c>
      <c r="M407">
        <v>13</v>
      </c>
    </row>
    <row r="408" spans="1:13">
      <c r="A408" t="s">
        <v>3016</v>
      </c>
      <c r="B408" t="s">
        <v>3016</v>
      </c>
      <c r="C408" t="s">
        <v>785</v>
      </c>
      <c r="D408" t="s">
        <v>3017</v>
      </c>
      <c r="E408">
        <v>1</v>
      </c>
      <c r="G408">
        <v>554</v>
      </c>
      <c r="H408" t="s">
        <v>3018</v>
      </c>
      <c r="I408">
        <v>25</v>
      </c>
      <c r="J408" t="s">
        <v>1905</v>
      </c>
      <c r="K408">
        <v>0</v>
      </c>
      <c r="M408">
        <v>10</v>
      </c>
    </row>
    <row r="409" spans="1:13">
      <c r="A409" t="s">
        <v>3019</v>
      </c>
      <c r="B409" t="s">
        <v>3019</v>
      </c>
      <c r="C409" t="s">
        <v>1614</v>
      </c>
      <c r="E409">
        <v>1</v>
      </c>
      <c r="G409">
        <v>14.6</v>
      </c>
      <c r="H409" t="s">
        <v>3020</v>
      </c>
      <c r="I409">
        <v>1</v>
      </c>
      <c r="J409" t="s">
        <v>1918</v>
      </c>
      <c r="K409">
        <v>2</v>
      </c>
      <c r="M409">
        <v>6</v>
      </c>
    </row>
    <row r="410" spans="1:13">
      <c r="A410" t="s">
        <v>3021</v>
      </c>
      <c r="B410" t="s">
        <v>3021</v>
      </c>
      <c r="C410" t="s">
        <v>1615</v>
      </c>
      <c r="D410" t="s">
        <v>3022</v>
      </c>
      <c r="E410">
        <v>1</v>
      </c>
      <c r="G410">
        <v>6.2</v>
      </c>
      <c r="H410" t="s">
        <v>3023</v>
      </c>
      <c r="I410">
        <v>1</v>
      </c>
      <c r="J410" t="s">
        <v>1918</v>
      </c>
      <c r="K410">
        <v>2</v>
      </c>
      <c r="M410">
        <v>6</v>
      </c>
    </row>
    <row r="411" spans="1:13">
      <c r="A411" t="s">
        <v>3024</v>
      </c>
      <c r="B411" t="s">
        <v>3024</v>
      </c>
      <c r="C411" t="s">
        <v>1616</v>
      </c>
      <c r="D411" t="s">
        <v>3025</v>
      </c>
      <c r="E411">
        <v>1</v>
      </c>
      <c r="G411">
        <v>6.3</v>
      </c>
      <c r="H411" t="s">
        <v>3026</v>
      </c>
      <c r="I411">
        <v>1</v>
      </c>
      <c r="J411" t="s">
        <v>1918</v>
      </c>
      <c r="K411">
        <v>2</v>
      </c>
      <c r="M411">
        <v>6</v>
      </c>
    </row>
    <row r="412" spans="1:13">
      <c r="A412" t="s">
        <v>3027</v>
      </c>
      <c r="B412" t="s">
        <v>3027</v>
      </c>
      <c r="C412" t="s">
        <v>1617</v>
      </c>
      <c r="D412" t="s">
        <v>3028</v>
      </c>
      <c r="E412">
        <v>1</v>
      </c>
      <c r="G412">
        <v>6.3</v>
      </c>
      <c r="H412" t="s">
        <v>3029</v>
      </c>
      <c r="I412">
        <v>1</v>
      </c>
      <c r="J412" t="s">
        <v>1918</v>
      </c>
      <c r="K412">
        <v>2</v>
      </c>
      <c r="M412">
        <v>6</v>
      </c>
    </row>
    <row r="413" spans="1:13">
      <c r="A413" t="s">
        <v>3030</v>
      </c>
      <c r="B413" t="s">
        <v>3030</v>
      </c>
      <c r="C413" t="s">
        <v>1618</v>
      </c>
      <c r="D413" t="s">
        <v>3031</v>
      </c>
      <c r="E413">
        <v>1</v>
      </c>
      <c r="G413">
        <v>6.6</v>
      </c>
      <c r="H413" t="s">
        <v>3032</v>
      </c>
      <c r="I413">
        <v>1</v>
      </c>
      <c r="J413" t="s">
        <v>1918</v>
      </c>
      <c r="K413">
        <v>2</v>
      </c>
      <c r="M413">
        <v>6</v>
      </c>
    </row>
    <row r="414" spans="1:13">
      <c r="A414" t="s">
        <v>3033</v>
      </c>
      <c r="B414" t="s">
        <v>3033</v>
      </c>
      <c r="C414" t="s">
        <v>1619</v>
      </c>
      <c r="D414" t="s">
        <v>3034</v>
      </c>
      <c r="E414">
        <v>1</v>
      </c>
      <c r="G414">
        <v>10.1</v>
      </c>
      <c r="H414" t="s">
        <v>3035</v>
      </c>
      <c r="I414">
        <v>3</v>
      </c>
      <c r="J414" t="s">
        <v>1941</v>
      </c>
      <c r="K414">
        <v>2</v>
      </c>
      <c r="M414">
        <v>2</v>
      </c>
    </row>
    <row r="415" spans="1:13">
      <c r="A415" t="s">
        <v>3036</v>
      </c>
      <c r="B415" t="s">
        <v>3036</v>
      </c>
      <c r="C415" t="s">
        <v>1620</v>
      </c>
      <c r="D415" t="s">
        <v>3037</v>
      </c>
      <c r="E415">
        <v>1</v>
      </c>
      <c r="G415">
        <v>1443</v>
      </c>
      <c r="H415" t="s">
        <v>3038</v>
      </c>
      <c r="I415">
        <v>25</v>
      </c>
      <c r="J415" t="s">
        <v>1905</v>
      </c>
      <c r="K415">
        <v>2</v>
      </c>
      <c r="M415">
        <v>9</v>
      </c>
    </row>
    <row r="416" spans="1:13">
      <c r="A416" t="s">
        <v>3039</v>
      </c>
      <c r="B416" t="s">
        <v>3039</v>
      </c>
      <c r="C416" t="s">
        <v>1621</v>
      </c>
      <c r="D416" t="s">
        <v>3040</v>
      </c>
      <c r="E416">
        <v>1</v>
      </c>
      <c r="G416">
        <v>2263</v>
      </c>
      <c r="H416" t="s">
        <v>3041</v>
      </c>
      <c r="I416">
        <v>25</v>
      </c>
      <c r="J416" t="s">
        <v>1905</v>
      </c>
      <c r="K416">
        <v>2</v>
      </c>
      <c r="M416">
        <v>9</v>
      </c>
    </row>
    <row r="417" spans="1:13">
      <c r="A417" t="s">
        <v>3042</v>
      </c>
      <c r="B417" t="s">
        <v>3042</v>
      </c>
      <c r="C417" t="s">
        <v>1622</v>
      </c>
      <c r="D417" t="s">
        <v>3043</v>
      </c>
      <c r="E417">
        <v>1</v>
      </c>
      <c r="G417">
        <v>754</v>
      </c>
      <c r="H417" t="s">
        <v>3044</v>
      </c>
      <c r="I417">
        <v>25</v>
      </c>
      <c r="J417" t="s">
        <v>1905</v>
      </c>
      <c r="K417">
        <v>0</v>
      </c>
      <c r="M417">
        <v>8</v>
      </c>
    </row>
    <row r="418" spans="1:13">
      <c r="A418" t="s">
        <v>3045</v>
      </c>
      <c r="B418" t="s">
        <v>3045</v>
      </c>
      <c r="C418" t="s">
        <v>1623</v>
      </c>
      <c r="D418" t="s">
        <v>3046</v>
      </c>
      <c r="E418">
        <v>1</v>
      </c>
      <c r="G418">
        <v>11.1</v>
      </c>
      <c r="H418" t="s">
        <v>3047</v>
      </c>
      <c r="I418">
        <v>3</v>
      </c>
      <c r="J418" t="s">
        <v>1941</v>
      </c>
      <c r="K418">
        <v>0</v>
      </c>
      <c r="M418">
        <v>2</v>
      </c>
    </row>
    <row r="419" spans="1:13">
      <c r="A419" t="s">
        <v>3048</v>
      </c>
      <c r="B419" t="s">
        <v>3048</v>
      </c>
      <c r="C419" t="s">
        <v>1624</v>
      </c>
      <c r="D419" t="s">
        <v>3049</v>
      </c>
      <c r="E419">
        <v>1</v>
      </c>
      <c r="G419">
        <v>10.8</v>
      </c>
      <c r="H419" t="s">
        <v>3050</v>
      </c>
      <c r="I419">
        <v>1</v>
      </c>
      <c r="J419" t="s">
        <v>1918</v>
      </c>
      <c r="K419">
        <v>0</v>
      </c>
      <c r="M419">
        <v>5</v>
      </c>
    </row>
    <row r="420" spans="1:13">
      <c r="A420" t="s">
        <v>3051</v>
      </c>
      <c r="B420" t="s">
        <v>3051</v>
      </c>
      <c r="C420" t="s">
        <v>1625</v>
      </c>
      <c r="D420" t="s">
        <v>3052</v>
      </c>
      <c r="E420">
        <v>1</v>
      </c>
      <c r="G420">
        <v>61</v>
      </c>
      <c r="H420" t="s">
        <v>3053</v>
      </c>
      <c r="I420">
        <v>25</v>
      </c>
      <c r="J420" t="s">
        <v>1905</v>
      </c>
      <c r="K420">
        <v>0</v>
      </c>
      <c r="M420">
        <v>9</v>
      </c>
    </row>
    <row r="421" spans="1:13">
      <c r="A421" t="s">
        <v>3054</v>
      </c>
      <c r="B421" t="s">
        <v>3054</v>
      </c>
      <c r="C421" t="s">
        <v>1626</v>
      </c>
      <c r="D421" t="s">
        <v>3055</v>
      </c>
      <c r="E421">
        <v>1</v>
      </c>
      <c r="G421">
        <v>173.1</v>
      </c>
      <c r="H421" t="s">
        <v>3056</v>
      </c>
      <c r="I421">
        <v>21</v>
      </c>
      <c r="J421" t="s">
        <v>1948</v>
      </c>
      <c r="K421">
        <v>0</v>
      </c>
      <c r="M421">
        <v>3</v>
      </c>
    </row>
    <row r="422" spans="1:13">
      <c r="A422" t="s">
        <v>3057</v>
      </c>
      <c r="B422" t="s">
        <v>3057</v>
      </c>
      <c r="C422" t="s">
        <v>809</v>
      </c>
      <c r="D422" t="s">
        <v>3058</v>
      </c>
      <c r="E422">
        <v>1</v>
      </c>
      <c r="G422">
        <v>6.5</v>
      </c>
      <c r="H422" t="s">
        <v>3059</v>
      </c>
      <c r="I422">
        <v>3</v>
      </c>
      <c r="J422" t="s">
        <v>1941</v>
      </c>
      <c r="K422">
        <v>0</v>
      </c>
      <c r="M422">
        <v>3</v>
      </c>
    </row>
    <row r="423" spans="1:13">
      <c r="A423" t="s">
        <v>3060</v>
      </c>
      <c r="B423" t="s">
        <v>3060</v>
      </c>
      <c r="C423" t="s">
        <v>806</v>
      </c>
      <c r="D423" t="s">
        <v>3061</v>
      </c>
      <c r="E423">
        <v>1</v>
      </c>
      <c r="G423">
        <v>5.9</v>
      </c>
      <c r="H423" t="s">
        <v>3062</v>
      </c>
      <c r="I423">
        <v>1</v>
      </c>
      <c r="J423" t="s">
        <v>1918</v>
      </c>
      <c r="K423">
        <v>0</v>
      </c>
      <c r="M423">
        <v>5</v>
      </c>
    </row>
    <row r="424" spans="1:13">
      <c r="A424" t="s">
        <v>3063</v>
      </c>
      <c r="B424" t="s">
        <v>3063</v>
      </c>
      <c r="C424" t="s">
        <v>1627</v>
      </c>
      <c r="E424">
        <v>2</v>
      </c>
      <c r="G424">
        <v>110.9</v>
      </c>
      <c r="H424" t="s">
        <v>3064</v>
      </c>
      <c r="I424">
        <v>1</v>
      </c>
      <c r="J424" t="s">
        <v>1918</v>
      </c>
      <c r="K424">
        <v>2</v>
      </c>
      <c r="M424">
        <v>3</v>
      </c>
    </row>
    <row r="425" spans="1:13">
      <c r="A425" t="s">
        <v>3065</v>
      </c>
      <c r="B425" t="s">
        <v>3065</v>
      </c>
      <c r="C425" t="s">
        <v>1628</v>
      </c>
      <c r="D425" t="s">
        <v>3066</v>
      </c>
      <c r="E425">
        <v>1</v>
      </c>
      <c r="G425">
        <v>6.1</v>
      </c>
      <c r="H425" t="s">
        <v>3067</v>
      </c>
      <c r="I425">
        <v>1</v>
      </c>
      <c r="J425" t="s">
        <v>1918</v>
      </c>
      <c r="K425">
        <v>0</v>
      </c>
      <c r="M425">
        <v>5</v>
      </c>
    </row>
    <row r="426" spans="1:13">
      <c r="A426" t="s">
        <v>3068</v>
      </c>
      <c r="B426" t="s">
        <v>3068</v>
      </c>
      <c r="C426" t="s">
        <v>1629</v>
      </c>
      <c r="D426" t="s">
        <v>3069</v>
      </c>
      <c r="E426">
        <v>1</v>
      </c>
      <c r="G426">
        <v>7.5</v>
      </c>
      <c r="H426" t="s">
        <v>3070</v>
      </c>
      <c r="I426">
        <v>7</v>
      </c>
      <c r="J426" t="s">
        <v>2145</v>
      </c>
      <c r="K426">
        <v>0</v>
      </c>
      <c r="M426">
        <v>1</v>
      </c>
    </row>
    <row r="427" spans="1:13">
      <c r="A427" t="s">
        <v>3071</v>
      </c>
      <c r="B427" t="s">
        <v>3071</v>
      </c>
      <c r="C427" t="s">
        <v>1630</v>
      </c>
      <c r="D427" t="s">
        <v>3072</v>
      </c>
      <c r="E427">
        <v>2</v>
      </c>
      <c r="G427">
        <v>16.600000000000001</v>
      </c>
      <c r="H427" t="s">
        <v>3073</v>
      </c>
      <c r="I427">
        <v>1</v>
      </c>
      <c r="J427" t="s">
        <v>1918</v>
      </c>
      <c r="K427">
        <v>2</v>
      </c>
      <c r="M427">
        <v>3</v>
      </c>
    </row>
    <row r="428" spans="1:13">
      <c r="A428" t="s">
        <v>3074</v>
      </c>
      <c r="B428" t="s">
        <v>3074</v>
      </c>
      <c r="C428" t="s">
        <v>804</v>
      </c>
      <c r="D428" t="s">
        <v>3075</v>
      </c>
      <c r="E428">
        <v>2</v>
      </c>
      <c r="G428">
        <v>9.6999999999999993</v>
      </c>
      <c r="H428" t="s">
        <v>3076</v>
      </c>
      <c r="I428">
        <v>1</v>
      </c>
      <c r="J428" t="s">
        <v>1918</v>
      </c>
      <c r="K428">
        <v>0</v>
      </c>
      <c r="M428">
        <v>3</v>
      </c>
    </row>
    <row r="429" spans="1:13">
      <c r="A429" t="s">
        <v>3077</v>
      </c>
      <c r="B429" t="s">
        <v>3077</v>
      </c>
      <c r="C429" t="s">
        <v>1631</v>
      </c>
      <c r="D429" t="s">
        <v>3078</v>
      </c>
      <c r="E429">
        <v>2</v>
      </c>
      <c r="G429">
        <v>57</v>
      </c>
      <c r="H429" t="s">
        <v>3079</v>
      </c>
      <c r="I429">
        <v>19</v>
      </c>
      <c r="J429" t="s">
        <v>1982</v>
      </c>
      <c r="K429">
        <v>0</v>
      </c>
      <c r="M429">
        <v>3</v>
      </c>
    </row>
    <row r="430" spans="1:13">
      <c r="A430" t="s">
        <v>3080</v>
      </c>
      <c r="B430" t="s">
        <v>3080</v>
      </c>
      <c r="C430" t="s">
        <v>817</v>
      </c>
      <c r="E430">
        <v>2</v>
      </c>
      <c r="G430">
        <v>41.5</v>
      </c>
      <c r="H430" t="s">
        <v>3081</v>
      </c>
      <c r="I430">
        <v>19</v>
      </c>
      <c r="J430" t="s">
        <v>1982</v>
      </c>
      <c r="K430">
        <v>0</v>
      </c>
      <c r="M430">
        <v>3</v>
      </c>
    </row>
    <row r="431" spans="1:13">
      <c r="A431" t="s">
        <v>3082</v>
      </c>
      <c r="B431" t="s">
        <v>3082</v>
      </c>
      <c r="C431" t="s">
        <v>1632</v>
      </c>
      <c r="E431">
        <v>1</v>
      </c>
      <c r="G431">
        <v>10.4</v>
      </c>
      <c r="H431" t="s">
        <v>3083</v>
      </c>
      <c r="I431">
        <v>1</v>
      </c>
      <c r="J431" t="s">
        <v>1918</v>
      </c>
      <c r="K431">
        <v>0</v>
      </c>
      <c r="M431">
        <v>1</v>
      </c>
    </row>
    <row r="432" spans="1:13">
      <c r="A432" t="s">
        <v>3084</v>
      </c>
      <c r="B432" t="s">
        <v>3084</v>
      </c>
      <c r="C432" t="s">
        <v>1633</v>
      </c>
      <c r="E432">
        <v>1</v>
      </c>
      <c r="G432">
        <v>10.4</v>
      </c>
      <c r="H432" t="s">
        <v>3085</v>
      </c>
      <c r="I432">
        <v>1</v>
      </c>
      <c r="J432" t="s">
        <v>1918</v>
      </c>
      <c r="K432">
        <v>0</v>
      </c>
      <c r="M432">
        <v>5</v>
      </c>
    </row>
    <row r="433" spans="1:13">
      <c r="A433" t="s">
        <v>3086</v>
      </c>
      <c r="B433" t="s">
        <v>3086</v>
      </c>
      <c r="C433" t="s">
        <v>1634</v>
      </c>
      <c r="D433" t="s">
        <v>3087</v>
      </c>
      <c r="E433">
        <v>1</v>
      </c>
      <c r="G433">
        <v>74.099999999999994</v>
      </c>
      <c r="H433" t="s">
        <v>3088</v>
      </c>
      <c r="I433">
        <v>14</v>
      </c>
      <c r="J433" t="s">
        <v>1901</v>
      </c>
      <c r="K433">
        <v>0</v>
      </c>
      <c r="M433">
        <v>3</v>
      </c>
    </row>
    <row r="434" spans="1:13">
      <c r="A434" t="s">
        <v>3089</v>
      </c>
      <c r="B434" t="s">
        <v>3089</v>
      </c>
      <c r="C434" t="s">
        <v>1635</v>
      </c>
      <c r="E434">
        <v>1</v>
      </c>
      <c r="G434">
        <v>12.5</v>
      </c>
      <c r="H434" t="s">
        <v>3090</v>
      </c>
      <c r="I434">
        <v>1</v>
      </c>
      <c r="J434" t="s">
        <v>1918</v>
      </c>
      <c r="K434">
        <v>0</v>
      </c>
      <c r="M434">
        <v>1</v>
      </c>
    </row>
    <row r="435" spans="1:13">
      <c r="A435" t="s">
        <v>3091</v>
      </c>
      <c r="B435" t="s">
        <v>3091</v>
      </c>
      <c r="C435" t="s">
        <v>1636</v>
      </c>
      <c r="D435" t="s">
        <v>3092</v>
      </c>
      <c r="E435">
        <v>2</v>
      </c>
      <c r="G435">
        <v>48.7</v>
      </c>
      <c r="H435" t="s">
        <v>3093</v>
      </c>
      <c r="I435">
        <v>1</v>
      </c>
      <c r="J435" t="s">
        <v>1918</v>
      </c>
      <c r="K435">
        <v>2</v>
      </c>
      <c r="M435">
        <v>3</v>
      </c>
    </row>
    <row r="436" spans="1:13">
      <c r="A436" t="s">
        <v>3094</v>
      </c>
      <c r="B436" t="s">
        <v>3094</v>
      </c>
      <c r="C436" t="s">
        <v>1637</v>
      </c>
      <c r="D436" t="s">
        <v>3095</v>
      </c>
      <c r="E436">
        <v>2</v>
      </c>
      <c r="G436">
        <v>131.30000000000001</v>
      </c>
      <c r="H436" t="s">
        <v>3096</v>
      </c>
      <c r="I436">
        <v>1</v>
      </c>
      <c r="J436" t="s">
        <v>1918</v>
      </c>
      <c r="K436">
        <v>2</v>
      </c>
      <c r="M436">
        <v>3</v>
      </c>
    </row>
    <row r="437" spans="1:13">
      <c r="A437" t="s">
        <v>3097</v>
      </c>
      <c r="B437" t="s">
        <v>3097</v>
      </c>
      <c r="C437" t="s">
        <v>1638</v>
      </c>
      <c r="D437" t="s">
        <v>3098</v>
      </c>
      <c r="E437">
        <v>1</v>
      </c>
      <c r="G437">
        <v>5.9</v>
      </c>
      <c r="H437" t="s">
        <v>3099</v>
      </c>
      <c r="I437">
        <v>1</v>
      </c>
      <c r="J437" t="s">
        <v>1918</v>
      </c>
      <c r="K437">
        <v>0</v>
      </c>
      <c r="M437">
        <v>5</v>
      </c>
    </row>
    <row r="438" spans="1:13">
      <c r="A438" t="s">
        <v>3100</v>
      </c>
      <c r="B438" t="s">
        <v>3100</v>
      </c>
      <c r="C438" t="s">
        <v>1639</v>
      </c>
      <c r="D438" t="s">
        <v>3101</v>
      </c>
      <c r="E438">
        <v>1</v>
      </c>
      <c r="G438">
        <v>11</v>
      </c>
      <c r="H438" t="s">
        <v>3102</v>
      </c>
      <c r="I438">
        <v>3</v>
      </c>
      <c r="J438" t="s">
        <v>1941</v>
      </c>
      <c r="K438">
        <v>0</v>
      </c>
      <c r="M438">
        <v>15</v>
      </c>
    </row>
    <row r="439" spans="1:13">
      <c r="A439" t="s">
        <v>3103</v>
      </c>
      <c r="B439" t="s">
        <v>3103</v>
      </c>
      <c r="C439" t="s">
        <v>831</v>
      </c>
      <c r="D439" t="s">
        <v>3104</v>
      </c>
      <c r="E439">
        <v>1</v>
      </c>
      <c r="G439">
        <v>5.9</v>
      </c>
      <c r="H439" t="s">
        <v>3105</v>
      </c>
      <c r="I439">
        <v>1</v>
      </c>
      <c r="J439" t="s">
        <v>1918</v>
      </c>
      <c r="K439">
        <v>0</v>
      </c>
      <c r="M439">
        <v>5</v>
      </c>
    </row>
    <row r="440" spans="1:13">
      <c r="A440" t="s">
        <v>3106</v>
      </c>
      <c r="B440" t="s">
        <v>3106</v>
      </c>
      <c r="C440" t="s">
        <v>1642</v>
      </c>
      <c r="D440" t="s">
        <v>3107</v>
      </c>
      <c r="E440">
        <v>2</v>
      </c>
      <c r="G440">
        <v>39.200000000000003</v>
      </c>
      <c r="H440" t="s">
        <v>3108</v>
      </c>
      <c r="I440">
        <v>2</v>
      </c>
      <c r="J440" t="s">
        <v>835</v>
      </c>
      <c r="K440">
        <v>2</v>
      </c>
      <c r="M440">
        <v>3</v>
      </c>
    </row>
    <row r="441" spans="1:13">
      <c r="A441" t="s">
        <v>3109</v>
      </c>
      <c r="B441" t="s">
        <v>3109</v>
      </c>
      <c r="C441" t="s">
        <v>1643</v>
      </c>
      <c r="D441" t="s">
        <v>3110</v>
      </c>
      <c r="E441">
        <v>2</v>
      </c>
      <c r="G441">
        <v>31.9</v>
      </c>
      <c r="H441" t="s">
        <v>3111</v>
      </c>
      <c r="I441">
        <v>1</v>
      </c>
      <c r="J441" t="s">
        <v>1918</v>
      </c>
      <c r="K441">
        <v>0</v>
      </c>
      <c r="M441">
        <v>15</v>
      </c>
    </row>
    <row r="442" spans="1:13">
      <c r="A442" t="s">
        <v>3112</v>
      </c>
      <c r="B442" t="s">
        <v>3112</v>
      </c>
      <c r="C442" t="s">
        <v>1644</v>
      </c>
      <c r="D442" t="s">
        <v>3113</v>
      </c>
      <c r="E442">
        <v>1</v>
      </c>
      <c r="G442">
        <v>232</v>
      </c>
      <c r="H442" t="s">
        <v>3114</v>
      </c>
      <c r="I442">
        <v>25</v>
      </c>
      <c r="J442" t="s">
        <v>1905</v>
      </c>
      <c r="K442">
        <v>2</v>
      </c>
      <c r="M442">
        <v>11</v>
      </c>
    </row>
    <row r="443" spans="1:13">
      <c r="A443" t="s">
        <v>3115</v>
      </c>
      <c r="B443" t="s">
        <v>3115</v>
      </c>
      <c r="C443" t="s">
        <v>1645</v>
      </c>
      <c r="E443">
        <v>2</v>
      </c>
      <c r="G443">
        <v>1190</v>
      </c>
      <c r="H443" t="s">
        <v>3116</v>
      </c>
      <c r="I443">
        <v>25</v>
      </c>
      <c r="J443" t="s">
        <v>1905</v>
      </c>
      <c r="K443">
        <v>2</v>
      </c>
      <c r="M443">
        <v>11</v>
      </c>
    </row>
    <row r="444" spans="1:13">
      <c r="A444" t="s">
        <v>3117</v>
      </c>
      <c r="B444" t="s">
        <v>3117</v>
      </c>
      <c r="C444" t="s">
        <v>1646</v>
      </c>
      <c r="E444">
        <v>1</v>
      </c>
      <c r="G444">
        <v>49.1</v>
      </c>
      <c r="H444" t="s">
        <v>3118</v>
      </c>
      <c r="I444">
        <v>1</v>
      </c>
      <c r="J444" t="s">
        <v>1918</v>
      </c>
      <c r="K444">
        <v>0</v>
      </c>
      <c r="M444">
        <v>5</v>
      </c>
    </row>
    <row r="445" spans="1:13">
      <c r="A445" t="s">
        <v>3119</v>
      </c>
      <c r="B445" t="s">
        <v>3119</v>
      </c>
      <c r="C445" t="s">
        <v>1647</v>
      </c>
      <c r="D445" t="s">
        <v>3120</v>
      </c>
      <c r="E445">
        <v>1</v>
      </c>
      <c r="G445">
        <v>18.2</v>
      </c>
      <c r="H445" t="s">
        <v>3121</v>
      </c>
      <c r="I445">
        <v>14</v>
      </c>
      <c r="J445" t="s">
        <v>1901</v>
      </c>
      <c r="K445">
        <v>0</v>
      </c>
      <c r="M445">
        <v>3</v>
      </c>
    </row>
    <row r="446" spans="1:13">
      <c r="A446" t="s">
        <v>3122</v>
      </c>
      <c r="B446" t="s">
        <v>3122</v>
      </c>
      <c r="C446" t="s">
        <v>1648</v>
      </c>
      <c r="E446">
        <v>1</v>
      </c>
      <c r="G446">
        <v>5.9</v>
      </c>
      <c r="H446" t="s">
        <v>3123</v>
      </c>
      <c r="I446">
        <v>1</v>
      </c>
      <c r="J446" t="s">
        <v>1918</v>
      </c>
      <c r="K446">
        <v>0</v>
      </c>
      <c r="M446">
        <v>5</v>
      </c>
    </row>
    <row r="447" spans="1:13">
      <c r="A447" t="s">
        <v>3124</v>
      </c>
      <c r="B447" t="s">
        <v>3124</v>
      </c>
      <c r="C447" t="s">
        <v>1649</v>
      </c>
      <c r="E447">
        <v>1</v>
      </c>
      <c r="G447">
        <v>5.9</v>
      </c>
      <c r="H447" t="s">
        <v>3125</v>
      </c>
      <c r="I447">
        <v>1</v>
      </c>
      <c r="J447" t="s">
        <v>1918</v>
      </c>
      <c r="K447">
        <v>0</v>
      </c>
      <c r="M447">
        <v>5</v>
      </c>
    </row>
    <row r="448" spans="1:13">
      <c r="A448" t="s">
        <v>3126</v>
      </c>
      <c r="B448" t="s">
        <v>3126</v>
      </c>
      <c r="C448" t="s">
        <v>1650</v>
      </c>
      <c r="E448">
        <v>1</v>
      </c>
      <c r="G448">
        <v>8.9</v>
      </c>
      <c r="H448" t="s">
        <v>3127</v>
      </c>
      <c r="I448">
        <v>1</v>
      </c>
      <c r="J448" t="s">
        <v>1918</v>
      </c>
      <c r="K448">
        <v>2</v>
      </c>
      <c r="M448">
        <v>6</v>
      </c>
    </row>
    <row r="449" spans="1:13">
      <c r="A449" t="s">
        <v>3128</v>
      </c>
      <c r="B449" t="s">
        <v>3128</v>
      </c>
      <c r="C449" t="s">
        <v>1651</v>
      </c>
      <c r="E449">
        <v>1</v>
      </c>
      <c r="G449">
        <v>14.3</v>
      </c>
      <c r="H449" t="s">
        <v>3129</v>
      </c>
      <c r="I449">
        <v>4</v>
      </c>
      <c r="J449" t="s">
        <v>2202</v>
      </c>
      <c r="K449">
        <v>2</v>
      </c>
      <c r="M449">
        <v>2</v>
      </c>
    </row>
    <row r="450" spans="1:13">
      <c r="A450" t="s">
        <v>3130</v>
      </c>
      <c r="B450" t="s">
        <v>3130</v>
      </c>
      <c r="C450" t="s">
        <v>1652</v>
      </c>
      <c r="D450" t="s">
        <v>3131</v>
      </c>
      <c r="E450">
        <v>2</v>
      </c>
      <c r="G450">
        <v>67</v>
      </c>
      <c r="H450" t="s">
        <v>3132</v>
      </c>
      <c r="I450">
        <v>21</v>
      </c>
      <c r="J450" t="s">
        <v>1948</v>
      </c>
      <c r="K450">
        <v>0</v>
      </c>
      <c r="M450">
        <v>3</v>
      </c>
    </row>
    <row r="451" spans="1:13">
      <c r="A451" t="s">
        <v>3133</v>
      </c>
      <c r="B451" t="s">
        <v>3133</v>
      </c>
      <c r="C451" t="s">
        <v>1653</v>
      </c>
      <c r="D451" t="s">
        <v>3134</v>
      </c>
      <c r="E451">
        <v>1</v>
      </c>
      <c r="G451">
        <v>10.4</v>
      </c>
      <c r="H451" t="s">
        <v>3135</v>
      </c>
      <c r="I451">
        <v>1</v>
      </c>
      <c r="J451" t="s">
        <v>1918</v>
      </c>
      <c r="K451">
        <v>0</v>
      </c>
      <c r="M451">
        <v>5</v>
      </c>
    </row>
    <row r="452" spans="1:13">
      <c r="A452" t="s">
        <v>3136</v>
      </c>
      <c r="B452" t="s">
        <v>3136</v>
      </c>
      <c r="C452" t="s">
        <v>1654</v>
      </c>
      <c r="E452">
        <v>1</v>
      </c>
      <c r="G452">
        <v>100</v>
      </c>
      <c r="H452" t="s">
        <v>3137</v>
      </c>
      <c r="I452">
        <v>25</v>
      </c>
      <c r="J452" t="s">
        <v>1905</v>
      </c>
      <c r="K452">
        <v>0</v>
      </c>
      <c r="M452">
        <v>9</v>
      </c>
    </row>
    <row r="453" spans="1:13">
      <c r="A453" t="s">
        <v>3138</v>
      </c>
      <c r="B453" t="s">
        <v>3138</v>
      </c>
      <c r="C453" t="s">
        <v>1655</v>
      </c>
      <c r="D453" t="s">
        <v>3139</v>
      </c>
      <c r="E453">
        <v>1</v>
      </c>
      <c r="G453">
        <v>153</v>
      </c>
      <c r="H453" t="s">
        <v>3140</v>
      </c>
      <c r="I453">
        <v>1</v>
      </c>
      <c r="J453" t="s">
        <v>1918</v>
      </c>
      <c r="K453">
        <v>0</v>
      </c>
      <c r="M453">
        <v>1</v>
      </c>
    </row>
    <row r="454" spans="1:13">
      <c r="A454" t="s">
        <v>3141</v>
      </c>
      <c r="B454" t="s">
        <v>3141</v>
      </c>
      <c r="C454" t="s">
        <v>1656</v>
      </c>
      <c r="D454" t="s">
        <v>3142</v>
      </c>
      <c r="E454">
        <v>1</v>
      </c>
      <c r="G454">
        <v>54.6</v>
      </c>
      <c r="H454" t="s">
        <v>3143</v>
      </c>
      <c r="I454">
        <v>6</v>
      </c>
      <c r="J454" t="s">
        <v>3015</v>
      </c>
      <c r="K454">
        <v>2</v>
      </c>
      <c r="M454">
        <v>15</v>
      </c>
    </row>
    <row r="455" spans="1:13">
      <c r="A455" t="s">
        <v>3144</v>
      </c>
      <c r="B455" t="s">
        <v>3144</v>
      </c>
      <c r="C455" t="s">
        <v>1657</v>
      </c>
      <c r="D455" t="s">
        <v>3145</v>
      </c>
      <c r="E455">
        <v>1</v>
      </c>
      <c r="G455">
        <v>195.7</v>
      </c>
      <c r="H455" t="s">
        <v>3146</v>
      </c>
      <c r="I455">
        <v>1</v>
      </c>
      <c r="J455" t="s">
        <v>1918</v>
      </c>
      <c r="K455">
        <v>0</v>
      </c>
      <c r="M455">
        <v>1</v>
      </c>
    </row>
    <row r="456" spans="1:13">
      <c r="A456" t="s">
        <v>3147</v>
      </c>
      <c r="B456" t="s">
        <v>3147</v>
      </c>
      <c r="C456" t="s">
        <v>1658</v>
      </c>
      <c r="D456" t="s">
        <v>3148</v>
      </c>
      <c r="E456">
        <v>1</v>
      </c>
      <c r="G456">
        <v>127</v>
      </c>
      <c r="H456" t="s">
        <v>3149</v>
      </c>
      <c r="I456">
        <v>25</v>
      </c>
      <c r="J456" t="s">
        <v>1905</v>
      </c>
      <c r="K456">
        <v>0</v>
      </c>
      <c r="M456">
        <v>9</v>
      </c>
    </row>
    <row r="457" spans="1:13">
      <c r="A457" t="s">
        <v>3150</v>
      </c>
      <c r="B457" t="s">
        <v>3150</v>
      </c>
      <c r="C457" t="s">
        <v>1659</v>
      </c>
      <c r="D457" t="s">
        <v>3151</v>
      </c>
      <c r="E457">
        <v>1</v>
      </c>
      <c r="G457">
        <v>7.5</v>
      </c>
      <c r="H457" t="s">
        <v>3152</v>
      </c>
      <c r="I457">
        <v>3</v>
      </c>
      <c r="J457" t="s">
        <v>1941</v>
      </c>
      <c r="K457">
        <v>2</v>
      </c>
      <c r="M457">
        <v>2</v>
      </c>
    </row>
    <row r="458" spans="1:13">
      <c r="A458" t="s">
        <v>3153</v>
      </c>
      <c r="B458" t="s">
        <v>3153</v>
      </c>
      <c r="C458" t="s">
        <v>1660</v>
      </c>
      <c r="D458" t="s">
        <v>3154</v>
      </c>
      <c r="E458">
        <v>2</v>
      </c>
      <c r="G458">
        <v>10.4</v>
      </c>
      <c r="H458" t="s">
        <v>3155</v>
      </c>
      <c r="I458">
        <v>1</v>
      </c>
      <c r="J458" t="s">
        <v>1918</v>
      </c>
      <c r="K458">
        <v>2</v>
      </c>
      <c r="M458">
        <v>3</v>
      </c>
    </row>
    <row r="459" spans="1:13">
      <c r="A459" t="s">
        <v>3156</v>
      </c>
      <c r="B459" t="s">
        <v>3156</v>
      </c>
      <c r="C459" t="s">
        <v>1661</v>
      </c>
      <c r="D459" t="s">
        <v>3157</v>
      </c>
      <c r="E459">
        <v>1</v>
      </c>
      <c r="G459">
        <v>70</v>
      </c>
      <c r="H459" t="s">
        <v>3158</v>
      </c>
      <c r="I459">
        <v>25</v>
      </c>
      <c r="J459" t="s">
        <v>1905</v>
      </c>
      <c r="K459">
        <v>2</v>
      </c>
      <c r="M459">
        <v>9</v>
      </c>
    </row>
    <row r="460" spans="1:13">
      <c r="A460" t="s">
        <v>3159</v>
      </c>
      <c r="B460" t="s">
        <v>3159</v>
      </c>
      <c r="C460" t="s">
        <v>1662</v>
      </c>
      <c r="E460">
        <v>1</v>
      </c>
      <c r="G460">
        <v>6.1</v>
      </c>
      <c r="H460" t="s">
        <v>3160</v>
      </c>
      <c r="I460">
        <v>1</v>
      </c>
      <c r="J460" t="s">
        <v>1918</v>
      </c>
      <c r="K460">
        <v>0</v>
      </c>
      <c r="M460">
        <v>5</v>
      </c>
    </row>
    <row r="461" spans="1:13">
      <c r="A461" t="s">
        <v>3161</v>
      </c>
      <c r="B461" t="s">
        <v>3161</v>
      </c>
      <c r="C461" t="s">
        <v>1663</v>
      </c>
      <c r="E461">
        <v>1</v>
      </c>
      <c r="G461">
        <v>6.1</v>
      </c>
      <c r="H461" t="s">
        <v>3162</v>
      </c>
      <c r="I461">
        <v>1</v>
      </c>
      <c r="J461" t="s">
        <v>1918</v>
      </c>
      <c r="K461">
        <v>0</v>
      </c>
      <c r="M461">
        <v>5</v>
      </c>
    </row>
    <row r="462" spans="1:13">
      <c r="A462" t="s">
        <v>3163</v>
      </c>
      <c r="B462" t="s">
        <v>3163</v>
      </c>
      <c r="C462" t="s">
        <v>1664</v>
      </c>
      <c r="E462">
        <v>1</v>
      </c>
      <c r="G462">
        <v>11.3</v>
      </c>
      <c r="H462" t="s">
        <v>3164</v>
      </c>
      <c r="I462">
        <v>1</v>
      </c>
      <c r="J462" t="s">
        <v>1918</v>
      </c>
      <c r="K462">
        <v>2</v>
      </c>
      <c r="M462">
        <v>6</v>
      </c>
    </row>
    <row r="463" spans="1:13">
      <c r="A463" t="s">
        <v>3165</v>
      </c>
      <c r="B463" t="s">
        <v>3165</v>
      </c>
      <c r="C463" t="s">
        <v>867</v>
      </c>
      <c r="D463" t="s">
        <v>3166</v>
      </c>
      <c r="E463">
        <v>1</v>
      </c>
      <c r="G463">
        <v>149.30000000000001</v>
      </c>
      <c r="H463" t="s">
        <v>3167</v>
      </c>
      <c r="I463">
        <v>1</v>
      </c>
      <c r="J463" t="s">
        <v>1918</v>
      </c>
      <c r="K463">
        <v>0</v>
      </c>
      <c r="M463">
        <v>5</v>
      </c>
    </row>
    <row r="464" spans="1:13">
      <c r="A464" t="s">
        <v>3168</v>
      </c>
      <c r="B464" t="s">
        <v>3168</v>
      </c>
      <c r="C464" t="s">
        <v>1665</v>
      </c>
      <c r="D464" t="s">
        <v>3169</v>
      </c>
      <c r="E464">
        <v>1</v>
      </c>
      <c r="G464">
        <v>10.1</v>
      </c>
      <c r="H464" t="s">
        <v>3170</v>
      </c>
      <c r="I464">
        <v>1</v>
      </c>
      <c r="J464" t="s">
        <v>1918</v>
      </c>
      <c r="K464">
        <v>0</v>
      </c>
      <c r="M464">
        <v>5</v>
      </c>
    </row>
    <row r="465" spans="1:13">
      <c r="A465" t="s">
        <v>3171</v>
      </c>
      <c r="B465" t="s">
        <v>3171</v>
      </c>
      <c r="C465" t="s">
        <v>1666</v>
      </c>
      <c r="E465">
        <v>2</v>
      </c>
      <c r="G465">
        <v>715</v>
      </c>
      <c r="H465" t="s">
        <v>3172</v>
      </c>
      <c r="I465">
        <v>25</v>
      </c>
      <c r="J465" t="s">
        <v>1905</v>
      </c>
      <c r="K465">
        <v>2</v>
      </c>
      <c r="M465">
        <v>9</v>
      </c>
    </row>
    <row r="466" spans="1:13">
      <c r="A466" t="s">
        <v>3173</v>
      </c>
      <c r="B466" t="s">
        <v>3173</v>
      </c>
      <c r="C466" t="s">
        <v>1667</v>
      </c>
      <c r="D466" t="s">
        <v>3174</v>
      </c>
      <c r="E466">
        <v>1</v>
      </c>
      <c r="G466">
        <v>61</v>
      </c>
      <c r="H466" t="s">
        <v>3175</v>
      </c>
      <c r="I466">
        <v>25</v>
      </c>
      <c r="J466" t="s">
        <v>1905</v>
      </c>
      <c r="K466">
        <v>2</v>
      </c>
      <c r="M466">
        <v>9</v>
      </c>
    </row>
    <row r="467" spans="1:13">
      <c r="A467" t="s">
        <v>3176</v>
      </c>
      <c r="B467" t="s">
        <v>3176</v>
      </c>
      <c r="C467" t="s">
        <v>1668</v>
      </c>
      <c r="D467" t="s">
        <v>3177</v>
      </c>
      <c r="E467">
        <v>1</v>
      </c>
      <c r="G467">
        <v>0.77</v>
      </c>
      <c r="H467" t="s">
        <v>3178</v>
      </c>
      <c r="I467">
        <v>3</v>
      </c>
      <c r="J467" t="s">
        <v>1941</v>
      </c>
      <c r="K467">
        <v>0</v>
      </c>
      <c r="M467">
        <v>2</v>
      </c>
    </row>
    <row r="468" spans="1:13">
      <c r="A468" t="s">
        <v>3179</v>
      </c>
      <c r="B468" t="s">
        <v>3179</v>
      </c>
      <c r="C468" t="s">
        <v>1669</v>
      </c>
      <c r="D468" t="s">
        <v>3180</v>
      </c>
      <c r="E468">
        <v>1</v>
      </c>
      <c r="G468">
        <v>100</v>
      </c>
      <c r="H468" t="s">
        <v>3181</v>
      </c>
      <c r="I468">
        <v>25</v>
      </c>
      <c r="J468" t="s">
        <v>1905</v>
      </c>
      <c r="K468">
        <v>0</v>
      </c>
      <c r="M468">
        <v>8</v>
      </c>
    </row>
    <row r="469" spans="1:13">
      <c r="A469" t="s">
        <v>3182</v>
      </c>
      <c r="B469" t="s">
        <v>3182</v>
      </c>
      <c r="C469" t="s">
        <v>1670</v>
      </c>
      <c r="D469" t="s">
        <v>3183</v>
      </c>
      <c r="E469">
        <v>1</v>
      </c>
      <c r="G469">
        <v>100</v>
      </c>
      <c r="H469" t="s">
        <v>3184</v>
      </c>
      <c r="I469">
        <v>25</v>
      </c>
      <c r="J469" t="s">
        <v>1905</v>
      </c>
      <c r="K469">
        <v>0</v>
      </c>
      <c r="M469">
        <v>9</v>
      </c>
    </row>
    <row r="470" spans="1:13">
      <c r="A470" t="s">
        <v>3185</v>
      </c>
      <c r="B470" t="s">
        <v>3185</v>
      </c>
      <c r="C470" t="s">
        <v>1669</v>
      </c>
      <c r="E470">
        <v>1</v>
      </c>
      <c r="G470">
        <v>151</v>
      </c>
      <c r="H470" t="s">
        <v>3186</v>
      </c>
      <c r="I470">
        <v>25</v>
      </c>
      <c r="J470" t="s">
        <v>1905</v>
      </c>
      <c r="K470">
        <v>0</v>
      </c>
      <c r="M470">
        <v>8</v>
      </c>
    </row>
    <row r="471" spans="1:13">
      <c r="A471" t="s">
        <v>3187</v>
      </c>
      <c r="B471" t="s">
        <v>3187</v>
      </c>
      <c r="C471" t="s">
        <v>1671</v>
      </c>
      <c r="D471" t="s">
        <v>3188</v>
      </c>
      <c r="E471">
        <v>2</v>
      </c>
      <c r="G471">
        <v>54.3</v>
      </c>
      <c r="H471" t="s">
        <v>3189</v>
      </c>
      <c r="I471">
        <v>11</v>
      </c>
      <c r="J471" t="s">
        <v>2354</v>
      </c>
      <c r="K471">
        <v>0</v>
      </c>
      <c r="M471">
        <v>15</v>
      </c>
    </row>
    <row r="472" spans="1:13">
      <c r="A472" t="s">
        <v>3190</v>
      </c>
      <c r="B472" t="s">
        <v>3190</v>
      </c>
      <c r="C472" t="s">
        <v>1672</v>
      </c>
      <c r="D472" t="s">
        <v>3191</v>
      </c>
      <c r="E472">
        <v>2</v>
      </c>
      <c r="G472">
        <v>36.200000000000003</v>
      </c>
      <c r="H472" t="s">
        <v>3192</v>
      </c>
      <c r="I472">
        <v>1</v>
      </c>
      <c r="J472" t="s">
        <v>1918</v>
      </c>
      <c r="K472">
        <v>0</v>
      </c>
      <c r="M472">
        <v>3</v>
      </c>
    </row>
    <row r="473" spans="1:13">
      <c r="A473" t="s">
        <v>3193</v>
      </c>
      <c r="B473" t="s">
        <v>3193</v>
      </c>
      <c r="C473" t="s">
        <v>1673</v>
      </c>
      <c r="D473" t="s">
        <v>3194</v>
      </c>
      <c r="E473">
        <v>1</v>
      </c>
      <c r="G473">
        <v>0</v>
      </c>
      <c r="H473" t="s">
        <v>3195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3196</v>
      </c>
      <c r="B474" t="s">
        <v>3196</v>
      </c>
      <c r="C474" t="s">
        <v>1674</v>
      </c>
      <c r="D474" t="s">
        <v>3197</v>
      </c>
      <c r="E474">
        <v>1</v>
      </c>
      <c r="G474">
        <v>0</v>
      </c>
      <c r="H474" t="s">
        <v>3198</v>
      </c>
      <c r="I474">
        <v>24</v>
      </c>
      <c r="J474" t="s">
        <v>2059</v>
      </c>
      <c r="K474">
        <v>0</v>
      </c>
      <c r="M474">
        <v>1</v>
      </c>
    </row>
    <row r="475" spans="1:13">
      <c r="A475" t="s">
        <v>3199</v>
      </c>
      <c r="B475" t="s">
        <v>3199</v>
      </c>
      <c r="C475" t="s">
        <v>1675</v>
      </c>
      <c r="D475" t="s">
        <v>3200</v>
      </c>
      <c r="E475">
        <v>1</v>
      </c>
      <c r="G475">
        <v>10.4</v>
      </c>
      <c r="H475" t="s">
        <v>3201</v>
      </c>
      <c r="I475">
        <v>1</v>
      </c>
      <c r="J475" t="s">
        <v>1918</v>
      </c>
      <c r="K475">
        <v>0</v>
      </c>
      <c r="M475">
        <v>5</v>
      </c>
    </row>
    <row r="476" spans="1:13">
      <c r="A476" t="s">
        <v>3202</v>
      </c>
      <c r="B476" t="s">
        <v>3202</v>
      </c>
      <c r="C476" t="s">
        <v>1676</v>
      </c>
      <c r="E476">
        <v>2</v>
      </c>
      <c r="G476">
        <v>24939</v>
      </c>
      <c r="H476" t="s">
        <v>3203</v>
      </c>
      <c r="I476">
        <v>25</v>
      </c>
      <c r="J476" t="s">
        <v>1905</v>
      </c>
      <c r="K476">
        <v>2</v>
      </c>
      <c r="M476">
        <v>15</v>
      </c>
    </row>
    <row r="477" spans="1:13">
      <c r="A477" t="s">
        <v>3204</v>
      </c>
      <c r="B477" t="s">
        <v>3204</v>
      </c>
      <c r="C477" t="s">
        <v>1677</v>
      </c>
      <c r="D477" t="s">
        <v>3205</v>
      </c>
      <c r="E477">
        <v>1</v>
      </c>
      <c r="G477">
        <v>38.4</v>
      </c>
      <c r="H477" t="s">
        <v>3206</v>
      </c>
      <c r="I477">
        <v>19</v>
      </c>
      <c r="J477" t="s">
        <v>1982</v>
      </c>
      <c r="K477">
        <v>0</v>
      </c>
      <c r="M477">
        <v>3</v>
      </c>
    </row>
    <row r="478" spans="1:13">
      <c r="A478" t="s">
        <v>3207</v>
      </c>
      <c r="B478" t="s">
        <v>3207</v>
      </c>
      <c r="C478" t="s">
        <v>1678</v>
      </c>
      <c r="D478" t="s">
        <v>3208</v>
      </c>
      <c r="E478">
        <v>2</v>
      </c>
      <c r="G478">
        <v>12.1</v>
      </c>
      <c r="H478" t="s">
        <v>3209</v>
      </c>
      <c r="I478">
        <v>1</v>
      </c>
      <c r="J478" t="s">
        <v>1918</v>
      </c>
      <c r="K478">
        <v>0</v>
      </c>
      <c r="M478">
        <v>15</v>
      </c>
    </row>
    <row r="479" spans="1:13">
      <c r="A479" t="s">
        <v>3210</v>
      </c>
      <c r="B479" t="s">
        <v>3210</v>
      </c>
      <c r="C479" t="s">
        <v>1679</v>
      </c>
      <c r="E479">
        <v>1</v>
      </c>
      <c r="G479">
        <v>61</v>
      </c>
      <c r="H479" t="s">
        <v>3211</v>
      </c>
      <c r="I479">
        <v>25</v>
      </c>
      <c r="J479" t="s">
        <v>1905</v>
      </c>
      <c r="K479">
        <v>0</v>
      </c>
      <c r="M479">
        <v>9</v>
      </c>
    </row>
    <row r="480" spans="1:13">
      <c r="A480" t="s">
        <v>3212</v>
      </c>
      <c r="B480" t="s">
        <v>3212</v>
      </c>
      <c r="C480" t="s">
        <v>890</v>
      </c>
      <c r="D480" t="s">
        <v>3213</v>
      </c>
      <c r="E480">
        <v>2</v>
      </c>
      <c r="G480">
        <v>10.1</v>
      </c>
      <c r="H480" t="s">
        <v>3214</v>
      </c>
      <c r="I480">
        <v>1</v>
      </c>
      <c r="J480" t="s">
        <v>1918</v>
      </c>
      <c r="K480">
        <v>0</v>
      </c>
      <c r="M480">
        <v>3</v>
      </c>
    </row>
    <row r="481" spans="1:13">
      <c r="A481" t="s">
        <v>3215</v>
      </c>
      <c r="B481" t="s">
        <v>3215</v>
      </c>
      <c r="C481" t="s">
        <v>1680</v>
      </c>
      <c r="E481">
        <v>2</v>
      </c>
      <c r="G481">
        <v>17.899999999999999</v>
      </c>
      <c r="H481" t="s">
        <v>3216</v>
      </c>
      <c r="I481">
        <v>21</v>
      </c>
      <c r="J481" t="s">
        <v>1948</v>
      </c>
      <c r="K481">
        <v>0</v>
      </c>
      <c r="M481">
        <v>3</v>
      </c>
    </row>
    <row r="482" spans="1:13">
      <c r="A482" t="s">
        <v>3217</v>
      </c>
      <c r="B482" t="s">
        <v>3217</v>
      </c>
      <c r="C482" t="s">
        <v>1681</v>
      </c>
      <c r="E482">
        <v>2</v>
      </c>
      <c r="G482">
        <v>150</v>
      </c>
      <c r="H482" t="s">
        <v>3218</v>
      </c>
      <c r="I482">
        <v>2</v>
      </c>
      <c r="J482" t="s">
        <v>835</v>
      </c>
      <c r="K482">
        <v>0</v>
      </c>
      <c r="M482">
        <v>15</v>
      </c>
    </row>
    <row r="483" spans="1:13">
      <c r="A483" t="s">
        <v>3219</v>
      </c>
      <c r="B483" t="s">
        <v>3219</v>
      </c>
      <c r="C483" t="s">
        <v>892</v>
      </c>
      <c r="D483" t="s">
        <v>3220</v>
      </c>
      <c r="E483">
        <v>1</v>
      </c>
      <c r="G483">
        <v>1416</v>
      </c>
      <c r="H483" t="s">
        <v>3221</v>
      </c>
      <c r="I483">
        <v>25</v>
      </c>
      <c r="J483" t="s">
        <v>1905</v>
      </c>
      <c r="K483">
        <v>2</v>
      </c>
      <c r="M483">
        <v>15</v>
      </c>
    </row>
    <row r="484" spans="1:13">
      <c r="A484" t="s">
        <v>3222</v>
      </c>
      <c r="B484" t="s">
        <v>3222</v>
      </c>
      <c r="C484" t="s">
        <v>1682</v>
      </c>
      <c r="D484" t="s">
        <v>3223</v>
      </c>
      <c r="E484">
        <v>1</v>
      </c>
      <c r="G484">
        <v>5.9</v>
      </c>
      <c r="H484" t="s">
        <v>3224</v>
      </c>
      <c r="I484">
        <v>1</v>
      </c>
      <c r="J484" t="s">
        <v>1918</v>
      </c>
      <c r="K484">
        <v>0</v>
      </c>
      <c r="M484">
        <v>3</v>
      </c>
    </row>
    <row r="485" spans="1:13">
      <c r="A485" t="s">
        <v>3225</v>
      </c>
      <c r="B485" t="s">
        <v>3225</v>
      </c>
      <c r="C485" t="s">
        <v>1683</v>
      </c>
      <c r="D485" t="s">
        <v>3226</v>
      </c>
      <c r="E485">
        <v>1</v>
      </c>
      <c r="G485">
        <v>6.1</v>
      </c>
      <c r="H485" t="s">
        <v>3227</v>
      </c>
      <c r="I485">
        <v>1</v>
      </c>
      <c r="J485" t="s">
        <v>1918</v>
      </c>
      <c r="K485">
        <v>0</v>
      </c>
      <c r="M485">
        <v>3</v>
      </c>
    </row>
    <row r="486" spans="1:13">
      <c r="A486" t="s">
        <v>3228</v>
      </c>
      <c r="B486" t="s">
        <v>3228</v>
      </c>
      <c r="C486" t="s">
        <v>1684</v>
      </c>
      <c r="D486" t="s">
        <v>3229</v>
      </c>
      <c r="E486">
        <v>2</v>
      </c>
      <c r="G486">
        <v>11.4</v>
      </c>
      <c r="H486" t="s">
        <v>3230</v>
      </c>
      <c r="I486">
        <v>1</v>
      </c>
      <c r="J486" t="s">
        <v>1918</v>
      </c>
      <c r="K486">
        <v>0</v>
      </c>
      <c r="M486">
        <v>1</v>
      </c>
    </row>
    <row r="487" spans="1:13">
      <c r="A487" t="s">
        <v>3231</v>
      </c>
      <c r="B487" t="s">
        <v>3231</v>
      </c>
      <c r="C487" t="s">
        <v>1685</v>
      </c>
      <c r="D487" t="s">
        <v>3232</v>
      </c>
      <c r="E487">
        <v>2</v>
      </c>
      <c r="G487">
        <v>18.3</v>
      </c>
      <c r="H487" t="s">
        <v>3233</v>
      </c>
      <c r="I487">
        <v>1</v>
      </c>
      <c r="J487" t="s">
        <v>1918</v>
      </c>
      <c r="K487">
        <v>0</v>
      </c>
      <c r="M487">
        <v>1</v>
      </c>
    </row>
    <row r="488" spans="1:13">
      <c r="A488" t="s">
        <v>3234</v>
      </c>
      <c r="B488" t="s">
        <v>3234</v>
      </c>
      <c r="C488" t="s">
        <v>1686</v>
      </c>
      <c r="D488" t="s">
        <v>3235</v>
      </c>
      <c r="E488">
        <v>2</v>
      </c>
      <c r="G488">
        <v>8.6</v>
      </c>
      <c r="H488" t="s">
        <v>3236</v>
      </c>
      <c r="I488">
        <v>1</v>
      </c>
      <c r="J488" t="s">
        <v>1918</v>
      </c>
      <c r="K488">
        <v>0</v>
      </c>
      <c r="M488">
        <v>1</v>
      </c>
    </row>
    <row r="489" spans="1:13">
      <c r="A489" t="s">
        <v>3237</v>
      </c>
      <c r="B489" t="s">
        <v>3237</v>
      </c>
      <c r="C489" t="s">
        <v>1687</v>
      </c>
      <c r="D489" t="s">
        <v>3238</v>
      </c>
      <c r="E489">
        <v>1</v>
      </c>
      <c r="G489">
        <v>10.1</v>
      </c>
      <c r="H489" t="s">
        <v>3239</v>
      </c>
      <c r="I489">
        <v>1</v>
      </c>
      <c r="J489" t="s">
        <v>1918</v>
      </c>
      <c r="K489">
        <v>0</v>
      </c>
      <c r="M489">
        <v>5</v>
      </c>
    </row>
    <row r="490" spans="1:13">
      <c r="A490" t="s">
        <v>3240</v>
      </c>
      <c r="B490" t="s">
        <v>3240</v>
      </c>
      <c r="C490" t="s">
        <v>1688</v>
      </c>
      <c r="E490">
        <v>2</v>
      </c>
      <c r="G490">
        <v>205</v>
      </c>
      <c r="H490" t="s">
        <v>3241</v>
      </c>
      <c r="I490">
        <v>25</v>
      </c>
      <c r="J490" t="s">
        <v>1905</v>
      </c>
      <c r="K490">
        <v>0</v>
      </c>
      <c r="M490">
        <v>9</v>
      </c>
    </row>
    <row r="491" spans="1:13">
      <c r="A491" t="s">
        <v>3242</v>
      </c>
      <c r="B491" t="s">
        <v>3242</v>
      </c>
      <c r="C491" t="s">
        <v>1689</v>
      </c>
      <c r="D491" t="s">
        <v>3243</v>
      </c>
      <c r="E491">
        <v>1</v>
      </c>
      <c r="G491">
        <v>34.299999999999997</v>
      </c>
      <c r="H491" t="s">
        <v>3244</v>
      </c>
      <c r="I491">
        <v>14</v>
      </c>
      <c r="J491" t="s">
        <v>1901</v>
      </c>
      <c r="K491">
        <v>2</v>
      </c>
      <c r="M491">
        <v>3</v>
      </c>
    </row>
    <row r="492" spans="1:13">
      <c r="A492" t="s">
        <v>3245</v>
      </c>
      <c r="B492" t="s">
        <v>3245</v>
      </c>
      <c r="C492" t="s">
        <v>1690</v>
      </c>
      <c r="D492" t="s">
        <v>3246</v>
      </c>
      <c r="E492">
        <v>1</v>
      </c>
      <c r="G492">
        <v>6.3</v>
      </c>
      <c r="H492" t="s">
        <v>3247</v>
      </c>
      <c r="I492">
        <v>1</v>
      </c>
      <c r="J492" t="s">
        <v>1918</v>
      </c>
      <c r="K492">
        <v>0</v>
      </c>
      <c r="M492">
        <v>5</v>
      </c>
    </row>
    <row r="493" spans="1:13">
      <c r="A493" t="s">
        <v>3248</v>
      </c>
      <c r="B493" t="s">
        <v>3248</v>
      </c>
      <c r="C493" t="s">
        <v>1691</v>
      </c>
      <c r="D493" t="s">
        <v>3249</v>
      </c>
      <c r="E493">
        <v>1</v>
      </c>
      <c r="G493">
        <v>27.4</v>
      </c>
      <c r="H493" t="s">
        <v>3250</v>
      </c>
      <c r="I493">
        <v>3</v>
      </c>
      <c r="J493" t="s">
        <v>1941</v>
      </c>
      <c r="K493">
        <v>0</v>
      </c>
      <c r="M493">
        <v>2</v>
      </c>
    </row>
    <row r="494" spans="1:13">
      <c r="A494" t="s">
        <v>3251</v>
      </c>
      <c r="B494" t="s">
        <v>3251</v>
      </c>
      <c r="C494" t="s">
        <v>1692</v>
      </c>
      <c r="D494" t="s">
        <v>3252</v>
      </c>
      <c r="E494">
        <v>1</v>
      </c>
      <c r="G494">
        <v>60</v>
      </c>
      <c r="H494" t="s">
        <v>3253</v>
      </c>
      <c r="I494">
        <v>25</v>
      </c>
      <c r="J494" t="s">
        <v>1905</v>
      </c>
      <c r="K494">
        <v>0</v>
      </c>
      <c r="M494">
        <v>9</v>
      </c>
    </row>
    <row r="495" spans="1:13">
      <c r="A495" t="s">
        <v>3254</v>
      </c>
      <c r="B495" t="s">
        <v>3254</v>
      </c>
      <c r="C495" t="s">
        <v>1693</v>
      </c>
      <c r="E495">
        <v>1</v>
      </c>
      <c r="G495">
        <v>10.4</v>
      </c>
      <c r="H495" t="s">
        <v>3255</v>
      </c>
      <c r="I495">
        <v>1</v>
      </c>
      <c r="J495" t="s">
        <v>1918</v>
      </c>
      <c r="K495">
        <v>0</v>
      </c>
      <c r="M495">
        <v>5</v>
      </c>
    </row>
    <row r="496" spans="1:13">
      <c r="A496" t="s">
        <v>3256</v>
      </c>
      <c r="B496" t="s">
        <v>3256</v>
      </c>
      <c r="C496" t="s">
        <v>1694</v>
      </c>
      <c r="D496" t="s">
        <v>3257</v>
      </c>
      <c r="E496">
        <v>1</v>
      </c>
      <c r="G496">
        <v>9.3000000000000007</v>
      </c>
      <c r="H496" t="s">
        <v>3258</v>
      </c>
      <c r="I496">
        <v>1</v>
      </c>
      <c r="J496" t="s">
        <v>1918</v>
      </c>
      <c r="K496">
        <v>2</v>
      </c>
      <c r="M496">
        <v>6</v>
      </c>
    </row>
    <row r="497" spans="1:13">
      <c r="A497" t="s">
        <v>3259</v>
      </c>
      <c r="B497" t="s">
        <v>3259</v>
      </c>
      <c r="C497" t="s">
        <v>1695</v>
      </c>
      <c r="D497" t="s">
        <v>3260</v>
      </c>
      <c r="E497">
        <v>1</v>
      </c>
      <c r="G497">
        <v>18</v>
      </c>
      <c r="H497" t="s">
        <v>3261</v>
      </c>
      <c r="I497">
        <v>1</v>
      </c>
      <c r="J497" t="s">
        <v>1918</v>
      </c>
      <c r="K497">
        <v>2</v>
      </c>
      <c r="M497">
        <v>6</v>
      </c>
    </row>
    <row r="498" spans="1:13">
      <c r="A498" t="s">
        <v>3262</v>
      </c>
      <c r="B498" t="s">
        <v>3262</v>
      </c>
      <c r="C498" t="s">
        <v>1696</v>
      </c>
      <c r="D498" t="s">
        <v>3263</v>
      </c>
      <c r="E498">
        <v>1</v>
      </c>
      <c r="G498">
        <v>32</v>
      </c>
      <c r="H498" t="s">
        <v>3264</v>
      </c>
      <c r="I498">
        <v>1</v>
      </c>
      <c r="J498" t="s">
        <v>1918</v>
      </c>
      <c r="K498">
        <v>2</v>
      </c>
      <c r="M498">
        <v>6</v>
      </c>
    </row>
    <row r="499" spans="1:13">
      <c r="A499" t="s">
        <v>3265</v>
      </c>
      <c r="B499" t="s">
        <v>3265</v>
      </c>
      <c r="C499" t="s">
        <v>1697</v>
      </c>
      <c r="D499" t="s">
        <v>3266</v>
      </c>
      <c r="E499">
        <v>1</v>
      </c>
      <c r="G499">
        <v>99.2</v>
      </c>
      <c r="H499" t="s">
        <v>3267</v>
      </c>
      <c r="I499">
        <v>3</v>
      </c>
      <c r="J499" t="s">
        <v>1941</v>
      </c>
      <c r="K499">
        <v>2</v>
      </c>
      <c r="M499">
        <v>2</v>
      </c>
    </row>
    <row r="500" spans="1:13">
      <c r="A500" t="s">
        <v>3268</v>
      </c>
      <c r="B500" t="s">
        <v>3268</v>
      </c>
      <c r="C500" t="s">
        <v>1698</v>
      </c>
      <c r="D500" t="s">
        <v>3269</v>
      </c>
      <c r="E500">
        <v>2</v>
      </c>
      <c r="G500">
        <v>64.3</v>
      </c>
      <c r="H500" t="s">
        <v>3270</v>
      </c>
      <c r="I500">
        <v>21</v>
      </c>
      <c r="J500" t="s">
        <v>1948</v>
      </c>
      <c r="K500">
        <v>0</v>
      </c>
      <c r="M500">
        <v>3</v>
      </c>
    </row>
    <row r="501" spans="1:13">
      <c r="A501" t="s">
        <v>3271</v>
      </c>
      <c r="B501" t="s">
        <v>3271</v>
      </c>
      <c r="C501" t="s">
        <v>1699</v>
      </c>
      <c r="D501" t="s">
        <v>3272</v>
      </c>
      <c r="E501">
        <v>1</v>
      </c>
      <c r="G501">
        <v>12</v>
      </c>
      <c r="H501" t="s">
        <v>3273</v>
      </c>
      <c r="I501">
        <v>1</v>
      </c>
      <c r="J501" t="s">
        <v>1918</v>
      </c>
      <c r="K501">
        <v>0</v>
      </c>
      <c r="M501">
        <v>1</v>
      </c>
    </row>
    <row r="502" spans="1:13">
      <c r="A502" t="s">
        <v>3274</v>
      </c>
      <c r="B502" t="s">
        <v>3274</v>
      </c>
      <c r="C502" t="s">
        <v>1700</v>
      </c>
      <c r="D502" t="s">
        <v>3275</v>
      </c>
      <c r="E502">
        <v>1</v>
      </c>
      <c r="G502">
        <v>15.6</v>
      </c>
      <c r="H502" t="s">
        <v>3276</v>
      </c>
      <c r="I502">
        <v>1</v>
      </c>
      <c r="J502" t="s">
        <v>1918</v>
      </c>
      <c r="K502">
        <v>0</v>
      </c>
      <c r="M502">
        <v>5</v>
      </c>
    </row>
    <row r="503" spans="1:13">
      <c r="A503" t="s">
        <v>3277</v>
      </c>
      <c r="B503" t="s">
        <v>3277</v>
      </c>
      <c r="C503" t="s">
        <v>1701</v>
      </c>
      <c r="D503" t="s">
        <v>3278</v>
      </c>
      <c r="E503">
        <v>1</v>
      </c>
      <c r="G503">
        <v>6.7</v>
      </c>
      <c r="H503" t="s">
        <v>3279</v>
      </c>
      <c r="I503">
        <v>1</v>
      </c>
      <c r="J503" t="s">
        <v>1918</v>
      </c>
      <c r="K503">
        <v>2</v>
      </c>
      <c r="M503">
        <v>6</v>
      </c>
    </row>
    <row r="504" spans="1:13">
      <c r="A504" t="s">
        <v>3280</v>
      </c>
      <c r="B504" t="s">
        <v>3280</v>
      </c>
      <c r="C504" t="s">
        <v>1239</v>
      </c>
      <c r="D504" t="s">
        <v>3281</v>
      </c>
      <c r="E504">
        <v>1</v>
      </c>
      <c r="G504">
        <v>5.3</v>
      </c>
      <c r="H504" t="s">
        <v>3282</v>
      </c>
      <c r="I504">
        <v>1</v>
      </c>
      <c r="J504" t="s">
        <v>1918</v>
      </c>
      <c r="K504">
        <v>0</v>
      </c>
      <c r="M504">
        <v>5</v>
      </c>
    </row>
    <row r="505" spans="1:13">
      <c r="A505" t="s">
        <v>3283</v>
      </c>
      <c r="B505" t="s">
        <v>3283</v>
      </c>
      <c r="C505" t="s">
        <v>1702</v>
      </c>
      <c r="E505">
        <v>1</v>
      </c>
      <c r="G505">
        <v>27.7</v>
      </c>
      <c r="H505" t="s">
        <v>3284</v>
      </c>
      <c r="I505">
        <v>4</v>
      </c>
      <c r="J505" t="s">
        <v>2202</v>
      </c>
      <c r="K505">
        <v>2</v>
      </c>
      <c r="M505">
        <v>2</v>
      </c>
    </row>
    <row r="506" spans="1:13">
      <c r="A506" t="s">
        <v>3285</v>
      </c>
      <c r="B506" t="s">
        <v>3285</v>
      </c>
      <c r="C506" t="s">
        <v>1703</v>
      </c>
      <c r="E506">
        <v>1</v>
      </c>
      <c r="G506">
        <v>5.6</v>
      </c>
      <c r="H506" t="s">
        <v>3286</v>
      </c>
      <c r="I506">
        <v>10</v>
      </c>
      <c r="J506" t="s">
        <v>1970</v>
      </c>
      <c r="K506">
        <v>0</v>
      </c>
      <c r="M506">
        <v>3</v>
      </c>
    </row>
    <row r="507" spans="1:13">
      <c r="A507" t="s">
        <v>3287</v>
      </c>
      <c r="B507" t="s">
        <v>3287</v>
      </c>
      <c r="C507" t="s">
        <v>1704</v>
      </c>
      <c r="E507">
        <v>1</v>
      </c>
      <c r="G507">
        <v>59</v>
      </c>
      <c r="H507" t="s">
        <v>3288</v>
      </c>
      <c r="I507">
        <v>25</v>
      </c>
      <c r="J507" t="s">
        <v>1905</v>
      </c>
      <c r="K507">
        <v>0</v>
      </c>
      <c r="M507">
        <v>9</v>
      </c>
    </row>
    <row r="508" spans="1:13">
      <c r="A508" t="s">
        <v>3289</v>
      </c>
      <c r="B508" t="s">
        <v>3289</v>
      </c>
      <c r="C508" t="s">
        <v>1705</v>
      </c>
      <c r="D508" t="s">
        <v>3290</v>
      </c>
      <c r="E508">
        <v>1</v>
      </c>
      <c r="G508">
        <v>16.600000000000001</v>
      </c>
      <c r="H508" t="s">
        <v>3291</v>
      </c>
      <c r="I508">
        <v>14</v>
      </c>
      <c r="J508" t="s">
        <v>1901</v>
      </c>
      <c r="K508">
        <v>0</v>
      </c>
      <c r="M508">
        <v>15</v>
      </c>
    </row>
    <row r="509" spans="1:13">
      <c r="A509" t="s">
        <v>3292</v>
      </c>
      <c r="B509" t="s">
        <v>3292</v>
      </c>
      <c r="C509" t="s">
        <v>1706</v>
      </c>
      <c r="E509">
        <v>1</v>
      </c>
      <c r="G509">
        <v>146.1</v>
      </c>
      <c r="H509" t="s">
        <v>3293</v>
      </c>
      <c r="I509">
        <v>1</v>
      </c>
      <c r="J509" t="s">
        <v>1918</v>
      </c>
      <c r="K509">
        <v>0</v>
      </c>
      <c r="M509">
        <v>5</v>
      </c>
    </row>
    <row r="510" spans="1:13">
      <c r="A510" t="s">
        <v>3294</v>
      </c>
      <c r="B510" t="s">
        <v>3294</v>
      </c>
      <c r="C510" t="s">
        <v>1707</v>
      </c>
      <c r="D510" t="s">
        <v>3295</v>
      </c>
      <c r="E510">
        <v>1</v>
      </c>
      <c r="G510">
        <v>46498</v>
      </c>
      <c r="H510" t="s">
        <v>3296</v>
      </c>
      <c r="I510">
        <v>25</v>
      </c>
      <c r="J510" t="s">
        <v>1905</v>
      </c>
      <c r="K510">
        <v>0</v>
      </c>
      <c r="M510">
        <v>6</v>
      </c>
    </row>
    <row r="511" spans="1:13">
      <c r="A511" t="s">
        <v>3297</v>
      </c>
      <c r="B511" t="s">
        <v>3297</v>
      </c>
      <c r="C511" t="s">
        <v>926</v>
      </c>
      <c r="D511" t="s">
        <v>3298</v>
      </c>
      <c r="E511">
        <v>2</v>
      </c>
      <c r="G511">
        <v>8.8000000000000007</v>
      </c>
      <c r="H511" t="s">
        <v>3299</v>
      </c>
      <c r="I511">
        <v>3</v>
      </c>
      <c r="J511" t="s">
        <v>1941</v>
      </c>
      <c r="K511">
        <v>2</v>
      </c>
      <c r="M511">
        <v>2</v>
      </c>
    </row>
    <row r="512" spans="1:13">
      <c r="A512" t="s">
        <v>3300</v>
      </c>
      <c r="B512" t="s">
        <v>3300</v>
      </c>
      <c r="C512" t="s">
        <v>1708</v>
      </c>
      <c r="D512" t="s">
        <v>3301</v>
      </c>
      <c r="E512">
        <v>1</v>
      </c>
      <c r="G512">
        <v>10.4</v>
      </c>
      <c r="H512" t="s">
        <v>3302</v>
      </c>
      <c r="I512">
        <v>1</v>
      </c>
      <c r="J512" t="s">
        <v>1918</v>
      </c>
      <c r="K512">
        <v>0</v>
      </c>
      <c r="M512">
        <v>5</v>
      </c>
    </row>
    <row r="513" spans="1:13">
      <c r="A513" t="s">
        <v>3303</v>
      </c>
      <c r="B513" t="s">
        <v>3303</v>
      </c>
      <c r="C513" t="s">
        <v>1709</v>
      </c>
      <c r="E513">
        <v>2</v>
      </c>
      <c r="G513">
        <v>6.8</v>
      </c>
      <c r="H513" t="s">
        <v>3304</v>
      </c>
      <c r="I513">
        <v>1</v>
      </c>
      <c r="J513" t="s">
        <v>1918</v>
      </c>
      <c r="K513">
        <v>0</v>
      </c>
      <c r="M513">
        <v>15</v>
      </c>
    </row>
    <row r="514" spans="1:13">
      <c r="A514" t="s">
        <v>3305</v>
      </c>
      <c r="B514" t="s">
        <v>3305</v>
      </c>
      <c r="C514" t="s">
        <v>1711</v>
      </c>
      <c r="D514" t="s">
        <v>3306</v>
      </c>
      <c r="E514">
        <v>1</v>
      </c>
      <c r="G514">
        <v>8.5</v>
      </c>
      <c r="H514" t="s">
        <v>3307</v>
      </c>
      <c r="I514">
        <v>17</v>
      </c>
      <c r="J514" t="s">
        <v>2093</v>
      </c>
      <c r="K514">
        <v>0</v>
      </c>
      <c r="M514">
        <v>3</v>
      </c>
    </row>
    <row r="515" spans="1:13">
      <c r="A515" t="s">
        <v>3308</v>
      </c>
      <c r="B515" t="s">
        <v>3308</v>
      </c>
      <c r="C515" t="s">
        <v>1712</v>
      </c>
      <c r="D515" t="s">
        <v>3309</v>
      </c>
      <c r="E515">
        <v>2</v>
      </c>
      <c r="G515">
        <v>28172</v>
      </c>
      <c r="H515" t="s">
        <v>3310</v>
      </c>
      <c r="I515">
        <v>25</v>
      </c>
      <c r="J515" t="s">
        <v>1905</v>
      </c>
      <c r="K515">
        <v>0</v>
      </c>
      <c r="M515">
        <v>3</v>
      </c>
    </row>
    <row r="516" spans="1:13">
      <c r="A516" t="s">
        <v>3311</v>
      </c>
      <c r="B516" t="s">
        <v>3311</v>
      </c>
      <c r="C516" t="s">
        <v>1713</v>
      </c>
      <c r="D516" t="s">
        <v>3312</v>
      </c>
      <c r="E516">
        <v>1</v>
      </c>
      <c r="G516">
        <v>165</v>
      </c>
      <c r="H516" t="s">
        <v>3313</v>
      </c>
      <c r="I516">
        <v>25</v>
      </c>
      <c r="J516" t="s">
        <v>1905</v>
      </c>
      <c r="K516">
        <v>0</v>
      </c>
      <c r="M516">
        <v>9</v>
      </c>
    </row>
    <row r="517" spans="1:13">
      <c r="A517" t="s">
        <v>3314</v>
      </c>
      <c r="B517" t="s">
        <v>3314</v>
      </c>
      <c r="C517" t="s">
        <v>1714</v>
      </c>
      <c r="D517" t="s">
        <v>3315</v>
      </c>
      <c r="E517">
        <v>1</v>
      </c>
      <c r="G517">
        <v>126</v>
      </c>
      <c r="H517" t="s">
        <v>3316</v>
      </c>
      <c r="I517">
        <v>25</v>
      </c>
      <c r="J517" t="s">
        <v>1905</v>
      </c>
      <c r="K517">
        <v>0</v>
      </c>
      <c r="M517">
        <v>8</v>
      </c>
    </row>
    <row r="518" spans="1:13">
      <c r="A518" t="s">
        <v>3317</v>
      </c>
      <c r="B518" t="s">
        <v>3317</v>
      </c>
      <c r="C518" t="s">
        <v>1715</v>
      </c>
      <c r="D518" t="s">
        <v>3318</v>
      </c>
      <c r="E518">
        <v>1</v>
      </c>
      <c r="G518">
        <v>7.4</v>
      </c>
      <c r="H518" t="s">
        <v>3319</v>
      </c>
      <c r="I518">
        <v>18</v>
      </c>
      <c r="J518" t="s">
        <v>2257</v>
      </c>
      <c r="K518">
        <v>0</v>
      </c>
      <c r="M518">
        <v>5</v>
      </c>
    </row>
    <row r="519" spans="1:13">
      <c r="A519" t="s">
        <v>3320</v>
      </c>
      <c r="B519" t="s">
        <v>3320</v>
      </c>
      <c r="C519" t="s">
        <v>1716</v>
      </c>
      <c r="D519" t="s">
        <v>3321</v>
      </c>
      <c r="E519">
        <v>1</v>
      </c>
      <c r="G519">
        <v>7.4</v>
      </c>
      <c r="H519" t="s">
        <v>3322</v>
      </c>
      <c r="I519">
        <v>18</v>
      </c>
      <c r="J519" t="s">
        <v>2257</v>
      </c>
      <c r="K519">
        <v>0</v>
      </c>
      <c r="M519">
        <v>5</v>
      </c>
    </row>
    <row r="520" spans="1:13">
      <c r="A520" t="s">
        <v>3323</v>
      </c>
      <c r="B520" t="s">
        <v>3323</v>
      </c>
      <c r="C520" t="s">
        <v>1717</v>
      </c>
      <c r="E520">
        <v>1</v>
      </c>
      <c r="G520">
        <v>3.7</v>
      </c>
      <c r="H520" t="s">
        <v>3324</v>
      </c>
      <c r="I520">
        <v>14</v>
      </c>
      <c r="J520" t="s">
        <v>1901</v>
      </c>
      <c r="K520">
        <v>0</v>
      </c>
      <c r="M520">
        <v>5</v>
      </c>
    </row>
    <row r="521" spans="1:13">
      <c r="A521" t="s">
        <v>3325</v>
      </c>
      <c r="B521" t="s">
        <v>3325</v>
      </c>
      <c r="C521" t="s">
        <v>1718</v>
      </c>
      <c r="D521" t="s">
        <v>3326</v>
      </c>
      <c r="E521">
        <v>1</v>
      </c>
      <c r="G521">
        <v>35976</v>
      </c>
      <c r="H521" t="s">
        <v>3327</v>
      </c>
      <c r="I521">
        <v>25</v>
      </c>
      <c r="J521" t="s">
        <v>1905</v>
      </c>
      <c r="K521">
        <v>0</v>
      </c>
      <c r="M521">
        <v>11</v>
      </c>
    </row>
    <row r="522" spans="1:13">
      <c r="A522" t="s">
        <v>3328</v>
      </c>
      <c r="B522" t="s">
        <v>3328</v>
      </c>
      <c r="C522" t="s">
        <v>1719</v>
      </c>
      <c r="D522" t="s">
        <v>3329</v>
      </c>
      <c r="E522">
        <v>2</v>
      </c>
      <c r="G522">
        <v>33.6</v>
      </c>
      <c r="H522" t="s">
        <v>3330</v>
      </c>
      <c r="I522">
        <v>1</v>
      </c>
      <c r="J522" t="s">
        <v>1918</v>
      </c>
      <c r="K522">
        <v>2</v>
      </c>
      <c r="M522">
        <v>3</v>
      </c>
    </row>
    <row r="523" spans="1:13">
      <c r="A523" t="s">
        <v>3331</v>
      </c>
      <c r="B523" t="s">
        <v>3331</v>
      </c>
      <c r="C523" t="s">
        <v>1720</v>
      </c>
      <c r="E523">
        <v>1</v>
      </c>
      <c r="G523">
        <v>201.4</v>
      </c>
      <c r="H523" t="s">
        <v>3332</v>
      </c>
      <c r="I523">
        <v>21</v>
      </c>
      <c r="J523" t="s">
        <v>1948</v>
      </c>
      <c r="K523">
        <v>0</v>
      </c>
      <c r="M523">
        <v>3</v>
      </c>
    </row>
    <row r="524" spans="1:13">
      <c r="A524" t="s">
        <v>3333</v>
      </c>
      <c r="B524" t="s">
        <v>3333</v>
      </c>
      <c r="C524" t="s">
        <v>945</v>
      </c>
      <c r="D524" t="s">
        <v>3334</v>
      </c>
      <c r="E524">
        <v>1</v>
      </c>
      <c r="G524">
        <v>21.3</v>
      </c>
      <c r="H524" t="s">
        <v>3335</v>
      </c>
      <c r="I524">
        <v>14</v>
      </c>
      <c r="J524" t="s">
        <v>1901</v>
      </c>
      <c r="K524">
        <v>0</v>
      </c>
      <c r="M524">
        <v>3</v>
      </c>
    </row>
    <row r="525" spans="1:13">
      <c r="A525" t="s">
        <v>3336</v>
      </c>
      <c r="B525" t="s">
        <v>3336</v>
      </c>
      <c r="C525" t="s">
        <v>1721</v>
      </c>
      <c r="D525" t="s">
        <v>3337</v>
      </c>
      <c r="E525">
        <v>1</v>
      </c>
      <c r="G525">
        <v>90.8</v>
      </c>
      <c r="H525" t="s">
        <v>3338</v>
      </c>
      <c r="I525">
        <v>1</v>
      </c>
      <c r="J525" t="s">
        <v>1918</v>
      </c>
      <c r="K525">
        <v>0</v>
      </c>
      <c r="M525">
        <v>1</v>
      </c>
    </row>
    <row r="526" spans="1:13">
      <c r="A526" t="s">
        <v>3339</v>
      </c>
      <c r="B526" t="s">
        <v>3339</v>
      </c>
      <c r="C526" t="s">
        <v>1722</v>
      </c>
      <c r="D526" t="s">
        <v>3340</v>
      </c>
      <c r="E526">
        <v>1</v>
      </c>
      <c r="G526">
        <v>109.9</v>
      </c>
      <c r="H526" t="s">
        <v>3341</v>
      </c>
      <c r="I526">
        <v>1</v>
      </c>
      <c r="J526" t="s">
        <v>1918</v>
      </c>
      <c r="K526">
        <v>0</v>
      </c>
      <c r="M526">
        <v>1</v>
      </c>
    </row>
    <row r="527" spans="1:13">
      <c r="A527" t="s">
        <v>3342</v>
      </c>
      <c r="B527" t="s">
        <v>3342</v>
      </c>
      <c r="C527" t="s">
        <v>1723</v>
      </c>
      <c r="D527" t="s">
        <v>3343</v>
      </c>
      <c r="E527">
        <v>1</v>
      </c>
      <c r="G527">
        <v>7.3</v>
      </c>
      <c r="H527" t="s">
        <v>3344</v>
      </c>
      <c r="I527">
        <v>1</v>
      </c>
      <c r="J527" t="s">
        <v>1918</v>
      </c>
      <c r="K527">
        <v>0</v>
      </c>
      <c r="M527">
        <v>5</v>
      </c>
    </row>
    <row r="528" spans="1:13">
      <c r="A528" t="s">
        <v>3345</v>
      </c>
      <c r="B528" t="s">
        <v>3345</v>
      </c>
      <c r="C528" t="s">
        <v>1724</v>
      </c>
      <c r="E528">
        <v>1</v>
      </c>
      <c r="G528">
        <v>561</v>
      </c>
      <c r="H528" t="s">
        <v>3346</v>
      </c>
      <c r="I528">
        <v>25</v>
      </c>
      <c r="J528" t="s">
        <v>1905</v>
      </c>
      <c r="K528">
        <v>2</v>
      </c>
      <c r="M528">
        <v>9</v>
      </c>
    </row>
    <row r="529" spans="1:13">
      <c r="A529" t="s">
        <v>3347</v>
      </c>
      <c r="B529" t="s">
        <v>3347</v>
      </c>
      <c r="C529" t="s">
        <v>1725</v>
      </c>
      <c r="D529" t="s">
        <v>3348</v>
      </c>
      <c r="E529">
        <v>1</v>
      </c>
      <c r="G529">
        <v>7.8</v>
      </c>
      <c r="H529" t="s">
        <v>3349</v>
      </c>
      <c r="I529">
        <v>1</v>
      </c>
      <c r="J529" t="s">
        <v>1918</v>
      </c>
      <c r="K529">
        <v>0</v>
      </c>
      <c r="M529">
        <v>5</v>
      </c>
    </row>
    <row r="530" spans="1:13">
      <c r="A530" t="s">
        <v>3350</v>
      </c>
      <c r="B530" t="s">
        <v>3350</v>
      </c>
      <c r="C530" t="s">
        <v>1726</v>
      </c>
      <c r="E530">
        <v>1</v>
      </c>
      <c r="G530">
        <v>16.2</v>
      </c>
      <c r="H530" t="s">
        <v>3351</v>
      </c>
      <c r="I530">
        <v>4</v>
      </c>
      <c r="J530" t="s">
        <v>2202</v>
      </c>
      <c r="K530">
        <v>0</v>
      </c>
      <c r="M530">
        <v>2</v>
      </c>
    </row>
    <row r="531" spans="1:13">
      <c r="A531" t="s">
        <v>3352</v>
      </c>
      <c r="B531" t="s">
        <v>3352</v>
      </c>
      <c r="C531" t="s">
        <v>1727</v>
      </c>
      <c r="E531">
        <v>2</v>
      </c>
      <c r="G531">
        <v>100.1</v>
      </c>
      <c r="H531" t="s">
        <v>3353</v>
      </c>
      <c r="I531">
        <v>5</v>
      </c>
      <c r="J531" t="s">
        <v>2584</v>
      </c>
      <c r="K531">
        <v>0</v>
      </c>
      <c r="M531">
        <v>1</v>
      </c>
    </row>
    <row r="532" spans="1:13">
      <c r="A532" t="s">
        <v>3354</v>
      </c>
      <c r="B532" t="s">
        <v>3354</v>
      </c>
      <c r="C532" t="s">
        <v>1728</v>
      </c>
      <c r="D532" t="s">
        <v>3355</v>
      </c>
      <c r="E532">
        <v>1</v>
      </c>
      <c r="G532">
        <v>329</v>
      </c>
      <c r="H532" t="s">
        <v>3356</v>
      </c>
      <c r="I532">
        <v>25</v>
      </c>
      <c r="J532" t="s">
        <v>1905</v>
      </c>
      <c r="K532">
        <v>0</v>
      </c>
      <c r="M532">
        <v>8</v>
      </c>
    </row>
    <row r="533" spans="1:13">
      <c r="A533" t="s">
        <v>3357</v>
      </c>
      <c r="B533" t="s">
        <v>3357</v>
      </c>
      <c r="C533" t="s">
        <v>1729</v>
      </c>
      <c r="E533">
        <v>1</v>
      </c>
      <c r="G533">
        <v>11.3</v>
      </c>
      <c r="H533" t="s">
        <v>3358</v>
      </c>
      <c r="I533">
        <v>14</v>
      </c>
      <c r="J533" t="s">
        <v>1901</v>
      </c>
      <c r="K533">
        <v>0</v>
      </c>
      <c r="M533">
        <v>8</v>
      </c>
    </row>
    <row r="534" spans="1:13">
      <c r="A534" t="s">
        <v>3359</v>
      </c>
      <c r="B534" t="s">
        <v>3359</v>
      </c>
      <c r="C534" t="s">
        <v>1730</v>
      </c>
      <c r="E534">
        <v>1</v>
      </c>
      <c r="G534">
        <v>10.4</v>
      </c>
      <c r="H534" t="s">
        <v>3360</v>
      </c>
      <c r="I534">
        <v>1</v>
      </c>
      <c r="J534" t="s">
        <v>1918</v>
      </c>
      <c r="K534">
        <v>0</v>
      </c>
      <c r="M534">
        <v>5</v>
      </c>
    </row>
    <row r="535" spans="1:13">
      <c r="A535" t="s">
        <v>3361</v>
      </c>
      <c r="B535" t="s">
        <v>3361</v>
      </c>
      <c r="C535" t="s">
        <v>966</v>
      </c>
      <c r="D535" t="s">
        <v>3362</v>
      </c>
      <c r="E535">
        <v>1</v>
      </c>
      <c r="G535">
        <v>863</v>
      </c>
      <c r="H535" t="s">
        <v>3363</v>
      </c>
      <c r="I535">
        <v>25</v>
      </c>
      <c r="J535" t="s">
        <v>1905</v>
      </c>
      <c r="K535">
        <v>0</v>
      </c>
      <c r="M535">
        <v>8</v>
      </c>
    </row>
    <row r="536" spans="1:13">
      <c r="A536" t="s">
        <v>3364</v>
      </c>
      <c r="B536" t="s">
        <v>3364</v>
      </c>
      <c r="C536" t="s">
        <v>1731</v>
      </c>
      <c r="D536" t="s">
        <v>3365</v>
      </c>
      <c r="E536">
        <v>1</v>
      </c>
      <c r="G536">
        <v>188</v>
      </c>
      <c r="H536" t="s">
        <v>3366</v>
      </c>
      <c r="I536">
        <v>25</v>
      </c>
      <c r="J536" t="s">
        <v>1905</v>
      </c>
      <c r="K536">
        <v>2</v>
      </c>
      <c r="M536">
        <v>9</v>
      </c>
    </row>
    <row r="537" spans="1:13">
      <c r="A537" t="s">
        <v>3367</v>
      </c>
      <c r="B537" t="s">
        <v>3367</v>
      </c>
      <c r="C537" t="s">
        <v>970</v>
      </c>
      <c r="D537" t="s">
        <v>3368</v>
      </c>
      <c r="E537">
        <v>2</v>
      </c>
      <c r="G537">
        <v>71.099999999999994</v>
      </c>
      <c r="H537" t="s">
        <v>3369</v>
      </c>
      <c r="I537">
        <v>3</v>
      </c>
      <c r="J537" t="s">
        <v>1941</v>
      </c>
      <c r="K537">
        <v>0</v>
      </c>
      <c r="M537">
        <v>15</v>
      </c>
    </row>
    <row r="538" spans="1:13">
      <c r="A538" t="s">
        <v>3370</v>
      </c>
      <c r="B538" t="s">
        <v>3370</v>
      </c>
      <c r="C538" t="s">
        <v>1732</v>
      </c>
      <c r="D538" t="s">
        <v>3371</v>
      </c>
      <c r="E538">
        <v>1</v>
      </c>
      <c r="G538">
        <v>251</v>
      </c>
      <c r="H538" t="s">
        <v>3372</v>
      </c>
      <c r="I538">
        <v>25</v>
      </c>
      <c r="J538" t="s">
        <v>1905</v>
      </c>
      <c r="K538">
        <v>0</v>
      </c>
      <c r="M538">
        <v>10</v>
      </c>
    </row>
    <row r="539" spans="1:13">
      <c r="A539" t="s">
        <v>3373</v>
      </c>
      <c r="B539" t="s">
        <v>3373</v>
      </c>
      <c r="C539" t="s">
        <v>1733</v>
      </c>
      <c r="D539" t="s">
        <v>3374</v>
      </c>
      <c r="E539">
        <v>1</v>
      </c>
      <c r="G539">
        <v>279</v>
      </c>
      <c r="H539" t="s">
        <v>3372</v>
      </c>
      <c r="I539">
        <v>25</v>
      </c>
      <c r="J539" t="s">
        <v>1905</v>
      </c>
      <c r="K539">
        <v>0</v>
      </c>
      <c r="M539">
        <v>10</v>
      </c>
    </row>
    <row r="540" spans="1:13">
      <c r="A540" t="s">
        <v>3375</v>
      </c>
      <c r="B540" t="s">
        <v>3375</v>
      </c>
      <c r="C540" t="s">
        <v>1734</v>
      </c>
      <c r="D540" t="s">
        <v>3376</v>
      </c>
      <c r="E540">
        <v>1</v>
      </c>
      <c r="G540">
        <v>3.2</v>
      </c>
      <c r="H540" t="s">
        <v>3377</v>
      </c>
      <c r="I540">
        <v>9</v>
      </c>
      <c r="J540" t="s">
        <v>3378</v>
      </c>
      <c r="K540">
        <v>0</v>
      </c>
      <c r="M540">
        <v>3</v>
      </c>
    </row>
    <row r="541" spans="1:13">
      <c r="A541" t="s">
        <v>3379</v>
      </c>
      <c r="B541" t="s">
        <v>3379</v>
      </c>
      <c r="C541" t="s">
        <v>1735</v>
      </c>
      <c r="D541" t="s">
        <v>3380</v>
      </c>
      <c r="E541">
        <v>1</v>
      </c>
      <c r="G541">
        <v>0</v>
      </c>
      <c r="H541" t="s">
        <v>1735</v>
      </c>
      <c r="I541">
        <v>24</v>
      </c>
      <c r="J541" t="s">
        <v>2059</v>
      </c>
      <c r="K541">
        <v>0</v>
      </c>
      <c r="M541">
        <v>15</v>
      </c>
    </row>
    <row r="542" spans="1:13">
      <c r="A542" t="s">
        <v>3381</v>
      </c>
      <c r="B542" t="s">
        <v>3381</v>
      </c>
      <c r="C542" t="s">
        <v>1736</v>
      </c>
      <c r="D542" t="s">
        <v>3382</v>
      </c>
      <c r="E542">
        <v>2</v>
      </c>
      <c r="G542">
        <v>69</v>
      </c>
      <c r="H542" t="s">
        <v>3383</v>
      </c>
      <c r="I542">
        <v>25</v>
      </c>
      <c r="J542" t="s">
        <v>1905</v>
      </c>
      <c r="K542">
        <v>0</v>
      </c>
      <c r="M542">
        <v>15</v>
      </c>
    </row>
    <row r="543" spans="1:13">
      <c r="A543" t="s">
        <v>3384</v>
      </c>
      <c r="B543" t="s">
        <v>3384</v>
      </c>
      <c r="C543" t="s">
        <v>1737</v>
      </c>
      <c r="D543" t="s">
        <v>3385</v>
      </c>
      <c r="E543">
        <v>1</v>
      </c>
      <c r="G543">
        <v>77.8</v>
      </c>
      <c r="H543" t="s">
        <v>3386</v>
      </c>
      <c r="I543">
        <v>16</v>
      </c>
      <c r="J543" t="s">
        <v>3387</v>
      </c>
      <c r="K543">
        <v>0</v>
      </c>
      <c r="M543">
        <v>5</v>
      </c>
    </row>
    <row r="544" spans="1:13">
      <c r="A544" t="s">
        <v>3388</v>
      </c>
      <c r="B544" t="s">
        <v>3388</v>
      </c>
      <c r="C544" t="s">
        <v>1738</v>
      </c>
      <c r="D544" t="s">
        <v>3389</v>
      </c>
      <c r="E544">
        <v>2</v>
      </c>
      <c r="G544">
        <v>22.9</v>
      </c>
      <c r="H544" t="s">
        <v>3390</v>
      </c>
      <c r="I544">
        <v>11</v>
      </c>
      <c r="J544" t="s">
        <v>2354</v>
      </c>
      <c r="K544">
        <v>0</v>
      </c>
      <c r="M544">
        <v>3</v>
      </c>
    </row>
    <row r="545" spans="1:13">
      <c r="A545" t="s">
        <v>3391</v>
      </c>
      <c r="B545" t="s">
        <v>3391</v>
      </c>
      <c r="C545" t="s">
        <v>1739</v>
      </c>
      <c r="E545">
        <v>2</v>
      </c>
      <c r="G545">
        <v>71.3</v>
      </c>
      <c r="H545" t="s">
        <v>3392</v>
      </c>
      <c r="I545">
        <v>1</v>
      </c>
      <c r="J545" t="s">
        <v>1918</v>
      </c>
      <c r="K545">
        <v>0</v>
      </c>
      <c r="M545">
        <v>3</v>
      </c>
    </row>
    <row r="546" spans="1:13">
      <c r="A546" t="s">
        <v>3393</v>
      </c>
      <c r="B546" t="s">
        <v>3393</v>
      </c>
      <c r="C546" t="s">
        <v>1740</v>
      </c>
      <c r="D546" t="s">
        <v>3394</v>
      </c>
      <c r="E546">
        <v>2</v>
      </c>
      <c r="G546">
        <v>7.3</v>
      </c>
      <c r="H546" t="s">
        <v>3395</v>
      </c>
      <c r="I546">
        <v>1</v>
      </c>
      <c r="J546" t="s">
        <v>1918</v>
      </c>
      <c r="K546">
        <v>2</v>
      </c>
      <c r="M546">
        <v>2</v>
      </c>
    </row>
    <row r="547" spans="1:13">
      <c r="A547" t="s">
        <v>3396</v>
      </c>
      <c r="B547" t="s">
        <v>3396</v>
      </c>
      <c r="C547" t="s">
        <v>1741</v>
      </c>
      <c r="D547" t="s">
        <v>3397</v>
      </c>
      <c r="E547">
        <v>1</v>
      </c>
      <c r="G547">
        <v>12</v>
      </c>
      <c r="H547" t="s">
        <v>3398</v>
      </c>
      <c r="I547">
        <v>14</v>
      </c>
      <c r="J547" t="s">
        <v>1901</v>
      </c>
      <c r="K547">
        <v>0</v>
      </c>
      <c r="M547">
        <v>3</v>
      </c>
    </row>
    <row r="548" spans="1:13">
      <c r="A548" t="s">
        <v>3399</v>
      </c>
      <c r="B548" t="s">
        <v>3399</v>
      </c>
      <c r="C548" t="s">
        <v>992</v>
      </c>
      <c r="D548" t="s">
        <v>3400</v>
      </c>
      <c r="E548">
        <v>1</v>
      </c>
      <c r="G548">
        <v>17.5</v>
      </c>
      <c r="H548" t="s">
        <v>3401</v>
      </c>
      <c r="I548">
        <v>1</v>
      </c>
      <c r="J548" t="s">
        <v>1918</v>
      </c>
      <c r="K548">
        <v>0</v>
      </c>
      <c r="M548">
        <v>5</v>
      </c>
    </row>
    <row r="549" spans="1:13">
      <c r="A549" t="s">
        <v>3402</v>
      </c>
      <c r="B549" t="s">
        <v>3402</v>
      </c>
      <c r="C549" t="s">
        <v>991</v>
      </c>
      <c r="D549" t="s">
        <v>3403</v>
      </c>
      <c r="E549">
        <v>1</v>
      </c>
      <c r="G549">
        <v>14</v>
      </c>
      <c r="H549" t="s">
        <v>3404</v>
      </c>
      <c r="I549">
        <v>1</v>
      </c>
      <c r="J549" t="s">
        <v>1918</v>
      </c>
      <c r="K549">
        <v>0</v>
      </c>
      <c r="M549">
        <v>5</v>
      </c>
    </row>
    <row r="550" spans="1:13">
      <c r="A550" t="s">
        <v>3405</v>
      </c>
      <c r="B550" t="s">
        <v>3405</v>
      </c>
      <c r="C550" t="s">
        <v>1742</v>
      </c>
      <c r="D550" t="s">
        <v>3406</v>
      </c>
      <c r="E550">
        <v>1</v>
      </c>
      <c r="G550">
        <v>5.9</v>
      </c>
      <c r="H550" t="s">
        <v>3407</v>
      </c>
      <c r="I550">
        <v>1</v>
      </c>
      <c r="J550" t="s">
        <v>1918</v>
      </c>
      <c r="K550">
        <v>0</v>
      </c>
      <c r="M550">
        <v>5</v>
      </c>
    </row>
    <row r="551" spans="1:13">
      <c r="A551" t="s">
        <v>3408</v>
      </c>
      <c r="B551" t="s">
        <v>3408</v>
      </c>
      <c r="C551" t="s">
        <v>1743</v>
      </c>
      <c r="D551" t="s">
        <v>3409</v>
      </c>
      <c r="E551">
        <v>1</v>
      </c>
      <c r="G551">
        <v>5.9</v>
      </c>
      <c r="H551" t="s">
        <v>3410</v>
      </c>
      <c r="I551">
        <v>1</v>
      </c>
      <c r="J551" t="s">
        <v>1918</v>
      </c>
      <c r="K551">
        <v>0</v>
      </c>
      <c r="M551">
        <v>5</v>
      </c>
    </row>
    <row r="552" spans="1:13">
      <c r="A552" t="s">
        <v>3411</v>
      </c>
      <c r="B552" t="s">
        <v>3411</v>
      </c>
      <c r="C552" t="s">
        <v>987</v>
      </c>
      <c r="D552" t="s">
        <v>3412</v>
      </c>
      <c r="E552">
        <v>1</v>
      </c>
      <c r="G552">
        <v>9.6</v>
      </c>
      <c r="H552" t="s">
        <v>3413</v>
      </c>
      <c r="I552">
        <v>3</v>
      </c>
      <c r="J552" t="s">
        <v>1941</v>
      </c>
      <c r="K552">
        <v>0</v>
      </c>
      <c r="M552">
        <v>3</v>
      </c>
    </row>
    <row r="553" spans="1:13">
      <c r="A553" t="s">
        <v>3414</v>
      </c>
      <c r="B553" t="s">
        <v>3414</v>
      </c>
      <c r="C553" t="s">
        <v>1745</v>
      </c>
      <c r="D553" t="s">
        <v>3415</v>
      </c>
      <c r="E553">
        <v>1</v>
      </c>
      <c r="G553">
        <v>6.1</v>
      </c>
      <c r="H553" t="s">
        <v>3416</v>
      </c>
      <c r="I553">
        <v>1</v>
      </c>
      <c r="J553" t="s">
        <v>1918</v>
      </c>
      <c r="K553">
        <v>0</v>
      </c>
      <c r="M553">
        <v>5</v>
      </c>
    </row>
    <row r="554" spans="1:13">
      <c r="A554" t="s">
        <v>3417</v>
      </c>
      <c r="B554" t="s">
        <v>3417</v>
      </c>
      <c r="C554" t="s">
        <v>1746</v>
      </c>
      <c r="D554" t="s">
        <v>3418</v>
      </c>
      <c r="E554">
        <v>1</v>
      </c>
      <c r="G554">
        <v>8.6999999999999993</v>
      </c>
      <c r="H554" t="s">
        <v>3419</v>
      </c>
      <c r="I554">
        <v>1</v>
      </c>
      <c r="J554" t="s">
        <v>1918</v>
      </c>
      <c r="K554">
        <v>0</v>
      </c>
      <c r="M554">
        <v>5</v>
      </c>
    </row>
    <row r="555" spans="1:13">
      <c r="A555" t="s">
        <v>3420</v>
      </c>
      <c r="B555" t="s">
        <v>3420</v>
      </c>
      <c r="C555" t="s">
        <v>1747</v>
      </c>
      <c r="E555">
        <v>2</v>
      </c>
      <c r="G555">
        <v>1924</v>
      </c>
      <c r="H555" t="s">
        <v>3421</v>
      </c>
      <c r="I555">
        <v>25</v>
      </c>
      <c r="J555" t="s">
        <v>1905</v>
      </c>
      <c r="K555">
        <v>2</v>
      </c>
      <c r="M555">
        <v>11</v>
      </c>
    </row>
    <row r="556" spans="1:13">
      <c r="A556" t="s">
        <v>3422</v>
      </c>
      <c r="B556" t="s">
        <v>3422</v>
      </c>
      <c r="C556" t="s">
        <v>999</v>
      </c>
      <c r="E556">
        <v>2</v>
      </c>
      <c r="G556">
        <v>552.20000000000005</v>
      </c>
      <c r="H556" t="s">
        <v>3423</v>
      </c>
      <c r="I556">
        <v>21</v>
      </c>
      <c r="J556" t="s">
        <v>1948</v>
      </c>
      <c r="K556">
        <v>0</v>
      </c>
      <c r="M556">
        <v>3</v>
      </c>
    </row>
    <row r="557" spans="1:13">
      <c r="A557" t="s">
        <v>3424</v>
      </c>
      <c r="B557" t="s">
        <v>3424</v>
      </c>
      <c r="C557" t="s">
        <v>1748</v>
      </c>
      <c r="D557" t="s">
        <v>3425</v>
      </c>
      <c r="E557">
        <v>1</v>
      </c>
      <c r="G557">
        <v>8.3000000000000007</v>
      </c>
      <c r="H557" t="s">
        <v>3426</v>
      </c>
      <c r="I557">
        <v>1</v>
      </c>
      <c r="J557" t="s">
        <v>1918</v>
      </c>
      <c r="K557">
        <v>0</v>
      </c>
      <c r="M557">
        <v>5</v>
      </c>
    </row>
    <row r="558" spans="1:13">
      <c r="A558" t="s">
        <v>3427</v>
      </c>
      <c r="B558" t="s">
        <v>3427</v>
      </c>
      <c r="C558" t="s">
        <v>1002</v>
      </c>
      <c r="D558" t="s">
        <v>3428</v>
      </c>
      <c r="E558">
        <v>1</v>
      </c>
      <c r="G558">
        <v>8.1</v>
      </c>
      <c r="H558" t="s">
        <v>3429</v>
      </c>
      <c r="I558">
        <v>1</v>
      </c>
      <c r="J558" t="s">
        <v>1918</v>
      </c>
      <c r="K558">
        <v>0</v>
      </c>
      <c r="M558">
        <v>5</v>
      </c>
    </row>
    <row r="559" spans="1:13">
      <c r="A559" t="s">
        <v>3430</v>
      </c>
      <c r="B559" t="s">
        <v>3430</v>
      </c>
      <c r="C559" t="s">
        <v>1749</v>
      </c>
      <c r="D559" t="s">
        <v>3431</v>
      </c>
      <c r="E559">
        <v>2</v>
      </c>
      <c r="G559">
        <v>27.6</v>
      </c>
      <c r="H559" t="s">
        <v>3432</v>
      </c>
      <c r="I559">
        <v>21</v>
      </c>
      <c r="J559" t="s">
        <v>1948</v>
      </c>
      <c r="K559">
        <v>0</v>
      </c>
      <c r="M559">
        <v>15</v>
      </c>
    </row>
    <row r="560" spans="1:13">
      <c r="A560" t="s">
        <v>3433</v>
      </c>
      <c r="B560" t="s">
        <v>3433</v>
      </c>
      <c r="C560" t="s">
        <v>1750</v>
      </c>
      <c r="D560" t="s">
        <v>3434</v>
      </c>
      <c r="E560">
        <v>1</v>
      </c>
      <c r="G560">
        <v>328</v>
      </c>
      <c r="H560" t="s">
        <v>3435</v>
      </c>
      <c r="I560">
        <v>25</v>
      </c>
      <c r="J560" t="s">
        <v>1905</v>
      </c>
      <c r="K560">
        <v>0</v>
      </c>
      <c r="M560">
        <v>8</v>
      </c>
    </row>
    <row r="561" spans="1:13">
      <c r="A561" t="s">
        <v>3436</v>
      </c>
      <c r="B561" t="s">
        <v>3436</v>
      </c>
      <c r="C561" t="s">
        <v>1751</v>
      </c>
      <c r="D561" t="s">
        <v>3437</v>
      </c>
      <c r="E561">
        <v>1</v>
      </c>
      <c r="G561">
        <v>513.1</v>
      </c>
      <c r="H561" t="s">
        <v>3438</v>
      </c>
      <c r="I561">
        <v>1</v>
      </c>
      <c r="J561" t="s">
        <v>1918</v>
      </c>
      <c r="K561">
        <v>2</v>
      </c>
      <c r="M561">
        <v>1</v>
      </c>
    </row>
    <row r="562" spans="1:13">
      <c r="A562" t="s">
        <v>3439</v>
      </c>
      <c r="B562" t="s">
        <v>3439</v>
      </c>
      <c r="C562" t="s">
        <v>1752</v>
      </c>
      <c r="E562">
        <v>1</v>
      </c>
      <c r="G562">
        <v>15.7</v>
      </c>
      <c r="H562" t="s">
        <v>3440</v>
      </c>
      <c r="I562">
        <v>1</v>
      </c>
      <c r="J562" t="s">
        <v>1918</v>
      </c>
      <c r="K562">
        <v>2</v>
      </c>
      <c r="M562">
        <v>6</v>
      </c>
    </row>
    <row r="563" spans="1:13">
      <c r="A563" t="s">
        <v>3441</v>
      </c>
      <c r="B563" t="s">
        <v>3441</v>
      </c>
      <c r="C563" t="s">
        <v>1753</v>
      </c>
      <c r="D563" t="s">
        <v>3442</v>
      </c>
      <c r="E563">
        <v>2</v>
      </c>
      <c r="G563">
        <v>15.9</v>
      </c>
      <c r="H563" t="s">
        <v>3443</v>
      </c>
      <c r="I563">
        <v>21</v>
      </c>
      <c r="J563" t="s">
        <v>1948</v>
      </c>
      <c r="K563">
        <v>0</v>
      </c>
      <c r="M563">
        <v>3</v>
      </c>
    </row>
    <row r="564" spans="1:13">
      <c r="A564" t="s">
        <v>3444</v>
      </c>
      <c r="B564" t="s">
        <v>3444</v>
      </c>
      <c r="C564" t="s">
        <v>1754</v>
      </c>
      <c r="D564" t="s">
        <v>3445</v>
      </c>
      <c r="E564">
        <v>1</v>
      </c>
      <c r="G564">
        <v>10.4</v>
      </c>
      <c r="H564" t="s">
        <v>3446</v>
      </c>
      <c r="I564">
        <v>1</v>
      </c>
      <c r="J564" t="s">
        <v>1918</v>
      </c>
      <c r="K564">
        <v>0</v>
      </c>
      <c r="M564">
        <v>5</v>
      </c>
    </row>
    <row r="565" spans="1:13">
      <c r="A565" t="s">
        <v>3447</v>
      </c>
      <c r="B565" t="s">
        <v>3447</v>
      </c>
      <c r="C565" t="s">
        <v>1755</v>
      </c>
      <c r="D565" t="s">
        <v>3448</v>
      </c>
      <c r="E565">
        <v>1</v>
      </c>
      <c r="G565">
        <v>100</v>
      </c>
      <c r="H565" t="s">
        <v>3449</v>
      </c>
      <c r="I565">
        <v>25</v>
      </c>
      <c r="J565" t="s">
        <v>1905</v>
      </c>
      <c r="K565">
        <v>0</v>
      </c>
      <c r="M565">
        <v>9</v>
      </c>
    </row>
    <row r="566" spans="1:13">
      <c r="A566" t="s">
        <v>3450</v>
      </c>
      <c r="B566" t="s">
        <v>3450</v>
      </c>
      <c r="C566" t="s">
        <v>1756</v>
      </c>
      <c r="D566" t="s">
        <v>3451</v>
      </c>
      <c r="E566">
        <v>1</v>
      </c>
      <c r="G566">
        <v>8.8000000000000007</v>
      </c>
      <c r="H566" t="s">
        <v>3452</v>
      </c>
      <c r="I566">
        <v>2</v>
      </c>
      <c r="J566" t="s">
        <v>835</v>
      </c>
      <c r="K566">
        <v>2</v>
      </c>
      <c r="M566">
        <v>6</v>
      </c>
    </row>
    <row r="567" spans="1:13">
      <c r="A567" t="s">
        <v>3453</v>
      </c>
      <c r="B567" t="s">
        <v>3453</v>
      </c>
      <c r="C567" t="s">
        <v>1014</v>
      </c>
      <c r="D567" t="s">
        <v>3454</v>
      </c>
      <c r="E567">
        <v>1</v>
      </c>
      <c r="G567">
        <v>5.9</v>
      </c>
      <c r="H567" t="s">
        <v>3455</v>
      </c>
      <c r="I567">
        <v>1</v>
      </c>
      <c r="J567" t="s">
        <v>1918</v>
      </c>
      <c r="K567">
        <v>0</v>
      </c>
      <c r="M567">
        <v>5</v>
      </c>
    </row>
    <row r="568" spans="1:13">
      <c r="A568" t="s">
        <v>3456</v>
      </c>
      <c r="B568" t="s">
        <v>3456</v>
      </c>
      <c r="C568" t="s">
        <v>1757</v>
      </c>
      <c r="D568" t="s">
        <v>3457</v>
      </c>
      <c r="E568">
        <v>2</v>
      </c>
      <c r="G568">
        <v>77.400000000000006</v>
      </c>
      <c r="H568" t="s">
        <v>3458</v>
      </c>
      <c r="I568">
        <v>1</v>
      </c>
      <c r="J568" t="s">
        <v>1918</v>
      </c>
      <c r="K568">
        <v>2</v>
      </c>
      <c r="M568">
        <v>3</v>
      </c>
    </row>
    <row r="569" spans="1:13">
      <c r="A569" t="s">
        <v>3459</v>
      </c>
      <c r="B569" t="s">
        <v>3459</v>
      </c>
      <c r="C569" t="s">
        <v>1758</v>
      </c>
      <c r="D569" t="s">
        <v>3460</v>
      </c>
      <c r="E569">
        <v>1</v>
      </c>
      <c r="G569">
        <v>10.4</v>
      </c>
      <c r="H569" t="s">
        <v>3461</v>
      </c>
      <c r="I569">
        <v>1</v>
      </c>
      <c r="J569" t="s">
        <v>1918</v>
      </c>
      <c r="K569">
        <v>2</v>
      </c>
      <c r="M569">
        <v>6</v>
      </c>
    </row>
    <row r="570" spans="1:13">
      <c r="A570" t="s">
        <v>3462</v>
      </c>
      <c r="B570" t="s">
        <v>3462</v>
      </c>
      <c r="C570" t="s">
        <v>1759</v>
      </c>
      <c r="D570" t="s">
        <v>3463</v>
      </c>
      <c r="E570">
        <v>1</v>
      </c>
      <c r="G570">
        <v>1060.9000000000001</v>
      </c>
      <c r="H570" t="s">
        <v>3464</v>
      </c>
      <c r="I570">
        <v>10</v>
      </c>
      <c r="J570" t="s">
        <v>1970</v>
      </c>
      <c r="K570">
        <v>0</v>
      </c>
      <c r="M570">
        <v>3</v>
      </c>
    </row>
    <row r="571" spans="1:13">
      <c r="A571" t="s">
        <v>3465</v>
      </c>
      <c r="B571" t="s">
        <v>3465</v>
      </c>
      <c r="C571" t="s">
        <v>1760</v>
      </c>
      <c r="D571" t="s">
        <v>3466</v>
      </c>
      <c r="E571">
        <v>1</v>
      </c>
      <c r="G571">
        <v>21.5</v>
      </c>
      <c r="H571" t="s">
        <v>3467</v>
      </c>
      <c r="I571">
        <v>1</v>
      </c>
      <c r="J571" t="s">
        <v>1918</v>
      </c>
      <c r="K571">
        <v>2</v>
      </c>
      <c r="M571">
        <v>6</v>
      </c>
    </row>
    <row r="572" spans="1:13">
      <c r="A572" t="s">
        <v>3468</v>
      </c>
      <c r="B572" t="s">
        <v>3468</v>
      </c>
      <c r="C572" t="s">
        <v>1761</v>
      </c>
      <c r="D572" t="s">
        <v>3469</v>
      </c>
      <c r="E572">
        <v>1</v>
      </c>
      <c r="G572">
        <v>66</v>
      </c>
      <c r="H572" t="s">
        <v>3470</v>
      </c>
      <c r="I572">
        <v>1</v>
      </c>
      <c r="J572" t="s">
        <v>1918</v>
      </c>
      <c r="K572">
        <v>2</v>
      </c>
      <c r="M572">
        <v>6</v>
      </c>
    </row>
    <row r="573" spans="1:13">
      <c r="A573" t="s">
        <v>3471</v>
      </c>
      <c r="B573" t="s">
        <v>3471</v>
      </c>
      <c r="C573" t="s">
        <v>1762</v>
      </c>
      <c r="E573">
        <v>2</v>
      </c>
      <c r="G573">
        <v>9</v>
      </c>
      <c r="H573" t="s">
        <v>3472</v>
      </c>
      <c r="I573">
        <v>1</v>
      </c>
      <c r="J573" t="s">
        <v>1918</v>
      </c>
      <c r="K573">
        <v>0</v>
      </c>
      <c r="M573">
        <v>3</v>
      </c>
    </row>
    <row r="574" spans="1:13">
      <c r="A574" t="s">
        <v>3473</v>
      </c>
      <c r="B574" t="s">
        <v>3473</v>
      </c>
      <c r="C574" t="s">
        <v>1022</v>
      </c>
      <c r="D574" t="s">
        <v>3474</v>
      </c>
      <c r="E574">
        <v>2</v>
      </c>
      <c r="G574">
        <v>10.1</v>
      </c>
      <c r="H574" t="s">
        <v>3475</v>
      </c>
      <c r="I574">
        <v>1</v>
      </c>
      <c r="J574" t="s">
        <v>1918</v>
      </c>
      <c r="K574">
        <v>0</v>
      </c>
      <c r="M574">
        <v>3</v>
      </c>
    </row>
    <row r="575" spans="1:13">
      <c r="A575" t="s">
        <v>3476</v>
      </c>
      <c r="B575" t="s">
        <v>3476</v>
      </c>
      <c r="C575" t="s">
        <v>1763</v>
      </c>
      <c r="E575">
        <v>1</v>
      </c>
      <c r="G575">
        <v>656</v>
      </c>
      <c r="H575" t="s">
        <v>3477</v>
      </c>
      <c r="I575">
        <v>25</v>
      </c>
      <c r="J575" t="s">
        <v>1905</v>
      </c>
      <c r="K575">
        <v>0</v>
      </c>
      <c r="M575">
        <v>8</v>
      </c>
    </row>
    <row r="576" spans="1:13">
      <c r="A576" t="s">
        <v>3478</v>
      </c>
      <c r="B576" t="s">
        <v>3478</v>
      </c>
      <c r="C576" t="s">
        <v>1764</v>
      </c>
      <c r="E576">
        <v>2</v>
      </c>
      <c r="G576">
        <v>26.3</v>
      </c>
      <c r="H576" t="s">
        <v>3479</v>
      </c>
      <c r="I576">
        <v>21</v>
      </c>
      <c r="J576" t="s">
        <v>1948</v>
      </c>
      <c r="K576">
        <v>0</v>
      </c>
      <c r="M576">
        <v>15</v>
      </c>
    </row>
    <row r="577" spans="1:13">
      <c r="A577" t="s">
        <v>3480</v>
      </c>
      <c r="B577" t="s">
        <v>3480</v>
      </c>
      <c r="C577" t="s">
        <v>1765</v>
      </c>
      <c r="D577" t="s">
        <v>3481</v>
      </c>
      <c r="E577">
        <v>1</v>
      </c>
      <c r="G577">
        <v>10.4</v>
      </c>
      <c r="H577" t="s">
        <v>3482</v>
      </c>
      <c r="I577">
        <v>1</v>
      </c>
      <c r="J577" t="s">
        <v>1918</v>
      </c>
      <c r="K577">
        <v>0</v>
      </c>
      <c r="M577">
        <v>5</v>
      </c>
    </row>
    <row r="578" spans="1:13">
      <c r="A578" t="s">
        <v>3483</v>
      </c>
      <c r="B578" t="s">
        <v>3483</v>
      </c>
      <c r="C578" t="s">
        <v>1025</v>
      </c>
      <c r="D578" t="s">
        <v>3484</v>
      </c>
      <c r="E578">
        <v>1</v>
      </c>
      <c r="G578">
        <v>9.6</v>
      </c>
      <c r="H578" t="s">
        <v>3485</v>
      </c>
      <c r="I578">
        <v>3</v>
      </c>
      <c r="J578" t="s">
        <v>1941</v>
      </c>
      <c r="K578">
        <v>0</v>
      </c>
      <c r="M578">
        <v>2</v>
      </c>
    </row>
    <row r="579" spans="1:13">
      <c r="A579" t="s">
        <v>3486</v>
      </c>
      <c r="B579" t="s">
        <v>3486</v>
      </c>
      <c r="C579" t="s">
        <v>1766</v>
      </c>
      <c r="E579">
        <v>1</v>
      </c>
      <c r="G579">
        <v>303.60000000000002</v>
      </c>
      <c r="H579" t="s">
        <v>3487</v>
      </c>
      <c r="I579">
        <v>1</v>
      </c>
      <c r="J579" t="s">
        <v>1918</v>
      </c>
      <c r="K579">
        <v>2</v>
      </c>
      <c r="M579">
        <v>3</v>
      </c>
    </row>
    <row r="580" spans="1:13">
      <c r="A580" t="s">
        <v>3488</v>
      </c>
      <c r="B580" t="s">
        <v>3488</v>
      </c>
      <c r="C580" t="s">
        <v>1767</v>
      </c>
      <c r="D580" t="s">
        <v>3489</v>
      </c>
      <c r="E580">
        <v>1</v>
      </c>
      <c r="G580">
        <v>61.4</v>
      </c>
      <c r="H580" t="s">
        <v>3490</v>
      </c>
      <c r="I580">
        <v>3</v>
      </c>
      <c r="J580" t="s">
        <v>1941</v>
      </c>
      <c r="K580">
        <v>0</v>
      </c>
      <c r="M580">
        <v>3</v>
      </c>
    </row>
    <row r="581" spans="1:13">
      <c r="A581" t="s">
        <v>3491</v>
      </c>
      <c r="B581" t="s">
        <v>3491</v>
      </c>
      <c r="C581" t="s">
        <v>1768</v>
      </c>
      <c r="D581" t="s">
        <v>3492</v>
      </c>
      <c r="E581">
        <v>1</v>
      </c>
      <c r="G581">
        <v>6.8</v>
      </c>
      <c r="H581" t="s">
        <v>3493</v>
      </c>
      <c r="I581">
        <v>2</v>
      </c>
      <c r="J581" t="s">
        <v>835</v>
      </c>
      <c r="K581">
        <v>0</v>
      </c>
      <c r="M581">
        <v>5</v>
      </c>
    </row>
    <row r="582" spans="1:13">
      <c r="A582" t="s">
        <v>3494</v>
      </c>
      <c r="B582" t="s">
        <v>3494</v>
      </c>
      <c r="C582" t="s">
        <v>1770</v>
      </c>
      <c r="E582">
        <v>2</v>
      </c>
      <c r="G582">
        <v>75.599999999999994</v>
      </c>
      <c r="H582" t="s">
        <v>3495</v>
      </c>
      <c r="I582">
        <v>1</v>
      </c>
      <c r="J582" t="s">
        <v>1918</v>
      </c>
      <c r="K582">
        <v>0</v>
      </c>
      <c r="M582">
        <v>1</v>
      </c>
    </row>
    <row r="583" spans="1:13">
      <c r="A583" t="s">
        <v>3496</v>
      </c>
      <c r="B583" t="s">
        <v>3496</v>
      </c>
      <c r="C583" t="s">
        <v>1771</v>
      </c>
      <c r="D583" t="s">
        <v>3497</v>
      </c>
      <c r="E583">
        <v>1</v>
      </c>
      <c r="G583">
        <v>8.4</v>
      </c>
      <c r="H583" t="s">
        <v>3498</v>
      </c>
      <c r="I583">
        <v>1</v>
      </c>
      <c r="J583" t="s">
        <v>1918</v>
      </c>
      <c r="K583">
        <v>0</v>
      </c>
      <c r="M583">
        <v>5</v>
      </c>
    </row>
    <row r="584" spans="1:13">
      <c r="A584" t="s">
        <v>3499</v>
      </c>
      <c r="B584" t="s">
        <v>3499</v>
      </c>
      <c r="C584" t="s">
        <v>1772</v>
      </c>
      <c r="E584">
        <v>2</v>
      </c>
      <c r="G584">
        <v>5.9</v>
      </c>
      <c r="H584" t="s">
        <v>3500</v>
      </c>
      <c r="I584">
        <v>1</v>
      </c>
      <c r="J584" t="s">
        <v>1918</v>
      </c>
      <c r="K584">
        <v>0</v>
      </c>
      <c r="M584">
        <v>15</v>
      </c>
    </row>
    <row r="585" spans="1:13">
      <c r="A585" t="s">
        <v>3501</v>
      </c>
      <c r="B585" t="s">
        <v>3501</v>
      </c>
      <c r="C585" t="s">
        <v>1773</v>
      </c>
      <c r="E585">
        <v>2</v>
      </c>
      <c r="G585">
        <v>6.5</v>
      </c>
      <c r="H585" t="s">
        <v>3502</v>
      </c>
      <c r="I585">
        <v>1</v>
      </c>
      <c r="J585" t="s">
        <v>1918</v>
      </c>
      <c r="K585">
        <v>0</v>
      </c>
      <c r="M585">
        <v>15</v>
      </c>
    </row>
    <row r="586" spans="1:13">
      <c r="A586" t="s">
        <v>3503</v>
      </c>
      <c r="B586" t="s">
        <v>3503</v>
      </c>
      <c r="C586" t="s">
        <v>1774</v>
      </c>
      <c r="D586" t="s">
        <v>3504</v>
      </c>
      <c r="E586">
        <v>1</v>
      </c>
      <c r="G586">
        <v>6.9</v>
      </c>
      <c r="H586" t="s">
        <v>3505</v>
      </c>
      <c r="I586">
        <v>6</v>
      </c>
      <c r="J586" t="s">
        <v>3015</v>
      </c>
      <c r="K586">
        <v>0</v>
      </c>
      <c r="M586">
        <v>13</v>
      </c>
    </row>
    <row r="587" spans="1:13">
      <c r="A587" t="s">
        <v>3506</v>
      </c>
      <c r="B587" t="s">
        <v>3506</v>
      </c>
      <c r="C587" t="s">
        <v>1775</v>
      </c>
      <c r="D587" t="s">
        <v>3507</v>
      </c>
      <c r="E587">
        <v>1</v>
      </c>
      <c r="G587">
        <v>2164.9</v>
      </c>
      <c r="H587" t="s">
        <v>3508</v>
      </c>
      <c r="I587">
        <v>2</v>
      </c>
      <c r="J587" t="s">
        <v>835</v>
      </c>
      <c r="K587">
        <v>2</v>
      </c>
      <c r="M587">
        <v>6</v>
      </c>
    </row>
    <row r="588" spans="1:13">
      <c r="A588" t="s">
        <v>3509</v>
      </c>
      <c r="B588" t="s">
        <v>3509</v>
      </c>
      <c r="C588" t="s">
        <v>1776</v>
      </c>
      <c r="E588">
        <v>2</v>
      </c>
      <c r="G588">
        <v>76.3</v>
      </c>
      <c r="H588" t="s">
        <v>3510</v>
      </c>
      <c r="I588">
        <v>1</v>
      </c>
      <c r="J588" t="s">
        <v>1918</v>
      </c>
      <c r="K588">
        <v>2</v>
      </c>
      <c r="M588">
        <v>3</v>
      </c>
    </row>
    <row r="589" spans="1:13">
      <c r="A589" t="s">
        <v>3511</v>
      </c>
      <c r="B589" t="s">
        <v>3511</v>
      </c>
      <c r="C589" t="s">
        <v>1777</v>
      </c>
      <c r="D589" t="s">
        <v>3512</v>
      </c>
      <c r="E589">
        <v>1</v>
      </c>
      <c r="G589">
        <v>1.07</v>
      </c>
      <c r="H589" t="s">
        <v>3513</v>
      </c>
      <c r="I589">
        <v>7</v>
      </c>
      <c r="J589" t="s">
        <v>2145</v>
      </c>
      <c r="K589">
        <v>0</v>
      </c>
      <c r="M589">
        <v>7</v>
      </c>
    </row>
    <row r="590" spans="1:13">
      <c r="A590" t="s">
        <v>3514</v>
      </c>
      <c r="B590" t="s">
        <v>3514</v>
      </c>
      <c r="C590" t="s">
        <v>1778</v>
      </c>
      <c r="D590" t="s">
        <v>3515</v>
      </c>
      <c r="E590">
        <v>1</v>
      </c>
      <c r="G590">
        <v>1.07</v>
      </c>
      <c r="H590" t="s">
        <v>3513</v>
      </c>
      <c r="I590">
        <v>7</v>
      </c>
      <c r="J590" t="s">
        <v>2145</v>
      </c>
      <c r="K590">
        <v>0</v>
      </c>
      <c r="M590">
        <v>7</v>
      </c>
    </row>
    <row r="591" spans="1:13">
      <c r="A591" t="s">
        <v>3516</v>
      </c>
      <c r="B591" t="s">
        <v>3516</v>
      </c>
      <c r="C591" t="s">
        <v>1779</v>
      </c>
      <c r="E591">
        <v>2</v>
      </c>
      <c r="G591">
        <v>2744</v>
      </c>
      <c r="H591" t="s">
        <v>3517</v>
      </c>
      <c r="I591">
        <v>7</v>
      </c>
      <c r="J591" t="s">
        <v>2145</v>
      </c>
      <c r="K591">
        <v>0</v>
      </c>
      <c r="M591">
        <v>15</v>
      </c>
    </row>
    <row r="592" spans="1:13">
      <c r="A592" t="s">
        <v>3518</v>
      </c>
      <c r="B592" t="s">
        <v>3518</v>
      </c>
      <c r="C592" t="s">
        <v>1780</v>
      </c>
      <c r="E592">
        <v>1</v>
      </c>
      <c r="G592">
        <v>3962</v>
      </c>
      <c r="H592" t="s">
        <v>3519</v>
      </c>
      <c r="I592">
        <v>25</v>
      </c>
      <c r="J592" t="s">
        <v>1905</v>
      </c>
      <c r="K592">
        <v>2</v>
      </c>
      <c r="M592">
        <v>8</v>
      </c>
    </row>
    <row r="593" spans="1:13">
      <c r="A593" t="s">
        <v>3520</v>
      </c>
      <c r="B593" t="s">
        <v>3520</v>
      </c>
      <c r="C593" t="s">
        <v>1781</v>
      </c>
      <c r="E593">
        <v>1</v>
      </c>
      <c r="G593">
        <v>151</v>
      </c>
      <c r="H593" t="s">
        <v>3521</v>
      </c>
      <c r="I593">
        <v>21</v>
      </c>
      <c r="J593" t="s">
        <v>1948</v>
      </c>
      <c r="K593">
        <v>0</v>
      </c>
      <c r="M593">
        <v>11</v>
      </c>
    </row>
    <row r="594" spans="1:13">
      <c r="A594" t="s">
        <v>3522</v>
      </c>
      <c r="B594" t="s">
        <v>3522</v>
      </c>
      <c r="C594" t="s">
        <v>1782</v>
      </c>
      <c r="D594" t="s">
        <v>3523</v>
      </c>
      <c r="E594">
        <v>1</v>
      </c>
      <c r="G594">
        <v>159.1</v>
      </c>
      <c r="H594" t="s">
        <v>3524</v>
      </c>
      <c r="I594">
        <v>1</v>
      </c>
      <c r="J594" t="s">
        <v>1918</v>
      </c>
      <c r="K594">
        <v>2</v>
      </c>
      <c r="M594">
        <v>6</v>
      </c>
    </row>
    <row r="595" spans="1:13">
      <c r="A595" t="s">
        <v>3525</v>
      </c>
      <c r="B595" t="s">
        <v>3525</v>
      </c>
      <c r="C595" t="s">
        <v>1783</v>
      </c>
      <c r="D595" t="s">
        <v>3526</v>
      </c>
      <c r="E595">
        <v>1</v>
      </c>
      <c r="G595">
        <v>295.8</v>
      </c>
      <c r="H595" t="s">
        <v>3527</v>
      </c>
      <c r="I595">
        <v>1</v>
      </c>
      <c r="J595" t="s">
        <v>1918</v>
      </c>
      <c r="K595">
        <v>2</v>
      </c>
      <c r="M595">
        <v>6</v>
      </c>
    </row>
    <row r="596" spans="1:13">
      <c r="A596" t="s">
        <v>3528</v>
      </c>
      <c r="B596" t="s">
        <v>3528</v>
      </c>
      <c r="C596" t="s">
        <v>1784</v>
      </c>
      <c r="D596" t="s">
        <v>3529</v>
      </c>
      <c r="E596">
        <v>2</v>
      </c>
      <c r="G596">
        <v>6197</v>
      </c>
      <c r="H596" t="s">
        <v>3530</v>
      </c>
      <c r="I596">
        <v>25</v>
      </c>
      <c r="J596" t="s">
        <v>1905</v>
      </c>
      <c r="K596">
        <v>0</v>
      </c>
      <c r="M596">
        <v>6</v>
      </c>
    </row>
    <row r="597" spans="1:13">
      <c r="A597" t="s">
        <v>3531</v>
      </c>
      <c r="B597" t="s">
        <v>3531</v>
      </c>
      <c r="C597" t="s">
        <v>1785</v>
      </c>
      <c r="D597" t="s">
        <v>3532</v>
      </c>
      <c r="E597">
        <v>1</v>
      </c>
      <c r="G597">
        <v>18.899999999999999</v>
      </c>
      <c r="H597" t="s">
        <v>3533</v>
      </c>
      <c r="I597">
        <v>1</v>
      </c>
      <c r="J597" t="s">
        <v>1918</v>
      </c>
      <c r="K597">
        <v>0</v>
      </c>
      <c r="M597">
        <v>5</v>
      </c>
    </row>
    <row r="598" spans="1:13">
      <c r="A598" t="s">
        <v>3534</v>
      </c>
      <c r="B598" t="s">
        <v>3534</v>
      </c>
      <c r="C598" t="s">
        <v>1786</v>
      </c>
      <c r="D598" t="s">
        <v>3535</v>
      </c>
      <c r="E598">
        <v>1</v>
      </c>
      <c r="G598">
        <v>11.7</v>
      </c>
      <c r="H598" t="s">
        <v>3536</v>
      </c>
      <c r="I598">
        <v>1</v>
      </c>
      <c r="J598" t="s">
        <v>1918</v>
      </c>
      <c r="K598">
        <v>2</v>
      </c>
      <c r="M598">
        <v>6</v>
      </c>
    </row>
    <row r="599" spans="1:13">
      <c r="A599" t="s">
        <v>3537</v>
      </c>
      <c r="B599" t="s">
        <v>3537</v>
      </c>
      <c r="C599" t="s">
        <v>1787</v>
      </c>
      <c r="D599" t="s">
        <v>3538</v>
      </c>
      <c r="E599">
        <v>1</v>
      </c>
      <c r="G599">
        <v>28.7</v>
      </c>
      <c r="H599" t="s">
        <v>3539</v>
      </c>
      <c r="I599">
        <v>1</v>
      </c>
      <c r="J599" t="s">
        <v>1918</v>
      </c>
      <c r="K599">
        <v>2</v>
      </c>
      <c r="M599">
        <v>6</v>
      </c>
    </row>
    <row r="600" spans="1:13">
      <c r="A600" t="s">
        <v>3540</v>
      </c>
      <c r="B600" t="s">
        <v>3540</v>
      </c>
      <c r="C600" t="s">
        <v>1788</v>
      </c>
      <c r="D600" t="s">
        <v>3541</v>
      </c>
      <c r="E600">
        <v>1</v>
      </c>
      <c r="G600">
        <v>11.3</v>
      </c>
      <c r="H600" t="s">
        <v>3542</v>
      </c>
      <c r="I600">
        <v>1</v>
      </c>
      <c r="J600" t="s">
        <v>1918</v>
      </c>
      <c r="K600">
        <v>0</v>
      </c>
      <c r="M600">
        <v>5</v>
      </c>
    </row>
    <row r="601" spans="1:13">
      <c r="A601" t="s">
        <v>3543</v>
      </c>
      <c r="B601" t="s">
        <v>3543</v>
      </c>
      <c r="C601" t="s">
        <v>1789</v>
      </c>
      <c r="D601" t="s">
        <v>3544</v>
      </c>
      <c r="E601">
        <v>2</v>
      </c>
      <c r="G601">
        <v>1049</v>
      </c>
      <c r="H601" t="s">
        <v>3545</v>
      </c>
      <c r="I601">
        <v>25</v>
      </c>
      <c r="J601" t="s">
        <v>1905</v>
      </c>
      <c r="K601">
        <v>2</v>
      </c>
      <c r="M601">
        <v>11</v>
      </c>
    </row>
    <row r="602" spans="1:13">
      <c r="A602" t="s">
        <v>3546</v>
      </c>
      <c r="B602" t="s">
        <v>3546</v>
      </c>
      <c r="C602" t="s">
        <v>1790</v>
      </c>
      <c r="D602" t="s">
        <v>3547</v>
      </c>
      <c r="E602">
        <v>2</v>
      </c>
      <c r="G602">
        <v>10.4</v>
      </c>
      <c r="H602" t="s">
        <v>3548</v>
      </c>
      <c r="I602">
        <v>1</v>
      </c>
      <c r="J602" t="s">
        <v>1918</v>
      </c>
      <c r="K602">
        <v>2</v>
      </c>
      <c r="M602">
        <v>3</v>
      </c>
    </row>
    <row r="603" spans="1:13">
      <c r="A603" t="s">
        <v>3549</v>
      </c>
      <c r="B603" t="s">
        <v>3549</v>
      </c>
      <c r="C603" t="s">
        <v>1791</v>
      </c>
      <c r="D603" t="s">
        <v>3550</v>
      </c>
      <c r="E603">
        <v>1</v>
      </c>
      <c r="G603">
        <v>411.3</v>
      </c>
      <c r="H603" t="s">
        <v>3551</v>
      </c>
      <c r="I603">
        <v>1</v>
      </c>
      <c r="J603" t="s">
        <v>1918</v>
      </c>
      <c r="K603">
        <v>0</v>
      </c>
      <c r="M603">
        <v>5</v>
      </c>
    </row>
    <row r="604" spans="1:13">
      <c r="A604" t="s">
        <v>3552</v>
      </c>
      <c r="B604" t="s">
        <v>3552</v>
      </c>
      <c r="C604" t="s">
        <v>1792</v>
      </c>
      <c r="D604" t="s">
        <v>3553</v>
      </c>
      <c r="E604">
        <v>2</v>
      </c>
      <c r="G604">
        <v>33070</v>
      </c>
      <c r="H604" t="s">
        <v>3554</v>
      </c>
      <c r="I604">
        <v>25</v>
      </c>
      <c r="J604" t="s">
        <v>1905</v>
      </c>
      <c r="K604">
        <v>2</v>
      </c>
      <c r="M604">
        <v>9</v>
      </c>
    </row>
    <row r="605" spans="1:13">
      <c r="A605" t="s">
        <v>3555</v>
      </c>
      <c r="B605" t="s">
        <v>3555</v>
      </c>
      <c r="C605" t="s">
        <v>1793</v>
      </c>
      <c r="D605" t="s">
        <v>3556</v>
      </c>
      <c r="E605">
        <v>2</v>
      </c>
      <c r="G605">
        <v>33347</v>
      </c>
      <c r="H605" t="s">
        <v>3557</v>
      </c>
      <c r="I605">
        <v>25</v>
      </c>
      <c r="J605" t="s">
        <v>1905</v>
      </c>
      <c r="K605">
        <v>0</v>
      </c>
      <c r="M605">
        <v>15</v>
      </c>
    </row>
    <row r="606" spans="1:13">
      <c r="A606" t="s">
        <v>3558</v>
      </c>
      <c r="B606" t="s">
        <v>3558</v>
      </c>
      <c r="C606" t="s">
        <v>1794</v>
      </c>
      <c r="D606" t="s">
        <v>3559</v>
      </c>
      <c r="E606">
        <v>1</v>
      </c>
      <c r="G606">
        <v>11.9</v>
      </c>
      <c r="H606" t="s">
        <v>3560</v>
      </c>
      <c r="I606">
        <v>1</v>
      </c>
      <c r="J606" t="s">
        <v>1918</v>
      </c>
      <c r="K606">
        <v>2</v>
      </c>
      <c r="M606">
        <v>6</v>
      </c>
    </row>
    <row r="607" spans="1:13">
      <c r="A607" t="s">
        <v>3561</v>
      </c>
      <c r="B607" t="s">
        <v>3561</v>
      </c>
      <c r="C607" t="s">
        <v>1795</v>
      </c>
      <c r="D607" t="s">
        <v>3562</v>
      </c>
      <c r="E607">
        <v>1</v>
      </c>
      <c r="G607">
        <v>31.5</v>
      </c>
      <c r="H607" t="s">
        <v>3563</v>
      </c>
      <c r="I607">
        <v>7</v>
      </c>
      <c r="J607" t="s">
        <v>2145</v>
      </c>
      <c r="K607">
        <v>2</v>
      </c>
      <c r="M607">
        <v>1</v>
      </c>
    </row>
    <row r="608" spans="1:13">
      <c r="A608" t="s">
        <v>3564</v>
      </c>
      <c r="B608" t="s">
        <v>3564</v>
      </c>
      <c r="C608" t="s">
        <v>1796</v>
      </c>
      <c r="D608" t="s">
        <v>3565</v>
      </c>
      <c r="E608">
        <v>1</v>
      </c>
      <c r="G608">
        <v>31.5</v>
      </c>
      <c r="H608" t="s">
        <v>3563</v>
      </c>
      <c r="I608">
        <v>7</v>
      </c>
      <c r="J608" t="s">
        <v>2145</v>
      </c>
      <c r="K608">
        <v>2</v>
      </c>
      <c r="M608">
        <v>13</v>
      </c>
    </row>
    <row r="609" spans="1:13">
      <c r="A609" t="s">
        <v>3566</v>
      </c>
      <c r="B609" t="s">
        <v>3566</v>
      </c>
      <c r="C609" t="s">
        <v>1797</v>
      </c>
      <c r="D609" t="s">
        <v>3567</v>
      </c>
      <c r="E609">
        <v>1</v>
      </c>
      <c r="G609">
        <v>31.5</v>
      </c>
      <c r="H609" t="s">
        <v>3563</v>
      </c>
      <c r="I609">
        <v>7</v>
      </c>
      <c r="J609" t="s">
        <v>2145</v>
      </c>
      <c r="K609">
        <v>2</v>
      </c>
      <c r="M609">
        <v>1</v>
      </c>
    </row>
    <row r="610" spans="1:13">
      <c r="A610" t="s">
        <v>3568</v>
      </c>
      <c r="B610" t="s">
        <v>3568</v>
      </c>
      <c r="C610" t="s">
        <v>1798</v>
      </c>
      <c r="D610" t="s">
        <v>3569</v>
      </c>
      <c r="E610">
        <v>1</v>
      </c>
      <c r="G610">
        <v>19.3</v>
      </c>
      <c r="H610" t="s">
        <v>3570</v>
      </c>
      <c r="I610">
        <v>1</v>
      </c>
      <c r="J610" t="s">
        <v>1918</v>
      </c>
      <c r="K610">
        <v>2</v>
      </c>
      <c r="M610">
        <v>6</v>
      </c>
    </row>
    <row r="611" spans="1:13">
      <c r="A611" t="s">
        <v>3571</v>
      </c>
      <c r="B611" t="s">
        <v>3571</v>
      </c>
      <c r="C611" t="s">
        <v>1076</v>
      </c>
      <c r="D611" t="s">
        <v>3572</v>
      </c>
      <c r="E611">
        <v>1</v>
      </c>
      <c r="G611">
        <v>26.2</v>
      </c>
      <c r="H611" t="s">
        <v>3573</v>
      </c>
      <c r="I611">
        <v>1</v>
      </c>
      <c r="J611" t="s">
        <v>1918</v>
      </c>
      <c r="K611">
        <v>2</v>
      </c>
      <c r="M611">
        <v>6</v>
      </c>
    </row>
    <row r="612" spans="1:13">
      <c r="A612" t="s">
        <v>3574</v>
      </c>
      <c r="B612" t="s">
        <v>3574</v>
      </c>
      <c r="C612" t="s">
        <v>1073</v>
      </c>
      <c r="D612" t="s">
        <v>3575</v>
      </c>
      <c r="E612">
        <v>1</v>
      </c>
      <c r="G612">
        <v>84.2</v>
      </c>
      <c r="H612" t="s">
        <v>3576</v>
      </c>
      <c r="I612">
        <v>3</v>
      </c>
      <c r="J612" t="s">
        <v>1941</v>
      </c>
      <c r="K612">
        <v>2</v>
      </c>
      <c r="M612">
        <v>1</v>
      </c>
    </row>
    <row r="613" spans="1:13">
      <c r="A613" t="s">
        <v>3577</v>
      </c>
      <c r="B613" t="s">
        <v>3577</v>
      </c>
      <c r="C613" t="s">
        <v>1799</v>
      </c>
      <c r="D613" t="s">
        <v>3578</v>
      </c>
      <c r="E613">
        <v>1</v>
      </c>
      <c r="G613">
        <v>13032</v>
      </c>
      <c r="H613" t="s">
        <v>3579</v>
      </c>
      <c r="I613">
        <v>25</v>
      </c>
      <c r="J613" t="s">
        <v>1905</v>
      </c>
      <c r="K613">
        <v>2</v>
      </c>
      <c r="M613">
        <v>11</v>
      </c>
    </row>
    <row r="614" spans="1:13">
      <c r="A614" t="s">
        <v>3580</v>
      </c>
      <c r="B614" t="s">
        <v>3580</v>
      </c>
      <c r="C614" t="s">
        <v>1800</v>
      </c>
      <c r="D614" t="s">
        <v>3581</v>
      </c>
      <c r="E614">
        <v>1</v>
      </c>
      <c r="G614">
        <v>16654</v>
      </c>
      <c r="H614" t="s">
        <v>3582</v>
      </c>
      <c r="I614">
        <v>25</v>
      </c>
      <c r="J614" t="s">
        <v>1905</v>
      </c>
      <c r="K614">
        <v>2</v>
      </c>
      <c r="M614">
        <v>11</v>
      </c>
    </row>
    <row r="615" spans="1:13">
      <c r="A615" t="s">
        <v>3583</v>
      </c>
      <c r="B615" t="s">
        <v>3583</v>
      </c>
      <c r="C615" t="s">
        <v>1801</v>
      </c>
      <c r="D615" t="s">
        <v>3584</v>
      </c>
      <c r="E615">
        <v>1</v>
      </c>
      <c r="G615">
        <v>19680</v>
      </c>
      <c r="H615" t="s">
        <v>3585</v>
      </c>
      <c r="I615">
        <v>25</v>
      </c>
      <c r="J615" t="s">
        <v>1905</v>
      </c>
      <c r="K615">
        <v>2</v>
      </c>
      <c r="M615">
        <v>11</v>
      </c>
    </row>
    <row r="616" spans="1:13">
      <c r="A616" t="s">
        <v>3586</v>
      </c>
      <c r="B616" t="s">
        <v>3586</v>
      </c>
      <c r="C616" t="s">
        <v>1803</v>
      </c>
      <c r="D616" t="s">
        <v>3587</v>
      </c>
      <c r="E616">
        <v>1</v>
      </c>
      <c r="G616">
        <v>15</v>
      </c>
      <c r="H616" t="s">
        <v>3588</v>
      </c>
      <c r="I616">
        <v>7</v>
      </c>
      <c r="J616" t="s">
        <v>2145</v>
      </c>
      <c r="K616">
        <v>2</v>
      </c>
      <c r="M616">
        <v>1</v>
      </c>
    </row>
    <row r="617" spans="1:13">
      <c r="A617" t="s">
        <v>3589</v>
      </c>
      <c r="B617" t="s">
        <v>3589</v>
      </c>
      <c r="C617" t="s">
        <v>1805</v>
      </c>
      <c r="D617" t="s">
        <v>3590</v>
      </c>
      <c r="E617">
        <v>1</v>
      </c>
      <c r="G617">
        <v>29.7</v>
      </c>
      <c r="H617" t="s">
        <v>3591</v>
      </c>
      <c r="I617">
        <v>7</v>
      </c>
      <c r="J617" t="s">
        <v>2145</v>
      </c>
      <c r="K617">
        <v>2</v>
      </c>
      <c r="M617">
        <v>1</v>
      </c>
    </row>
    <row r="618" spans="1:13">
      <c r="A618" t="s">
        <v>3592</v>
      </c>
      <c r="B618" t="s">
        <v>3592</v>
      </c>
      <c r="C618" t="s">
        <v>1807</v>
      </c>
      <c r="E618">
        <v>1</v>
      </c>
      <c r="G618">
        <v>10.4</v>
      </c>
      <c r="H618" t="s">
        <v>3593</v>
      </c>
      <c r="I618">
        <v>1</v>
      </c>
      <c r="J618" t="s">
        <v>1918</v>
      </c>
      <c r="K618">
        <v>2</v>
      </c>
      <c r="M618">
        <v>6</v>
      </c>
    </row>
    <row r="619" spans="1:13">
      <c r="A619" t="s">
        <v>3594</v>
      </c>
      <c r="B619" t="s">
        <v>3594</v>
      </c>
      <c r="C619" t="s">
        <v>1808</v>
      </c>
      <c r="E619">
        <v>1</v>
      </c>
      <c r="G619">
        <v>10.4</v>
      </c>
      <c r="H619" t="s">
        <v>3595</v>
      </c>
      <c r="I619">
        <v>1</v>
      </c>
      <c r="J619" t="s">
        <v>1918</v>
      </c>
      <c r="K619">
        <v>2</v>
      </c>
      <c r="M619">
        <v>6</v>
      </c>
    </row>
    <row r="620" spans="1:13">
      <c r="A620" t="s">
        <v>3596</v>
      </c>
      <c r="B620" t="s">
        <v>3596</v>
      </c>
      <c r="C620" t="s">
        <v>1809</v>
      </c>
      <c r="E620">
        <v>1</v>
      </c>
      <c r="G620">
        <v>10.4</v>
      </c>
      <c r="H620" t="s">
        <v>3597</v>
      </c>
      <c r="I620">
        <v>1</v>
      </c>
      <c r="J620" t="s">
        <v>1918</v>
      </c>
      <c r="K620">
        <v>2</v>
      </c>
      <c r="M620">
        <v>6</v>
      </c>
    </row>
    <row r="621" spans="1:13">
      <c r="A621" t="s">
        <v>3598</v>
      </c>
      <c r="B621" t="s">
        <v>3598</v>
      </c>
      <c r="C621" t="s">
        <v>1810</v>
      </c>
      <c r="E621">
        <v>1</v>
      </c>
      <c r="G621">
        <v>10.9</v>
      </c>
      <c r="H621" t="s">
        <v>3599</v>
      </c>
      <c r="I621">
        <v>1</v>
      </c>
      <c r="J621" t="s">
        <v>1918</v>
      </c>
      <c r="K621">
        <v>2</v>
      </c>
      <c r="M621">
        <v>6</v>
      </c>
    </row>
    <row r="622" spans="1:13">
      <c r="A622" t="s">
        <v>3600</v>
      </c>
      <c r="B622" t="s">
        <v>3600</v>
      </c>
      <c r="C622" t="s">
        <v>1811</v>
      </c>
      <c r="D622" t="s">
        <v>3601</v>
      </c>
      <c r="E622">
        <v>1</v>
      </c>
      <c r="G622">
        <v>16.2</v>
      </c>
      <c r="H622" t="s">
        <v>3602</v>
      </c>
      <c r="I622">
        <v>1</v>
      </c>
      <c r="J622" t="s">
        <v>1918</v>
      </c>
      <c r="K622">
        <v>0</v>
      </c>
      <c r="M622">
        <v>5</v>
      </c>
    </row>
    <row r="623" spans="1:13">
      <c r="A623" t="s">
        <v>3603</v>
      </c>
      <c r="B623" t="s">
        <v>3603</v>
      </c>
      <c r="C623" t="s">
        <v>1065</v>
      </c>
      <c r="D623" t="s">
        <v>3604</v>
      </c>
      <c r="E623">
        <v>1</v>
      </c>
      <c r="G623">
        <v>6.6</v>
      </c>
      <c r="H623" t="s">
        <v>3605</v>
      </c>
      <c r="I623">
        <v>1</v>
      </c>
      <c r="J623" t="s">
        <v>1918</v>
      </c>
      <c r="K623">
        <v>0</v>
      </c>
      <c r="M623">
        <v>1</v>
      </c>
    </row>
    <row r="624" spans="1:13">
      <c r="A624" t="s">
        <v>3606</v>
      </c>
      <c r="B624" t="s">
        <v>3606</v>
      </c>
      <c r="C624" t="s">
        <v>1812</v>
      </c>
      <c r="E624">
        <v>2</v>
      </c>
      <c r="G624">
        <v>14.7</v>
      </c>
      <c r="H624" t="s">
        <v>3607</v>
      </c>
      <c r="I624">
        <v>14</v>
      </c>
      <c r="J624" t="s">
        <v>1901</v>
      </c>
      <c r="K624">
        <v>0</v>
      </c>
      <c r="M624">
        <v>3</v>
      </c>
    </row>
    <row r="625" spans="1:13">
      <c r="A625" t="s">
        <v>3608</v>
      </c>
      <c r="B625" t="s">
        <v>3608</v>
      </c>
      <c r="C625" t="s">
        <v>1813</v>
      </c>
      <c r="E625">
        <v>1</v>
      </c>
      <c r="G625">
        <v>71.2</v>
      </c>
      <c r="H625" t="s">
        <v>3609</v>
      </c>
      <c r="I625">
        <v>19</v>
      </c>
      <c r="J625" t="s">
        <v>1982</v>
      </c>
      <c r="K625">
        <v>2</v>
      </c>
      <c r="M625">
        <v>3</v>
      </c>
    </row>
    <row r="626" spans="1:13">
      <c r="A626" t="s">
        <v>3610</v>
      </c>
      <c r="B626" t="s">
        <v>3610</v>
      </c>
      <c r="C626" t="s">
        <v>1814</v>
      </c>
      <c r="E626">
        <v>1</v>
      </c>
      <c r="G626">
        <v>80.400000000000006</v>
      </c>
      <c r="H626" t="s">
        <v>3611</v>
      </c>
      <c r="I626">
        <v>19</v>
      </c>
      <c r="J626" t="s">
        <v>1982</v>
      </c>
      <c r="K626">
        <v>2</v>
      </c>
      <c r="M626">
        <v>3</v>
      </c>
    </row>
    <row r="627" spans="1:13">
      <c r="A627" t="s">
        <v>3612</v>
      </c>
      <c r="B627" t="s">
        <v>3612</v>
      </c>
      <c r="C627" t="s">
        <v>1815</v>
      </c>
      <c r="E627">
        <v>1</v>
      </c>
      <c r="G627">
        <v>84</v>
      </c>
      <c r="H627" t="s">
        <v>3613</v>
      </c>
      <c r="I627">
        <v>19</v>
      </c>
      <c r="J627" t="s">
        <v>1982</v>
      </c>
      <c r="K627">
        <v>2</v>
      </c>
      <c r="M627">
        <v>3</v>
      </c>
    </row>
    <row r="628" spans="1:13">
      <c r="A628" t="s">
        <v>3614</v>
      </c>
      <c r="B628" t="s">
        <v>3614</v>
      </c>
      <c r="C628" t="s">
        <v>1816</v>
      </c>
      <c r="E628">
        <v>1</v>
      </c>
      <c r="G628">
        <v>89.5</v>
      </c>
      <c r="H628" t="s">
        <v>3615</v>
      </c>
      <c r="I628">
        <v>19</v>
      </c>
      <c r="J628" t="s">
        <v>1982</v>
      </c>
      <c r="K628">
        <v>2</v>
      </c>
      <c r="M628">
        <v>3</v>
      </c>
    </row>
    <row r="629" spans="1:13">
      <c r="A629" t="s">
        <v>3616</v>
      </c>
      <c r="B629" t="s">
        <v>3616</v>
      </c>
      <c r="C629" t="s">
        <v>1817</v>
      </c>
      <c r="E629">
        <v>1</v>
      </c>
      <c r="G629">
        <v>161.30000000000001</v>
      </c>
      <c r="H629" t="s">
        <v>3617</v>
      </c>
      <c r="I629">
        <v>1</v>
      </c>
      <c r="J629" t="s">
        <v>1918</v>
      </c>
      <c r="K629">
        <v>0</v>
      </c>
      <c r="M629">
        <v>5</v>
      </c>
    </row>
    <row r="630" spans="1:13">
      <c r="A630" t="s">
        <v>3618</v>
      </c>
      <c r="B630" t="s">
        <v>3618</v>
      </c>
      <c r="C630" t="s">
        <v>1819</v>
      </c>
      <c r="D630" t="s">
        <v>3619</v>
      </c>
      <c r="E630">
        <v>1</v>
      </c>
      <c r="G630">
        <v>9.6</v>
      </c>
      <c r="H630" t="s">
        <v>3620</v>
      </c>
      <c r="I630">
        <v>1</v>
      </c>
      <c r="J630" t="s">
        <v>1918</v>
      </c>
      <c r="K630">
        <v>0</v>
      </c>
      <c r="M630">
        <v>5</v>
      </c>
    </row>
    <row r="631" spans="1:13">
      <c r="A631" t="s">
        <v>3621</v>
      </c>
      <c r="B631" t="s">
        <v>3621</v>
      </c>
      <c r="C631" t="s">
        <v>1820</v>
      </c>
      <c r="D631" t="s">
        <v>3622</v>
      </c>
      <c r="E631">
        <v>1</v>
      </c>
      <c r="G631">
        <v>10.4</v>
      </c>
      <c r="H631" t="s">
        <v>3623</v>
      </c>
      <c r="I631">
        <v>1</v>
      </c>
      <c r="J631" t="s">
        <v>1918</v>
      </c>
      <c r="K631">
        <v>0</v>
      </c>
      <c r="M631">
        <v>5</v>
      </c>
    </row>
    <row r="632" spans="1:13">
      <c r="A632" t="s">
        <v>3624</v>
      </c>
      <c r="B632" t="s">
        <v>3624</v>
      </c>
      <c r="C632" t="s">
        <v>1821</v>
      </c>
      <c r="E632">
        <v>2</v>
      </c>
      <c r="G632">
        <v>29</v>
      </c>
      <c r="H632" t="s">
        <v>3625</v>
      </c>
      <c r="I632">
        <v>1</v>
      </c>
      <c r="J632" t="s">
        <v>1918</v>
      </c>
      <c r="K632">
        <v>2</v>
      </c>
      <c r="M632">
        <v>1</v>
      </c>
    </row>
    <row r="633" spans="1:13">
      <c r="A633" t="s">
        <v>3626</v>
      </c>
      <c r="B633" t="s">
        <v>3626</v>
      </c>
      <c r="C633" t="s">
        <v>1822</v>
      </c>
      <c r="D633" t="s">
        <v>3627</v>
      </c>
      <c r="E633">
        <v>1</v>
      </c>
      <c r="G633">
        <v>9.9</v>
      </c>
      <c r="H633" t="s">
        <v>3628</v>
      </c>
      <c r="I633">
        <v>1</v>
      </c>
      <c r="J633" t="s">
        <v>1918</v>
      </c>
      <c r="K633">
        <v>0</v>
      </c>
      <c r="M633">
        <v>5</v>
      </c>
    </row>
    <row r="634" spans="1:13">
      <c r="A634" t="s">
        <v>3629</v>
      </c>
      <c r="B634" t="s">
        <v>3629</v>
      </c>
      <c r="C634" t="s">
        <v>1823</v>
      </c>
      <c r="D634" t="s">
        <v>3630</v>
      </c>
      <c r="E634">
        <v>2</v>
      </c>
      <c r="G634">
        <v>17611</v>
      </c>
      <c r="H634" t="s">
        <v>3631</v>
      </c>
      <c r="I634">
        <v>25</v>
      </c>
      <c r="J634" t="s">
        <v>1905</v>
      </c>
      <c r="K634">
        <v>2</v>
      </c>
      <c r="M634">
        <v>15</v>
      </c>
    </row>
    <row r="635" spans="1:13">
      <c r="A635" t="s">
        <v>3632</v>
      </c>
      <c r="B635" t="s">
        <v>3632</v>
      </c>
      <c r="C635" t="s">
        <v>1824</v>
      </c>
      <c r="E635">
        <v>2</v>
      </c>
      <c r="G635">
        <v>383.5</v>
      </c>
      <c r="H635" t="s">
        <v>3633</v>
      </c>
      <c r="I635">
        <v>1</v>
      </c>
      <c r="J635" t="s">
        <v>1918</v>
      </c>
      <c r="K635">
        <v>0</v>
      </c>
      <c r="M635">
        <v>15</v>
      </c>
    </row>
    <row r="636" spans="1:13">
      <c r="A636" t="s">
        <v>3634</v>
      </c>
      <c r="B636" t="s">
        <v>3634</v>
      </c>
      <c r="C636" t="s">
        <v>1825</v>
      </c>
      <c r="D636" t="s">
        <v>3635</v>
      </c>
      <c r="E636">
        <v>1</v>
      </c>
      <c r="G636">
        <v>64.5</v>
      </c>
      <c r="H636" t="s">
        <v>3636</v>
      </c>
      <c r="I636">
        <v>1</v>
      </c>
      <c r="J636" t="s">
        <v>1918</v>
      </c>
      <c r="K636">
        <v>0</v>
      </c>
      <c r="M636">
        <v>1</v>
      </c>
    </row>
    <row r="637" spans="1:13">
      <c r="A637" t="s">
        <v>3637</v>
      </c>
      <c r="B637" t="s">
        <v>3637</v>
      </c>
      <c r="C637" t="s">
        <v>1826</v>
      </c>
      <c r="D637" t="s">
        <v>3638</v>
      </c>
      <c r="E637">
        <v>1</v>
      </c>
      <c r="G637">
        <v>49.1</v>
      </c>
      <c r="H637" t="s">
        <v>3639</v>
      </c>
      <c r="I637">
        <v>17</v>
      </c>
      <c r="J637" t="s">
        <v>2093</v>
      </c>
      <c r="K637">
        <v>0</v>
      </c>
      <c r="M637">
        <v>3</v>
      </c>
    </row>
    <row r="638" spans="1:13">
      <c r="A638" t="s">
        <v>3640</v>
      </c>
      <c r="B638" t="s">
        <v>3640</v>
      </c>
      <c r="C638" t="s">
        <v>1827</v>
      </c>
      <c r="D638" t="s">
        <v>3641</v>
      </c>
      <c r="E638">
        <v>1</v>
      </c>
      <c r="G638">
        <v>16.899999999999999</v>
      </c>
      <c r="H638" t="s">
        <v>3642</v>
      </c>
      <c r="I638">
        <v>15</v>
      </c>
      <c r="J638" t="s">
        <v>1909</v>
      </c>
      <c r="K638">
        <v>0</v>
      </c>
      <c r="M638">
        <v>3</v>
      </c>
    </row>
    <row r="639" spans="1:13">
      <c r="A639" t="s">
        <v>3643</v>
      </c>
      <c r="B639" t="s">
        <v>3643</v>
      </c>
      <c r="C639" t="s">
        <v>1828</v>
      </c>
      <c r="D639" t="s">
        <v>3644</v>
      </c>
      <c r="E639">
        <v>2</v>
      </c>
      <c r="G639">
        <v>16.899999999999999</v>
      </c>
      <c r="H639" t="s">
        <v>3645</v>
      </c>
      <c r="I639">
        <v>14</v>
      </c>
      <c r="J639" t="s">
        <v>1901</v>
      </c>
      <c r="K639">
        <v>0</v>
      </c>
      <c r="M639">
        <v>3</v>
      </c>
    </row>
    <row r="640" spans="1:13">
      <c r="A640" t="s">
        <v>3646</v>
      </c>
      <c r="B640" t="s">
        <v>3646</v>
      </c>
      <c r="C640" t="s">
        <v>1829</v>
      </c>
      <c r="E640">
        <v>2</v>
      </c>
      <c r="G640">
        <v>208</v>
      </c>
      <c r="H640" t="s">
        <v>3647</v>
      </c>
      <c r="I640">
        <v>25</v>
      </c>
      <c r="J640" t="s">
        <v>1905</v>
      </c>
      <c r="K640">
        <v>0</v>
      </c>
      <c r="M640">
        <v>11</v>
      </c>
    </row>
    <row r="641" spans="1:13">
      <c r="A641" t="s">
        <v>3648</v>
      </c>
      <c r="B641" t="s">
        <v>3648</v>
      </c>
      <c r="C641" t="s">
        <v>1830</v>
      </c>
      <c r="D641" t="s">
        <v>3649</v>
      </c>
      <c r="E641">
        <v>1</v>
      </c>
      <c r="G641">
        <v>9.6</v>
      </c>
      <c r="H641" t="s">
        <v>3650</v>
      </c>
      <c r="I641">
        <v>1</v>
      </c>
      <c r="J641" t="s">
        <v>1918</v>
      </c>
      <c r="K641">
        <v>2</v>
      </c>
      <c r="M641">
        <v>6</v>
      </c>
    </row>
    <row r="642" spans="1:13">
      <c r="A642" t="s">
        <v>3651</v>
      </c>
      <c r="B642" t="s">
        <v>3651</v>
      </c>
      <c r="C642" t="s">
        <v>1118</v>
      </c>
      <c r="D642" t="s">
        <v>3652</v>
      </c>
      <c r="E642">
        <v>1</v>
      </c>
      <c r="G642">
        <v>18.7</v>
      </c>
      <c r="H642" t="s">
        <v>3653</v>
      </c>
      <c r="I642">
        <v>1</v>
      </c>
      <c r="J642" t="s">
        <v>1918</v>
      </c>
      <c r="K642">
        <v>2</v>
      </c>
      <c r="M642">
        <v>6</v>
      </c>
    </row>
    <row r="643" spans="1:13">
      <c r="A643" t="s">
        <v>3654</v>
      </c>
      <c r="B643" t="s">
        <v>3654</v>
      </c>
      <c r="C643" t="s">
        <v>1831</v>
      </c>
      <c r="D643" t="s">
        <v>3655</v>
      </c>
      <c r="E643">
        <v>1</v>
      </c>
      <c r="G643">
        <v>241.8</v>
      </c>
      <c r="H643" t="s">
        <v>3656</v>
      </c>
      <c r="I643">
        <v>1</v>
      </c>
      <c r="J643" t="s">
        <v>1918</v>
      </c>
      <c r="K643">
        <v>2</v>
      </c>
      <c r="M643">
        <v>6</v>
      </c>
    </row>
    <row r="644" spans="1:13">
      <c r="A644" t="s">
        <v>3657</v>
      </c>
      <c r="B644" t="s">
        <v>3657</v>
      </c>
      <c r="C644" t="s">
        <v>1832</v>
      </c>
      <c r="D644" t="s">
        <v>3658</v>
      </c>
      <c r="E644">
        <v>1</v>
      </c>
      <c r="G644">
        <v>461.9</v>
      </c>
      <c r="H644" t="s">
        <v>3659</v>
      </c>
      <c r="I644">
        <v>1</v>
      </c>
      <c r="J644" t="s">
        <v>1918</v>
      </c>
      <c r="K644">
        <v>2</v>
      </c>
      <c r="M644">
        <v>6</v>
      </c>
    </row>
    <row r="645" spans="1:13">
      <c r="A645" t="s">
        <v>3660</v>
      </c>
      <c r="B645" t="s">
        <v>3660</v>
      </c>
      <c r="C645" t="s">
        <v>1833</v>
      </c>
      <c r="E645">
        <v>1</v>
      </c>
      <c r="G645">
        <v>128.69999999999999</v>
      </c>
      <c r="H645" t="s">
        <v>3661</v>
      </c>
      <c r="I645">
        <v>1</v>
      </c>
      <c r="J645" t="s">
        <v>1918</v>
      </c>
      <c r="K645">
        <v>2</v>
      </c>
      <c r="M645">
        <v>6</v>
      </c>
    </row>
    <row r="646" spans="1:13">
      <c r="A646" t="s">
        <v>3662</v>
      </c>
      <c r="B646" t="s">
        <v>3662</v>
      </c>
      <c r="C646" t="s">
        <v>1124</v>
      </c>
      <c r="D646" t="s">
        <v>3663</v>
      </c>
      <c r="E646">
        <v>1</v>
      </c>
      <c r="G646">
        <v>6.1</v>
      </c>
      <c r="H646" t="s">
        <v>3664</v>
      </c>
      <c r="I646">
        <v>1</v>
      </c>
      <c r="J646" t="s">
        <v>1918</v>
      </c>
      <c r="K646">
        <v>0</v>
      </c>
      <c r="M646">
        <v>5</v>
      </c>
    </row>
    <row r="647" spans="1:13">
      <c r="A647" t="s">
        <v>3665</v>
      </c>
      <c r="B647" t="s">
        <v>3665</v>
      </c>
      <c r="C647" t="s">
        <v>1126</v>
      </c>
      <c r="D647" t="s">
        <v>3666</v>
      </c>
      <c r="E647">
        <v>1</v>
      </c>
      <c r="G647">
        <v>7</v>
      </c>
      <c r="H647" t="s">
        <v>3667</v>
      </c>
      <c r="I647">
        <v>1</v>
      </c>
      <c r="J647" t="s">
        <v>1918</v>
      </c>
      <c r="K647">
        <v>0</v>
      </c>
      <c r="M647">
        <v>5</v>
      </c>
    </row>
    <row r="648" spans="1:13">
      <c r="A648" t="s">
        <v>3668</v>
      </c>
      <c r="B648" t="s">
        <v>3668</v>
      </c>
      <c r="C648" t="s">
        <v>1834</v>
      </c>
      <c r="D648" t="s">
        <v>3669</v>
      </c>
      <c r="E648">
        <v>2</v>
      </c>
      <c r="G648">
        <v>76.3</v>
      </c>
      <c r="H648" t="s">
        <v>3670</v>
      </c>
      <c r="I648">
        <v>1</v>
      </c>
      <c r="J648" t="s">
        <v>1918</v>
      </c>
      <c r="K648">
        <v>0</v>
      </c>
      <c r="M648">
        <v>15</v>
      </c>
    </row>
    <row r="649" spans="1:13">
      <c r="A649" t="s">
        <v>3671</v>
      </c>
      <c r="B649" t="s">
        <v>3671</v>
      </c>
      <c r="C649" t="s">
        <v>1835</v>
      </c>
      <c r="D649" t="s">
        <v>3672</v>
      </c>
      <c r="E649">
        <v>1</v>
      </c>
      <c r="G649">
        <v>34.200000000000003</v>
      </c>
      <c r="H649" t="s">
        <v>3673</v>
      </c>
      <c r="I649">
        <v>1</v>
      </c>
      <c r="J649" t="s">
        <v>1918</v>
      </c>
      <c r="K649">
        <v>0</v>
      </c>
      <c r="M649">
        <v>5</v>
      </c>
    </row>
    <row r="650" spans="1:13">
      <c r="A650" t="s">
        <v>3674</v>
      </c>
      <c r="B650" t="s">
        <v>3674</v>
      </c>
      <c r="C650" t="s">
        <v>1836</v>
      </c>
      <c r="E650">
        <v>1</v>
      </c>
      <c r="G650">
        <v>2.13</v>
      </c>
      <c r="H650" t="s">
        <v>3675</v>
      </c>
      <c r="I650">
        <v>15</v>
      </c>
      <c r="J650" t="s">
        <v>1909</v>
      </c>
      <c r="K650">
        <v>0</v>
      </c>
      <c r="M650">
        <v>7</v>
      </c>
    </row>
    <row r="651" spans="1:13">
      <c r="A651" t="s">
        <v>3676</v>
      </c>
      <c r="B651" t="s">
        <v>3676</v>
      </c>
      <c r="C651" t="s">
        <v>1837</v>
      </c>
      <c r="D651" t="s">
        <v>3677</v>
      </c>
      <c r="E651">
        <v>1</v>
      </c>
      <c r="G651">
        <v>10.8</v>
      </c>
      <c r="H651" t="s">
        <v>3678</v>
      </c>
      <c r="I651">
        <v>1</v>
      </c>
      <c r="J651" t="s">
        <v>1918</v>
      </c>
      <c r="K651">
        <v>0</v>
      </c>
      <c r="M651">
        <v>1</v>
      </c>
    </row>
    <row r="652" spans="1:13">
      <c r="A652" t="s">
        <v>3679</v>
      </c>
      <c r="B652" t="s">
        <v>3679</v>
      </c>
      <c r="C652" t="s">
        <v>1838</v>
      </c>
      <c r="E652">
        <v>2</v>
      </c>
      <c r="G652">
        <v>52.4</v>
      </c>
      <c r="H652" t="s">
        <v>3680</v>
      </c>
      <c r="I652">
        <v>1</v>
      </c>
      <c r="J652" t="s">
        <v>1918</v>
      </c>
      <c r="K652">
        <v>2</v>
      </c>
      <c r="M652">
        <v>3</v>
      </c>
    </row>
    <row r="653" spans="1:13">
      <c r="A653" t="s">
        <v>3681</v>
      </c>
      <c r="B653" t="s">
        <v>3681</v>
      </c>
      <c r="C653" t="s">
        <v>1839</v>
      </c>
      <c r="D653" t="s">
        <v>3682</v>
      </c>
      <c r="E653">
        <v>1</v>
      </c>
      <c r="G653">
        <v>10.4</v>
      </c>
      <c r="H653" t="s">
        <v>3683</v>
      </c>
      <c r="I653">
        <v>1</v>
      </c>
      <c r="J653" t="s">
        <v>1918</v>
      </c>
      <c r="K653">
        <v>0</v>
      </c>
      <c r="M653">
        <v>5</v>
      </c>
    </row>
    <row r="654" spans="1:13">
      <c r="A654" t="s">
        <v>3684</v>
      </c>
      <c r="B654" t="s">
        <v>3684</v>
      </c>
      <c r="C654" t="s">
        <v>1840</v>
      </c>
      <c r="D654" t="s">
        <v>3685</v>
      </c>
      <c r="E654">
        <v>2</v>
      </c>
      <c r="G654">
        <v>111.8</v>
      </c>
      <c r="H654" t="s">
        <v>3686</v>
      </c>
      <c r="I654">
        <v>12</v>
      </c>
      <c r="J654" t="s">
        <v>2250</v>
      </c>
      <c r="K654">
        <v>2</v>
      </c>
      <c r="M654">
        <v>15</v>
      </c>
    </row>
    <row r="655" spans="1:13">
      <c r="A655" t="s">
        <v>3687</v>
      </c>
      <c r="B655" t="s">
        <v>3687</v>
      </c>
      <c r="C655" t="s">
        <v>1841</v>
      </c>
      <c r="D655" t="s">
        <v>3688</v>
      </c>
      <c r="E655">
        <v>1</v>
      </c>
      <c r="G655">
        <v>669</v>
      </c>
      <c r="H655" t="s">
        <v>3689</v>
      </c>
      <c r="I655">
        <v>25</v>
      </c>
      <c r="J655" t="s">
        <v>1905</v>
      </c>
      <c r="K655">
        <v>0</v>
      </c>
      <c r="M655">
        <v>9</v>
      </c>
    </row>
    <row r="656" spans="1:13">
      <c r="A656" t="s">
        <v>3690</v>
      </c>
      <c r="B656" t="s">
        <v>3690</v>
      </c>
      <c r="C656" t="s">
        <v>1842</v>
      </c>
      <c r="E656">
        <v>1</v>
      </c>
      <c r="G656">
        <v>25.4</v>
      </c>
      <c r="H656" t="s">
        <v>3691</v>
      </c>
      <c r="I656">
        <v>1</v>
      </c>
      <c r="J656" t="s">
        <v>1918</v>
      </c>
      <c r="K656">
        <v>0</v>
      </c>
      <c r="M656">
        <v>5</v>
      </c>
    </row>
    <row r="657" spans="1:13">
      <c r="A657" t="s">
        <v>3692</v>
      </c>
      <c r="B657" t="s">
        <v>3692</v>
      </c>
      <c r="C657" t="s">
        <v>1843</v>
      </c>
      <c r="E657">
        <v>1</v>
      </c>
      <c r="G657">
        <v>63.7</v>
      </c>
      <c r="H657" t="s">
        <v>3693</v>
      </c>
      <c r="I657">
        <v>3</v>
      </c>
      <c r="J657" t="s">
        <v>1941</v>
      </c>
      <c r="K657">
        <v>0</v>
      </c>
      <c r="M657">
        <v>2</v>
      </c>
    </row>
    <row r="658" spans="1:13">
      <c r="A658" t="s">
        <v>3694</v>
      </c>
      <c r="B658" t="s">
        <v>3694</v>
      </c>
      <c r="C658" t="s">
        <v>1844</v>
      </c>
      <c r="E658">
        <v>2</v>
      </c>
      <c r="G658">
        <v>75.900000000000006</v>
      </c>
      <c r="H658" t="s">
        <v>3695</v>
      </c>
      <c r="I658">
        <v>1</v>
      </c>
      <c r="J658" t="s">
        <v>1918</v>
      </c>
      <c r="K658">
        <v>0</v>
      </c>
      <c r="M658">
        <v>15</v>
      </c>
    </row>
    <row r="659" spans="1:13">
      <c r="A659" t="s">
        <v>3696</v>
      </c>
      <c r="B659" t="s">
        <v>3696</v>
      </c>
      <c r="C659" t="s">
        <v>1845</v>
      </c>
      <c r="D659" t="s">
        <v>3697</v>
      </c>
      <c r="E659">
        <v>2</v>
      </c>
      <c r="G659">
        <v>27.7</v>
      </c>
      <c r="H659" t="s">
        <v>3698</v>
      </c>
      <c r="I659">
        <v>3</v>
      </c>
      <c r="J659" t="s">
        <v>1941</v>
      </c>
      <c r="K659">
        <v>0</v>
      </c>
      <c r="M659">
        <v>2</v>
      </c>
    </row>
    <row r="660" spans="1:13">
      <c r="A660" t="s">
        <v>3699</v>
      </c>
      <c r="B660" t="s">
        <v>3699</v>
      </c>
      <c r="C660" t="s">
        <v>1846</v>
      </c>
      <c r="D660" t="s">
        <v>3700</v>
      </c>
      <c r="E660">
        <v>1</v>
      </c>
      <c r="G660">
        <v>32.9</v>
      </c>
      <c r="H660" t="s">
        <v>3701</v>
      </c>
      <c r="I660">
        <v>1</v>
      </c>
      <c r="J660" t="s">
        <v>1918</v>
      </c>
      <c r="K660">
        <v>0</v>
      </c>
      <c r="M660">
        <v>1</v>
      </c>
    </row>
    <row r="661" spans="1:13">
      <c r="A661" t="s">
        <v>3702</v>
      </c>
      <c r="B661" t="s">
        <v>3702</v>
      </c>
      <c r="C661" t="s">
        <v>1847</v>
      </c>
      <c r="E661">
        <v>1</v>
      </c>
      <c r="G661">
        <v>1044</v>
      </c>
      <c r="H661" t="s">
        <v>3703</v>
      </c>
      <c r="I661">
        <v>25</v>
      </c>
      <c r="J661" t="s">
        <v>1905</v>
      </c>
      <c r="K661">
        <v>0</v>
      </c>
      <c r="M661">
        <v>9</v>
      </c>
    </row>
    <row r="662" spans="1:13">
      <c r="A662" t="s">
        <v>3704</v>
      </c>
      <c r="B662" t="s">
        <v>3704</v>
      </c>
      <c r="C662" t="s">
        <v>1848</v>
      </c>
      <c r="E662">
        <v>2</v>
      </c>
      <c r="G662">
        <v>26.6</v>
      </c>
      <c r="H662" t="s">
        <v>3705</v>
      </c>
      <c r="I662">
        <v>21</v>
      </c>
      <c r="J662" t="s">
        <v>1948</v>
      </c>
      <c r="K662">
        <v>0</v>
      </c>
      <c r="M662">
        <v>3</v>
      </c>
    </row>
    <row r="663" spans="1:13">
      <c r="A663" t="s">
        <v>3706</v>
      </c>
      <c r="B663" t="s">
        <v>3706</v>
      </c>
      <c r="C663" t="s">
        <v>1849</v>
      </c>
      <c r="D663" t="s">
        <v>3707</v>
      </c>
      <c r="E663">
        <v>2</v>
      </c>
      <c r="G663">
        <v>2377.3000000000002</v>
      </c>
      <c r="H663" t="s">
        <v>3708</v>
      </c>
      <c r="I663">
        <v>1</v>
      </c>
      <c r="J663" t="s">
        <v>1918</v>
      </c>
      <c r="K663">
        <v>2</v>
      </c>
      <c r="M663">
        <v>15</v>
      </c>
    </row>
    <row r="664" spans="1:13">
      <c r="A664" t="s">
        <v>3709</v>
      </c>
      <c r="B664" t="s">
        <v>3709</v>
      </c>
      <c r="C664" t="s">
        <v>1850</v>
      </c>
      <c r="D664" t="s">
        <v>3710</v>
      </c>
      <c r="E664">
        <v>2</v>
      </c>
      <c r="G664">
        <v>346.9</v>
      </c>
      <c r="H664" t="s">
        <v>3711</v>
      </c>
      <c r="I664">
        <v>1</v>
      </c>
      <c r="J664" t="s">
        <v>1918</v>
      </c>
      <c r="K664">
        <v>2</v>
      </c>
      <c r="M664">
        <v>3</v>
      </c>
    </row>
    <row r="665" spans="1:13">
      <c r="A665" t="s">
        <v>3712</v>
      </c>
      <c r="B665" t="s">
        <v>3712</v>
      </c>
      <c r="C665" t="s">
        <v>1851</v>
      </c>
      <c r="D665" t="s">
        <v>3713</v>
      </c>
      <c r="E665">
        <v>2</v>
      </c>
      <c r="G665">
        <v>5220.8</v>
      </c>
      <c r="H665" t="s">
        <v>3714</v>
      </c>
      <c r="I665">
        <v>10</v>
      </c>
      <c r="J665" t="s">
        <v>1970</v>
      </c>
      <c r="K665">
        <v>0</v>
      </c>
      <c r="M665">
        <v>3</v>
      </c>
    </row>
    <row r="666" spans="1:13">
      <c r="A666" t="s">
        <v>3715</v>
      </c>
      <c r="B666" t="s">
        <v>3715</v>
      </c>
      <c r="C666" t="s">
        <v>1852</v>
      </c>
      <c r="D666" t="s">
        <v>3716</v>
      </c>
      <c r="E666">
        <v>2</v>
      </c>
      <c r="G666">
        <v>4829.8999999999996</v>
      </c>
      <c r="H666" t="s">
        <v>3717</v>
      </c>
      <c r="I666">
        <v>10</v>
      </c>
      <c r="J666" t="s">
        <v>1970</v>
      </c>
      <c r="K666">
        <v>0</v>
      </c>
      <c r="M666">
        <v>3</v>
      </c>
    </row>
    <row r="667" spans="1:13">
      <c r="A667" t="s">
        <v>3718</v>
      </c>
      <c r="B667" t="s">
        <v>3718</v>
      </c>
      <c r="C667" t="s">
        <v>1853</v>
      </c>
      <c r="D667" t="s">
        <v>3719</v>
      </c>
      <c r="E667">
        <v>1</v>
      </c>
      <c r="G667">
        <v>10.1</v>
      </c>
      <c r="H667" t="s">
        <v>3720</v>
      </c>
      <c r="I667">
        <v>1</v>
      </c>
      <c r="J667" t="s">
        <v>1918</v>
      </c>
      <c r="K667">
        <v>0</v>
      </c>
      <c r="M667">
        <v>5</v>
      </c>
    </row>
    <row r="668" spans="1:13">
      <c r="A668" t="s">
        <v>3721</v>
      </c>
      <c r="B668" t="s">
        <v>3721</v>
      </c>
      <c r="C668" t="s">
        <v>1854</v>
      </c>
      <c r="D668" t="s">
        <v>3722</v>
      </c>
      <c r="E668">
        <v>1</v>
      </c>
      <c r="G668">
        <v>13.8</v>
      </c>
      <c r="H668" t="s">
        <v>3723</v>
      </c>
      <c r="I668">
        <v>3</v>
      </c>
      <c r="J668" t="s">
        <v>1941</v>
      </c>
      <c r="K668">
        <v>0</v>
      </c>
      <c r="M668">
        <v>2</v>
      </c>
    </row>
    <row r="669" spans="1:13">
      <c r="A669" t="s">
        <v>3724</v>
      </c>
      <c r="B669" t="s">
        <v>3724</v>
      </c>
      <c r="C669" t="s">
        <v>1855</v>
      </c>
      <c r="E669">
        <v>1</v>
      </c>
      <c r="G669">
        <v>17.600000000000001</v>
      </c>
      <c r="H669" t="s">
        <v>3725</v>
      </c>
      <c r="I669">
        <v>19</v>
      </c>
      <c r="J669" t="s">
        <v>1982</v>
      </c>
      <c r="K669">
        <v>0</v>
      </c>
      <c r="M669">
        <v>12</v>
      </c>
    </row>
    <row r="670" spans="1:13">
      <c r="A670" t="s">
        <v>3726</v>
      </c>
      <c r="B670" t="s">
        <v>3726</v>
      </c>
      <c r="C670" t="s">
        <v>1856</v>
      </c>
      <c r="E670">
        <v>2</v>
      </c>
      <c r="G670">
        <v>1024.3</v>
      </c>
      <c r="H670" t="s">
        <v>3727</v>
      </c>
      <c r="I670">
        <v>3</v>
      </c>
      <c r="J670" t="s">
        <v>1941</v>
      </c>
      <c r="K670">
        <v>0</v>
      </c>
      <c r="M670">
        <v>3</v>
      </c>
    </row>
    <row r="671" spans="1:13">
      <c r="A671" t="s">
        <v>3728</v>
      </c>
      <c r="B671" t="s">
        <v>3728</v>
      </c>
      <c r="C671" t="s">
        <v>1857</v>
      </c>
      <c r="E671">
        <v>1</v>
      </c>
      <c r="G671">
        <v>14.9</v>
      </c>
      <c r="H671" t="s">
        <v>3729</v>
      </c>
      <c r="I671">
        <v>14</v>
      </c>
      <c r="J671" t="s">
        <v>1901</v>
      </c>
      <c r="K671">
        <v>0</v>
      </c>
      <c r="M671">
        <v>3</v>
      </c>
    </row>
    <row r="672" spans="1:13">
      <c r="A672" t="s">
        <v>3730</v>
      </c>
      <c r="B672" t="s">
        <v>3730</v>
      </c>
      <c r="C672" t="s">
        <v>1858</v>
      </c>
      <c r="E672">
        <v>1</v>
      </c>
      <c r="G672">
        <v>10.4</v>
      </c>
      <c r="H672" t="s">
        <v>3731</v>
      </c>
      <c r="I672">
        <v>1</v>
      </c>
      <c r="J672" t="s">
        <v>1918</v>
      </c>
      <c r="K672">
        <v>0</v>
      </c>
      <c r="M672">
        <v>5</v>
      </c>
    </row>
    <row r="673" spans="1:13">
      <c r="A673" t="s">
        <v>3732</v>
      </c>
      <c r="B673" t="s">
        <v>3732</v>
      </c>
      <c r="C673" t="s">
        <v>1859</v>
      </c>
      <c r="D673" t="s">
        <v>3733</v>
      </c>
      <c r="E673">
        <v>2</v>
      </c>
      <c r="G673">
        <v>41.1</v>
      </c>
      <c r="H673" t="s">
        <v>3734</v>
      </c>
      <c r="I673">
        <v>1</v>
      </c>
      <c r="J673" t="s">
        <v>1918</v>
      </c>
      <c r="K673">
        <v>0</v>
      </c>
      <c r="M673">
        <v>3</v>
      </c>
    </row>
    <row r="674" spans="1:13">
      <c r="A674" t="s">
        <v>3735</v>
      </c>
      <c r="B674" t="s">
        <v>3735</v>
      </c>
      <c r="C674" t="s">
        <v>1860</v>
      </c>
      <c r="D674" t="s">
        <v>3736</v>
      </c>
      <c r="E674">
        <v>1</v>
      </c>
      <c r="G674">
        <v>10.199999999999999</v>
      </c>
      <c r="H674" t="s">
        <v>3737</v>
      </c>
      <c r="I674">
        <v>1</v>
      </c>
      <c r="J674" t="s">
        <v>1918</v>
      </c>
      <c r="K674">
        <v>2</v>
      </c>
      <c r="M674">
        <v>6</v>
      </c>
    </row>
    <row r="675" spans="1:13">
      <c r="A675" t="s">
        <v>3738</v>
      </c>
      <c r="B675" t="s">
        <v>3738</v>
      </c>
      <c r="C675" t="s">
        <v>1861</v>
      </c>
      <c r="D675" t="s">
        <v>3739</v>
      </c>
      <c r="E675">
        <v>1</v>
      </c>
      <c r="G675">
        <v>18.899999999999999</v>
      </c>
      <c r="H675" t="s">
        <v>3740</v>
      </c>
      <c r="I675">
        <v>1</v>
      </c>
      <c r="J675" t="s">
        <v>1918</v>
      </c>
      <c r="K675">
        <v>2</v>
      </c>
      <c r="M675">
        <v>6</v>
      </c>
    </row>
    <row r="676" spans="1:13">
      <c r="A676" t="s">
        <v>3741</v>
      </c>
      <c r="B676" t="s">
        <v>3741</v>
      </c>
      <c r="C676" t="s">
        <v>1862</v>
      </c>
      <c r="D676" t="s">
        <v>3742</v>
      </c>
      <c r="E676">
        <v>1</v>
      </c>
      <c r="G676">
        <v>202.6</v>
      </c>
      <c r="H676" t="s">
        <v>3743</v>
      </c>
      <c r="I676">
        <v>3</v>
      </c>
      <c r="J676" t="s">
        <v>1941</v>
      </c>
      <c r="K676">
        <v>2</v>
      </c>
      <c r="M676">
        <v>2</v>
      </c>
    </row>
    <row r="677" spans="1:13">
      <c r="A677" t="s">
        <v>3744</v>
      </c>
      <c r="B677" t="s">
        <v>3744</v>
      </c>
      <c r="C677" t="s">
        <v>1863</v>
      </c>
      <c r="D677" t="s">
        <v>3745</v>
      </c>
      <c r="E677">
        <v>1</v>
      </c>
      <c r="G677">
        <v>229</v>
      </c>
      <c r="H677" t="s">
        <v>3746</v>
      </c>
      <c r="I677">
        <v>19</v>
      </c>
      <c r="J677" t="s">
        <v>1982</v>
      </c>
      <c r="K677">
        <v>2</v>
      </c>
      <c r="M677">
        <v>3</v>
      </c>
    </row>
    <row r="678" spans="1:13">
      <c r="A678" t="s">
        <v>3747</v>
      </c>
      <c r="B678" t="s">
        <v>3747</v>
      </c>
      <c r="C678" t="s">
        <v>1864</v>
      </c>
      <c r="D678" t="s">
        <v>3748</v>
      </c>
      <c r="E678">
        <v>1</v>
      </c>
      <c r="G678">
        <v>429.1</v>
      </c>
      <c r="H678" t="s">
        <v>3749</v>
      </c>
      <c r="I678">
        <v>19</v>
      </c>
      <c r="J678" t="s">
        <v>1982</v>
      </c>
      <c r="K678">
        <v>2</v>
      </c>
      <c r="M678">
        <v>3</v>
      </c>
    </row>
    <row r="679" spans="1:13">
      <c r="A679" t="s">
        <v>3750</v>
      </c>
      <c r="B679" t="s">
        <v>3750</v>
      </c>
      <c r="C679" t="s">
        <v>1164</v>
      </c>
      <c r="D679" t="s">
        <v>3751</v>
      </c>
      <c r="E679">
        <v>1</v>
      </c>
      <c r="G679">
        <v>9.8000000000000007</v>
      </c>
      <c r="H679" t="s">
        <v>3752</v>
      </c>
      <c r="I679">
        <v>2</v>
      </c>
      <c r="J679" t="s">
        <v>835</v>
      </c>
      <c r="K679">
        <v>0</v>
      </c>
      <c r="M679">
        <v>1</v>
      </c>
    </row>
    <row r="680" spans="1:13">
      <c r="A680" t="s">
        <v>3753</v>
      </c>
      <c r="B680" t="s">
        <v>3753</v>
      </c>
      <c r="C680" t="s">
        <v>1865</v>
      </c>
      <c r="D680" t="s">
        <v>3754</v>
      </c>
      <c r="E680">
        <v>1</v>
      </c>
      <c r="G680">
        <v>5.3</v>
      </c>
      <c r="H680" t="s">
        <v>3755</v>
      </c>
      <c r="I680">
        <v>1</v>
      </c>
      <c r="J680" t="s">
        <v>1918</v>
      </c>
      <c r="K680">
        <v>0</v>
      </c>
      <c r="M680">
        <v>5</v>
      </c>
    </row>
    <row r="681" spans="1:13">
      <c r="A681" t="s">
        <v>3756</v>
      </c>
      <c r="B681" t="s">
        <v>3756</v>
      </c>
      <c r="C681" t="s">
        <v>1866</v>
      </c>
      <c r="D681" t="s">
        <v>3757</v>
      </c>
      <c r="E681">
        <v>1</v>
      </c>
      <c r="G681">
        <v>13.8</v>
      </c>
      <c r="H681" t="s">
        <v>3758</v>
      </c>
      <c r="I681">
        <v>1</v>
      </c>
      <c r="J681" t="s">
        <v>1918</v>
      </c>
      <c r="K681">
        <v>0</v>
      </c>
      <c r="M681">
        <v>5</v>
      </c>
    </row>
    <row r="682" spans="1:13">
      <c r="A682" t="s">
        <v>3759</v>
      </c>
      <c r="B682" t="s">
        <v>3759</v>
      </c>
      <c r="C682" t="s">
        <v>1867</v>
      </c>
      <c r="D682" t="s">
        <v>3760</v>
      </c>
      <c r="E682">
        <v>1</v>
      </c>
      <c r="G682">
        <v>100</v>
      </c>
      <c r="H682" t="s">
        <v>3761</v>
      </c>
      <c r="I682">
        <v>25</v>
      </c>
      <c r="J682" t="s">
        <v>1905</v>
      </c>
      <c r="K682">
        <v>2</v>
      </c>
      <c r="M682">
        <v>15</v>
      </c>
    </row>
    <row r="683" spans="1:13">
      <c r="A683" t="s">
        <v>3762</v>
      </c>
      <c r="B683" t="s">
        <v>3762</v>
      </c>
      <c r="C683" t="s">
        <v>1868</v>
      </c>
      <c r="D683" t="s">
        <v>3763</v>
      </c>
      <c r="E683">
        <v>1</v>
      </c>
      <c r="G683">
        <v>206</v>
      </c>
      <c r="H683" t="s">
        <v>3764</v>
      </c>
      <c r="I683">
        <v>25</v>
      </c>
      <c r="J683" t="s">
        <v>1905</v>
      </c>
      <c r="K683">
        <v>2</v>
      </c>
      <c r="M683">
        <v>9</v>
      </c>
    </row>
    <row r="684" spans="1:13">
      <c r="A684" t="s">
        <v>3765</v>
      </c>
      <c r="B684" t="s">
        <v>3765</v>
      </c>
      <c r="C684" t="s">
        <v>1869</v>
      </c>
      <c r="D684" t="s">
        <v>3766</v>
      </c>
      <c r="E684">
        <v>1</v>
      </c>
      <c r="G684">
        <v>7.4</v>
      </c>
      <c r="H684" t="s">
        <v>3767</v>
      </c>
      <c r="I684">
        <v>1</v>
      </c>
      <c r="J684" t="s">
        <v>1918</v>
      </c>
      <c r="K684">
        <v>0</v>
      </c>
      <c r="M684">
        <v>4</v>
      </c>
    </row>
    <row r="685" spans="1:13">
      <c r="A685" t="s">
        <v>3768</v>
      </c>
      <c r="B685" t="s">
        <v>3768</v>
      </c>
      <c r="C685" t="s">
        <v>1168</v>
      </c>
      <c r="D685" t="s">
        <v>3769</v>
      </c>
      <c r="E685">
        <v>1</v>
      </c>
      <c r="G685">
        <v>10.4</v>
      </c>
      <c r="H685" t="s">
        <v>3770</v>
      </c>
      <c r="I685">
        <v>1</v>
      </c>
      <c r="J685" t="s">
        <v>1918</v>
      </c>
      <c r="K685">
        <v>0</v>
      </c>
      <c r="M685">
        <v>5</v>
      </c>
    </row>
    <row r="686" spans="1:13">
      <c r="A686" t="s">
        <v>3771</v>
      </c>
      <c r="B686" t="s">
        <v>3771</v>
      </c>
      <c r="C686" t="s">
        <v>1870</v>
      </c>
      <c r="D686" t="s">
        <v>3772</v>
      </c>
      <c r="E686">
        <v>1</v>
      </c>
      <c r="G686">
        <v>1825</v>
      </c>
      <c r="H686" t="s">
        <v>3773</v>
      </c>
      <c r="I686">
        <v>25</v>
      </c>
      <c r="J686" t="s">
        <v>1905</v>
      </c>
      <c r="K686">
        <v>0</v>
      </c>
      <c r="M686">
        <v>10</v>
      </c>
    </row>
    <row r="687" spans="1:13">
      <c r="A687" t="s">
        <v>3774</v>
      </c>
      <c r="B687" t="s">
        <v>3774</v>
      </c>
      <c r="C687" t="s">
        <v>1871</v>
      </c>
      <c r="D687" t="s">
        <v>3775</v>
      </c>
      <c r="E687">
        <v>1</v>
      </c>
      <c r="G687">
        <v>1399</v>
      </c>
      <c r="H687" t="s">
        <v>3773</v>
      </c>
      <c r="I687">
        <v>25</v>
      </c>
      <c r="J687" t="s">
        <v>1905</v>
      </c>
      <c r="K687">
        <v>0</v>
      </c>
      <c r="M687">
        <v>10</v>
      </c>
    </row>
  </sheetData>
  <autoFilter ref="A4:L687" xr:uid="{E283ECF8-0BB8-4DEC-8FCC-DDD860AF498C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統合マスタ</vt:lpstr>
      <vt:lpstr>match_results_不採用</vt:lpstr>
      <vt:lpstr>臨時</vt:lpstr>
      <vt:lpstr>外用</vt:lpstr>
      <vt:lpstr>散剤</vt:lpstr>
      <vt:lpstr>錠剤</vt:lpstr>
      <vt:lpstr>注射</vt:lpstr>
      <vt:lpstr>元データ</vt:lpstr>
      <vt:lpstr>分類</vt:lpstr>
      <vt:lpstr>match_results_top5</vt:lpstr>
      <vt:lpstr>match_results</vt:lpstr>
      <vt:lpstr>match_results_2</vt:lpstr>
      <vt:lpstr>マスタ非採用削除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2026-03-09T05:22:21Z</dcterms:modified>
</cp:coreProperties>
</file>